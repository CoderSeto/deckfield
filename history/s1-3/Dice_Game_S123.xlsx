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ekuk\Documents\Games\"/>
    </mc:Choice>
  </mc:AlternateContent>
  <xr:revisionPtr revIDLastSave="0" documentId="13_ncr:1_{D7794198-DAAA-44C3-97EC-5136291E9EB1}" xr6:coauthVersionLast="47" xr6:coauthVersionMax="47" xr10:uidLastSave="{00000000-0000-0000-0000-000000000000}"/>
  <bookViews>
    <workbookView xWindow="-110" yWindow="-110" windowWidth="25820" windowHeight="15620" tabRatio="807" activeTab="1" xr2:uid="{00000000-000D-0000-FFFF-FFFF00000000}"/>
  </bookViews>
  <sheets>
    <sheet name="ScoreboardNCAA" sheetId="18" r:id="rId1"/>
    <sheet name="Archive" sheetId="38" r:id="rId2"/>
    <sheet name="Rankings" sheetId="51" r:id="rId3"/>
    <sheet name="Bracket" sheetId="52" r:id="rId4"/>
    <sheet name="Conf Standings" sheetId="39" r:id="rId5"/>
    <sheet name="Divisions" sheetId="40" r:id="rId6"/>
    <sheet name="WCS" sheetId="41" r:id="rId7"/>
    <sheet name="Master" sheetId="48" r:id="rId8"/>
    <sheet name="Ultra" sheetId="49" r:id="rId9"/>
    <sheet name="CCC" sheetId="43" r:id="rId10"/>
    <sheet name="SoC" sheetId="50" r:id="rId11"/>
    <sheet name="Legacy" sheetId="20" r:id="rId12"/>
    <sheet name="Future" sheetId="30" r:id="rId13"/>
    <sheet name="Weather" sheetId="44" r:id="rId14"/>
    <sheet name="Derby" sheetId="45" r:id="rId15"/>
    <sheet name="MRL" sheetId="46" r:id="rId16"/>
    <sheet name="UTL" sheetId="47" r:id="rId17"/>
    <sheet name="OldRanks" sheetId="42" r:id="rId18"/>
    <sheet name="OldOldRnks" sheetId="37" r:id="rId19"/>
    <sheet name="XArc" sheetId="36" r:id="rId20"/>
    <sheet name="XRnk" sheetId="35" r:id="rId21"/>
    <sheet name="S2 Archive" sheetId="32" r:id="rId22"/>
    <sheet name="S2 Rankings" sheetId="33" r:id="rId23"/>
    <sheet name="S2 Conf. Stand" sheetId="34" r:id="rId24"/>
    <sheet name="S2 Divisions" sheetId="14" r:id="rId25"/>
    <sheet name="S1 Archive" sheetId="19" r:id="rId26"/>
    <sheet name="S1 Rankings" sheetId="23" r:id="rId27"/>
    <sheet name="S1 Conf. Stand" sheetId="16" r:id="rId28"/>
    <sheet name="S1 InterC" sheetId="15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2" i="51" l="1"/>
  <c r="N42" i="19" l="1"/>
  <c r="N51" i="19" l="1"/>
  <c r="N50" i="19"/>
  <c r="N49" i="19"/>
  <c r="N48" i="19"/>
  <c r="N47" i="19"/>
  <c r="N46" i="19"/>
  <c r="N45" i="19"/>
  <c r="N44" i="19"/>
  <c r="N43" i="19"/>
  <c r="O42" i="19"/>
  <c r="O26" i="19"/>
  <c r="O18" i="19"/>
  <c r="P17" i="19"/>
  <c r="L521" i="19"/>
  <c r="M521" i="19" s="1"/>
  <c r="L520" i="19"/>
  <c r="M520" i="19" s="1"/>
  <c r="L519" i="19"/>
  <c r="M519" i="19" s="1"/>
  <c r="L518" i="19"/>
  <c r="M518" i="19" s="1"/>
  <c r="L517" i="19"/>
  <c r="M517" i="19" s="1"/>
  <c r="L516" i="19"/>
  <c r="M516" i="19" s="1"/>
  <c r="L515" i="19"/>
  <c r="M515" i="19" s="1"/>
  <c r="L514" i="19"/>
  <c r="M514" i="19" s="1"/>
  <c r="L513" i="19"/>
  <c r="M513" i="19" s="1"/>
  <c r="L512" i="19"/>
  <c r="M512" i="19" s="1"/>
  <c r="L511" i="19"/>
  <c r="M511" i="19" s="1"/>
  <c r="L510" i="19"/>
  <c r="M510" i="19" s="1"/>
  <c r="L509" i="19"/>
  <c r="M509" i="19" s="1"/>
  <c r="L508" i="19"/>
  <c r="M508" i="19" s="1"/>
  <c r="L507" i="19"/>
  <c r="M507" i="19" s="1"/>
  <c r="L506" i="19"/>
  <c r="M506" i="19" s="1"/>
  <c r="L505" i="19"/>
  <c r="M505" i="19" s="1"/>
  <c r="L504" i="19"/>
  <c r="M504" i="19" s="1"/>
  <c r="L503" i="19"/>
  <c r="M503" i="19" s="1"/>
  <c r="L502" i="19"/>
  <c r="M502" i="19" s="1"/>
  <c r="L501" i="19"/>
  <c r="M501" i="19" s="1"/>
  <c r="L500" i="19"/>
  <c r="M500" i="19" s="1"/>
  <c r="L499" i="19"/>
  <c r="M499" i="19" s="1"/>
  <c r="L498" i="19"/>
  <c r="M498" i="19" s="1"/>
  <c r="L497" i="19"/>
  <c r="M497" i="19" s="1"/>
  <c r="L496" i="19"/>
  <c r="M496" i="19" s="1"/>
  <c r="L495" i="19"/>
  <c r="M495" i="19" s="1"/>
  <c r="L494" i="19"/>
  <c r="M494" i="19" s="1"/>
  <c r="L493" i="19"/>
  <c r="M493" i="19" s="1"/>
  <c r="L492" i="19"/>
  <c r="M492" i="19" s="1"/>
  <c r="L491" i="19"/>
  <c r="M491" i="19" s="1"/>
  <c r="L490" i="19"/>
  <c r="M490" i="19" s="1"/>
  <c r="L489" i="19"/>
  <c r="M489" i="19" s="1"/>
  <c r="L488" i="19"/>
  <c r="M488" i="19" s="1"/>
  <c r="L487" i="19"/>
  <c r="M487" i="19" s="1"/>
  <c r="L486" i="19"/>
  <c r="M486" i="19" s="1"/>
  <c r="L485" i="19"/>
  <c r="M485" i="19" s="1"/>
  <c r="L484" i="19"/>
  <c r="M484" i="19" s="1"/>
  <c r="L483" i="19"/>
  <c r="M483" i="19" s="1"/>
  <c r="L482" i="19"/>
  <c r="M482" i="19" s="1"/>
  <c r="L481" i="19"/>
  <c r="M481" i="19" s="1"/>
  <c r="L480" i="19"/>
  <c r="M480" i="19" s="1"/>
  <c r="L479" i="19"/>
  <c r="M479" i="19" s="1"/>
  <c r="L478" i="19"/>
  <c r="M478" i="19" s="1"/>
  <c r="L477" i="19"/>
  <c r="M477" i="19" s="1"/>
  <c r="L476" i="19"/>
  <c r="M476" i="19" s="1"/>
  <c r="L475" i="19"/>
  <c r="M475" i="19" s="1"/>
  <c r="L474" i="19"/>
  <c r="M474" i="19" s="1"/>
  <c r="L473" i="19"/>
  <c r="M473" i="19" s="1"/>
  <c r="L472" i="19"/>
  <c r="M472" i="19" s="1"/>
  <c r="L471" i="19"/>
  <c r="M471" i="19" s="1"/>
  <c r="L470" i="19"/>
  <c r="M470" i="19" s="1"/>
  <c r="L469" i="19"/>
  <c r="M469" i="19" s="1"/>
  <c r="L468" i="19"/>
  <c r="M468" i="19" s="1"/>
  <c r="L467" i="19"/>
  <c r="M467" i="19" s="1"/>
  <c r="L466" i="19"/>
  <c r="M466" i="19" s="1"/>
  <c r="L465" i="19"/>
  <c r="M465" i="19" s="1"/>
  <c r="L464" i="19"/>
  <c r="M464" i="19" s="1"/>
  <c r="L463" i="19"/>
  <c r="M463" i="19" s="1"/>
  <c r="L462" i="19"/>
  <c r="M462" i="19" s="1"/>
  <c r="L461" i="19"/>
  <c r="M461" i="19" s="1"/>
  <c r="L460" i="19"/>
  <c r="M460" i="19" s="1"/>
  <c r="L459" i="19"/>
  <c r="M459" i="19" s="1"/>
  <c r="L458" i="19"/>
  <c r="M458" i="19" s="1"/>
  <c r="L457" i="19"/>
  <c r="M457" i="19" s="1"/>
  <c r="L456" i="19"/>
  <c r="M456" i="19" s="1"/>
  <c r="L455" i="19"/>
  <c r="M455" i="19" s="1"/>
  <c r="L454" i="19"/>
  <c r="M454" i="19" s="1"/>
  <c r="L453" i="19"/>
  <c r="M453" i="19" s="1"/>
  <c r="L452" i="19"/>
  <c r="M452" i="19" s="1"/>
  <c r="L451" i="19"/>
  <c r="M451" i="19" s="1"/>
  <c r="L450" i="19"/>
  <c r="M450" i="19" s="1"/>
  <c r="L449" i="19"/>
  <c r="M449" i="19" s="1"/>
  <c r="L448" i="19"/>
  <c r="M448" i="19" s="1"/>
  <c r="L447" i="19"/>
  <c r="M447" i="19" s="1"/>
  <c r="L446" i="19"/>
  <c r="M446" i="19" s="1"/>
  <c r="L445" i="19"/>
  <c r="M445" i="19" s="1"/>
  <c r="L444" i="19"/>
  <c r="M444" i="19" s="1"/>
  <c r="L443" i="19"/>
  <c r="M443" i="19" s="1"/>
  <c r="L442" i="19"/>
  <c r="M442" i="19" s="1"/>
  <c r="L441" i="19"/>
  <c r="M441" i="19" s="1"/>
  <c r="L440" i="19"/>
  <c r="M440" i="19" s="1"/>
  <c r="L439" i="19"/>
  <c r="M439" i="19" s="1"/>
  <c r="L438" i="19"/>
  <c r="M438" i="19" s="1"/>
  <c r="L437" i="19"/>
  <c r="M437" i="19" s="1"/>
  <c r="L436" i="19"/>
  <c r="M436" i="19" s="1"/>
  <c r="L435" i="19"/>
  <c r="M435" i="19" s="1"/>
  <c r="L434" i="19"/>
  <c r="M434" i="19" s="1"/>
  <c r="L433" i="19"/>
  <c r="M433" i="19" s="1"/>
  <c r="L432" i="19"/>
  <c r="M432" i="19" s="1"/>
  <c r="L431" i="19"/>
  <c r="M431" i="19" s="1"/>
  <c r="L430" i="19"/>
  <c r="M430" i="19" s="1"/>
  <c r="L429" i="19"/>
  <c r="M429" i="19" s="1"/>
  <c r="L428" i="19"/>
  <c r="M428" i="19" s="1"/>
  <c r="L427" i="19"/>
  <c r="M427" i="19" s="1"/>
  <c r="L426" i="19"/>
  <c r="M426" i="19" s="1"/>
  <c r="L425" i="19"/>
  <c r="M425" i="19" s="1"/>
  <c r="L424" i="19"/>
  <c r="M424" i="19" s="1"/>
  <c r="L423" i="19"/>
  <c r="M423" i="19" s="1"/>
  <c r="L422" i="19"/>
  <c r="M422" i="19" s="1"/>
  <c r="L421" i="19"/>
  <c r="M421" i="19" s="1"/>
  <c r="L420" i="19"/>
  <c r="M420" i="19" s="1"/>
  <c r="L419" i="19"/>
  <c r="M419" i="19" s="1"/>
  <c r="L418" i="19"/>
  <c r="M418" i="19" s="1"/>
  <c r="L417" i="19"/>
  <c r="M417" i="19" s="1"/>
  <c r="L416" i="19"/>
  <c r="M416" i="19" s="1"/>
  <c r="L415" i="19"/>
  <c r="M415" i="19" s="1"/>
  <c r="L414" i="19"/>
  <c r="M414" i="19" s="1"/>
  <c r="L413" i="19"/>
  <c r="M413" i="19" s="1"/>
  <c r="L412" i="19"/>
  <c r="M412" i="19" s="1"/>
  <c r="L411" i="19"/>
  <c r="M411" i="19" s="1"/>
  <c r="L410" i="19"/>
  <c r="M410" i="19" s="1"/>
  <c r="L409" i="19"/>
  <c r="M409" i="19" s="1"/>
  <c r="L408" i="19"/>
  <c r="M408" i="19" s="1"/>
  <c r="L407" i="19"/>
  <c r="M407" i="19" s="1"/>
  <c r="L406" i="19"/>
  <c r="M406" i="19" s="1"/>
  <c r="L405" i="19"/>
  <c r="M405" i="19" s="1"/>
  <c r="L404" i="19"/>
  <c r="M404" i="19" s="1"/>
  <c r="L403" i="19"/>
  <c r="M403" i="19" s="1"/>
  <c r="L402" i="19"/>
  <c r="M402" i="19" s="1"/>
  <c r="L401" i="19"/>
  <c r="M401" i="19" s="1"/>
  <c r="L400" i="19"/>
  <c r="M400" i="19" s="1"/>
  <c r="L399" i="19"/>
  <c r="M399" i="19" s="1"/>
  <c r="L398" i="19"/>
  <c r="M398" i="19" s="1"/>
  <c r="L397" i="19"/>
  <c r="M397" i="19" s="1"/>
  <c r="L396" i="19"/>
  <c r="M396" i="19" s="1"/>
  <c r="L395" i="19"/>
  <c r="M395" i="19" s="1"/>
  <c r="L394" i="19"/>
  <c r="M394" i="19" s="1"/>
  <c r="L393" i="19"/>
  <c r="M393" i="19" s="1"/>
  <c r="L392" i="19"/>
  <c r="M392" i="19" s="1"/>
  <c r="L391" i="19"/>
  <c r="M391" i="19" s="1"/>
  <c r="L390" i="19"/>
  <c r="M390" i="19" s="1"/>
  <c r="L389" i="19"/>
  <c r="M389" i="19" s="1"/>
  <c r="L388" i="19"/>
  <c r="M388" i="19" s="1"/>
  <c r="L387" i="19"/>
  <c r="M387" i="19" s="1"/>
  <c r="L386" i="19"/>
  <c r="M386" i="19" s="1"/>
  <c r="L385" i="19"/>
  <c r="M385" i="19" s="1"/>
  <c r="L384" i="19"/>
  <c r="M384" i="19" s="1"/>
  <c r="L383" i="19"/>
  <c r="M383" i="19" s="1"/>
  <c r="L382" i="19"/>
  <c r="M382" i="19" s="1"/>
  <c r="L381" i="19"/>
  <c r="M381" i="19" s="1"/>
  <c r="L380" i="19"/>
  <c r="M380" i="19" s="1"/>
  <c r="L379" i="19"/>
  <c r="M379" i="19" s="1"/>
  <c r="L378" i="19"/>
  <c r="M378" i="19" s="1"/>
  <c r="L377" i="19"/>
  <c r="M377" i="19" s="1"/>
  <c r="L376" i="19"/>
  <c r="M376" i="19" s="1"/>
  <c r="L375" i="19"/>
  <c r="M375" i="19" s="1"/>
  <c r="L374" i="19"/>
  <c r="M374" i="19" s="1"/>
  <c r="L373" i="19"/>
  <c r="M373" i="19" s="1"/>
  <c r="L372" i="19"/>
  <c r="M372" i="19" s="1"/>
  <c r="L371" i="19"/>
  <c r="M371" i="19" s="1"/>
  <c r="L370" i="19"/>
  <c r="M370" i="19" s="1"/>
  <c r="L369" i="19"/>
  <c r="M369" i="19" s="1"/>
  <c r="L368" i="19"/>
  <c r="M368" i="19" s="1"/>
  <c r="L367" i="19"/>
  <c r="M367" i="19" s="1"/>
  <c r="L366" i="19"/>
  <c r="M366" i="19" s="1"/>
  <c r="L365" i="19"/>
  <c r="M365" i="19" s="1"/>
  <c r="L364" i="19"/>
  <c r="M364" i="19" s="1"/>
  <c r="L363" i="19"/>
  <c r="M363" i="19" s="1"/>
  <c r="L362" i="19"/>
  <c r="M362" i="19" s="1"/>
  <c r="L361" i="19"/>
  <c r="M361" i="19" s="1"/>
  <c r="L360" i="19"/>
  <c r="M360" i="19" s="1"/>
  <c r="L359" i="19"/>
  <c r="M359" i="19" s="1"/>
  <c r="L358" i="19"/>
  <c r="M358" i="19" s="1"/>
  <c r="L357" i="19"/>
  <c r="M357" i="19" s="1"/>
  <c r="L356" i="19"/>
  <c r="M356" i="19" s="1"/>
  <c r="L355" i="19"/>
  <c r="M355" i="19" s="1"/>
  <c r="L354" i="19"/>
  <c r="M354" i="19" s="1"/>
  <c r="L353" i="19"/>
  <c r="M353" i="19" s="1"/>
  <c r="L352" i="19"/>
  <c r="M352" i="19" s="1"/>
  <c r="L351" i="19"/>
  <c r="M351" i="19" s="1"/>
  <c r="L350" i="19"/>
  <c r="M350" i="19" s="1"/>
  <c r="L349" i="19"/>
  <c r="M349" i="19" s="1"/>
  <c r="L348" i="19"/>
  <c r="M348" i="19" s="1"/>
  <c r="L347" i="19"/>
  <c r="M347" i="19" s="1"/>
  <c r="L346" i="19"/>
  <c r="M346" i="19" s="1"/>
  <c r="L345" i="19"/>
  <c r="M345" i="19" s="1"/>
  <c r="L344" i="19"/>
  <c r="M344" i="19" s="1"/>
  <c r="L343" i="19"/>
  <c r="M343" i="19" s="1"/>
  <c r="L342" i="19"/>
  <c r="M342" i="19" s="1"/>
  <c r="L341" i="19"/>
  <c r="M341" i="19" s="1"/>
  <c r="L340" i="19"/>
  <c r="M340" i="19" s="1"/>
  <c r="L339" i="19"/>
  <c r="M339" i="19" s="1"/>
  <c r="L338" i="19"/>
  <c r="M338" i="19" s="1"/>
  <c r="L337" i="19"/>
  <c r="M337" i="19" s="1"/>
  <c r="L336" i="19"/>
  <c r="M336" i="19" s="1"/>
  <c r="L335" i="19"/>
  <c r="M335" i="19" s="1"/>
  <c r="L334" i="19"/>
  <c r="M334" i="19" s="1"/>
  <c r="L333" i="19"/>
  <c r="M333" i="19" s="1"/>
  <c r="L332" i="19"/>
  <c r="M332" i="19" s="1"/>
  <c r="L331" i="19"/>
  <c r="M331" i="19" s="1"/>
  <c r="L330" i="19"/>
  <c r="M330" i="19" s="1"/>
  <c r="L329" i="19"/>
  <c r="M329" i="19" s="1"/>
  <c r="L328" i="19"/>
  <c r="M328" i="19" s="1"/>
  <c r="L327" i="19"/>
  <c r="M327" i="19" s="1"/>
  <c r="L326" i="19"/>
  <c r="M326" i="19" s="1"/>
  <c r="L325" i="19"/>
  <c r="M325" i="19" s="1"/>
  <c r="L324" i="19"/>
  <c r="M324" i="19" s="1"/>
  <c r="L323" i="19"/>
  <c r="M323" i="19" s="1"/>
  <c r="L322" i="19"/>
  <c r="M322" i="19" s="1"/>
  <c r="L321" i="19"/>
  <c r="M321" i="19" s="1"/>
  <c r="L320" i="19"/>
  <c r="M320" i="19" s="1"/>
  <c r="L319" i="19"/>
  <c r="M319" i="19" s="1"/>
  <c r="L318" i="19"/>
  <c r="M318" i="19" s="1"/>
  <c r="L317" i="19"/>
  <c r="M317" i="19" s="1"/>
  <c r="L316" i="19"/>
  <c r="M316" i="19" s="1"/>
  <c r="L315" i="19"/>
  <c r="M315" i="19" s="1"/>
  <c r="L314" i="19"/>
  <c r="M314" i="19" s="1"/>
  <c r="L313" i="19"/>
  <c r="M313" i="19" s="1"/>
  <c r="L312" i="19"/>
  <c r="M312" i="19" s="1"/>
  <c r="L311" i="19"/>
  <c r="M311" i="19" s="1"/>
  <c r="L310" i="19"/>
  <c r="M310" i="19" s="1"/>
  <c r="L309" i="19"/>
  <c r="M309" i="19" s="1"/>
  <c r="L308" i="19"/>
  <c r="M308" i="19" s="1"/>
  <c r="L307" i="19"/>
  <c r="M307" i="19" s="1"/>
  <c r="L306" i="19"/>
  <c r="M306" i="19" s="1"/>
  <c r="L305" i="19"/>
  <c r="M305" i="19" s="1"/>
  <c r="L304" i="19"/>
  <c r="M304" i="19" s="1"/>
  <c r="L303" i="19"/>
  <c r="M303" i="19" s="1"/>
  <c r="L302" i="19"/>
  <c r="M302" i="19" s="1"/>
  <c r="L301" i="19"/>
  <c r="M301" i="19" s="1"/>
  <c r="L300" i="19"/>
  <c r="M300" i="19" s="1"/>
  <c r="L299" i="19"/>
  <c r="M299" i="19" s="1"/>
  <c r="L298" i="19"/>
  <c r="M298" i="19" s="1"/>
  <c r="L297" i="19"/>
  <c r="M297" i="19" s="1"/>
  <c r="L296" i="19"/>
  <c r="M296" i="19" s="1"/>
  <c r="L295" i="19"/>
  <c r="M295" i="19" s="1"/>
  <c r="L294" i="19"/>
  <c r="M294" i="19" s="1"/>
  <c r="L293" i="19"/>
  <c r="M293" i="19" s="1"/>
  <c r="L292" i="19"/>
  <c r="M292" i="19" s="1"/>
  <c r="L291" i="19"/>
  <c r="M291" i="19" s="1"/>
  <c r="L290" i="19"/>
  <c r="M290" i="19" s="1"/>
  <c r="L289" i="19"/>
  <c r="M289" i="19" s="1"/>
  <c r="L288" i="19"/>
  <c r="M288" i="19" s="1"/>
  <c r="L287" i="19"/>
  <c r="M287" i="19" s="1"/>
  <c r="L286" i="19"/>
  <c r="M286" i="19" s="1"/>
  <c r="L285" i="19"/>
  <c r="M285" i="19" s="1"/>
  <c r="L284" i="19"/>
  <c r="M284" i="19" s="1"/>
  <c r="L283" i="19"/>
  <c r="M283" i="19" s="1"/>
  <c r="L282" i="19"/>
  <c r="M282" i="19" s="1"/>
  <c r="L281" i="19"/>
  <c r="M281" i="19" s="1"/>
  <c r="L280" i="19"/>
  <c r="M280" i="19" s="1"/>
  <c r="L279" i="19"/>
  <c r="M279" i="19" s="1"/>
  <c r="L278" i="19"/>
  <c r="M278" i="19" s="1"/>
  <c r="L277" i="19"/>
  <c r="M277" i="19" s="1"/>
  <c r="L276" i="19"/>
  <c r="M276" i="19" s="1"/>
  <c r="L275" i="19"/>
  <c r="M275" i="19" s="1"/>
  <c r="L274" i="19"/>
  <c r="M274" i="19" s="1"/>
  <c r="L273" i="19"/>
  <c r="M273" i="19" s="1"/>
  <c r="L272" i="19"/>
  <c r="M272" i="19" s="1"/>
  <c r="L271" i="19"/>
  <c r="M271" i="19" s="1"/>
  <c r="L270" i="19"/>
  <c r="M270" i="19" s="1"/>
  <c r="L269" i="19"/>
  <c r="M269" i="19" s="1"/>
  <c r="L268" i="19"/>
  <c r="M268" i="19" s="1"/>
  <c r="L267" i="19"/>
  <c r="M267" i="19" s="1"/>
  <c r="L266" i="19"/>
  <c r="M266" i="19" s="1"/>
  <c r="L265" i="19"/>
  <c r="M265" i="19" s="1"/>
  <c r="L264" i="19"/>
  <c r="M264" i="19" s="1"/>
  <c r="L263" i="19"/>
  <c r="M263" i="19" s="1"/>
  <c r="L262" i="19"/>
  <c r="M262" i="19" s="1"/>
  <c r="L261" i="19"/>
  <c r="M261" i="19" s="1"/>
  <c r="L260" i="19"/>
  <c r="M260" i="19" s="1"/>
  <c r="L259" i="19"/>
  <c r="M259" i="19" s="1"/>
  <c r="L258" i="19"/>
  <c r="M258" i="19" s="1"/>
  <c r="L257" i="19"/>
  <c r="M257" i="19" s="1"/>
  <c r="L256" i="19"/>
  <c r="M256" i="19" s="1"/>
  <c r="L255" i="19"/>
  <c r="M255" i="19" s="1"/>
  <c r="L254" i="19"/>
  <c r="M254" i="19" s="1"/>
  <c r="L253" i="19"/>
  <c r="M253" i="19" s="1"/>
  <c r="L252" i="19"/>
  <c r="M252" i="19" s="1"/>
  <c r="L251" i="19"/>
  <c r="M251" i="19" s="1"/>
  <c r="L250" i="19"/>
  <c r="M250" i="19" s="1"/>
  <c r="L249" i="19"/>
  <c r="M249" i="19" s="1"/>
  <c r="L248" i="19"/>
  <c r="M248" i="19" s="1"/>
  <c r="L247" i="19"/>
  <c r="M247" i="19" s="1"/>
  <c r="L246" i="19"/>
  <c r="M246" i="19" s="1"/>
  <c r="L245" i="19"/>
  <c r="M245" i="19" s="1"/>
  <c r="L244" i="19"/>
  <c r="M244" i="19" s="1"/>
  <c r="L243" i="19"/>
  <c r="M243" i="19" s="1"/>
  <c r="L242" i="19"/>
  <c r="M242" i="19" s="1"/>
  <c r="M241" i="19"/>
  <c r="L241" i="19"/>
  <c r="L240" i="19"/>
  <c r="M240" i="19" s="1"/>
  <c r="L239" i="19"/>
  <c r="M239" i="19" s="1"/>
  <c r="L238" i="19"/>
  <c r="M238" i="19" s="1"/>
  <c r="L237" i="19"/>
  <c r="M237" i="19" s="1"/>
  <c r="L236" i="19"/>
  <c r="M236" i="19" s="1"/>
  <c r="L235" i="19"/>
  <c r="M235" i="19" s="1"/>
  <c r="L234" i="19"/>
  <c r="M234" i="19" s="1"/>
  <c r="L233" i="19"/>
  <c r="M233" i="19" s="1"/>
  <c r="L232" i="19"/>
  <c r="M232" i="19" s="1"/>
  <c r="L231" i="19"/>
  <c r="M231" i="19" s="1"/>
  <c r="L230" i="19"/>
  <c r="M230" i="19" s="1"/>
  <c r="L229" i="19"/>
  <c r="M229" i="19" s="1"/>
  <c r="L228" i="19"/>
  <c r="M228" i="19" s="1"/>
  <c r="L227" i="19"/>
  <c r="M227" i="19" s="1"/>
  <c r="L226" i="19"/>
  <c r="M226" i="19" s="1"/>
  <c r="L225" i="19"/>
  <c r="M225" i="19" s="1"/>
  <c r="L224" i="19"/>
  <c r="M224" i="19" s="1"/>
  <c r="L223" i="19"/>
  <c r="M223" i="19" s="1"/>
  <c r="L222" i="19"/>
  <c r="M222" i="19" s="1"/>
  <c r="L221" i="19"/>
  <c r="M221" i="19" s="1"/>
  <c r="L220" i="19"/>
  <c r="M220" i="19" s="1"/>
  <c r="L219" i="19"/>
  <c r="M219" i="19" s="1"/>
  <c r="L218" i="19"/>
  <c r="M218" i="19" s="1"/>
  <c r="L217" i="19"/>
  <c r="M217" i="19" s="1"/>
  <c r="L216" i="19"/>
  <c r="M216" i="19" s="1"/>
  <c r="L215" i="19"/>
  <c r="M215" i="19" s="1"/>
  <c r="L214" i="19"/>
  <c r="M214" i="19" s="1"/>
  <c r="L213" i="19"/>
  <c r="M213" i="19" s="1"/>
  <c r="L212" i="19"/>
  <c r="M212" i="19" s="1"/>
  <c r="L211" i="19"/>
  <c r="M211" i="19" s="1"/>
  <c r="L210" i="19"/>
  <c r="M210" i="19" s="1"/>
  <c r="L209" i="19"/>
  <c r="M209" i="19" s="1"/>
  <c r="L208" i="19"/>
  <c r="M208" i="19" s="1"/>
  <c r="L207" i="19"/>
  <c r="M207" i="19" s="1"/>
  <c r="L206" i="19"/>
  <c r="M206" i="19" s="1"/>
  <c r="M205" i="19"/>
  <c r="L205" i="19"/>
  <c r="L204" i="19"/>
  <c r="M204" i="19" s="1"/>
  <c r="L203" i="19"/>
  <c r="M203" i="19" s="1"/>
  <c r="L202" i="19"/>
  <c r="M202" i="19" s="1"/>
  <c r="L201" i="19"/>
  <c r="M201" i="19" s="1"/>
  <c r="L200" i="19"/>
  <c r="M200" i="19" s="1"/>
  <c r="L199" i="19"/>
  <c r="M199" i="19" s="1"/>
  <c r="L198" i="19"/>
  <c r="M198" i="19" s="1"/>
  <c r="M197" i="19"/>
  <c r="L197" i="19"/>
  <c r="L196" i="19"/>
  <c r="M196" i="19" s="1"/>
  <c r="L195" i="19"/>
  <c r="M195" i="19" s="1"/>
  <c r="L194" i="19"/>
  <c r="M194" i="19" s="1"/>
  <c r="L193" i="19"/>
  <c r="M193" i="19" s="1"/>
  <c r="L192" i="19"/>
  <c r="M192" i="19" s="1"/>
  <c r="L191" i="19"/>
  <c r="M191" i="19" s="1"/>
  <c r="L190" i="19"/>
  <c r="M190" i="19" s="1"/>
  <c r="L189" i="19"/>
  <c r="M189" i="19" s="1"/>
  <c r="L188" i="19"/>
  <c r="M188" i="19" s="1"/>
  <c r="L187" i="19"/>
  <c r="M187" i="19" s="1"/>
  <c r="L186" i="19"/>
  <c r="M186" i="19" s="1"/>
  <c r="L185" i="19"/>
  <c r="M185" i="19" s="1"/>
  <c r="L184" i="19"/>
  <c r="M184" i="19" s="1"/>
  <c r="L183" i="19"/>
  <c r="M183" i="19" s="1"/>
  <c r="L182" i="19"/>
  <c r="M182" i="19" s="1"/>
  <c r="L181" i="19"/>
  <c r="M181" i="19" s="1"/>
  <c r="M180" i="19"/>
  <c r="L180" i="19"/>
  <c r="L179" i="19"/>
  <c r="M179" i="19" s="1"/>
  <c r="L178" i="19"/>
  <c r="M178" i="19" s="1"/>
  <c r="L177" i="19"/>
  <c r="M177" i="19" s="1"/>
  <c r="L176" i="19"/>
  <c r="M176" i="19" s="1"/>
  <c r="L175" i="19"/>
  <c r="M175" i="19" s="1"/>
  <c r="L174" i="19"/>
  <c r="M174" i="19" s="1"/>
  <c r="L173" i="19"/>
  <c r="M173" i="19" s="1"/>
  <c r="L172" i="19"/>
  <c r="M172" i="19" s="1"/>
  <c r="M171" i="19"/>
  <c r="L171" i="19"/>
  <c r="L170" i="19"/>
  <c r="M170" i="19" s="1"/>
  <c r="L169" i="19"/>
  <c r="M169" i="19" s="1"/>
  <c r="L168" i="19"/>
  <c r="M168" i="19" s="1"/>
  <c r="L167" i="19"/>
  <c r="M167" i="19" s="1"/>
  <c r="L166" i="19"/>
  <c r="M166" i="19" s="1"/>
  <c r="L165" i="19"/>
  <c r="M165" i="19" s="1"/>
  <c r="L164" i="19"/>
  <c r="M164" i="19" s="1"/>
  <c r="L163" i="19"/>
  <c r="M163" i="19" s="1"/>
  <c r="L162" i="19"/>
  <c r="M162" i="19" s="1"/>
  <c r="L161" i="19"/>
  <c r="M161" i="19" s="1"/>
  <c r="L160" i="19"/>
  <c r="M160" i="19" s="1"/>
  <c r="L159" i="19"/>
  <c r="M159" i="19" s="1"/>
  <c r="L158" i="19"/>
  <c r="M158" i="19" s="1"/>
  <c r="L157" i="19"/>
  <c r="M157" i="19" s="1"/>
  <c r="L156" i="19"/>
  <c r="M156" i="19" s="1"/>
  <c r="L155" i="19"/>
  <c r="M155" i="19" s="1"/>
  <c r="L154" i="19"/>
  <c r="M154" i="19" s="1"/>
  <c r="L153" i="19"/>
  <c r="M153" i="19" s="1"/>
  <c r="L152" i="19"/>
  <c r="M152" i="19" s="1"/>
  <c r="L151" i="19"/>
  <c r="M151" i="19" s="1"/>
  <c r="L150" i="19"/>
  <c r="M150" i="19" s="1"/>
  <c r="L149" i="19"/>
  <c r="M149" i="19" s="1"/>
  <c r="L148" i="19"/>
  <c r="M148" i="19" s="1"/>
  <c r="L147" i="19"/>
  <c r="M147" i="19" s="1"/>
  <c r="L146" i="19"/>
  <c r="M146" i="19" s="1"/>
  <c r="L145" i="19"/>
  <c r="M145" i="19" s="1"/>
  <c r="L144" i="19"/>
  <c r="M144" i="19" s="1"/>
  <c r="L143" i="19"/>
  <c r="M143" i="19" s="1"/>
  <c r="L142" i="19"/>
  <c r="M142" i="19" s="1"/>
  <c r="L141" i="19"/>
  <c r="M141" i="19" s="1"/>
  <c r="L140" i="19"/>
  <c r="M140" i="19" s="1"/>
  <c r="L139" i="19"/>
  <c r="M139" i="19" s="1"/>
  <c r="L138" i="19"/>
  <c r="M138" i="19" s="1"/>
  <c r="L137" i="19"/>
  <c r="M137" i="19" s="1"/>
  <c r="L136" i="19"/>
  <c r="M136" i="19" s="1"/>
  <c r="L135" i="19"/>
  <c r="M135" i="19" s="1"/>
  <c r="L134" i="19"/>
  <c r="M134" i="19" s="1"/>
  <c r="L133" i="19"/>
  <c r="M133" i="19" s="1"/>
  <c r="L132" i="19"/>
  <c r="M132" i="19" s="1"/>
  <c r="L131" i="19"/>
  <c r="M131" i="19" s="1"/>
  <c r="L130" i="19"/>
  <c r="M130" i="19" s="1"/>
  <c r="L129" i="19"/>
  <c r="M129" i="19" s="1"/>
  <c r="L128" i="19"/>
  <c r="M128" i="19" s="1"/>
  <c r="L127" i="19"/>
  <c r="M127" i="19" s="1"/>
  <c r="L126" i="19"/>
  <c r="M126" i="19" s="1"/>
  <c r="M125" i="19"/>
  <c r="L125" i="19"/>
  <c r="L124" i="19"/>
  <c r="M124" i="19" s="1"/>
  <c r="L123" i="19"/>
  <c r="M123" i="19" s="1"/>
  <c r="L122" i="19"/>
  <c r="M122" i="19" s="1"/>
  <c r="L121" i="19"/>
  <c r="M121" i="19" s="1"/>
  <c r="L120" i="19"/>
  <c r="M120" i="19" s="1"/>
  <c r="L119" i="19"/>
  <c r="M119" i="19" s="1"/>
  <c r="L118" i="19"/>
  <c r="M118" i="19" s="1"/>
  <c r="L117" i="19"/>
  <c r="M117" i="19" s="1"/>
  <c r="M116" i="19"/>
  <c r="L116" i="19"/>
  <c r="L115" i="19"/>
  <c r="M115" i="19" s="1"/>
  <c r="L114" i="19"/>
  <c r="M114" i="19" s="1"/>
  <c r="L113" i="19"/>
  <c r="M113" i="19" s="1"/>
  <c r="L112" i="19"/>
  <c r="M112" i="19" s="1"/>
  <c r="L111" i="19"/>
  <c r="M111" i="19" s="1"/>
  <c r="L110" i="19"/>
  <c r="M110" i="19" s="1"/>
  <c r="L109" i="19"/>
  <c r="M109" i="19" s="1"/>
  <c r="L108" i="19"/>
  <c r="M108" i="19" s="1"/>
  <c r="M107" i="19"/>
  <c r="L107" i="19"/>
  <c r="L106" i="19"/>
  <c r="M106" i="19" s="1"/>
  <c r="L105" i="19"/>
  <c r="M105" i="19" s="1"/>
  <c r="L104" i="19"/>
  <c r="M104" i="19" s="1"/>
  <c r="L103" i="19"/>
  <c r="M103" i="19" s="1"/>
  <c r="L102" i="19"/>
  <c r="M102" i="19" s="1"/>
  <c r="L101" i="19"/>
  <c r="M101" i="19" s="1"/>
  <c r="L100" i="19"/>
  <c r="M100" i="19" s="1"/>
  <c r="L99" i="19"/>
  <c r="M99" i="19" s="1"/>
  <c r="L98" i="19"/>
  <c r="M98" i="19" s="1"/>
  <c r="L97" i="19"/>
  <c r="M97" i="19" s="1"/>
  <c r="L96" i="19"/>
  <c r="M96" i="19" s="1"/>
  <c r="L95" i="19"/>
  <c r="M95" i="19" s="1"/>
  <c r="L94" i="19"/>
  <c r="M94" i="19" s="1"/>
  <c r="L93" i="19"/>
  <c r="M93" i="19" s="1"/>
  <c r="L92" i="19"/>
  <c r="M92" i="19" s="1"/>
  <c r="L91" i="19"/>
  <c r="M91" i="19" s="1"/>
  <c r="L90" i="19"/>
  <c r="M90" i="19" s="1"/>
  <c r="L89" i="19"/>
  <c r="M89" i="19" s="1"/>
  <c r="L88" i="19"/>
  <c r="M88" i="19" s="1"/>
  <c r="L87" i="19"/>
  <c r="M87" i="19" s="1"/>
  <c r="L86" i="19"/>
  <c r="M86" i="19" s="1"/>
  <c r="L85" i="19"/>
  <c r="M85" i="19" s="1"/>
  <c r="L84" i="19"/>
  <c r="M84" i="19" s="1"/>
  <c r="L83" i="19"/>
  <c r="M83" i="19" s="1"/>
  <c r="L82" i="19"/>
  <c r="M82" i="19" s="1"/>
  <c r="L81" i="19"/>
  <c r="M81" i="19" s="1"/>
  <c r="L80" i="19"/>
  <c r="M80" i="19" s="1"/>
  <c r="L79" i="19"/>
  <c r="M79" i="19" s="1"/>
  <c r="L78" i="19"/>
  <c r="M78" i="19" s="1"/>
  <c r="L77" i="19"/>
  <c r="M77" i="19" s="1"/>
  <c r="L76" i="19"/>
  <c r="M76" i="19" s="1"/>
  <c r="L75" i="19"/>
  <c r="M75" i="19" s="1"/>
  <c r="L74" i="19"/>
  <c r="M74" i="19" s="1"/>
  <c r="L73" i="19"/>
  <c r="M73" i="19" s="1"/>
  <c r="L72" i="19"/>
  <c r="M72" i="19" s="1"/>
  <c r="L71" i="19"/>
  <c r="M71" i="19" s="1"/>
  <c r="L70" i="19"/>
  <c r="M70" i="19" s="1"/>
  <c r="L69" i="19"/>
  <c r="M69" i="19" s="1"/>
  <c r="L68" i="19"/>
  <c r="M68" i="19" s="1"/>
  <c r="L67" i="19"/>
  <c r="M67" i="19" s="1"/>
  <c r="L66" i="19"/>
  <c r="M66" i="19" s="1"/>
  <c r="L65" i="19"/>
  <c r="M65" i="19" s="1"/>
  <c r="L64" i="19"/>
  <c r="M64" i="19" s="1"/>
  <c r="L63" i="19"/>
  <c r="M63" i="19" s="1"/>
  <c r="L62" i="19"/>
  <c r="M62" i="19" s="1"/>
  <c r="M61" i="19"/>
  <c r="L61" i="19"/>
  <c r="L60" i="19"/>
  <c r="M60" i="19" s="1"/>
  <c r="L59" i="19"/>
  <c r="M59" i="19" s="1"/>
  <c r="L58" i="19"/>
  <c r="M58" i="19" s="1"/>
  <c r="L57" i="19"/>
  <c r="M57" i="19" s="1"/>
  <c r="L56" i="19"/>
  <c r="M56" i="19" s="1"/>
  <c r="L55" i="19"/>
  <c r="M55" i="19" s="1"/>
  <c r="L54" i="19"/>
  <c r="M54" i="19" s="1"/>
  <c r="L53" i="19"/>
  <c r="M53" i="19" s="1"/>
  <c r="M52" i="19"/>
  <c r="L52" i="19"/>
  <c r="L51" i="19"/>
  <c r="M51" i="19" s="1"/>
  <c r="O51" i="19" s="1"/>
  <c r="L50" i="19"/>
  <c r="M50" i="19" s="1"/>
  <c r="L49" i="19"/>
  <c r="M49" i="19" s="1"/>
  <c r="L48" i="19"/>
  <c r="M48" i="19" s="1"/>
  <c r="L47" i="19"/>
  <c r="M47" i="19" s="1"/>
  <c r="L46" i="19"/>
  <c r="M46" i="19" s="1"/>
  <c r="L45" i="19"/>
  <c r="M45" i="19" s="1"/>
  <c r="L44" i="19"/>
  <c r="M44" i="19" s="1"/>
  <c r="O44" i="19" s="1"/>
  <c r="M43" i="19"/>
  <c r="P43" i="19" s="1"/>
  <c r="L43" i="19"/>
  <c r="L42" i="19"/>
  <c r="M42" i="19" s="1"/>
  <c r="P42" i="19" s="1"/>
  <c r="L41" i="19"/>
  <c r="M41" i="19" s="1"/>
  <c r="L40" i="19"/>
  <c r="M40" i="19" s="1"/>
  <c r="P40" i="19" s="1"/>
  <c r="M39" i="19"/>
  <c r="P39" i="19" s="1"/>
  <c r="L39" i="19"/>
  <c r="L38" i="19"/>
  <c r="M38" i="19" s="1"/>
  <c r="P38" i="19" s="1"/>
  <c r="L37" i="19"/>
  <c r="M37" i="19" s="1"/>
  <c r="L36" i="19"/>
  <c r="M36" i="19" s="1"/>
  <c r="P36" i="19" s="1"/>
  <c r="L35" i="19"/>
  <c r="M35" i="19" s="1"/>
  <c r="P35" i="19" s="1"/>
  <c r="L34" i="19"/>
  <c r="M34" i="19" s="1"/>
  <c r="O34" i="19" s="1"/>
  <c r="M33" i="19"/>
  <c r="O33" i="19" s="1"/>
  <c r="L33" i="19"/>
  <c r="L32" i="19"/>
  <c r="M32" i="19" s="1"/>
  <c r="P32" i="19" s="1"/>
  <c r="L31" i="19"/>
  <c r="M31" i="19" s="1"/>
  <c r="L30" i="19"/>
  <c r="M30" i="19" s="1"/>
  <c r="P30" i="19" s="1"/>
  <c r="M29" i="19"/>
  <c r="P29" i="19" s="1"/>
  <c r="L29" i="19"/>
  <c r="L28" i="19"/>
  <c r="M28" i="19" s="1"/>
  <c r="P28" i="19" s="1"/>
  <c r="L27" i="19"/>
  <c r="M27" i="19" s="1"/>
  <c r="P27" i="19" s="1"/>
  <c r="L26" i="19"/>
  <c r="M26" i="19" s="1"/>
  <c r="P26" i="19" s="1"/>
  <c r="L25" i="19"/>
  <c r="M25" i="19" s="1"/>
  <c r="L24" i="19"/>
  <c r="M24" i="19" s="1"/>
  <c r="P24" i="19" s="1"/>
  <c r="L23" i="19"/>
  <c r="M23" i="19" s="1"/>
  <c r="L22" i="19"/>
  <c r="M22" i="19" s="1"/>
  <c r="P22" i="19" s="1"/>
  <c r="L21" i="19"/>
  <c r="M21" i="19" s="1"/>
  <c r="L20" i="19"/>
  <c r="M20" i="19" s="1"/>
  <c r="P20" i="19" s="1"/>
  <c r="L19" i="19"/>
  <c r="M19" i="19" s="1"/>
  <c r="P19" i="19" s="1"/>
  <c r="L18" i="19"/>
  <c r="M18" i="19" s="1"/>
  <c r="P18" i="19" s="1"/>
  <c r="M17" i="19"/>
  <c r="O17" i="19" s="1"/>
  <c r="L17" i="19"/>
  <c r="L16" i="19"/>
  <c r="M16" i="19" s="1"/>
  <c r="P16" i="19" s="1"/>
  <c r="L15" i="19"/>
  <c r="M15" i="19" s="1"/>
  <c r="L14" i="19"/>
  <c r="M14" i="19" s="1"/>
  <c r="P14" i="19" s="1"/>
  <c r="L13" i="19"/>
  <c r="M13" i="19" s="1"/>
  <c r="L12" i="19"/>
  <c r="M12" i="19" s="1"/>
  <c r="P12" i="19" s="1"/>
  <c r="L11" i="19"/>
  <c r="M11" i="19" s="1"/>
  <c r="P11" i="19" s="1"/>
  <c r="L10" i="19"/>
  <c r="M10" i="19" s="1"/>
  <c r="O10" i="19" s="1"/>
  <c r="L9" i="19"/>
  <c r="M9" i="19" s="1"/>
  <c r="L8" i="19"/>
  <c r="M8" i="19" s="1"/>
  <c r="P8" i="19" s="1"/>
  <c r="L7" i="19"/>
  <c r="M7" i="19" s="1"/>
  <c r="L6" i="19"/>
  <c r="M6" i="19" s="1"/>
  <c r="P6" i="19" s="1"/>
  <c r="L5" i="19"/>
  <c r="M5" i="19" s="1"/>
  <c r="L4" i="19"/>
  <c r="M4" i="19" s="1"/>
  <c r="P4" i="19" s="1"/>
  <c r="L3" i="19"/>
  <c r="M3" i="19" s="1"/>
  <c r="P3" i="19" s="1"/>
  <c r="L2" i="19"/>
  <c r="M2" i="19" s="1"/>
  <c r="P2" i="19" s="1"/>
  <c r="P37" i="19" l="1"/>
  <c r="O37" i="19"/>
  <c r="P21" i="19"/>
  <c r="O21" i="19"/>
  <c r="O9" i="19"/>
  <c r="P9" i="19"/>
  <c r="P13" i="19"/>
  <c r="O13" i="19"/>
  <c r="O41" i="19"/>
  <c r="P41" i="19"/>
  <c r="P23" i="19"/>
  <c r="O23" i="19"/>
  <c r="O25" i="19"/>
  <c r="P25" i="19"/>
  <c r="P15" i="19"/>
  <c r="O15" i="19"/>
  <c r="P31" i="19"/>
  <c r="O31" i="19"/>
  <c r="P7" i="19"/>
  <c r="O7" i="19"/>
  <c r="P5" i="19"/>
  <c r="O5" i="19"/>
  <c r="P10" i="19"/>
  <c r="P34" i="19"/>
  <c r="O3" i="19"/>
  <c r="O11" i="19"/>
  <c r="O19" i="19"/>
  <c r="O27" i="19"/>
  <c r="O35" i="19"/>
  <c r="O43" i="19"/>
  <c r="O4" i="19"/>
  <c r="O12" i="19"/>
  <c r="O20" i="19"/>
  <c r="O28" i="19"/>
  <c r="O36" i="19"/>
  <c r="P44" i="19"/>
  <c r="O29" i="19"/>
  <c r="P33" i="19"/>
  <c r="P45" i="19"/>
  <c r="O6" i="19"/>
  <c r="O14" i="19"/>
  <c r="O22" i="19"/>
  <c r="O30" i="19"/>
  <c r="O38" i="19"/>
  <c r="P46" i="19"/>
  <c r="P47" i="19"/>
  <c r="O39" i="19"/>
  <c r="P48" i="19"/>
  <c r="O2" i="19"/>
  <c r="P49" i="19"/>
  <c r="O8" i="19"/>
  <c r="O16" i="19"/>
  <c r="O24" i="19"/>
  <c r="O32" i="19"/>
  <c r="O40" i="19"/>
  <c r="O50" i="19"/>
  <c r="P51" i="19"/>
  <c r="P50" i="19"/>
  <c r="O49" i="19"/>
  <c r="O48" i="19"/>
  <c r="O47" i="19"/>
  <c r="O46" i="19"/>
  <c r="O45" i="19"/>
  <c r="IC21" i="44" l="1"/>
  <c r="IC20" i="44"/>
  <c r="IC19" i="44"/>
  <c r="IC18" i="44"/>
  <c r="IC17" i="44"/>
  <c r="IC16" i="44"/>
  <c r="IC15" i="44"/>
  <c r="IC14" i="44"/>
  <c r="IC13" i="44"/>
  <c r="IC12" i="44"/>
  <c r="IC11" i="44"/>
  <c r="IC10" i="44"/>
  <c r="IC9" i="44"/>
  <c r="IC8" i="44"/>
  <c r="IC7" i="44"/>
  <c r="IC6" i="44"/>
  <c r="IC5" i="44"/>
  <c r="IC4" i="44"/>
  <c r="FN17" i="44"/>
  <c r="FN16" i="44"/>
  <c r="FN15" i="44"/>
  <c r="FN14" i="44"/>
  <c r="FN13" i="44"/>
  <c r="FN12" i="44"/>
  <c r="FN11" i="44"/>
  <c r="FN10" i="44"/>
  <c r="FN9" i="44"/>
  <c r="FN8" i="44"/>
  <c r="FN7" i="44"/>
  <c r="FN6" i="44"/>
  <c r="FN5" i="44"/>
  <c r="FN4" i="44"/>
  <c r="FN3" i="44"/>
  <c r="FN2" i="44"/>
  <c r="P3" i="44" l="1"/>
  <c r="V3" i="44"/>
  <c r="U3" i="44"/>
  <c r="T3" i="44"/>
  <c r="S3" i="44"/>
  <c r="R3" i="44"/>
  <c r="Q3" i="44"/>
  <c r="O3" i="44"/>
  <c r="N3" i="44"/>
  <c r="M3" i="44"/>
  <c r="L3" i="44"/>
  <c r="K3" i="44"/>
  <c r="J3" i="44"/>
  <c r="I3" i="44"/>
  <c r="H3" i="44"/>
  <c r="G3" i="44"/>
  <c r="CA1" i="51" l="1"/>
  <c r="BZ1" i="51"/>
  <c r="BS1" i="51"/>
  <c r="D1" i="18"/>
  <c r="B1" i="18"/>
  <c r="N2" i="18"/>
  <c r="B2" i="18"/>
  <c r="BE14" i="51"/>
  <c r="BD14" i="51"/>
  <c r="K6" i="18" l="1"/>
  <c r="J6" i="18"/>
  <c r="L8" i="18"/>
  <c r="BN43" i="51" l="1"/>
  <c r="AA88" i="51"/>
  <c r="Z88" i="51"/>
  <c r="Y88" i="51"/>
  <c r="W88" i="51"/>
  <c r="AA43" i="51"/>
  <c r="Z43" i="51"/>
  <c r="Y43" i="51"/>
  <c r="W43" i="51"/>
  <c r="V43" i="51"/>
  <c r="B38" i="18"/>
  <c r="C38" i="18"/>
  <c r="AA73" i="51"/>
  <c r="Z73" i="51"/>
  <c r="Y73" i="51"/>
  <c r="CB34" i="51"/>
  <c r="CB112" i="51"/>
  <c r="CB76" i="51"/>
  <c r="CB111" i="51"/>
  <c r="CB80" i="51"/>
  <c r="CB3" i="51"/>
  <c r="CB86" i="51"/>
  <c r="CB17" i="51"/>
  <c r="CB85" i="51"/>
  <c r="CB48" i="51"/>
  <c r="CB21" i="51"/>
  <c r="CB25" i="51"/>
  <c r="CB16" i="51"/>
  <c r="CB47" i="51"/>
  <c r="CB23" i="51"/>
  <c r="CB27" i="51"/>
  <c r="CB96" i="51"/>
  <c r="CB99" i="51"/>
  <c r="CB102" i="51"/>
  <c r="CB42" i="51"/>
  <c r="CB70" i="51"/>
  <c r="CB82" i="51"/>
  <c r="CB113" i="51"/>
  <c r="CB79" i="51"/>
  <c r="CB92" i="51"/>
  <c r="CB94" i="51"/>
  <c r="CB69" i="51"/>
  <c r="CB98" i="51"/>
  <c r="CB75" i="51"/>
  <c r="CB51" i="51"/>
  <c r="CB6" i="51"/>
  <c r="CB10" i="51"/>
  <c r="CB106" i="51"/>
  <c r="CB44" i="51"/>
  <c r="CB28" i="51"/>
  <c r="CB54" i="51"/>
  <c r="CB84" i="51"/>
  <c r="CB63" i="51"/>
  <c r="CB103" i="51"/>
  <c r="CB11" i="51"/>
  <c r="CB105" i="51"/>
  <c r="CB29" i="51"/>
  <c r="CB78" i="51"/>
  <c r="CB55" i="51"/>
  <c r="CB20" i="51"/>
  <c r="CB64" i="51"/>
  <c r="CB12" i="51"/>
  <c r="CB93" i="51"/>
  <c r="CB8" i="51"/>
  <c r="CB35" i="51"/>
  <c r="CB77" i="51"/>
  <c r="CB36" i="51"/>
  <c r="CB56" i="51"/>
  <c r="CB53" i="51"/>
  <c r="CB91" i="51"/>
  <c r="CB66" i="51"/>
  <c r="CB40" i="51"/>
  <c r="CB95" i="51"/>
  <c r="CB83" i="51"/>
  <c r="CB58" i="51"/>
  <c r="CB60" i="51"/>
  <c r="CB7" i="51"/>
  <c r="CB65" i="51"/>
  <c r="CB31" i="51"/>
  <c r="CB61" i="51"/>
  <c r="CB71" i="51"/>
  <c r="CB74" i="51"/>
  <c r="CB4" i="51"/>
  <c r="CB37" i="51"/>
  <c r="CB97" i="51"/>
  <c r="CB67" i="51"/>
  <c r="CB38" i="51"/>
  <c r="CB32" i="51"/>
  <c r="CB52" i="51"/>
  <c r="CB50" i="51"/>
  <c r="CB101" i="51"/>
  <c r="CB100" i="51"/>
  <c r="CB87" i="51"/>
  <c r="CB109" i="51"/>
  <c r="CB104" i="51"/>
  <c r="CB68" i="51"/>
  <c r="CB39" i="51"/>
  <c r="CB15" i="51"/>
  <c r="CB89" i="51"/>
  <c r="CB49" i="51"/>
  <c r="CB72" i="51"/>
  <c r="CB19" i="51"/>
  <c r="CB24" i="51"/>
  <c r="CB46" i="51"/>
  <c r="CB30" i="51"/>
  <c r="CB41" i="51"/>
  <c r="CB22" i="51"/>
  <c r="CB110" i="51"/>
  <c r="CB107" i="51"/>
  <c r="CB90" i="51"/>
  <c r="CB62" i="51"/>
  <c r="CB13" i="51"/>
  <c r="CB9" i="51"/>
  <c r="CB2" i="51"/>
  <c r="CB18" i="51"/>
  <c r="CB5" i="51"/>
  <c r="CB26" i="51"/>
  <c r="CB33" i="51"/>
  <c r="CB59" i="51"/>
  <c r="CB81" i="51"/>
  <c r="CB45" i="51"/>
  <c r="CB57" i="51"/>
  <c r="CB108" i="51"/>
  <c r="CB88" i="51"/>
  <c r="CB43" i="51"/>
  <c r="CB73" i="51"/>
  <c r="CB14" i="51"/>
  <c r="BN88" i="51"/>
  <c r="BN73" i="51"/>
  <c r="AA14" i="51"/>
  <c r="Z14" i="51"/>
  <c r="Y14" i="51"/>
  <c r="X14" i="51"/>
  <c r="W14" i="51"/>
  <c r="V14" i="51"/>
  <c r="BN14" i="51" l="1"/>
  <c r="AA26" i="51"/>
  <c r="Z26" i="51"/>
  <c r="Y26" i="51"/>
  <c r="W26" i="51"/>
  <c r="AA57" i="51"/>
  <c r="Z57" i="51"/>
  <c r="Y57" i="51"/>
  <c r="W57" i="51"/>
  <c r="V57" i="51"/>
  <c r="BN26" i="51"/>
  <c r="AA5" i="51"/>
  <c r="Z5" i="51"/>
  <c r="Y5" i="51"/>
  <c r="W5" i="51"/>
  <c r="BN57" i="51"/>
  <c r="AA108" i="51"/>
  <c r="Z108" i="51"/>
  <c r="Y108" i="51"/>
  <c r="W108" i="51"/>
  <c r="V108" i="51"/>
  <c r="BN5" i="51" l="1"/>
  <c r="AA59" i="51"/>
  <c r="Z59" i="51"/>
  <c r="Y59" i="51"/>
  <c r="W59" i="51"/>
  <c r="Z45" i="51"/>
  <c r="AA45" i="51"/>
  <c r="Y45" i="51"/>
  <c r="AA81" i="51" l="1"/>
  <c r="Z81" i="51"/>
  <c r="Y81" i="51"/>
  <c r="BN108" i="51"/>
  <c r="AA33" i="51"/>
  <c r="Z33" i="51"/>
  <c r="Y33" i="51"/>
  <c r="L32" i="52" l="1"/>
  <c r="L31" i="52"/>
  <c r="L30" i="52"/>
  <c r="BN45" i="51" l="1"/>
  <c r="BN59" i="51"/>
  <c r="B14" i="18"/>
  <c r="T14" i="18"/>
  <c r="G13" i="52" l="1"/>
  <c r="G12" i="52"/>
  <c r="AA18" i="51"/>
  <c r="Z18" i="51"/>
  <c r="Y18" i="51"/>
  <c r="X18" i="51"/>
  <c r="W18" i="51"/>
  <c r="V18" i="51"/>
  <c r="BN18" i="51"/>
  <c r="AA2" i="51"/>
  <c r="Z2" i="51"/>
  <c r="Y2" i="51"/>
  <c r="W2" i="51"/>
  <c r="V2" i="51"/>
  <c r="BN33" i="51"/>
  <c r="T27" i="18" l="1"/>
  <c r="BN2" i="51"/>
  <c r="BN81" i="51"/>
  <c r="G50" i="52" l="1"/>
  <c r="G49" i="52"/>
  <c r="L47" i="52"/>
  <c r="L46" i="52"/>
  <c r="G44" i="52"/>
  <c r="G43" i="52"/>
  <c r="L40" i="52"/>
  <c r="L39" i="52"/>
  <c r="G40" i="52"/>
  <c r="G39" i="52"/>
  <c r="G37" i="52"/>
  <c r="G36" i="52"/>
  <c r="G35" i="52"/>
  <c r="G34" i="52"/>
  <c r="L29" i="52"/>
  <c r="G32" i="52"/>
  <c r="G31" i="52"/>
  <c r="G30" i="52"/>
  <c r="G29" i="52"/>
  <c r="G27" i="52"/>
  <c r="G26" i="52"/>
  <c r="G25" i="52"/>
  <c r="G24" i="52"/>
  <c r="G23" i="52"/>
  <c r="G22" i="52"/>
  <c r="G21" i="52"/>
  <c r="G20" i="52"/>
  <c r="L18" i="52"/>
  <c r="L17" i="52"/>
  <c r="L16" i="52"/>
  <c r="L15" i="52"/>
  <c r="L14" i="52"/>
  <c r="L13" i="52"/>
  <c r="L12" i="52"/>
  <c r="L11" i="52"/>
  <c r="L9" i="52"/>
  <c r="L8" i="52"/>
  <c r="L7" i="52"/>
  <c r="L6" i="52"/>
  <c r="L5" i="52"/>
  <c r="L4" i="52"/>
  <c r="L3" i="52"/>
  <c r="L2" i="52"/>
  <c r="G11" i="52"/>
  <c r="G10" i="52"/>
  <c r="G9" i="52"/>
  <c r="G8" i="52"/>
  <c r="G7" i="52"/>
  <c r="G6" i="52"/>
  <c r="G5" i="52"/>
  <c r="G4" i="52"/>
  <c r="G3" i="52"/>
  <c r="G2" i="52"/>
  <c r="CD191" i="30" l="1"/>
  <c r="T89" i="51" l="1"/>
  <c r="S89" i="51"/>
  <c r="R89" i="51"/>
  <c r="Q89" i="51"/>
  <c r="P89" i="51"/>
  <c r="O89" i="51"/>
  <c r="T88" i="51"/>
  <c r="S88" i="51"/>
  <c r="R88" i="51"/>
  <c r="P88" i="51"/>
  <c r="O88" i="51"/>
  <c r="T22" i="51"/>
  <c r="S22" i="51"/>
  <c r="R22" i="51"/>
  <c r="P22" i="51"/>
  <c r="O22" i="51"/>
  <c r="T26" i="51"/>
  <c r="S26" i="51"/>
  <c r="R26" i="51"/>
  <c r="P26" i="51"/>
  <c r="O26" i="51"/>
  <c r="T110" i="51"/>
  <c r="S110" i="51"/>
  <c r="R110" i="51"/>
  <c r="Q110" i="51"/>
  <c r="P110" i="51"/>
  <c r="O110" i="51"/>
  <c r="T108" i="51"/>
  <c r="S108" i="51"/>
  <c r="R108" i="51"/>
  <c r="Q108" i="51"/>
  <c r="P108" i="51"/>
  <c r="O108" i="51"/>
  <c r="T81" i="51"/>
  <c r="S81" i="51"/>
  <c r="R81" i="51"/>
  <c r="P81" i="51"/>
  <c r="T73" i="51"/>
  <c r="S73" i="51"/>
  <c r="R73" i="51"/>
  <c r="P73" i="51"/>
  <c r="T5" i="51" l="1"/>
  <c r="S5" i="51"/>
  <c r="R5" i="51"/>
  <c r="P5" i="51"/>
  <c r="T14" i="51"/>
  <c r="S14" i="51"/>
  <c r="R14" i="51"/>
  <c r="Q14" i="51"/>
  <c r="P14" i="51"/>
  <c r="O14" i="51"/>
  <c r="T57" i="51"/>
  <c r="S57" i="51"/>
  <c r="R57" i="51"/>
  <c r="T59" i="51"/>
  <c r="S59" i="51"/>
  <c r="R59" i="51"/>
  <c r="Q59" i="51"/>
  <c r="P59" i="51"/>
  <c r="O59" i="51"/>
  <c r="T45" i="51"/>
  <c r="S45" i="51"/>
  <c r="R45" i="51"/>
  <c r="P45" i="51"/>
  <c r="T43" i="51"/>
  <c r="S43" i="51"/>
  <c r="R43" i="51"/>
  <c r="Q43" i="51"/>
  <c r="P43" i="51"/>
  <c r="O43" i="51"/>
  <c r="AA49" i="51"/>
  <c r="Z49" i="51"/>
  <c r="Y49" i="51"/>
  <c r="AA72" i="51" l="1"/>
  <c r="Z72" i="51"/>
  <c r="Y72" i="51"/>
  <c r="W72" i="51"/>
  <c r="AA62" i="51" l="1"/>
  <c r="Z62" i="51"/>
  <c r="Y62" i="51"/>
  <c r="AA40" i="51"/>
  <c r="Z40" i="51"/>
  <c r="Y40" i="51"/>
  <c r="AA24" i="51"/>
  <c r="Z24" i="51"/>
  <c r="Y24" i="51"/>
  <c r="AA31" i="51"/>
  <c r="Z31" i="51"/>
  <c r="Y31" i="51"/>
  <c r="AA90" i="51"/>
  <c r="Z90" i="51"/>
  <c r="Y90" i="51"/>
  <c r="V90" i="51"/>
  <c r="AA50" i="51"/>
  <c r="Z50" i="51"/>
  <c r="Y50" i="51"/>
  <c r="V50" i="51"/>
  <c r="AI34" i="51" l="1"/>
  <c r="AE34" i="51"/>
  <c r="AC34" i="51"/>
  <c r="AI112" i="51"/>
  <c r="AE112" i="51"/>
  <c r="AD112" i="51"/>
  <c r="AI111" i="51"/>
  <c r="AE111" i="51"/>
  <c r="AD111" i="51"/>
  <c r="AC111" i="51"/>
  <c r="AI76" i="51"/>
  <c r="AC76" i="51"/>
  <c r="AI80" i="51"/>
  <c r="AE80" i="51"/>
  <c r="AI3" i="51"/>
  <c r="AE3" i="51"/>
  <c r="AC3" i="51"/>
  <c r="AI86" i="51"/>
  <c r="AC86" i="51"/>
  <c r="AI85" i="51"/>
  <c r="AE85" i="51"/>
  <c r="AD85" i="51"/>
  <c r="AI25" i="51"/>
  <c r="AE25" i="51"/>
  <c r="AD25" i="51"/>
  <c r="AI21" i="51"/>
  <c r="AE21" i="51"/>
  <c r="AC21" i="51"/>
  <c r="AI17" i="51"/>
  <c r="AE17" i="51"/>
  <c r="AI48" i="51"/>
  <c r="AE48" i="51"/>
  <c r="AC48" i="51"/>
  <c r="AI16" i="51"/>
  <c r="AE16" i="51"/>
  <c r="AD16" i="51"/>
  <c r="AI47" i="51"/>
  <c r="AE47" i="51"/>
  <c r="AD47" i="51"/>
  <c r="AC47" i="51"/>
  <c r="AI23" i="51"/>
  <c r="AE23" i="51"/>
  <c r="AD23" i="51"/>
  <c r="AC23" i="51"/>
  <c r="AI27" i="51"/>
  <c r="AE27" i="51"/>
  <c r="AD27" i="51"/>
  <c r="AC27" i="51"/>
  <c r="AI96" i="51"/>
  <c r="AE96" i="51"/>
  <c r="AC96" i="51"/>
  <c r="AI42" i="51"/>
  <c r="AE42" i="51"/>
  <c r="AC42" i="51"/>
  <c r="AI99" i="51"/>
  <c r="AE99" i="51"/>
  <c r="AI102" i="51"/>
  <c r="AE102" i="51"/>
  <c r="AD102" i="51"/>
  <c r="AC102" i="51"/>
  <c r="AI113" i="51"/>
  <c r="AE113" i="51"/>
  <c r="AI92" i="51"/>
  <c r="AE92" i="51"/>
  <c r="AD92" i="51"/>
  <c r="AC92" i="51"/>
  <c r="AI82" i="51"/>
  <c r="AI70" i="51"/>
  <c r="AE70" i="51"/>
  <c r="AD70" i="51"/>
  <c r="AC70" i="51"/>
  <c r="AI79" i="51"/>
  <c r="AE79" i="51"/>
  <c r="AI94" i="51"/>
  <c r="AI69" i="51"/>
  <c r="AE69" i="51"/>
  <c r="AD69" i="51"/>
  <c r="AC69" i="51"/>
  <c r="AI51" i="51"/>
  <c r="AE51" i="51"/>
  <c r="AD51" i="51"/>
  <c r="AC51" i="51"/>
  <c r="AI98" i="51"/>
  <c r="AE98" i="51"/>
  <c r="AD98" i="51"/>
  <c r="AC98" i="51"/>
  <c r="AI75" i="51"/>
  <c r="AE75" i="51"/>
  <c r="AD75" i="51"/>
  <c r="AC75" i="51"/>
  <c r="AI10" i="51"/>
  <c r="AE10" i="51"/>
  <c r="AI44" i="51"/>
  <c r="AE44" i="51"/>
  <c r="AD44" i="51"/>
  <c r="AC44" i="51"/>
  <c r="AI54" i="51"/>
  <c r="AE54" i="51"/>
  <c r="AI28" i="51"/>
  <c r="AE28" i="51"/>
  <c r="AD28" i="51"/>
  <c r="AC28" i="51"/>
  <c r="AI106" i="51"/>
  <c r="AE106" i="51"/>
  <c r="AD106" i="51"/>
  <c r="AC106" i="51"/>
  <c r="AI6" i="51"/>
  <c r="AE6" i="51"/>
  <c r="AI84" i="51"/>
  <c r="AE84" i="51"/>
  <c r="AC84" i="51"/>
  <c r="AI63" i="51"/>
  <c r="AE63" i="51"/>
  <c r="AD63" i="51"/>
  <c r="AC63" i="51"/>
  <c r="AI103" i="51"/>
  <c r="AE103" i="51"/>
  <c r="AI11" i="51"/>
  <c r="AE11" i="51"/>
  <c r="AD11" i="51"/>
  <c r="AC11" i="51"/>
  <c r="AI105" i="51"/>
  <c r="AE105" i="51"/>
  <c r="AI29" i="51"/>
  <c r="AE29" i="51"/>
  <c r="AD29" i="51"/>
  <c r="AC29" i="51"/>
  <c r="AI78" i="51"/>
  <c r="AI55" i="51"/>
  <c r="AE55" i="51"/>
  <c r="AC55" i="51"/>
  <c r="AI64" i="51"/>
  <c r="AE64" i="51"/>
  <c r="AC64" i="51"/>
  <c r="AI12" i="51"/>
  <c r="AI20" i="51"/>
  <c r="AE20" i="51"/>
  <c r="AI93" i="51"/>
  <c r="AE93" i="51"/>
  <c r="AD93" i="51"/>
  <c r="AI8" i="51"/>
  <c r="AE8" i="51"/>
  <c r="AI56" i="51"/>
  <c r="AI35" i="51"/>
  <c r="AE35" i="51"/>
  <c r="AD35" i="51"/>
  <c r="AI77" i="51"/>
  <c r="AE77" i="51"/>
  <c r="AD77" i="51"/>
  <c r="AC77" i="51"/>
  <c r="AI36" i="51"/>
  <c r="AE36" i="51"/>
  <c r="AC36" i="51"/>
  <c r="AI53" i="51"/>
  <c r="AI91" i="51"/>
  <c r="AE91" i="51"/>
  <c r="AC91" i="51"/>
  <c r="AI66" i="51"/>
  <c r="AE66" i="51"/>
  <c r="AD66" i="51"/>
  <c r="AC66" i="51"/>
  <c r="AI95" i="51"/>
  <c r="AI58" i="51"/>
  <c r="AE58" i="51"/>
  <c r="AC58" i="51"/>
  <c r="AI40" i="51"/>
  <c r="AE40" i="51"/>
  <c r="AC40" i="51"/>
  <c r="AI83" i="51"/>
  <c r="AE83" i="51"/>
  <c r="AI7" i="51"/>
  <c r="AE7" i="51"/>
  <c r="AD7" i="51"/>
  <c r="AC7" i="51"/>
  <c r="AI60" i="51"/>
  <c r="AI31" i="51"/>
  <c r="AE31" i="51"/>
  <c r="AC31" i="51"/>
  <c r="AI65" i="51"/>
  <c r="AE65" i="51"/>
  <c r="AD65" i="51"/>
  <c r="AC65" i="51"/>
  <c r="AI61" i="51"/>
  <c r="AE61" i="51"/>
  <c r="AC61" i="51"/>
  <c r="AI71" i="51"/>
  <c r="AE71" i="51"/>
  <c r="AD71" i="51"/>
  <c r="AC71" i="51"/>
  <c r="AI74" i="51"/>
  <c r="AE74" i="51"/>
  <c r="AI4" i="51"/>
  <c r="AE4" i="51"/>
  <c r="AI37" i="51"/>
  <c r="AE37" i="51"/>
  <c r="AC37" i="51"/>
  <c r="AI67" i="51"/>
  <c r="AE67" i="51"/>
  <c r="AI97" i="51"/>
  <c r="AE97" i="51"/>
  <c r="AD97" i="51"/>
  <c r="AI38" i="51"/>
  <c r="AE38" i="51"/>
  <c r="AD38" i="51"/>
  <c r="AC38" i="51"/>
  <c r="AI52" i="51"/>
  <c r="AE52" i="51"/>
  <c r="AC52" i="51"/>
  <c r="AI32" i="51"/>
  <c r="AI50" i="51"/>
  <c r="AI101" i="51"/>
  <c r="AI87" i="51"/>
  <c r="AD87" i="51"/>
  <c r="AC87" i="51"/>
  <c r="AI109" i="51"/>
  <c r="AE109" i="51"/>
  <c r="AI100" i="51"/>
  <c r="AE100" i="51"/>
  <c r="AD100" i="51"/>
  <c r="AI104" i="51"/>
  <c r="AE104" i="51"/>
  <c r="AI39" i="51"/>
  <c r="AE39" i="51"/>
  <c r="AD39" i="51"/>
  <c r="AC39" i="51"/>
  <c r="AI68" i="51"/>
  <c r="AE68" i="51"/>
  <c r="AI49" i="51"/>
  <c r="AH49" i="51"/>
  <c r="AE49" i="51"/>
  <c r="AD49" i="51"/>
  <c r="AC49" i="51"/>
  <c r="AI15" i="51"/>
  <c r="AE15" i="51"/>
  <c r="AI89" i="51"/>
  <c r="AE89" i="51"/>
  <c r="AD89" i="51"/>
  <c r="AC89" i="51"/>
  <c r="AI72" i="51"/>
  <c r="AI19" i="51"/>
  <c r="AD19" i="51"/>
  <c r="AC19" i="51"/>
  <c r="AI30" i="51"/>
  <c r="AE30" i="51"/>
  <c r="AD30" i="51"/>
  <c r="AC30" i="51"/>
  <c r="AI41" i="51"/>
  <c r="AE41" i="51"/>
  <c r="AI46" i="51"/>
  <c r="AE46" i="51"/>
  <c r="AI24" i="51"/>
  <c r="AE24" i="51"/>
  <c r="AI22" i="51"/>
  <c r="AC22" i="51"/>
  <c r="AI107" i="51"/>
  <c r="AE107" i="51"/>
  <c r="AI9" i="51"/>
  <c r="AE9" i="51"/>
  <c r="AD9" i="51"/>
  <c r="AC9" i="51"/>
  <c r="AI90" i="51"/>
  <c r="AE90" i="51"/>
  <c r="AI13" i="51"/>
  <c r="AE13" i="51"/>
  <c r="AI62" i="51"/>
  <c r="AE62" i="51"/>
  <c r="AD62" i="51"/>
  <c r="AC62" i="51"/>
  <c r="AI110" i="51"/>
  <c r="AE110" i="51"/>
  <c r="AD110" i="51"/>
  <c r="AI2" i="51"/>
  <c r="AE2" i="51"/>
  <c r="AC2" i="51"/>
  <c r="AI18" i="51"/>
  <c r="AE18" i="51"/>
  <c r="AD18" i="51"/>
  <c r="AI26" i="51"/>
  <c r="AH26" i="51"/>
  <c r="AG26" i="51"/>
  <c r="AF26" i="51"/>
  <c r="AE26" i="51"/>
  <c r="AD26" i="51"/>
  <c r="AC26" i="51"/>
  <c r="AI33" i="51"/>
  <c r="AE33" i="51"/>
  <c r="AD33" i="51"/>
  <c r="AI59" i="51"/>
  <c r="AH59" i="51"/>
  <c r="AG59" i="51"/>
  <c r="AF59" i="51"/>
  <c r="AE59" i="51"/>
  <c r="AD59" i="51"/>
  <c r="AC59" i="51"/>
  <c r="AI5" i="51"/>
  <c r="AH5" i="51"/>
  <c r="AG5" i="51"/>
  <c r="AF5" i="51"/>
  <c r="AE5" i="51"/>
  <c r="AD5" i="51"/>
  <c r="AC5" i="51"/>
  <c r="AI57" i="51"/>
  <c r="AH57" i="51"/>
  <c r="AG57" i="51"/>
  <c r="AF57" i="51"/>
  <c r="AE57" i="51"/>
  <c r="AD57" i="51"/>
  <c r="AC57" i="51"/>
  <c r="AI45" i="51"/>
  <c r="AH45" i="51"/>
  <c r="AG45" i="51"/>
  <c r="AF45" i="51"/>
  <c r="AE45" i="51"/>
  <c r="AD45" i="51"/>
  <c r="AC45" i="51"/>
  <c r="AI81" i="51"/>
  <c r="AH81" i="51"/>
  <c r="AG81" i="51"/>
  <c r="AF81" i="51"/>
  <c r="AE81" i="51"/>
  <c r="AD81" i="51"/>
  <c r="AC81" i="51"/>
  <c r="AI108" i="51"/>
  <c r="AH108" i="51"/>
  <c r="AG108" i="51"/>
  <c r="AF108" i="51"/>
  <c r="AE108" i="51"/>
  <c r="AD108" i="51"/>
  <c r="AC108" i="51"/>
  <c r="AI43" i="51"/>
  <c r="AH43" i="51"/>
  <c r="AG43" i="51"/>
  <c r="AF43" i="51"/>
  <c r="AE43" i="51"/>
  <c r="AD43" i="51"/>
  <c r="AC43" i="51"/>
  <c r="AI88" i="51"/>
  <c r="AH88" i="51"/>
  <c r="AG88" i="51"/>
  <c r="AF88" i="51"/>
  <c r="AE88" i="51"/>
  <c r="AD88" i="51"/>
  <c r="AC88" i="51"/>
  <c r="AI73" i="51"/>
  <c r="AH73" i="51"/>
  <c r="AG73" i="51"/>
  <c r="AF73" i="51"/>
  <c r="AE73" i="51"/>
  <c r="AD73" i="51"/>
  <c r="AC73" i="51"/>
  <c r="AI14" i="51"/>
  <c r="AH14" i="51"/>
  <c r="AG14" i="51"/>
  <c r="AF14" i="51"/>
  <c r="AN14" i="51" s="1"/>
  <c r="AE14" i="51"/>
  <c r="AD14" i="51"/>
  <c r="AC14" i="51"/>
  <c r="BD73" i="51"/>
  <c r="BD88" i="51"/>
  <c r="BD43" i="51"/>
  <c r="BD108" i="51"/>
  <c r="BD81" i="51"/>
  <c r="BD45" i="51"/>
  <c r="BD57" i="51"/>
  <c r="BD5" i="51"/>
  <c r="BD59" i="51"/>
  <c r="BD33" i="51"/>
  <c r="BD26" i="51"/>
  <c r="BD18" i="51"/>
  <c r="BD2" i="51"/>
  <c r="BD110" i="51"/>
  <c r="BD62" i="51"/>
  <c r="BD13" i="51"/>
  <c r="BD90" i="51"/>
  <c r="BD9" i="51"/>
  <c r="BD107" i="51"/>
  <c r="BD22" i="51"/>
  <c r="BD24" i="51"/>
  <c r="BD46" i="51"/>
  <c r="BD41" i="51"/>
  <c r="BD30" i="51"/>
  <c r="BD19" i="51"/>
  <c r="BD72" i="51"/>
  <c r="BD89" i="51"/>
  <c r="BD15" i="51"/>
  <c r="BD49" i="51"/>
  <c r="BD68" i="51"/>
  <c r="BD39" i="51"/>
  <c r="BD104" i="51"/>
  <c r="BD100" i="51"/>
  <c r="BD109" i="51"/>
  <c r="BD87" i="51"/>
  <c r="BD101" i="51"/>
  <c r="BD50" i="51"/>
  <c r="BD32" i="51"/>
  <c r="BD52" i="51"/>
  <c r="BD38" i="51"/>
  <c r="BD97" i="51"/>
  <c r="BD67" i="51"/>
  <c r="BD37" i="51"/>
  <c r="BD4" i="51"/>
  <c r="BD74" i="51"/>
  <c r="BD71" i="51"/>
  <c r="BD61" i="51"/>
  <c r="BD65" i="51"/>
  <c r="BD31" i="51"/>
  <c r="BD60" i="51"/>
  <c r="BD7" i="51"/>
  <c r="BD83" i="51"/>
  <c r="BD40" i="51"/>
  <c r="BD58" i="51"/>
  <c r="BD95" i="51"/>
  <c r="BD66" i="51"/>
  <c r="BD91" i="51"/>
  <c r="BD53" i="51"/>
  <c r="BD36" i="51"/>
  <c r="BD77" i="51"/>
  <c r="BD35" i="51"/>
  <c r="BD56" i="51"/>
  <c r="BD8" i="51"/>
  <c r="BD93" i="51"/>
  <c r="BD20" i="51"/>
  <c r="BD12" i="51"/>
  <c r="BD64" i="51"/>
  <c r="BD55" i="51"/>
  <c r="BD78" i="51"/>
  <c r="BD29" i="51"/>
  <c r="BD105" i="51"/>
  <c r="BD11" i="51"/>
  <c r="BD103" i="51"/>
  <c r="BD63" i="51"/>
  <c r="BD84" i="51"/>
  <c r="BD6" i="51"/>
  <c r="BD106" i="51"/>
  <c r="BD28" i="51"/>
  <c r="BD54" i="51"/>
  <c r="BD44" i="51"/>
  <c r="BD10" i="51"/>
  <c r="BD75" i="51"/>
  <c r="BD98" i="51"/>
  <c r="BD51" i="51"/>
  <c r="BD69" i="51"/>
  <c r="BD94" i="51"/>
  <c r="BD79" i="51"/>
  <c r="BD70" i="51"/>
  <c r="BD82" i="51"/>
  <c r="BD92" i="51"/>
  <c r="BD113" i="51"/>
  <c r="BD102" i="51"/>
  <c r="BD99" i="51"/>
  <c r="BD42" i="51"/>
  <c r="BD96" i="51"/>
  <c r="BD27" i="51"/>
  <c r="BD23" i="51"/>
  <c r="BD47" i="51"/>
  <c r="BD16" i="51"/>
  <c r="BD48" i="51"/>
  <c r="BD17" i="51"/>
  <c r="BD21" i="51"/>
  <c r="BD25" i="51"/>
  <c r="BD85" i="51"/>
  <c r="BD86" i="51"/>
  <c r="BD3" i="51"/>
  <c r="BD80" i="51"/>
  <c r="BD76" i="51"/>
  <c r="BD111" i="51"/>
  <c r="BD112" i="51"/>
  <c r="BD34" i="51"/>
  <c r="T2" i="51"/>
  <c r="AH2" i="51" s="1"/>
  <c r="S2" i="51"/>
  <c r="AG2" i="51" s="1"/>
  <c r="R2" i="51"/>
  <c r="AF2" i="51" s="1"/>
  <c r="P2" i="51"/>
  <c r="AD2" i="51" s="1"/>
  <c r="T15" i="51"/>
  <c r="S15" i="51"/>
  <c r="R15" i="51"/>
  <c r="P15" i="51"/>
  <c r="T72" i="51"/>
  <c r="AH72" i="51" s="1"/>
  <c r="S72" i="51"/>
  <c r="AG72" i="51" s="1"/>
  <c r="R72" i="51"/>
  <c r="AF72" i="51" s="1"/>
  <c r="Q72" i="51"/>
  <c r="AE72" i="51" s="1"/>
  <c r="P72" i="51"/>
  <c r="AD72" i="51" s="1"/>
  <c r="O72" i="51"/>
  <c r="AC72" i="51" s="1"/>
  <c r="T49" i="51"/>
  <c r="S49" i="51"/>
  <c r="AG49" i="51" s="1"/>
  <c r="R49" i="51"/>
  <c r="AF49" i="51" s="1"/>
  <c r="T46" i="51"/>
  <c r="S46" i="51"/>
  <c r="R46" i="51"/>
  <c r="O46" i="51"/>
  <c r="T101" i="51"/>
  <c r="S101" i="51"/>
  <c r="R101" i="51"/>
  <c r="O101" i="51"/>
  <c r="T100" i="51"/>
  <c r="S100" i="51"/>
  <c r="R100" i="51"/>
  <c r="O100" i="51"/>
  <c r="AC100" i="51" s="1"/>
  <c r="T32" i="51"/>
  <c r="S32" i="51"/>
  <c r="R32" i="51"/>
  <c r="P32" i="51"/>
  <c r="AD32" i="51" s="1"/>
  <c r="T30" i="51"/>
  <c r="S30" i="51"/>
  <c r="R30" i="51"/>
  <c r="T107" i="51"/>
  <c r="S107" i="51"/>
  <c r="R107" i="51"/>
  <c r="P107" i="51"/>
  <c r="AD107" i="51" s="1"/>
  <c r="O107" i="51"/>
  <c r="T109" i="51"/>
  <c r="S109" i="51"/>
  <c r="R109" i="51"/>
  <c r="P109" i="51"/>
  <c r="O109" i="51"/>
  <c r="T38" i="51"/>
  <c r="S38" i="51"/>
  <c r="R38" i="51"/>
  <c r="T41" i="51"/>
  <c r="S41" i="51"/>
  <c r="R41" i="51"/>
  <c r="T60" i="51"/>
  <c r="S60" i="51"/>
  <c r="R60" i="51"/>
  <c r="P60" i="51"/>
  <c r="T31" i="51"/>
  <c r="AH31" i="51" s="1"/>
  <c r="S31" i="51"/>
  <c r="AG31" i="51" s="1"/>
  <c r="R31" i="51"/>
  <c r="AF31" i="51" s="1"/>
  <c r="P31" i="51"/>
  <c r="AD31" i="51" s="1"/>
  <c r="T33" i="51"/>
  <c r="AH33" i="51" s="1"/>
  <c r="S33" i="51"/>
  <c r="AG33" i="51" s="1"/>
  <c r="R33" i="51"/>
  <c r="AF33" i="51" s="1"/>
  <c r="O33" i="51"/>
  <c r="AC33" i="51" s="1"/>
  <c r="T40" i="51"/>
  <c r="AH40" i="51" s="1"/>
  <c r="S40" i="51"/>
  <c r="AG40" i="51" s="1"/>
  <c r="R40" i="51"/>
  <c r="AF40" i="51" s="1"/>
  <c r="P40" i="51"/>
  <c r="AD40" i="51" s="1"/>
  <c r="T39" i="51"/>
  <c r="S39" i="51"/>
  <c r="R39" i="51"/>
  <c r="T95" i="51"/>
  <c r="S95" i="51"/>
  <c r="R95" i="51"/>
  <c r="P95" i="51"/>
  <c r="T97" i="51"/>
  <c r="S97" i="51"/>
  <c r="R97" i="51"/>
  <c r="T66" i="51"/>
  <c r="S66" i="51"/>
  <c r="R66" i="51"/>
  <c r="T67" i="51"/>
  <c r="S67" i="51"/>
  <c r="R67" i="51"/>
  <c r="T91" i="51"/>
  <c r="S91" i="51"/>
  <c r="R91" i="51"/>
  <c r="T90" i="51"/>
  <c r="AH90" i="51" s="1"/>
  <c r="S90" i="51"/>
  <c r="AG90" i="51" s="1"/>
  <c r="R90" i="51"/>
  <c r="AF90" i="51" s="1"/>
  <c r="P90" i="51"/>
  <c r="AD90" i="51" s="1"/>
  <c r="O90" i="51"/>
  <c r="AC90" i="51" s="1"/>
  <c r="T36" i="51"/>
  <c r="S36" i="51"/>
  <c r="R36" i="51"/>
  <c r="P36" i="51"/>
  <c r="AD36" i="51" s="1"/>
  <c r="T37" i="51"/>
  <c r="S37" i="51"/>
  <c r="R37" i="51"/>
  <c r="T6" i="51"/>
  <c r="S6" i="51"/>
  <c r="R6" i="51"/>
  <c r="T9" i="51"/>
  <c r="S9" i="51"/>
  <c r="R9" i="51"/>
  <c r="T106" i="51"/>
  <c r="S106" i="51"/>
  <c r="R106" i="51"/>
  <c r="T69" i="51"/>
  <c r="S69" i="51"/>
  <c r="R69" i="51"/>
  <c r="T68" i="51"/>
  <c r="S68" i="51"/>
  <c r="R68" i="51"/>
  <c r="O68" i="51"/>
  <c r="AC68" i="51" s="1"/>
  <c r="T44" i="51"/>
  <c r="S44" i="51"/>
  <c r="R44" i="51"/>
  <c r="T10" i="51" l="1"/>
  <c r="S10" i="51"/>
  <c r="R10" i="51"/>
  <c r="P10" i="51"/>
  <c r="AD10" i="51" s="1"/>
  <c r="O10" i="51"/>
  <c r="AC10" i="51" s="1"/>
  <c r="T13" i="51"/>
  <c r="S13" i="51"/>
  <c r="R13" i="51"/>
  <c r="P13" i="51"/>
  <c r="O13" i="51"/>
  <c r="AC13" i="51" s="1"/>
  <c r="T78" i="51"/>
  <c r="S78" i="51"/>
  <c r="R78" i="51"/>
  <c r="T51" i="51"/>
  <c r="S51" i="51"/>
  <c r="R51" i="51"/>
  <c r="T52" i="51"/>
  <c r="S52" i="51"/>
  <c r="R52" i="51"/>
  <c r="P52" i="51"/>
  <c r="AD52" i="51" s="1"/>
  <c r="T113" i="51"/>
  <c r="S113" i="51"/>
  <c r="R113" i="51"/>
  <c r="P113" i="51"/>
  <c r="AD113" i="51" s="1"/>
  <c r="O113" i="51"/>
  <c r="AC113" i="51" s="1"/>
  <c r="T82" i="51" l="1"/>
  <c r="S82" i="51"/>
  <c r="R82" i="51"/>
  <c r="T84" i="51"/>
  <c r="S84" i="51"/>
  <c r="R84" i="51"/>
  <c r="T102" i="51"/>
  <c r="S102" i="51"/>
  <c r="R102" i="51"/>
  <c r="T103" i="51"/>
  <c r="S103" i="51"/>
  <c r="R103" i="51"/>
  <c r="P103" i="51"/>
  <c r="AD103" i="51" s="1"/>
  <c r="O103" i="51"/>
  <c r="AC103" i="51" s="1"/>
  <c r="T23" i="51"/>
  <c r="S23" i="51"/>
  <c r="R23" i="51"/>
  <c r="T42" i="51"/>
  <c r="S42" i="51"/>
  <c r="R42" i="51"/>
  <c r="P42" i="51"/>
  <c r="AD42" i="51" s="1"/>
  <c r="T20" i="51"/>
  <c r="S20" i="51"/>
  <c r="R20" i="51"/>
  <c r="T19" i="51"/>
  <c r="S19" i="51"/>
  <c r="R19" i="51"/>
  <c r="Q19" i="51"/>
  <c r="AE19" i="51" s="1"/>
  <c r="T70" i="51"/>
  <c r="S70" i="51"/>
  <c r="R70" i="51"/>
  <c r="T71" i="51"/>
  <c r="S71" i="51"/>
  <c r="R71" i="51"/>
  <c r="T77" i="51"/>
  <c r="S77" i="51"/>
  <c r="R77" i="51"/>
  <c r="T75" i="51"/>
  <c r="S75" i="51"/>
  <c r="R75" i="51"/>
  <c r="T62" i="51"/>
  <c r="AH62" i="51" s="1"/>
  <c r="S62" i="51"/>
  <c r="AG62" i="51" s="1"/>
  <c r="R62" i="51"/>
  <c r="AF62" i="51" s="1"/>
  <c r="T65" i="51"/>
  <c r="S65" i="51"/>
  <c r="R65" i="51"/>
  <c r="T56" i="51"/>
  <c r="S56" i="51"/>
  <c r="R56" i="51"/>
  <c r="Q56" i="51"/>
  <c r="AE56" i="51" s="1"/>
  <c r="P56" i="51"/>
  <c r="AD56" i="51" s="1"/>
  <c r="O56" i="51"/>
  <c r="AC56" i="51" s="1"/>
  <c r="T61" i="51"/>
  <c r="S61" i="51"/>
  <c r="R61" i="51"/>
  <c r="P61" i="51"/>
  <c r="T58" i="51"/>
  <c r="S58" i="51"/>
  <c r="R58" i="51"/>
  <c r="P58" i="51"/>
  <c r="AD58" i="51" s="1"/>
  <c r="T8" i="51"/>
  <c r="S8" i="51"/>
  <c r="R8" i="51"/>
  <c r="P8" i="51"/>
  <c r="O8" i="51"/>
  <c r="T7" i="51"/>
  <c r="S7" i="51"/>
  <c r="R7" i="51"/>
  <c r="T12" i="51"/>
  <c r="S12" i="51"/>
  <c r="R12" i="51"/>
  <c r="T11" i="51"/>
  <c r="S11" i="51"/>
  <c r="R11" i="51"/>
  <c r="T29" i="51"/>
  <c r="S29" i="51"/>
  <c r="R29" i="51"/>
  <c r="T64" i="51"/>
  <c r="S64" i="51"/>
  <c r="R64" i="51"/>
  <c r="P64" i="51"/>
  <c r="AD64" i="51" s="1"/>
  <c r="T63" i="51"/>
  <c r="S63" i="51"/>
  <c r="R63" i="51"/>
  <c r="T55" i="51"/>
  <c r="S55" i="51"/>
  <c r="R55" i="51"/>
  <c r="P55" i="51"/>
  <c r="AD55" i="51" s="1"/>
  <c r="T54" i="51"/>
  <c r="S54" i="51"/>
  <c r="R54" i="51"/>
  <c r="P54" i="51"/>
  <c r="AD54" i="51" s="1"/>
  <c r="O54" i="51"/>
  <c r="AC54" i="51" s="1"/>
  <c r="T50" i="51"/>
  <c r="AH50" i="51" s="1"/>
  <c r="S50" i="51"/>
  <c r="AG50" i="51" s="1"/>
  <c r="R50" i="51"/>
  <c r="AF50" i="51" s="1"/>
  <c r="Q50" i="51"/>
  <c r="AE50" i="51" s="1"/>
  <c r="P50" i="51"/>
  <c r="AD50" i="51" s="1"/>
  <c r="O50" i="51"/>
  <c r="AC50" i="51" s="1"/>
  <c r="T53" i="51"/>
  <c r="S53" i="51"/>
  <c r="R53" i="51"/>
  <c r="Q53" i="51"/>
  <c r="AE53" i="51" s="1"/>
  <c r="P53" i="51"/>
  <c r="AD53" i="51" s="1"/>
  <c r="O53" i="51"/>
  <c r="AC53" i="51" s="1"/>
  <c r="CD186" i="30" l="1"/>
  <c r="T105" i="51"/>
  <c r="S105" i="51"/>
  <c r="R105" i="51"/>
  <c r="P105" i="51"/>
  <c r="O105" i="51"/>
  <c r="AC105" i="51" s="1"/>
  <c r="T104" i="51"/>
  <c r="S104" i="51"/>
  <c r="R104" i="51"/>
  <c r="P104" i="51"/>
  <c r="AD104" i="51" s="1"/>
  <c r="O104" i="51"/>
  <c r="AC104" i="51" s="1"/>
  <c r="T92" i="51"/>
  <c r="S92" i="51"/>
  <c r="R92" i="51"/>
  <c r="T93" i="51"/>
  <c r="S93" i="51"/>
  <c r="R93" i="51"/>
  <c r="O93" i="51"/>
  <c r="AC93" i="51" s="1"/>
  <c r="T21" i="51"/>
  <c r="S21" i="51"/>
  <c r="R21" i="51"/>
  <c r="P21" i="51"/>
  <c r="AD21" i="51" s="1"/>
  <c r="T18" i="51"/>
  <c r="AH18" i="51" s="1"/>
  <c r="S18" i="51"/>
  <c r="AG18" i="51" s="1"/>
  <c r="R18" i="51"/>
  <c r="AF18" i="51" s="1"/>
  <c r="O18" i="51"/>
  <c r="AC18" i="51" s="1"/>
  <c r="T96" i="51"/>
  <c r="S96" i="51"/>
  <c r="R96" i="51"/>
  <c r="P96" i="51"/>
  <c r="AD96" i="51" s="1"/>
  <c r="T94" i="51"/>
  <c r="S94" i="51"/>
  <c r="R94" i="51"/>
  <c r="Q94" i="51"/>
  <c r="AE94" i="51" s="1"/>
  <c r="P94" i="51"/>
  <c r="AD94" i="51" s="1"/>
  <c r="O94" i="51"/>
  <c r="AC94" i="51" s="1"/>
  <c r="T25" i="51"/>
  <c r="S25" i="51"/>
  <c r="R25" i="51"/>
  <c r="O25" i="51"/>
  <c r="AC25" i="51" s="1"/>
  <c r="T24" i="51"/>
  <c r="AH24" i="51" s="1"/>
  <c r="S24" i="51"/>
  <c r="AG24" i="51" s="1"/>
  <c r="R24" i="51"/>
  <c r="AF24" i="51" s="1"/>
  <c r="P24" i="51"/>
  <c r="AD24" i="51" s="1"/>
  <c r="O24" i="51"/>
  <c r="AC24" i="51" s="1"/>
  <c r="T85" i="51"/>
  <c r="S85" i="51"/>
  <c r="R85" i="51"/>
  <c r="O85" i="51"/>
  <c r="AC85" i="51" s="1"/>
  <c r="T83" i="51"/>
  <c r="S83" i="51"/>
  <c r="R83" i="51"/>
  <c r="P83" i="51"/>
  <c r="AD83" i="51" s="1"/>
  <c r="O83" i="51"/>
  <c r="AC83" i="51" s="1"/>
  <c r="T28" i="51"/>
  <c r="S28" i="51"/>
  <c r="R28" i="51"/>
  <c r="T27" i="51"/>
  <c r="S27" i="51"/>
  <c r="R27" i="51"/>
  <c r="T86" i="51"/>
  <c r="S86" i="51"/>
  <c r="R86" i="51"/>
  <c r="P86" i="51"/>
  <c r="T87" i="51"/>
  <c r="S87" i="51"/>
  <c r="R87" i="51"/>
  <c r="Q87" i="51"/>
  <c r="AE87" i="51" s="1"/>
  <c r="T3" i="51"/>
  <c r="S3" i="51"/>
  <c r="R3" i="51"/>
  <c r="P3" i="51"/>
  <c r="AD3" i="51" s="1"/>
  <c r="T4" i="51"/>
  <c r="S4" i="51"/>
  <c r="R4" i="51"/>
  <c r="P4" i="51"/>
  <c r="O4" i="51"/>
  <c r="T98" i="51"/>
  <c r="S98" i="51"/>
  <c r="R98" i="51"/>
  <c r="T99" i="51"/>
  <c r="S99" i="51"/>
  <c r="R99" i="51"/>
  <c r="T48" i="51" l="1"/>
  <c r="S48" i="51"/>
  <c r="R48" i="51"/>
  <c r="P48" i="51"/>
  <c r="AD48" i="51" s="1"/>
  <c r="T47" i="51"/>
  <c r="S47" i="51"/>
  <c r="R47" i="51"/>
  <c r="T16" i="51"/>
  <c r="S16" i="51"/>
  <c r="R16" i="51"/>
  <c r="O16" i="51"/>
  <c r="AC16" i="51" s="1"/>
  <c r="T17" i="51"/>
  <c r="S17" i="51"/>
  <c r="R17" i="51"/>
  <c r="P17" i="51"/>
  <c r="O17" i="51"/>
  <c r="AC17" i="51" s="1"/>
  <c r="T76" i="51"/>
  <c r="S76" i="51"/>
  <c r="R76" i="51"/>
  <c r="Q76" i="51"/>
  <c r="AE76" i="51" s="1"/>
  <c r="P76" i="51"/>
  <c r="AD76" i="51" s="1"/>
  <c r="T74" i="51"/>
  <c r="S74" i="51"/>
  <c r="R74" i="51"/>
  <c r="P74" i="51"/>
  <c r="AD74" i="51" s="1"/>
  <c r="O74" i="51"/>
  <c r="AC74" i="51" s="1"/>
  <c r="T79" i="51"/>
  <c r="S79" i="51"/>
  <c r="R79" i="51"/>
  <c r="P79" i="51"/>
  <c r="AD79" i="51" s="1"/>
  <c r="O79" i="51"/>
  <c r="AC79" i="51" s="1"/>
  <c r="T80" i="51"/>
  <c r="S80" i="51"/>
  <c r="R80" i="51"/>
  <c r="P80" i="51"/>
  <c r="O80" i="51"/>
  <c r="T112" i="51"/>
  <c r="S112" i="51"/>
  <c r="R112" i="51"/>
  <c r="O112" i="51"/>
  <c r="AC112" i="51" s="1"/>
  <c r="T111" i="51"/>
  <c r="S111" i="51"/>
  <c r="R111" i="51"/>
  <c r="T34" i="51"/>
  <c r="S34" i="51"/>
  <c r="R34" i="51"/>
  <c r="P34" i="51"/>
  <c r="AD34" i="51" s="1"/>
  <c r="T35" i="51"/>
  <c r="S35" i="51"/>
  <c r="R35" i="51"/>
  <c r="O35" i="51"/>
  <c r="AC35" i="51" s="1"/>
  <c r="BY34" i="51" l="1"/>
  <c r="BZ34" i="51" s="1"/>
  <c r="BY111" i="51"/>
  <c r="BZ111" i="51" s="1"/>
  <c r="BY80" i="51"/>
  <c r="BZ80" i="51" s="1"/>
  <c r="BY112" i="51"/>
  <c r="BZ112" i="51" s="1"/>
  <c r="BY76" i="51"/>
  <c r="BZ76" i="51" s="1"/>
  <c r="BY17" i="51"/>
  <c r="BZ17" i="51" s="1"/>
  <c r="BY47" i="51"/>
  <c r="BZ47" i="51" s="1"/>
  <c r="BY99" i="51"/>
  <c r="BZ99" i="51" s="1"/>
  <c r="BY3" i="51"/>
  <c r="BZ3" i="51" s="1"/>
  <c r="BY86" i="51"/>
  <c r="BZ86" i="51" s="1"/>
  <c r="BY27" i="51"/>
  <c r="BZ27" i="51" s="1"/>
  <c r="BY85" i="51"/>
  <c r="BZ85" i="51" s="1"/>
  <c r="BY25" i="51"/>
  <c r="BZ25" i="51" s="1"/>
  <c r="BY48" i="51"/>
  <c r="BZ48" i="51" s="1"/>
  <c r="BY16" i="51"/>
  <c r="BZ16" i="51" s="1"/>
  <c r="BY94" i="51"/>
  <c r="BZ94" i="51" s="1"/>
  <c r="BY21" i="51"/>
  <c r="BZ21" i="51" s="1"/>
  <c r="BY42" i="51"/>
  <c r="BZ42" i="51" s="1"/>
  <c r="BY75" i="51"/>
  <c r="BZ75" i="51" s="1"/>
  <c r="BY23" i="51"/>
  <c r="BZ23" i="51" s="1"/>
  <c r="BY54" i="51"/>
  <c r="BZ54" i="51" s="1"/>
  <c r="BY96" i="51"/>
  <c r="BZ96" i="51" s="1"/>
  <c r="BY102" i="51"/>
  <c r="BZ102" i="51" s="1"/>
  <c r="BY63" i="51"/>
  <c r="BZ63" i="51" s="1"/>
  <c r="BY84" i="51"/>
  <c r="BZ84" i="51" s="1"/>
  <c r="BY79" i="51"/>
  <c r="BZ79" i="51" s="1"/>
  <c r="BY82" i="51"/>
  <c r="BZ82" i="51" s="1"/>
  <c r="BY92" i="51"/>
  <c r="BZ92" i="51" s="1"/>
  <c r="BY113" i="51"/>
  <c r="BZ113" i="51" s="1"/>
  <c r="BY103" i="51"/>
  <c r="BZ103" i="51" s="1"/>
  <c r="BY51" i="51"/>
  <c r="BZ51" i="51" s="1"/>
  <c r="BY70" i="51"/>
  <c r="BZ70" i="51" s="1"/>
  <c r="BY11" i="51"/>
  <c r="BZ11" i="51" s="1"/>
  <c r="BY78" i="51"/>
  <c r="BZ78" i="51" s="1"/>
  <c r="BY35" i="51"/>
  <c r="BZ35" i="51" s="1"/>
  <c r="BY10" i="51"/>
  <c r="BZ10" i="51" s="1"/>
  <c r="BY28" i="51"/>
  <c r="BZ28" i="51" s="1"/>
  <c r="BY98" i="51"/>
  <c r="BZ98" i="51" s="1"/>
  <c r="BY44" i="51"/>
  <c r="BZ44" i="51" s="1"/>
  <c r="BY69" i="51"/>
  <c r="BZ69" i="51" s="1"/>
  <c r="BY106" i="51"/>
  <c r="BZ106" i="51" s="1"/>
  <c r="BY6" i="51"/>
  <c r="BZ6" i="51" s="1"/>
  <c r="BY93" i="51"/>
  <c r="BZ93" i="51" s="1"/>
  <c r="BY105" i="51"/>
  <c r="BZ105" i="51" s="1"/>
  <c r="BY53" i="51"/>
  <c r="BZ53" i="51" s="1"/>
  <c r="BY55" i="51"/>
  <c r="BZ55" i="51" s="1"/>
  <c r="BY64" i="51"/>
  <c r="BZ64" i="51" s="1"/>
  <c r="BY29" i="51"/>
  <c r="BZ29" i="51" s="1"/>
  <c r="BY12" i="51"/>
  <c r="BZ12" i="51" s="1"/>
  <c r="BY8" i="51"/>
  <c r="BZ8" i="51" s="1"/>
  <c r="BY58" i="51"/>
  <c r="BZ58" i="51" s="1"/>
  <c r="BY56" i="51"/>
  <c r="BZ56" i="51" s="1"/>
  <c r="BY65" i="51"/>
  <c r="BZ65" i="51" s="1"/>
  <c r="BY83" i="51"/>
  <c r="BZ83" i="51" s="1"/>
  <c r="BY77" i="51"/>
  <c r="BZ77" i="51" s="1"/>
  <c r="BY71" i="51"/>
  <c r="BZ71" i="51" s="1"/>
  <c r="BY7" i="51"/>
  <c r="BZ7" i="51" s="1"/>
  <c r="BY20" i="51"/>
  <c r="BZ20" i="51" s="1"/>
  <c r="BY36" i="51"/>
  <c r="BZ36" i="51" s="1"/>
  <c r="BY4" i="51"/>
  <c r="BZ4" i="51" s="1"/>
  <c r="BY91" i="51"/>
  <c r="BZ91" i="51" s="1"/>
  <c r="BY37" i="51"/>
  <c r="BZ37" i="51" s="1"/>
  <c r="BY74" i="51"/>
  <c r="BZ74" i="51" s="1"/>
  <c r="BY66" i="51"/>
  <c r="BZ66" i="51" s="1"/>
  <c r="BY95" i="51"/>
  <c r="BZ95" i="51" s="1"/>
  <c r="BY40" i="51"/>
  <c r="BZ40" i="51" s="1"/>
  <c r="BY67" i="51"/>
  <c r="BZ67" i="51" s="1"/>
  <c r="BY97" i="51"/>
  <c r="BZ97" i="51" s="1"/>
  <c r="BY60" i="51"/>
  <c r="BZ60" i="51" s="1"/>
  <c r="BY52" i="51"/>
  <c r="BZ52" i="51" s="1"/>
  <c r="BY31" i="51"/>
  <c r="BZ31" i="51" s="1"/>
  <c r="BY61" i="51"/>
  <c r="BZ61" i="51" s="1"/>
  <c r="BY87" i="51"/>
  <c r="BZ87" i="51" s="1"/>
  <c r="BY68" i="51"/>
  <c r="BZ68" i="51" s="1"/>
  <c r="BY38" i="51"/>
  <c r="BZ38" i="51" s="1"/>
  <c r="BY19" i="51"/>
  <c r="BZ19" i="51" s="1"/>
  <c r="BY50" i="51"/>
  <c r="BZ50" i="51" s="1"/>
  <c r="BY109" i="51"/>
  <c r="BZ109" i="51" s="1"/>
  <c r="BY32" i="51"/>
  <c r="BZ32" i="51" s="1"/>
  <c r="BY100" i="51"/>
  <c r="BZ100" i="51" s="1"/>
  <c r="BY39" i="51"/>
  <c r="BZ39" i="51" s="1"/>
  <c r="BY104" i="51"/>
  <c r="BZ104" i="51" s="1"/>
  <c r="BY101" i="51"/>
  <c r="BZ101" i="51" s="1"/>
  <c r="BY89" i="51"/>
  <c r="BZ89" i="51" s="1"/>
  <c r="BY46" i="51"/>
  <c r="BZ46" i="51" s="1"/>
  <c r="BY30" i="51"/>
  <c r="BZ30" i="51" s="1"/>
  <c r="BY41" i="51"/>
  <c r="BZ41" i="51" s="1"/>
  <c r="BY24" i="51"/>
  <c r="BZ24" i="51" s="1"/>
  <c r="BY22" i="51"/>
  <c r="BZ22" i="51" s="1"/>
  <c r="BY9" i="51"/>
  <c r="BZ9" i="51" s="1"/>
  <c r="BY49" i="51"/>
  <c r="BZ49" i="51" s="1"/>
  <c r="BY72" i="51"/>
  <c r="BZ72" i="51" s="1"/>
  <c r="BY90" i="51"/>
  <c r="BZ90" i="51" s="1"/>
  <c r="BY15" i="51"/>
  <c r="BZ15" i="51" s="1"/>
  <c r="BY13" i="51"/>
  <c r="BZ13" i="51" s="1"/>
  <c r="BY18" i="51"/>
  <c r="BZ18" i="51" s="1"/>
  <c r="BY26" i="51"/>
  <c r="BZ26" i="51" s="1"/>
  <c r="BY110" i="51"/>
  <c r="BZ110" i="51" s="1"/>
  <c r="BY107" i="51"/>
  <c r="BZ107" i="51" s="1"/>
  <c r="BY33" i="51"/>
  <c r="BZ33" i="51" s="1"/>
  <c r="BY62" i="51"/>
  <c r="BZ62" i="51" s="1"/>
  <c r="BY59" i="51"/>
  <c r="BZ59" i="51" s="1"/>
  <c r="BY5" i="51"/>
  <c r="BZ5" i="51" s="1"/>
  <c r="BY2" i="51"/>
  <c r="BZ2" i="51" s="1"/>
  <c r="BY57" i="51"/>
  <c r="BZ57" i="51" s="1"/>
  <c r="BY45" i="51"/>
  <c r="BZ45" i="51" s="1"/>
  <c r="BY108" i="51"/>
  <c r="BZ108" i="51" s="1"/>
  <c r="BY43" i="51"/>
  <c r="BZ43" i="51" s="1"/>
  <c r="BY81" i="51"/>
  <c r="BZ81" i="51" s="1"/>
  <c r="BY73" i="51"/>
  <c r="BZ73" i="51" s="1"/>
  <c r="BY88" i="51"/>
  <c r="BZ88" i="51" s="1"/>
  <c r="BY14" i="51"/>
  <c r="BZ14" i="51" s="1"/>
  <c r="AA97" i="51"/>
  <c r="AH97" i="51" s="1"/>
  <c r="Z97" i="51"/>
  <c r="AG97" i="51" s="1"/>
  <c r="Y97" i="51"/>
  <c r="AF97" i="51" s="1"/>
  <c r="V97" i="51"/>
  <c r="AC97" i="51" s="1"/>
  <c r="AA110" i="51"/>
  <c r="AH110" i="51" s="1"/>
  <c r="Z110" i="51"/>
  <c r="AG110" i="51" s="1"/>
  <c r="Y110" i="51"/>
  <c r="AF110" i="51" s="1"/>
  <c r="V110" i="51"/>
  <c r="AC110" i="51" s="1"/>
  <c r="AA74" i="51"/>
  <c r="AH74" i="51" s="1"/>
  <c r="Z74" i="51"/>
  <c r="AG74" i="51" s="1"/>
  <c r="Y74" i="51"/>
  <c r="AF74" i="51" s="1"/>
  <c r="AA105" i="51"/>
  <c r="AH105" i="51" s="1"/>
  <c r="Z105" i="51"/>
  <c r="AG105" i="51" s="1"/>
  <c r="Y105" i="51"/>
  <c r="AF105" i="51" s="1"/>
  <c r="W105" i="51"/>
  <c r="AD105" i="51" s="1"/>
  <c r="AA91" i="51"/>
  <c r="AH91" i="51" s="1"/>
  <c r="Z91" i="51"/>
  <c r="AG91" i="51" s="1"/>
  <c r="Y91" i="51"/>
  <c r="AF91" i="51" s="1"/>
  <c r="W91" i="51"/>
  <c r="AD91" i="51" s="1"/>
  <c r="AA22" i="51"/>
  <c r="AH22" i="51" s="1"/>
  <c r="Z22" i="51"/>
  <c r="AG22" i="51" s="1"/>
  <c r="Y22" i="51"/>
  <c r="AF22" i="51" s="1"/>
  <c r="X22" i="51"/>
  <c r="AE22" i="51" s="1"/>
  <c r="W22" i="51"/>
  <c r="AD22" i="51" s="1"/>
  <c r="AA37" i="51"/>
  <c r="AH37" i="51" s="1"/>
  <c r="Z37" i="51"/>
  <c r="AG37" i="51" s="1"/>
  <c r="Y37" i="51"/>
  <c r="AF37" i="51" s="1"/>
  <c r="W37" i="51"/>
  <c r="AD37" i="51" s="1"/>
  <c r="AC20" i="49" l="1"/>
  <c r="AA104" i="51" l="1"/>
  <c r="AH104" i="51" s="1"/>
  <c r="Z104" i="51"/>
  <c r="AG104" i="51" s="1"/>
  <c r="Y104" i="51"/>
  <c r="AF104" i="51" s="1"/>
  <c r="AA61" i="51"/>
  <c r="AH61" i="51" s="1"/>
  <c r="Z61" i="51"/>
  <c r="AG61" i="51" s="1"/>
  <c r="Y61" i="51"/>
  <c r="AF61" i="51" s="1"/>
  <c r="W61" i="51"/>
  <c r="AD61" i="51" s="1"/>
  <c r="AA15" i="51"/>
  <c r="AH15" i="51" s="1"/>
  <c r="Z15" i="51"/>
  <c r="AG15" i="51" s="1"/>
  <c r="Y15" i="51"/>
  <c r="AF15" i="51" s="1"/>
  <c r="W15" i="51"/>
  <c r="AD15" i="51" s="1"/>
  <c r="V15" i="51"/>
  <c r="AC15" i="51" s="1"/>
  <c r="AA13" i="51"/>
  <c r="AH13" i="51" s="1"/>
  <c r="Z13" i="51"/>
  <c r="AG13" i="51" s="1"/>
  <c r="Y13" i="51"/>
  <c r="AF13" i="51" s="1"/>
  <c r="W13" i="51"/>
  <c r="AD13" i="51" s="1"/>
  <c r="AA17" i="51"/>
  <c r="AH17" i="51" s="1"/>
  <c r="Z17" i="51"/>
  <c r="AG17" i="51" s="1"/>
  <c r="Y17" i="51"/>
  <c r="AF17" i="51" s="1"/>
  <c r="W17" i="51"/>
  <c r="AD17" i="51" s="1"/>
  <c r="CE191" i="30" l="1"/>
  <c r="F20" i="18" l="1"/>
  <c r="F19" i="18"/>
  <c r="F18" i="18"/>
  <c r="F17" i="18"/>
  <c r="F16" i="18"/>
  <c r="Q38" i="18"/>
  <c r="AL84" i="30" l="1"/>
  <c r="BX73" i="51" l="1"/>
  <c r="BX14" i="51"/>
  <c r="BX88" i="51"/>
  <c r="BX43" i="51"/>
  <c r="BX81" i="51"/>
  <c r="BX59" i="51"/>
  <c r="BX108" i="51"/>
  <c r="BX57" i="51"/>
  <c r="BX45" i="51"/>
  <c r="BX62" i="51"/>
  <c r="BX5" i="51"/>
  <c r="BX18" i="51"/>
  <c r="BX13" i="51"/>
  <c r="BX90" i="51"/>
  <c r="BX33" i="51"/>
  <c r="BX107" i="51"/>
  <c r="BX110" i="51"/>
  <c r="BX22" i="51"/>
  <c r="BX24" i="51"/>
  <c r="BX15" i="51"/>
  <c r="BX26" i="51"/>
  <c r="BX49" i="51"/>
  <c r="BX9" i="51"/>
  <c r="BX46" i="51"/>
  <c r="BX41" i="51"/>
  <c r="BX39" i="51"/>
  <c r="BX30" i="51"/>
  <c r="BX72" i="51"/>
  <c r="BX87" i="51"/>
  <c r="BX19" i="51"/>
  <c r="BX38" i="51"/>
  <c r="BX101" i="51"/>
  <c r="BX104" i="51"/>
  <c r="BX109" i="51"/>
  <c r="BX60" i="51"/>
  <c r="BX68" i="51"/>
  <c r="BX89" i="51"/>
  <c r="BX32" i="51"/>
  <c r="BX100" i="51"/>
  <c r="BX50" i="51"/>
  <c r="BX91" i="51"/>
  <c r="BX4" i="51"/>
  <c r="BX61" i="51"/>
  <c r="BX37" i="51"/>
  <c r="BX77" i="51"/>
  <c r="BX7" i="51"/>
  <c r="BX65" i="51"/>
  <c r="BX20" i="51"/>
  <c r="BX83" i="51"/>
  <c r="BX40" i="51"/>
  <c r="BX31" i="51"/>
  <c r="BX67" i="51"/>
  <c r="BX52" i="51"/>
  <c r="BX97" i="51"/>
  <c r="BX8" i="51"/>
  <c r="BX95" i="51"/>
  <c r="BX74" i="51"/>
  <c r="BX66" i="51"/>
  <c r="BX55" i="51"/>
  <c r="BX64" i="51"/>
  <c r="BX53" i="51"/>
  <c r="BX105" i="51"/>
  <c r="BX36" i="51"/>
  <c r="BX71" i="51"/>
  <c r="BX58" i="51"/>
  <c r="BX56" i="51"/>
  <c r="BX12" i="51"/>
  <c r="BX29" i="51"/>
  <c r="BX106" i="51"/>
  <c r="BX69" i="51"/>
  <c r="BX11" i="51"/>
  <c r="BX35" i="51"/>
  <c r="BX98" i="51"/>
  <c r="BX78" i="51"/>
  <c r="BX113" i="51"/>
  <c r="BX10" i="51"/>
  <c r="BX103" i="51"/>
  <c r="BX70" i="51"/>
  <c r="BX93" i="51"/>
  <c r="BX79" i="51"/>
  <c r="BX96" i="51"/>
  <c r="BX102" i="51"/>
  <c r="BX6" i="51"/>
  <c r="BX44" i="51"/>
  <c r="BX23" i="51"/>
  <c r="BX54" i="51"/>
  <c r="BX28" i="51"/>
  <c r="BX42" i="51"/>
  <c r="BX21" i="51"/>
  <c r="BX94" i="51"/>
  <c r="BX75" i="51"/>
  <c r="BX25" i="51"/>
  <c r="BX82" i="51"/>
  <c r="BX86" i="51"/>
  <c r="BX16" i="51"/>
  <c r="BX85" i="51"/>
  <c r="BX51" i="51"/>
  <c r="BX63" i="51"/>
  <c r="BX84" i="51"/>
  <c r="BX92" i="51"/>
  <c r="BX47" i="51"/>
  <c r="BX17" i="51"/>
  <c r="BX48" i="51"/>
  <c r="BX76" i="51"/>
  <c r="BX27" i="51"/>
  <c r="BX112" i="51"/>
  <c r="BX3" i="51"/>
  <c r="BX99" i="51"/>
  <c r="BX111" i="51"/>
  <c r="BX80" i="51"/>
  <c r="BX34" i="51"/>
  <c r="AA107" i="51"/>
  <c r="AH107" i="51" s="1"/>
  <c r="Z107" i="51"/>
  <c r="AG107" i="51" s="1"/>
  <c r="Y107" i="51"/>
  <c r="AF107" i="51" s="1"/>
  <c r="V107" i="51"/>
  <c r="AC107" i="51" s="1"/>
  <c r="AA46" i="51"/>
  <c r="AH46" i="51" s="1"/>
  <c r="Z46" i="51"/>
  <c r="AG46" i="51" s="1"/>
  <c r="Y46" i="51"/>
  <c r="AF46" i="51" s="1"/>
  <c r="W46" i="51"/>
  <c r="AD46" i="51" s="1"/>
  <c r="V46" i="51"/>
  <c r="AC46" i="51" s="1"/>
  <c r="FD199" i="30" l="1"/>
  <c r="FD198" i="30"/>
  <c r="FD197" i="30"/>
  <c r="FD196" i="30"/>
  <c r="FD195" i="30"/>
  <c r="FD194" i="30"/>
  <c r="FD193" i="30"/>
  <c r="FD192" i="30"/>
  <c r="FD191" i="30"/>
  <c r="FD190" i="30"/>
  <c r="FD189" i="30"/>
  <c r="FD188" i="30"/>
  <c r="FD187" i="30"/>
  <c r="FD185" i="30"/>
  <c r="FD186" i="30"/>
  <c r="FD184" i="30"/>
  <c r="FD183" i="30"/>
  <c r="FD182" i="30"/>
  <c r="FD181" i="30"/>
  <c r="FD180" i="30"/>
  <c r="FD179" i="30"/>
  <c r="FD178" i="30"/>
  <c r="FD177" i="30"/>
  <c r="FD176" i="30"/>
  <c r="FD175" i="30"/>
  <c r="FD174" i="30"/>
  <c r="EL183" i="30"/>
  <c r="EL182" i="30"/>
  <c r="EL181" i="30"/>
  <c r="EL179" i="30"/>
  <c r="EL178" i="30"/>
  <c r="EL177" i="30"/>
  <c r="FD172" i="30" l="1"/>
  <c r="AA4" i="51"/>
  <c r="AH4" i="51" s="1"/>
  <c r="Z4" i="51"/>
  <c r="AG4" i="51" s="1"/>
  <c r="Y4" i="51"/>
  <c r="AF4" i="51" s="1"/>
  <c r="W4" i="51"/>
  <c r="AD4" i="51" s="1"/>
  <c r="V4" i="51"/>
  <c r="AC4" i="51" s="1"/>
  <c r="AA65" i="51"/>
  <c r="AH65" i="51" s="1"/>
  <c r="Z65" i="51"/>
  <c r="AG65" i="51" s="1"/>
  <c r="Y65" i="51"/>
  <c r="AF65" i="51" s="1"/>
  <c r="AA68" i="51"/>
  <c r="AH68" i="51" s="1"/>
  <c r="Z68" i="51"/>
  <c r="AG68" i="51" s="1"/>
  <c r="Y68" i="51"/>
  <c r="AF68" i="51" s="1"/>
  <c r="W68" i="51"/>
  <c r="AD68" i="51" s="1"/>
  <c r="AA30" i="51" l="1"/>
  <c r="AH30" i="51" s="1"/>
  <c r="Z30" i="51"/>
  <c r="AG30" i="51" s="1"/>
  <c r="Y30" i="51"/>
  <c r="AF30" i="51" s="1"/>
  <c r="AA109" i="51"/>
  <c r="AH109" i="51" s="1"/>
  <c r="Z109" i="51"/>
  <c r="AG109" i="51" s="1"/>
  <c r="Y109" i="51"/>
  <c r="AF109" i="51" s="1"/>
  <c r="W109" i="51"/>
  <c r="AD109" i="51" s="1"/>
  <c r="V109" i="51"/>
  <c r="AC109" i="51" s="1"/>
  <c r="AA84" i="51"/>
  <c r="AH84" i="51" s="1"/>
  <c r="Z84" i="51"/>
  <c r="AG84" i="51" s="1"/>
  <c r="Y84" i="51"/>
  <c r="AF84" i="51" s="1"/>
  <c r="W84" i="51"/>
  <c r="AD84" i="51" s="1"/>
  <c r="EP148" i="30" l="1"/>
  <c r="EP169" i="30"/>
  <c r="EP168" i="30"/>
  <c r="EP167" i="30"/>
  <c r="EP166" i="30"/>
  <c r="EP165" i="30"/>
  <c r="EP164" i="30"/>
  <c r="EP163" i="30"/>
  <c r="EP162" i="30"/>
  <c r="EP161" i="30"/>
  <c r="EP160" i="30"/>
  <c r="EP159" i="30"/>
  <c r="EP158" i="30"/>
  <c r="EP157" i="30"/>
  <c r="EP156" i="30"/>
  <c r="EP155" i="30"/>
  <c r="EP154" i="30"/>
  <c r="EP153" i="30"/>
  <c r="EP152" i="30"/>
  <c r="EP151" i="30"/>
  <c r="EP150" i="30"/>
  <c r="EP149" i="30"/>
  <c r="DP157" i="30" l="1"/>
  <c r="U17" i="49" l="1"/>
  <c r="U18" i="49"/>
  <c r="AA86" i="51"/>
  <c r="AH86" i="51" s="1"/>
  <c r="Z86" i="51"/>
  <c r="AG86" i="51" s="1"/>
  <c r="Y86" i="51"/>
  <c r="AF86" i="51" s="1"/>
  <c r="X86" i="51"/>
  <c r="AE86" i="51" s="1"/>
  <c r="W86" i="51"/>
  <c r="AD86" i="51" s="1"/>
  <c r="AA12" i="51"/>
  <c r="AH12" i="51" s="1"/>
  <c r="Z12" i="51"/>
  <c r="AG12" i="51" s="1"/>
  <c r="Y12" i="51"/>
  <c r="AF12" i="51" s="1"/>
  <c r="X12" i="51"/>
  <c r="AE12" i="51" s="1"/>
  <c r="W12" i="51"/>
  <c r="AD12" i="51" s="1"/>
  <c r="V12" i="51"/>
  <c r="AC12" i="51" s="1"/>
  <c r="U15" i="49"/>
  <c r="U16" i="49"/>
  <c r="D18" i="18"/>
  <c r="U12" i="49"/>
  <c r="U11" i="49"/>
  <c r="AA99" i="51"/>
  <c r="AH99" i="51" s="1"/>
  <c r="Z99" i="51"/>
  <c r="AG99" i="51" s="1"/>
  <c r="Y99" i="51"/>
  <c r="AF99" i="51" s="1"/>
  <c r="W99" i="51"/>
  <c r="AD99" i="51" s="1"/>
  <c r="V99" i="51"/>
  <c r="AC99" i="51" s="1"/>
  <c r="AA6" i="51"/>
  <c r="AH6" i="51" s="1"/>
  <c r="Z6" i="51"/>
  <c r="AG6" i="51" s="1"/>
  <c r="Y6" i="51"/>
  <c r="AF6" i="51" s="1"/>
  <c r="W6" i="51"/>
  <c r="AD6" i="51" s="1"/>
  <c r="V6" i="51"/>
  <c r="AC6" i="51" s="1"/>
  <c r="U10" i="49"/>
  <c r="U9" i="49"/>
  <c r="U3" i="49" l="1"/>
  <c r="U5" i="49"/>
  <c r="AA39" i="51"/>
  <c r="AH39" i="51" s="1"/>
  <c r="Z39" i="51"/>
  <c r="AG39" i="51" s="1"/>
  <c r="Y39" i="51"/>
  <c r="AF39" i="51" s="1"/>
  <c r="U6" i="49"/>
  <c r="U4" i="49"/>
  <c r="AA82" i="51"/>
  <c r="AH82" i="51" s="1"/>
  <c r="Z82" i="51"/>
  <c r="AG82" i="51" s="1"/>
  <c r="Y82" i="51"/>
  <c r="AF82" i="51" s="1"/>
  <c r="X82" i="51"/>
  <c r="AE82" i="51" s="1"/>
  <c r="W82" i="51"/>
  <c r="AD82" i="51" s="1"/>
  <c r="V82" i="51"/>
  <c r="AC82" i="51" s="1"/>
  <c r="DP170" i="30" l="1"/>
  <c r="DP169" i="30"/>
  <c r="DP168" i="30"/>
  <c r="DP167" i="30"/>
  <c r="DP166" i="30"/>
  <c r="DP165" i="30"/>
  <c r="DP164" i="30"/>
  <c r="DP163" i="30"/>
  <c r="DP162" i="30"/>
  <c r="DP161" i="30"/>
  <c r="DP160" i="30"/>
  <c r="DP159" i="30"/>
  <c r="DP158" i="30"/>
  <c r="DP156" i="30"/>
  <c r="DP155" i="30"/>
  <c r="DP154" i="30"/>
  <c r="DP153" i="30"/>
  <c r="DP152" i="30"/>
  <c r="DP151" i="30"/>
  <c r="DP150" i="30"/>
  <c r="DP149" i="30"/>
  <c r="H18" i="49"/>
  <c r="H17" i="49"/>
  <c r="AA20" i="51"/>
  <c r="AH20" i="51" s="1"/>
  <c r="Z20" i="51"/>
  <c r="AG20" i="51" s="1"/>
  <c r="Y20" i="51"/>
  <c r="AF20" i="51" s="1"/>
  <c r="W20" i="51"/>
  <c r="AD20" i="51" s="1"/>
  <c r="V20" i="51"/>
  <c r="AC20" i="51" s="1"/>
  <c r="AA101" i="51"/>
  <c r="AH101" i="51" s="1"/>
  <c r="Z101" i="51"/>
  <c r="AG101" i="51" s="1"/>
  <c r="Y101" i="51"/>
  <c r="AF101" i="51" s="1"/>
  <c r="X101" i="51"/>
  <c r="AE101" i="51" s="1"/>
  <c r="W101" i="51"/>
  <c r="AD101" i="51" s="1"/>
  <c r="V101" i="51"/>
  <c r="AC101" i="51" s="1"/>
  <c r="H16" i="49"/>
  <c r="H15" i="49"/>
  <c r="H9" i="49"/>
  <c r="H12" i="49"/>
  <c r="AA78" i="51"/>
  <c r="AH78" i="51" s="1"/>
  <c r="Z78" i="51"/>
  <c r="AG78" i="51" s="1"/>
  <c r="Y78" i="51"/>
  <c r="AF78" i="51" s="1"/>
  <c r="X78" i="51"/>
  <c r="AE78" i="51" s="1"/>
  <c r="W78" i="51"/>
  <c r="AD78" i="51" s="1"/>
  <c r="V78" i="51"/>
  <c r="AC78" i="51" s="1"/>
  <c r="H11" i="49"/>
  <c r="H10" i="49"/>
  <c r="AA60" i="51"/>
  <c r="AH60" i="51" s="1"/>
  <c r="Z60" i="51"/>
  <c r="AG60" i="51" s="1"/>
  <c r="Y60" i="51"/>
  <c r="AF60" i="51" s="1"/>
  <c r="X60" i="51"/>
  <c r="AE60" i="51" s="1"/>
  <c r="W60" i="51"/>
  <c r="AD60" i="51" s="1"/>
  <c r="V60" i="51"/>
  <c r="AC60" i="51" s="1"/>
  <c r="H3" i="49"/>
  <c r="H4" i="49"/>
  <c r="H6" i="49"/>
  <c r="H5" i="49"/>
  <c r="AA67" i="51"/>
  <c r="AH67" i="51" s="1"/>
  <c r="Z67" i="51"/>
  <c r="AG67" i="51" s="1"/>
  <c r="Y67" i="51"/>
  <c r="AF67" i="51" s="1"/>
  <c r="W67" i="51"/>
  <c r="AD67" i="51" s="1"/>
  <c r="V67" i="51"/>
  <c r="AC67" i="51" s="1"/>
  <c r="AA32" i="51" l="1"/>
  <c r="AH32" i="51" s="1"/>
  <c r="Z32" i="51"/>
  <c r="AG32" i="51" s="1"/>
  <c r="Y32" i="51"/>
  <c r="AF32" i="51" s="1"/>
  <c r="X32" i="51"/>
  <c r="AE32" i="51" s="1"/>
  <c r="V32" i="51"/>
  <c r="AC32" i="51" s="1"/>
  <c r="AA41" i="51"/>
  <c r="AH41" i="51" s="1"/>
  <c r="Z41" i="51"/>
  <c r="AG41" i="51" s="1"/>
  <c r="Y41" i="51"/>
  <c r="AF41" i="51" s="1"/>
  <c r="W41" i="51"/>
  <c r="AD41" i="51" s="1"/>
  <c r="V41" i="51"/>
  <c r="AC41" i="51" s="1"/>
  <c r="CU169" i="30" l="1"/>
  <c r="CV164" i="30"/>
  <c r="CU164" i="30"/>
  <c r="CV163" i="30"/>
  <c r="CV162" i="30"/>
  <c r="CV161" i="30"/>
  <c r="CV160" i="30"/>
  <c r="CV159" i="30"/>
  <c r="CV158" i="30"/>
  <c r="CV157" i="30"/>
  <c r="CU157" i="30"/>
  <c r="CU163" i="30"/>
  <c r="CU162" i="30"/>
  <c r="CU161" i="30"/>
  <c r="CU160" i="30"/>
  <c r="CU159" i="30"/>
  <c r="CU158" i="30"/>
  <c r="AA8" i="51"/>
  <c r="AH8" i="51" s="1"/>
  <c r="Z8" i="51"/>
  <c r="AG8" i="51" s="1"/>
  <c r="Y8" i="51"/>
  <c r="AF8" i="51" s="1"/>
  <c r="W8" i="51"/>
  <c r="AD8" i="51" s="1"/>
  <c r="V8" i="51"/>
  <c r="AC8" i="51" s="1"/>
  <c r="AA95" i="51"/>
  <c r="AH95" i="51" s="1"/>
  <c r="Z95" i="51"/>
  <c r="AG95" i="51" s="1"/>
  <c r="Y95" i="51"/>
  <c r="AF95" i="51" s="1"/>
  <c r="X95" i="51"/>
  <c r="AE95" i="51" s="1"/>
  <c r="W95" i="51"/>
  <c r="AD95" i="51" s="1"/>
  <c r="V95" i="51"/>
  <c r="AC95" i="51" s="1"/>
  <c r="AA83" i="51"/>
  <c r="AH83" i="51" s="1"/>
  <c r="Z83" i="51"/>
  <c r="AG83" i="51" s="1"/>
  <c r="Y83" i="51"/>
  <c r="AF83" i="51" s="1"/>
  <c r="AA80" i="51"/>
  <c r="AH80" i="51" s="1"/>
  <c r="Z80" i="51"/>
  <c r="AG80" i="51" s="1"/>
  <c r="W80" i="51"/>
  <c r="AD80" i="51" s="1"/>
  <c r="V80" i="51"/>
  <c r="AC80" i="51" s="1"/>
  <c r="Y80" i="51"/>
  <c r="AF80" i="51" s="1"/>
  <c r="U44" i="39" l="1"/>
  <c r="U43" i="39"/>
  <c r="KO9" i="44"/>
  <c r="KN9" i="44"/>
  <c r="KO15" i="44"/>
  <c r="KN15" i="44"/>
  <c r="AA112" i="51"/>
  <c r="AH112" i="51" s="1"/>
  <c r="AA3" i="51"/>
  <c r="AH3" i="51" s="1"/>
  <c r="AA34" i="51"/>
  <c r="AH34" i="51" s="1"/>
  <c r="AA111" i="51"/>
  <c r="AH111" i="51" s="1"/>
  <c r="AA27" i="51"/>
  <c r="AH27" i="51" s="1"/>
  <c r="AA47" i="51"/>
  <c r="AH47" i="51" s="1"/>
  <c r="AA51" i="51"/>
  <c r="AH51" i="51" s="1"/>
  <c r="AA48" i="51"/>
  <c r="AH48" i="51" s="1"/>
  <c r="AA63" i="51"/>
  <c r="AH63" i="51" s="1"/>
  <c r="AA76" i="51"/>
  <c r="AH76" i="51" s="1"/>
  <c r="AA23" i="51"/>
  <c r="AH23" i="51" s="1"/>
  <c r="AA92" i="51"/>
  <c r="AH92" i="51" s="1"/>
  <c r="AA28" i="51"/>
  <c r="AH28" i="51" s="1"/>
  <c r="AA103" i="51"/>
  <c r="AH103" i="51" s="1"/>
  <c r="AA25" i="51"/>
  <c r="AH25" i="51" s="1"/>
  <c r="AA85" i="51"/>
  <c r="AH85" i="51" s="1"/>
  <c r="AA16" i="51"/>
  <c r="AH16" i="51" s="1"/>
  <c r="AA79" i="51"/>
  <c r="AH79" i="51" s="1"/>
  <c r="AA42" i="51"/>
  <c r="AH42" i="51" s="1"/>
  <c r="AA44" i="51"/>
  <c r="AH44" i="51" s="1"/>
  <c r="AA75" i="51"/>
  <c r="AH75" i="51" s="1"/>
  <c r="AA94" i="51"/>
  <c r="AH94" i="51" s="1"/>
  <c r="AA54" i="51"/>
  <c r="AH54" i="51" s="1"/>
  <c r="AA102" i="51"/>
  <c r="AH102" i="51" s="1"/>
  <c r="AA106" i="51"/>
  <c r="AH106" i="51" s="1"/>
  <c r="AA21" i="51"/>
  <c r="AH21" i="51" s="1"/>
  <c r="AA96" i="51"/>
  <c r="AH96" i="51" s="1"/>
  <c r="AA93" i="51"/>
  <c r="AH93" i="51" s="1"/>
  <c r="AA70" i="51"/>
  <c r="AH70" i="51" s="1"/>
  <c r="AA35" i="51"/>
  <c r="AH35" i="51" s="1"/>
  <c r="AA56" i="51"/>
  <c r="AH56" i="51" s="1"/>
  <c r="AA10" i="51"/>
  <c r="AH10" i="51" s="1"/>
  <c r="AA69" i="51"/>
  <c r="AH69" i="51" s="1"/>
  <c r="AA113" i="51"/>
  <c r="AH113" i="51" s="1"/>
  <c r="AA98" i="51"/>
  <c r="AH98" i="51" s="1"/>
  <c r="AA11" i="51"/>
  <c r="AH11" i="51" s="1"/>
  <c r="AA58" i="51"/>
  <c r="AH58" i="51" s="1"/>
  <c r="AA64" i="51"/>
  <c r="AH64" i="51" s="1"/>
  <c r="AA53" i="51"/>
  <c r="AH53" i="51" s="1"/>
  <c r="AA55" i="51"/>
  <c r="AH55" i="51" s="1"/>
  <c r="AA66" i="51"/>
  <c r="AH66" i="51" s="1"/>
  <c r="AA29" i="51"/>
  <c r="AH29" i="51" s="1"/>
  <c r="AA36" i="51"/>
  <c r="AH36" i="51" s="1"/>
  <c r="AA71" i="51"/>
  <c r="AH71" i="51" s="1"/>
  <c r="AA52" i="51"/>
  <c r="AH52" i="51" s="1"/>
  <c r="AA7" i="51"/>
  <c r="AH7" i="51" s="1"/>
  <c r="AA100" i="51"/>
  <c r="AH100" i="51" s="1"/>
  <c r="AA77" i="51"/>
  <c r="AH77" i="51" s="1"/>
  <c r="AA38" i="51"/>
  <c r="AH38" i="51" s="1"/>
  <c r="AA89" i="51"/>
  <c r="AH89" i="51" s="1"/>
  <c r="AA19" i="51"/>
  <c r="AH19" i="51" s="1"/>
  <c r="AA9" i="51"/>
  <c r="AH9" i="51" s="1"/>
  <c r="AA87" i="51"/>
  <c r="AH87" i="51" s="1"/>
  <c r="Z112" i="51"/>
  <c r="AG112" i="51" s="1"/>
  <c r="Z3" i="51"/>
  <c r="AG3" i="51" s="1"/>
  <c r="Z34" i="51"/>
  <c r="AG34" i="51" s="1"/>
  <c r="Z111" i="51"/>
  <c r="AG111" i="51" s="1"/>
  <c r="Z27" i="51"/>
  <c r="AG27" i="51" s="1"/>
  <c r="Z47" i="51"/>
  <c r="AG47" i="51" s="1"/>
  <c r="Z51" i="51"/>
  <c r="AG51" i="51" s="1"/>
  <c r="Z48" i="51"/>
  <c r="AG48" i="51" s="1"/>
  <c r="Z63" i="51"/>
  <c r="AG63" i="51" s="1"/>
  <c r="Z76" i="51"/>
  <c r="AG76" i="51" s="1"/>
  <c r="Z23" i="51"/>
  <c r="AG23" i="51" s="1"/>
  <c r="Z92" i="51"/>
  <c r="AG92" i="51" s="1"/>
  <c r="Z28" i="51"/>
  <c r="AG28" i="51" s="1"/>
  <c r="Z103" i="51"/>
  <c r="AG103" i="51" s="1"/>
  <c r="Z25" i="51"/>
  <c r="AG25" i="51" s="1"/>
  <c r="Z85" i="51"/>
  <c r="AG85" i="51" s="1"/>
  <c r="Z16" i="51"/>
  <c r="AG16" i="51" s="1"/>
  <c r="Z79" i="51"/>
  <c r="AG79" i="51" s="1"/>
  <c r="Z42" i="51"/>
  <c r="AG42" i="51" s="1"/>
  <c r="Z44" i="51"/>
  <c r="AG44" i="51" s="1"/>
  <c r="Z75" i="51"/>
  <c r="AG75" i="51" s="1"/>
  <c r="Z94" i="51"/>
  <c r="AG94" i="51" s="1"/>
  <c r="Z54" i="51"/>
  <c r="AG54" i="51" s="1"/>
  <c r="Z102" i="51"/>
  <c r="AG102" i="51" s="1"/>
  <c r="Z106" i="51"/>
  <c r="AG106" i="51" s="1"/>
  <c r="Z21" i="51"/>
  <c r="AG21" i="51" s="1"/>
  <c r="Z96" i="51"/>
  <c r="AG96" i="51" s="1"/>
  <c r="Z93" i="51"/>
  <c r="AG93" i="51" s="1"/>
  <c r="Z70" i="51"/>
  <c r="AG70" i="51" s="1"/>
  <c r="Z35" i="51"/>
  <c r="AG35" i="51" s="1"/>
  <c r="Z56" i="51"/>
  <c r="AG56" i="51" s="1"/>
  <c r="Z10" i="51"/>
  <c r="AG10" i="51" s="1"/>
  <c r="Z69" i="51"/>
  <c r="AG69" i="51" s="1"/>
  <c r="Z113" i="51"/>
  <c r="AG113" i="51" s="1"/>
  <c r="Z98" i="51"/>
  <c r="AG98" i="51" s="1"/>
  <c r="Z11" i="51"/>
  <c r="AG11" i="51" s="1"/>
  <c r="Z58" i="51"/>
  <c r="AG58" i="51" s="1"/>
  <c r="Z64" i="51"/>
  <c r="AG64" i="51" s="1"/>
  <c r="Z53" i="51"/>
  <c r="AG53" i="51" s="1"/>
  <c r="Z55" i="51"/>
  <c r="AG55" i="51" s="1"/>
  <c r="Z66" i="51"/>
  <c r="AG66" i="51" s="1"/>
  <c r="Z29" i="51"/>
  <c r="AG29" i="51" s="1"/>
  <c r="Z36" i="51"/>
  <c r="AG36" i="51" s="1"/>
  <c r="Z71" i="51"/>
  <c r="AG71" i="51" s="1"/>
  <c r="Z52" i="51"/>
  <c r="AG52" i="51" s="1"/>
  <c r="Z7" i="51"/>
  <c r="AG7" i="51" s="1"/>
  <c r="Z100" i="51"/>
  <c r="AG100" i="51" s="1"/>
  <c r="Z77" i="51"/>
  <c r="AG77" i="51" s="1"/>
  <c r="Z38" i="51"/>
  <c r="AG38" i="51" s="1"/>
  <c r="Z89" i="51"/>
  <c r="AG89" i="51" s="1"/>
  <c r="Z19" i="51"/>
  <c r="AG19" i="51" s="1"/>
  <c r="Z9" i="51"/>
  <c r="AG9" i="51" s="1"/>
  <c r="Z87" i="51"/>
  <c r="AG87" i="51" s="1"/>
  <c r="Y112" i="51"/>
  <c r="AF112" i="51" s="1"/>
  <c r="Y3" i="51"/>
  <c r="AF3" i="51" s="1"/>
  <c r="Y34" i="51"/>
  <c r="AF34" i="51" s="1"/>
  <c r="Y111" i="51"/>
  <c r="AF111" i="51" s="1"/>
  <c r="Y27" i="51"/>
  <c r="AF27" i="51" s="1"/>
  <c r="Y47" i="51"/>
  <c r="AF47" i="51" s="1"/>
  <c r="Y51" i="51"/>
  <c r="AF51" i="51" s="1"/>
  <c r="Y48" i="51"/>
  <c r="AF48" i="51" s="1"/>
  <c r="Y63" i="51"/>
  <c r="AF63" i="51" s="1"/>
  <c r="Y76" i="51"/>
  <c r="AF76" i="51" s="1"/>
  <c r="Y23" i="51"/>
  <c r="AF23" i="51" s="1"/>
  <c r="Y92" i="51"/>
  <c r="AF92" i="51" s="1"/>
  <c r="Y28" i="51"/>
  <c r="AF28" i="51" s="1"/>
  <c r="Y103" i="51"/>
  <c r="AF103" i="51" s="1"/>
  <c r="Y25" i="51"/>
  <c r="AF25" i="51" s="1"/>
  <c r="Y85" i="51"/>
  <c r="AF85" i="51" s="1"/>
  <c r="Y16" i="51"/>
  <c r="AF16" i="51" s="1"/>
  <c r="Y79" i="51"/>
  <c r="AF79" i="51" s="1"/>
  <c r="Y42" i="51"/>
  <c r="AF42" i="51" s="1"/>
  <c r="Y44" i="51"/>
  <c r="AF44" i="51" s="1"/>
  <c r="Y75" i="51"/>
  <c r="AF75" i="51" s="1"/>
  <c r="Y94" i="51"/>
  <c r="AF94" i="51" s="1"/>
  <c r="Y54" i="51"/>
  <c r="AF54" i="51" s="1"/>
  <c r="Y102" i="51"/>
  <c r="AF102" i="51" s="1"/>
  <c r="Y106" i="51"/>
  <c r="AF106" i="51" s="1"/>
  <c r="Y21" i="51"/>
  <c r="AF21" i="51" s="1"/>
  <c r="Y96" i="51"/>
  <c r="AF96" i="51" s="1"/>
  <c r="Y93" i="51"/>
  <c r="AF93" i="51" s="1"/>
  <c r="Y70" i="51"/>
  <c r="AF70" i="51" s="1"/>
  <c r="Y35" i="51"/>
  <c r="AF35" i="51" s="1"/>
  <c r="Y56" i="51"/>
  <c r="AF56" i="51" s="1"/>
  <c r="Y10" i="51"/>
  <c r="AF10" i="51" s="1"/>
  <c r="Y69" i="51"/>
  <c r="AF69" i="51" s="1"/>
  <c r="Y58" i="51"/>
  <c r="AF58" i="51" s="1"/>
  <c r="Y113" i="51"/>
  <c r="AF113" i="51" s="1"/>
  <c r="Y98" i="51"/>
  <c r="AF98" i="51" s="1"/>
  <c r="Y11" i="51"/>
  <c r="AF11" i="51" s="1"/>
  <c r="Y64" i="51"/>
  <c r="AF64" i="51" s="1"/>
  <c r="Y53" i="51"/>
  <c r="AF53" i="51" s="1"/>
  <c r="Y55" i="51"/>
  <c r="AF55" i="51" s="1"/>
  <c r="Y66" i="51"/>
  <c r="AF66" i="51" s="1"/>
  <c r="Y29" i="51"/>
  <c r="AF29" i="51" s="1"/>
  <c r="Y36" i="51"/>
  <c r="AF36" i="51" s="1"/>
  <c r="Y71" i="51"/>
  <c r="AF71" i="51" s="1"/>
  <c r="Y52" i="51"/>
  <c r="AF52" i="51" s="1"/>
  <c r="Y7" i="51"/>
  <c r="AF7" i="51" s="1"/>
  <c r="Y100" i="51"/>
  <c r="AF100" i="51" s="1"/>
  <c r="Y77" i="51"/>
  <c r="AF77" i="51" s="1"/>
  <c r="Y38" i="51"/>
  <c r="AF38" i="51" s="1"/>
  <c r="Y89" i="51"/>
  <c r="AF89" i="51" s="1"/>
  <c r="Y19" i="51"/>
  <c r="AF19" i="51" s="1"/>
  <c r="Y9" i="51"/>
  <c r="AF9" i="51" s="1"/>
  <c r="Y87" i="51"/>
  <c r="AF87" i="51" s="1"/>
  <c r="AK12" i="41" l="1"/>
  <c r="F44" i="50" l="1"/>
  <c r="F45" i="50"/>
  <c r="F46" i="50" s="1"/>
  <c r="F47" i="50" s="1"/>
  <c r="BW291" i="30" l="1"/>
  <c r="BX291" i="30" s="1"/>
  <c r="BU291" i="30"/>
  <c r="BV291" i="30" s="1"/>
  <c r="BW290" i="30"/>
  <c r="BX290" i="30" s="1"/>
  <c r="BU290" i="30"/>
  <c r="BV290" i="30" s="1"/>
  <c r="BR288" i="30"/>
  <c r="BR287" i="30"/>
  <c r="BS282" i="30"/>
  <c r="BQ288" i="30" s="1"/>
  <c r="BB30" i="50"/>
  <c r="BA30" i="50"/>
  <c r="AY30" i="50"/>
  <c r="AT30" i="50"/>
  <c r="AS30" i="50"/>
  <c r="AQ30" i="50"/>
  <c r="AL30" i="50"/>
  <c r="AK30" i="50"/>
  <c r="AI30" i="50"/>
  <c r="AD30" i="50"/>
  <c r="AC30" i="50"/>
  <c r="AA30" i="50"/>
  <c r="V30" i="50"/>
  <c r="U30" i="50"/>
  <c r="S30" i="50"/>
  <c r="N30" i="50"/>
  <c r="M30" i="50"/>
  <c r="K30" i="50"/>
  <c r="F30" i="50"/>
  <c r="E30" i="50"/>
  <c r="C30" i="50"/>
  <c r="BB29" i="50"/>
  <c r="BA29" i="50"/>
  <c r="AY29" i="50"/>
  <c r="AT29" i="50"/>
  <c r="AS29" i="50"/>
  <c r="AQ29" i="50"/>
  <c r="AL29" i="50"/>
  <c r="AK29" i="50"/>
  <c r="AI29" i="50"/>
  <c r="AD29" i="50"/>
  <c r="AC29" i="50"/>
  <c r="AA29" i="50"/>
  <c r="V29" i="50"/>
  <c r="U29" i="50"/>
  <c r="S29" i="50"/>
  <c r="N29" i="50"/>
  <c r="M29" i="50"/>
  <c r="K29" i="50"/>
  <c r="F29" i="50"/>
  <c r="E29" i="50"/>
  <c r="C29" i="50"/>
  <c r="BB28" i="50"/>
  <c r="BA28" i="50"/>
  <c r="AY28" i="50"/>
  <c r="AT28" i="50"/>
  <c r="AS28" i="50"/>
  <c r="AQ28" i="50"/>
  <c r="AL28" i="50"/>
  <c r="AK28" i="50"/>
  <c r="AI28" i="50"/>
  <c r="AD28" i="50"/>
  <c r="AC28" i="50"/>
  <c r="AA28" i="50"/>
  <c r="V28" i="50"/>
  <c r="U28" i="50"/>
  <c r="S28" i="50"/>
  <c r="N28" i="50"/>
  <c r="M28" i="50"/>
  <c r="K28" i="50"/>
  <c r="F28" i="50"/>
  <c r="E28" i="50"/>
  <c r="C28" i="50"/>
  <c r="BB27" i="50"/>
  <c r="BA27" i="50"/>
  <c r="AY27" i="50"/>
  <c r="AT27" i="50"/>
  <c r="AS27" i="50"/>
  <c r="AQ27" i="50"/>
  <c r="AL27" i="50"/>
  <c r="AK27" i="50"/>
  <c r="AI27" i="50"/>
  <c r="AD27" i="50"/>
  <c r="AC27" i="50"/>
  <c r="AA27" i="50"/>
  <c r="V27" i="50"/>
  <c r="U27" i="50"/>
  <c r="S27" i="50"/>
  <c r="N27" i="50"/>
  <c r="M27" i="50"/>
  <c r="K27" i="50"/>
  <c r="F27" i="50"/>
  <c r="E27" i="50"/>
  <c r="C27" i="50"/>
  <c r="BB26" i="50"/>
  <c r="BA26" i="50"/>
  <c r="AY26" i="50"/>
  <c r="AT26" i="50"/>
  <c r="AS26" i="50"/>
  <c r="AQ26" i="50"/>
  <c r="AL26" i="50"/>
  <c r="AK26" i="50"/>
  <c r="AI26" i="50"/>
  <c r="AD26" i="50"/>
  <c r="AC26" i="50"/>
  <c r="AA26" i="50"/>
  <c r="V26" i="50"/>
  <c r="U26" i="50"/>
  <c r="S26" i="50"/>
  <c r="N26" i="50"/>
  <c r="M26" i="50"/>
  <c r="K26" i="50"/>
  <c r="F26" i="50"/>
  <c r="E26" i="50"/>
  <c r="C26" i="50"/>
  <c r="BB25" i="50"/>
  <c r="BA25" i="50"/>
  <c r="AY25" i="50"/>
  <c r="AT25" i="50"/>
  <c r="AS25" i="50"/>
  <c r="AQ25" i="50"/>
  <c r="AL25" i="50"/>
  <c r="AK25" i="50"/>
  <c r="AI25" i="50"/>
  <c r="AD25" i="50"/>
  <c r="AC25" i="50"/>
  <c r="AA25" i="50"/>
  <c r="V25" i="50"/>
  <c r="U25" i="50"/>
  <c r="S25" i="50"/>
  <c r="N25" i="50"/>
  <c r="M25" i="50"/>
  <c r="K25" i="50"/>
  <c r="F25" i="50"/>
  <c r="E25" i="50"/>
  <c r="C25" i="50"/>
  <c r="BB24" i="50"/>
  <c r="BA24" i="50"/>
  <c r="AY24" i="50"/>
  <c r="AT24" i="50"/>
  <c r="AS24" i="50"/>
  <c r="AQ24" i="50"/>
  <c r="AL24" i="50"/>
  <c r="AK24" i="50"/>
  <c r="AI24" i="50"/>
  <c r="AD24" i="50"/>
  <c r="AC24" i="50"/>
  <c r="AA24" i="50"/>
  <c r="V24" i="50"/>
  <c r="U24" i="50"/>
  <c r="S24" i="50"/>
  <c r="N24" i="50"/>
  <c r="M24" i="50"/>
  <c r="K24" i="50"/>
  <c r="F24" i="50"/>
  <c r="E24" i="50"/>
  <c r="C24" i="50"/>
  <c r="BB23" i="50"/>
  <c r="BA23" i="50"/>
  <c r="AY23" i="50"/>
  <c r="AT23" i="50"/>
  <c r="AS23" i="50"/>
  <c r="AQ23" i="50"/>
  <c r="AL23" i="50"/>
  <c r="AK23" i="50"/>
  <c r="AI23" i="50"/>
  <c r="AD23" i="50"/>
  <c r="AC23" i="50"/>
  <c r="AA23" i="50"/>
  <c r="V23" i="50"/>
  <c r="U23" i="50"/>
  <c r="S23" i="50"/>
  <c r="N23" i="50"/>
  <c r="M23" i="50"/>
  <c r="K23" i="50"/>
  <c r="F23" i="50"/>
  <c r="E23" i="50"/>
  <c r="C23" i="50"/>
  <c r="BB22" i="50"/>
  <c r="BA22" i="50"/>
  <c r="AY22" i="50"/>
  <c r="AT22" i="50"/>
  <c r="AS22" i="50"/>
  <c r="AQ22" i="50"/>
  <c r="AL22" i="50"/>
  <c r="AK22" i="50"/>
  <c r="AI22" i="50"/>
  <c r="AD22" i="50"/>
  <c r="AC22" i="50"/>
  <c r="AA22" i="50"/>
  <c r="V22" i="50"/>
  <c r="U22" i="50"/>
  <c r="S22" i="50"/>
  <c r="N22" i="50"/>
  <c r="M22" i="50"/>
  <c r="K22" i="50"/>
  <c r="F22" i="50"/>
  <c r="E22" i="50"/>
  <c r="C22" i="50"/>
  <c r="BB21" i="50"/>
  <c r="BA21" i="50"/>
  <c r="AY21" i="50"/>
  <c r="AT21" i="50"/>
  <c r="AS21" i="50"/>
  <c r="AQ21" i="50"/>
  <c r="AL21" i="50"/>
  <c r="AK21" i="50"/>
  <c r="AI21" i="50"/>
  <c r="AD21" i="50"/>
  <c r="AC21" i="50"/>
  <c r="AA21" i="50"/>
  <c r="V21" i="50"/>
  <c r="U21" i="50"/>
  <c r="S21" i="50"/>
  <c r="N21" i="50"/>
  <c r="M21" i="50"/>
  <c r="K21" i="50"/>
  <c r="F21" i="50"/>
  <c r="E21" i="50"/>
  <c r="C21" i="50"/>
  <c r="BB20" i="50"/>
  <c r="BA20" i="50"/>
  <c r="AY20" i="50"/>
  <c r="AT20" i="50"/>
  <c r="AS20" i="50"/>
  <c r="AQ20" i="50"/>
  <c r="AL20" i="50"/>
  <c r="AK20" i="50"/>
  <c r="AI20" i="50"/>
  <c r="AD20" i="50"/>
  <c r="AC20" i="50"/>
  <c r="AA20" i="50"/>
  <c r="V20" i="50"/>
  <c r="U20" i="50"/>
  <c r="S20" i="50"/>
  <c r="N20" i="50"/>
  <c r="M20" i="50"/>
  <c r="K20" i="50"/>
  <c r="F20" i="50"/>
  <c r="E20" i="50"/>
  <c r="C20" i="50"/>
  <c r="BB19" i="50"/>
  <c r="BA19" i="50"/>
  <c r="AY19" i="50"/>
  <c r="AT19" i="50"/>
  <c r="AS19" i="50"/>
  <c r="AQ19" i="50"/>
  <c r="AL19" i="50"/>
  <c r="AK19" i="50"/>
  <c r="AI19" i="50"/>
  <c r="AD19" i="50"/>
  <c r="AC19" i="50"/>
  <c r="AA19" i="50"/>
  <c r="V19" i="50"/>
  <c r="U19" i="50"/>
  <c r="S19" i="50"/>
  <c r="N19" i="50"/>
  <c r="M19" i="50"/>
  <c r="K19" i="50"/>
  <c r="F19" i="50"/>
  <c r="E19" i="50"/>
  <c r="C19" i="50"/>
  <c r="BB18" i="50"/>
  <c r="BA18" i="50"/>
  <c r="AY18" i="50"/>
  <c r="AT18" i="50"/>
  <c r="AS18" i="50"/>
  <c r="AQ18" i="50"/>
  <c r="AL18" i="50"/>
  <c r="AK18" i="50"/>
  <c r="AI18" i="50"/>
  <c r="AD18" i="50"/>
  <c r="AC18" i="50"/>
  <c r="AA18" i="50"/>
  <c r="V18" i="50"/>
  <c r="U18" i="50"/>
  <c r="S18" i="50"/>
  <c r="N18" i="50"/>
  <c r="M18" i="50"/>
  <c r="K18" i="50"/>
  <c r="F18" i="50"/>
  <c r="E18" i="50"/>
  <c r="C18" i="50"/>
  <c r="BB17" i="50"/>
  <c r="BA17" i="50"/>
  <c r="AY17" i="50"/>
  <c r="AT17" i="50"/>
  <c r="AS17" i="50"/>
  <c r="AQ17" i="50"/>
  <c r="AL17" i="50"/>
  <c r="AK17" i="50"/>
  <c r="AI17" i="50"/>
  <c r="AD17" i="50"/>
  <c r="AC17" i="50"/>
  <c r="AA17" i="50"/>
  <c r="V17" i="50"/>
  <c r="U17" i="50"/>
  <c r="S17" i="50"/>
  <c r="N17" i="50"/>
  <c r="M17" i="50"/>
  <c r="K17" i="50"/>
  <c r="F17" i="50"/>
  <c r="E17" i="50"/>
  <c r="C17" i="50"/>
  <c r="BB16" i="50"/>
  <c r="BA16" i="50"/>
  <c r="AY16" i="50"/>
  <c r="AT16" i="50"/>
  <c r="AS16" i="50"/>
  <c r="AQ16" i="50"/>
  <c r="AL16" i="50"/>
  <c r="AK16" i="50"/>
  <c r="AI16" i="50"/>
  <c r="AD16" i="50"/>
  <c r="AC16" i="50"/>
  <c r="AA16" i="50"/>
  <c r="V16" i="50"/>
  <c r="U16" i="50"/>
  <c r="S16" i="50"/>
  <c r="N16" i="50"/>
  <c r="M16" i="50"/>
  <c r="K16" i="50"/>
  <c r="F16" i="50"/>
  <c r="E16" i="50"/>
  <c r="C16" i="50"/>
  <c r="BB15" i="50"/>
  <c r="BA15" i="50"/>
  <c r="AY15" i="50"/>
  <c r="AT15" i="50"/>
  <c r="AS15" i="50"/>
  <c r="AQ15" i="50"/>
  <c r="AL15" i="50"/>
  <c r="AK15" i="50"/>
  <c r="AI15" i="50"/>
  <c r="AD15" i="50"/>
  <c r="AC15" i="50"/>
  <c r="AA15" i="50"/>
  <c r="V15" i="50"/>
  <c r="U15" i="50"/>
  <c r="S15" i="50"/>
  <c r="N15" i="50"/>
  <c r="M15" i="50"/>
  <c r="K15" i="50"/>
  <c r="F15" i="50"/>
  <c r="E15" i="50"/>
  <c r="C15" i="50"/>
  <c r="U36" i="43"/>
  <c r="L36" i="43"/>
  <c r="C36" i="43"/>
  <c r="U35" i="43"/>
  <c r="L35" i="43"/>
  <c r="C35" i="43"/>
  <c r="U34" i="43"/>
  <c r="L34" i="43"/>
  <c r="C34" i="43"/>
  <c r="U33" i="43"/>
  <c r="L33" i="43"/>
  <c r="C33" i="43"/>
  <c r="U32" i="43"/>
  <c r="L32" i="43"/>
  <c r="C32" i="43"/>
  <c r="U31" i="43"/>
  <c r="L31" i="43"/>
  <c r="C31" i="43"/>
  <c r="U30" i="43"/>
  <c r="L30" i="43"/>
  <c r="C30" i="43"/>
  <c r="U29" i="43"/>
  <c r="L29" i="43"/>
  <c r="C29" i="43"/>
  <c r="U28" i="43"/>
  <c r="L28" i="43"/>
  <c r="C28" i="43"/>
  <c r="U27" i="43"/>
  <c r="L27" i="43"/>
  <c r="C27" i="43"/>
  <c r="U26" i="43"/>
  <c r="L26" i="43"/>
  <c r="C26" i="43"/>
  <c r="U25" i="43"/>
  <c r="L25" i="43"/>
  <c r="C25" i="43"/>
  <c r="U24" i="43"/>
  <c r="L24" i="43"/>
  <c r="C24" i="43"/>
  <c r="U23" i="43"/>
  <c r="L23" i="43"/>
  <c r="C23" i="43"/>
  <c r="U22" i="43"/>
  <c r="L22" i="43"/>
  <c r="C22" i="43"/>
  <c r="U21" i="43"/>
  <c r="L21" i="43"/>
  <c r="C21" i="43"/>
  <c r="AD18" i="43"/>
  <c r="U18" i="43"/>
  <c r="L18" i="43"/>
  <c r="C18" i="43"/>
  <c r="AD17" i="43"/>
  <c r="U17" i="43"/>
  <c r="L17" i="43"/>
  <c r="C17" i="43"/>
  <c r="AD16" i="43"/>
  <c r="U16" i="43"/>
  <c r="L16" i="43"/>
  <c r="C16" i="43"/>
  <c r="AD15" i="43"/>
  <c r="U15" i="43"/>
  <c r="L15" i="43"/>
  <c r="C15" i="43"/>
  <c r="AD14" i="43"/>
  <c r="U14" i="43"/>
  <c r="L14" i="43"/>
  <c r="C14" i="43"/>
  <c r="AD13" i="43"/>
  <c r="U13" i="43"/>
  <c r="L13" i="43"/>
  <c r="C13" i="43"/>
  <c r="AD12" i="43"/>
  <c r="U12" i="43"/>
  <c r="L12" i="43"/>
  <c r="C12" i="43"/>
  <c r="AD11" i="43"/>
  <c r="U11" i="43"/>
  <c r="L11" i="43"/>
  <c r="C11" i="43"/>
  <c r="AD10" i="43"/>
  <c r="U10" i="43"/>
  <c r="L10" i="43"/>
  <c r="C10" i="43"/>
  <c r="AD9" i="43"/>
  <c r="U9" i="43"/>
  <c r="L9" i="43"/>
  <c r="C9" i="43"/>
  <c r="AD8" i="43"/>
  <c r="U8" i="43"/>
  <c r="L8" i="43"/>
  <c r="C8" i="43"/>
  <c r="AD7" i="43"/>
  <c r="U7" i="43"/>
  <c r="L7" i="43"/>
  <c r="C7" i="43"/>
  <c r="AD6" i="43"/>
  <c r="U6" i="43"/>
  <c r="L6" i="43"/>
  <c r="C6" i="43"/>
  <c r="AD5" i="43"/>
  <c r="U5" i="43"/>
  <c r="L5" i="43"/>
  <c r="C5" i="43"/>
  <c r="AD4" i="43"/>
  <c r="U4" i="43"/>
  <c r="L4" i="43"/>
  <c r="C4" i="43"/>
  <c r="AD3" i="43"/>
  <c r="U3" i="43"/>
  <c r="L3" i="43"/>
  <c r="C3" i="43"/>
  <c r="AS37" i="48"/>
  <c r="AR37" i="48"/>
  <c r="R24" i="48"/>
  <c r="E24" i="48"/>
  <c r="R23" i="48"/>
  <c r="E23" i="48"/>
  <c r="R22" i="48"/>
  <c r="E22" i="48"/>
  <c r="R21" i="48"/>
  <c r="E21" i="48"/>
  <c r="R18" i="48"/>
  <c r="E18" i="48"/>
  <c r="R17" i="48"/>
  <c r="E17" i="48"/>
  <c r="R16" i="48"/>
  <c r="E16" i="48"/>
  <c r="R15" i="48"/>
  <c r="E15" i="48"/>
  <c r="R12" i="48"/>
  <c r="E12" i="48"/>
  <c r="R11" i="48"/>
  <c r="E11" i="48"/>
  <c r="R10" i="48"/>
  <c r="E10" i="48"/>
  <c r="R9" i="48"/>
  <c r="E9" i="48"/>
  <c r="R6" i="48"/>
  <c r="E6" i="48"/>
  <c r="R5" i="48"/>
  <c r="E5" i="48"/>
  <c r="R4" i="48"/>
  <c r="E4" i="48"/>
  <c r="R3" i="48"/>
  <c r="E3" i="48"/>
  <c r="R18" i="49"/>
  <c r="E18" i="49"/>
  <c r="R17" i="49"/>
  <c r="E17" i="49"/>
  <c r="R16" i="49"/>
  <c r="E15" i="49"/>
  <c r="R15" i="49"/>
  <c r="E16" i="49"/>
  <c r="R11" i="49"/>
  <c r="E12" i="49"/>
  <c r="R12" i="49"/>
  <c r="E10" i="49"/>
  <c r="R9" i="49"/>
  <c r="E11" i="49"/>
  <c r="R10" i="49"/>
  <c r="E9" i="49"/>
  <c r="R4" i="49"/>
  <c r="E6" i="49"/>
  <c r="R6" i="49"/>
  <c r="E5" i="49"/>
  <c r="R5" i="49"/>
  <c r="E4" i="49"/>
  <c r="R3" i="49"/>
  <c r="E3" i="49"/>
  <c r="D14" i="41"/>
  <c r="D25" i="41"/>
  <c r="D3" i="41"/>
  <c r="K28" i="41"/>
  <c r="D6" i="41"/>
  <c r="D2" i="41"/>
  <c r="D21" i="41"/>
  <c r="Q28" i="41"/>
  <c r="D12" i="41"/>
  <c r="D22" i="41"/>
  <c r="V29" i="41"/>
  <c r="D13" i="41"/>
  <c r="AA20" i="41"/>
  <c r="V20" i="41"/>
  <c r="Q20" i="41"/>
  <c r="K20" i="41"/>
  <c r="D26" i="41"/>
  <c r="AA19" i="41"/>
  <c r="V19" i="41"/>
  <c r="Q19" i="41"/>
  <c r="K19" i="41"/>
  <c r="D16" i="41"/>
  <c r="AA18" i="41"/>
  <c r="V18" i="41"/>
  <c r="Q18" i="41"/>
  <c r="K18" i="41"/>
  <c r="D7" i="41"/>
  <c r="AA17" i="41"/>
  <c r="V17" i="41"/>
  <c r="Q17" i="41"/>
  <c r="K17" i="41"/>
  <c r="D9" i="41"/>
  <c r="AA16" i="41"/>
  <c r="V16" i="41"/>
  <c r="Q16" i="41"/>
  <c r="K16" i="41"/>
  <c r="D15" i="41"/>
  <c r="AA15" i="41"/>
  <c r="V15" i="41"/>
  <c r="Q15" i="41"/>
  <c r="K15" i="41"/>
  <c r="K25" i="41"/>
  <c r="AA14" i="41"/>
  <c r="V14" i="41"/>
  <c r="Q14" i="41"/>
  <c r="K14" i="41"/>
  <c r="D5" i="41"/>
  <c r="AA13" i="41"/>
  <c r="V13" i="41"/>
  <c r="Q13" i="41"/>
  <c r="K13" i="41"/>
  <c r="D24" i="41"/>
  <c r="AA12" i="41"/>
  <c r="V12" i="41"/>
  <c r="Q12" i="41"/>
  <c r="K12" i="41"/>
  <c r="V28" i="41"/>
  <c r="AA11" i="41"/>
  <c r="V11" i="41"/>
  <c r="Q11" i="41"/>
  <c r="K11" i="41"/>
  <c r="D4" i="41"/>
  <c r="AA10" i="41"/>
  <c r="V10" i="41"/>
  <c r="Q10" i="41"/>
  <c r="K10" i="41"/>
  <c r="D10" i="41"/>
  <c r="AA9" i="41"/>
  <c r="V9" i="41"/>
  <c r="Q9" i="41"/>
  <c r="K9" i="41"/>
  <c r="D23" i="41"/>
  <c r="AA8" i="41"/>
  <c r="V8" i="41"/>
  <c r="Q8" i="41"/>
  <c r="K8" i="41"/>
  <c r="D19" i="41"/>
  <c r="AA7" i="41"/>
  <c r="V7" i="41"/>
  <c r="Q7" i="41"/>
  <c r="K7" i="41"/>
  <c r="K26" i="41"/>
  <c r="AA6" i="41"/>
  <c r="V6" i="41"/>
  <c r="Q6" i="41"/>
  <c r="K6" i="41"/>
  <c r="D11" i="41"/>
  <c r="AA5" i="41"/>
  <c r="V5" i="41"/>
  <c r="Q5" i="41"/>
  <c r="K5" i="41"/>
  <c r="D1" i="41"/>
  <c r="AA4" i="41"/>
  <c r="V4" i="41"/>
  <c r="Q4" i="41"/>
  <c r="K4" i="41"/>
  <c r="K27" i="41"/>
  <c r="AA3" i="41"/>
  <c r="V3" i="41"/>
  <c r="Q3" i="41"/>
  <c r="K3" i="41"/>
  <c r="Q27" i="41"/>
  <c r="AA2" i="41"/>
  <c r="V2" i="41"/>
  <c r="Q2" i="41"/>
  <c r="K2" i="41"/>
  <c r="D20" i="41"/>
  <c r="AA1" i="41"/>
  <c r="V1" i="41"/>
  <c r="Q1" i="41"/>
  <c r="K1" i="41"/>
  <c r="D8" i="41"/>
  <c r="Z24" i="40"/>
  <c r="V24" i="40"/>
  <c r="Q24" i="40"/>
  <c r="M24" i="40"/>
  <c r="H24" i="40"/>
  <c r="D24" i="40"/>
  <c r="Z23" i="40"/>
  <c r="V23" i="40"/>
  <c r="Q23" i="40"/>
  <c r="M23" i="40"/>
  <c r="H23" i="40"/>
  <c r="D23" i="40"/>
  <c r="Z22" i="40"/>
  <c r="V22" i="40"/>
  <c r="Q22" i="40"/>
  <c r="M22" i="40"/>
  <c r="H22" i="40"/>
  <c r="D22" i="40"/>
  <c r="Z21" i="40"/>
  <c r="V21" i="40"/>
  <c r="Q21" i="40"/>
  <c r="M21" i="40"/>
  <c r="H21" i="40"/>
  <c r="D21" i="40"/>
  <c r="Z19" i="40"/>
  <c r="V19" i="40"/>
  <c r="Q19" i="40"/>
  <c r="M19" i="40"/>
  <c r="H19" i="40"/>
  <c r="D19" i="40"/>
  <c r="Z18" i="40"/>
  <c r="V18" i="40"/>
  <c r="Q18" i="40"/>
  <c r="M18" i="40"/>
  <c r="H18" i="40"/>
  <c r="D18" i="40"/>
  <c r="Z17" i="40"/>
  <c r="V17" i="40"/>
  <c r="Q17" i="40"/>
  <c r="M17" i="40"/>
  <c r="H17" i="40"/>
  <c r="D17" i="40"/>
  <c r="Z16" i="40"/>
  <c r="V16" i="40"/>
  <c r="Q16" i="40"/>
  <c r="M16" i="40"/>
  <c r="H16" i="40"/>
  <c r="D16" i="40"/>
  <c r="AI12" i="40"/>
  <c r="AE12" i="40"/>
  <c r="Z12" i="40"/>
  <c r="V12" i="40"/>
  <c r="Q12" i="40"/>
  <c r="M12" i="40"/>
  <c r="H12" i="40"/>
  <c r="D12" i="40"/>
  <c r="AI11" i="40"/>
  <c r="AE11" i="40"/>
  <c r="Z11" i="40"/>
  <c r="V11" i="40"/>
  <c r="Q11" i="40"/>
  <c r="M11" i="40"/>
  <c r="H11" i="40"/>
  <c r="D11" i="40"/>
  <c r="AI10" i="40"/>
  <c r="AE10" i="40"/>
  <c r="Z10" i="40"/>
  <c r="V10" i="40"/>
  <c r="Q10" i="40"/>
  <c r="M10" i="40"/>
  <c r="H10" i="40"/>
  <c r="D10" i="40"/>
  <c r="AI9" i="40"/>
  <c r="AE9" i="40"/>
  <c r="Z9" i="40"/>
  <c r="V9" i="40"/>
  <c r="Q9" i="40"/>
  <c r="M9" i="40"/>
  <c r="H9" i="40"/>
  <c r="D9" i="40"/>
  <c r="AI7" i="40"/>
  <c r="AE7" i="40"/>
  <c r="Z7" i="40"/>
  <c r="V7" i="40"/>
  <c r="Q7" i="40"/>
  <c r="M7" i="40"/>
  <c r="H7" i="40"/>
  <c r="D7" i="40"/>
  <c r="AI6" i="40"/>
  <c r="AE6" i="40"/>
  <c r="Z6" i="40"/>
  <c r="V6" i="40"/>
  <c r="Q6" i="40"/>
  <c r="M6" i="40"/>
  <c r="H6" i="40"/>
  <c r="D6" i="40"/>
  <c r="AI5" i="40"/>
  <c r="AE5" i="40"/>
  <c r="Z5" i="40"/>
  <c r="V5" i="40"/>
  <c r="Q5" i="40"/>
  <c r="M5" i="40"/>
  <c r="H5" i="40"/>
  <c r="D5" i="40"/>
  <c r="AI4" i="40"/>
  <c r="AE4" i="40"/>
  <c r="Z4" i="40"/>
  <c r="V4" i="40"/>
  <c r="Q4" i="40"/>
  <c r="M4" i="40"/>
  <c r="H4" i="40"/>
  <c r="D4" i="40"/>
  <c r="U35" i="39"/>
  <c r="L35" i="39"/>
  <c r="C34" i="39"/>
  <c r="U31" i="39"/>
  <c r="L36" i="39"/>
  <c r="C33" i="39"/>
  <c r="U36" i="39"/>
  <c r="L31" i="39"/>
  <c r="C31" i="39"/>
  <c r="U34" i="39"/>
  <c r="L33" i="39"/>
  <c r="C35" i="39"/>
  <c r="U32" i="39"/>
  <c r="L30" i="39"/>
  <c r="C32" i="39"/>
  <c r="U27" i="39"/>
  <c r="L27" i="39"/>
  <c r="C36" i="39"/>
  <c r="U33" i="39"/>
  <c r="L32" i="39"/>
  <c r="C28" i="39"/>
  <c r="U30" i="39"/>
  <c r="L26" i="39"/>
  <c r="C30" i="39"/>
  <c r="U26" i="39"/>
  <c r="L34" i="39"/>
  <c r="C29" i="39"/>
  <c r="U29" i="39"/>
  <c r="L29" i="39"/>
  <c r="C27" i="39"/>
  <c r="U28" i="39"/>
  <c r="L23" i="39"/>
  <c r="C24" i="39"/>
  <c r="U22" i="39"/>
  <c r="L28" i="39"/>
  <c r="C25" i="39"/>
  <c r="U25" i="39"/>
  <c r="L24" i="39"/>
  <c r="C26" i="39"/>
  <c r="U24" i="39"/>
  <c r="L21" i="39"/>
  <c r="C22" i="39"/>
  <c r="U23" i="39"/>
  <c r="L22" i="39"/>
  <c r="C21" i="39"/>
  <c r="U21" i="39"/>
  <c r="L25" i="39"/>
  <c r="C23" i="39"/>
  <c r="AD18" i="39"/>
  <c r="U18" i="39"/>
  <c r="L18" i="39"/>
  <c r="C18" i="39"/>
  <c r="AD16" i="39"/>
  <c r="U17" i="39"/>
  <c r="L17" i="39"/>
  <c r="C17" i="39"/>
  <c r="AD17" i="39"/>
  <c r="U11" i="39"/>
  <c r="L16" i="39"/>
  <c r="C14" i="39"/>
  <c r="AD15" i="39"/>
  <c r="U14" i="39"/>
  <c r="L14" i="39"/>
  <c r="C16" i="39"/>
  <c r="AD11" i="39"/>
  <c r="U16" i="39"/>
  <c r="L15" i="39"/>
  <c r="C13" i="39"/>
  <c r="AD13" i="39"/>
  <c r="U13" i="39"/>
  <c r="L13" i="39"/>
  <c r="C11" i="39"/>
  <c r="AD14" i="39"/>
  <c r="U8" i="39"/>
  <c r="L12" i="39"/>
  <c r="C15" i="39"/>
  <c r="AD12" i="39"/>
  <c r="U15" i="39"/>
  <c r="L11" i="39"/>
  <c r="C12" i="39"/>
  <c r="AD9" i="39"/>
  <c r="U12" i="39"/>
  <c r="L10" i="39"/>
  <c r="C10" i="39"/>
  <c r="AD10" i="39"/>
  <c r="U10" i="39"/>
  <c r="L8" i="39"/>
  <c r="C9" i="39"/>
  <c r="AD7" i="39"/>
  <c r="U6" i="39"/>
  <c r="L7" i="39"/>
  <c r="C5" i="39"/>
  <c r="AD6" i="39"/>
  <c r="U7" i="39"/>
  <c r="L5" i="39"/>
  <c r="C7" i="39"/>
  <c r="AD4" i="39"/>
  <c r="U9" i="39"/>
  <c r="L6" i="39"/>
  <c r="C8" i="39"/>
  <c r="AD5" i="39"/>
  <c r="U5" i="39"/>
  <c r="L9" i="39"/>
  <c r="C6" i="39"/>
  <c r="AD3" i="39"/>
  <c r="U4" i="39"/>
  <c r="L4" i="39"/>
  <c r="C4" i="39"/>
  <c r="AD8" i="39"/>
  <c r="U3" i="39"/>
  <c r="L3" i="39"/>
  <c r="C3" i="39"/>
  <c r="M3" i="18"/>
  <c r="I3" i="18"/>
  <c r="S5" i="18"/>
  <c r="C5" i="18"/>
  <c r="T5" i="18"/>
  <c r="B5" i="18"/>
  <c r="R1" i="18"/>
  <c r="T1" i="18"/>
  <c r="N27" i="18" s="1"/>
  <c r="S1" i="18"/>
  <c r="C1" i="18"/>
  <c r="D35" i="47"/>
  <c r="C35" i="47"/>
  <c r="D34" i="47"/>
  <c r="C34" i="47"/>
  <c r="D33" i="47"/>
  <c r="C33" i="47"/>
  <c r="D32" i="47"/>
  <c r="C32" i="47"/>
  <c r="D31" i="47"/>
  <c r="C31" i="47"/>
  <c r="D30" i="47"/>
  <c r="C30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M18" i="47"/>
  <c r="F18" i="47"/>
  <c r="M17" i="47"/>
  <c r="F17" i="47"/>
  <c r="D17" i="47"/>
  <c r="C17" i="47"/>
  <c r="M16" i="47"/>
  <c r="F16" i="47"/>
  <c r="D16" i="47"/>
  <c r="C16" i="47"/>
  <c r="M15" i="47"/>
  <c r="F15" i="47"/>
  <c r="D15" i="47"/>
  <c r="C15" i="47"/>
  <c r="D14" i="47"/>
  <c r="C14" i="47"/>
  <c r="D13" i="47"/>
  <c r="C13" i="47"/>
  <c r="M12" i="47"/>
  <c r="F12" i="47"/>
  <c r="D12" i="47"/>
  <c r="C12" i="47"/>
  <c r="M11" i="47"/>
  <c r="F11" i="47"/>
  <c r="M10" i="47"/>
  <c r="F10" i="47"/>
  <c r="M9" i="47"/>
  <c r="F9" i="47"/>
  <c r="D8" i="47"/>
  <c r="C8" i="47"/>
  <c r="D7" i="47"/>
  <c r="C7" i="47"/>
  <c r="M6" i="47"/>
  <c r="F6" i="47"/>
  <c r="D6" i="47"/>
  <c r="C6" i="47"/>
  <c r="M5" i="47"/>
  <c r="F5" i="47"/>
  <c r="D5" i="47"/>
  <c r="C5" i="47"/>
  <c r="M4" i="47"/>
  <c r="F4" i="47"/>
  <c r="D4" i="47"/>
  <c r="C4" i="47"/>
  <c r="M3" i="47"/>
  <c r="F3" i="47"/>
  <c r="D3" i="47"/>
  <c r="C3" i="47"/>
  <c r="D37" i="46"/>
  <c r="C37" i="46"/>
  <c r="D36" i="46"/>
  <c r="C36" i="46"/>
  <c r="D35" i="46"/>
  <c r="C35" i="46"/>
  <c r="D34" i="46"/>
  <c r="C34" i="46"/>
  <c r="D33" i="46"/>
  <c r="C33" i="46"/>
  <c r="D32" i="46"/>
  <c r="C32" i="46"/>
  <c r="D31" i="46"/>
  <c r="C31" i="46"/>
  <c r="D30" i="46"/>
  <c r="C30" i="46"/>
  <c r="D28" i="46"/>
  <c r="C28" i="46"/>
  <c r="D27" i="46"/>
  <c r="C27" i="46"/>
  <c r="D26" i="46"/>
  <c r="C26" i="46"/>
  <c r="D25" i="46"/>
  <c r="C25" i="46"/>
  <c r="M24" i="46"/>
  <c r="F24" i="46"/>
  <c r="D24" i="46"/>
  <c r="C24" i="46"/>
  <c r="M23" i="46"/>
  <c r="F23" i="46"/>
  <c r="D23" i="46"/>
  <c r="C23" i="46"/>
  <c r="M22" i="46"/>
  <c r="F22" i="46"/>
  <c r="D22" i="46"/>
  <c r="C22" i="46"/>
  <c r="M21" i="46"/>
  <c r="F21" i="46"/>
  <c r="D21" i="46"/>
  <c r="C21" i="46"/>
  <c r="D19" i="46"/>
  <c r="C19" i="46"/>
  <c r="M18" i="46"/>
  <c r="F18" i="46"/>
  <c r="D18" i="46"/>
  <c r="C18" i="46"/>
  <c r="M17" i="46"/>
  <c r="F17" i="46"/>
  <c r="D17" i="46"/>
  <c r="C17" i="46"/>
  <c r="M16" i="46"/>
  <c r="F16" i="46"/>
  <c r="D16" i="46"/>
  <c r="C16" i="46"/>
  <c r="M15" i="46"/>
  <c r="F15" i="46"/>
  <c r="D15" i="46"/>
  <c r="C15" i="46"/>
  <c r="D14" i="46"/>
  <c r="C14" i="46"/>
  <c r="D13" i="46"/>
  <c r="C13" i="46"/>
  <c r="M12" i="46"/>
  <c r="F12" i="46"/>
  <c r="D12" i="46"/>
  <c r="C12" i="46"/>
  <c r="M11" i="46"/>
  <c r="F11" i="46"/>
  <c r="M10" i="46"/>
  <c r="F10" i="46"/>
  <c r="D10" i="46"/>
  <c r="C10" i="46"/>
  <c r="M9" i="46"/>
  <c r="F9" i="46"/>
  <c r="D9" i="46"/>
  <c r="C9" i="46"/>
  <c r="D8" i="46"/>
  <c r="C8" i="46"/>
  <c r="D7" i="46"/>
  <c r="C7" i="46"/>
  <c r="M6" i="46"/>
  <c r="F6" i="46"/>
  <c r="D6" i="46"/>
  <c r="C6" i="46"/>
  <c r="M5" i="46"/>
  <c r="F5" i="46"/>
  <c r="D5" i="46"/>
  <c r="C5" i="46"/>
  <c r="M4" i="46"/>
  <c r="F4" i="46"/>
  <c r="D4" i="46"/>
  <c r="C4" i="46"/>
  <c r="M3" i="46"/>
  <c r="F3" i="46"/>
  <c r="D3" i="46"/>
  <c r="C3" i="46"/>
  <c r="T36" i="43"/>
  <c r="K36" i="43"/>
  <c r="B36" i="43"/>
  <c r="T35" i="43"/>
  <c r="K35" i="43"/>
  <c r="B35" i="43"/>
  <c r="T34" i="43"/>
  <c r="K34" i="43"/>
  <c r="B34" i="43"/>
  <c r="T33" i="43"/>
  <c r="K33" i="43"/>
  <c r="B33" i="43"/>
  <c r="T32" i="43"/>
  <c r="K32" i="43"/>
  <c r="B32" i="43"/>
  <c r="T31" i="43"/>
  <c r="K31" i="43"/>
  <c r="B31" i="43"/>
  <c r="T30" i="43"/>
  <c r="K30" i="43"/>
  <c r="B30" i="43"/>
  <c r="T29" i="43"/>
  <c r="K29" i="43"/>
  <c r="B29" i="43"/>
  <c r="T28" i="43"/>
  <c r="K28" i="43"/>
  <c r="B28" i="43"/>
  <c r="T27" i="43"/>
  <c r="K27" i="43"/>
  <c r="B27" i="43"/>
  <c r="T26" i="43"/>
  <c r="K26" i="43"/>
  <c r="B26" i="43"/>
  <c r="T25" i="43"/>
  <c r="K25" i="43"/>
  <c r="B25" i="43"/>
  <c r="T24" i="43"/>
  <c r="K24" i="43"/>
  <c r="B24" i="43"/>
  <c r="T23" i="43"/>
  <c r="K23" i="43"/>
  <c r="B23" i="43"/>
  <c r="T22" i="43"/>
  <c r="K22" i="43"/>
  <c r="B22" i="43"/>
  <c r="T21" i="43"/>
  <c r="K21" i="43"/>
  <c r="B21" i="43"/>
  <c r="AC18" i="43"/>
  <c r="T18" i="43"/>
  <c r="K18" i="43"/>
  <c r="B18" i="43"/>
  <c r="AC17" i="43"/>
  <c r="T17" i="43"/>
  <c r="K17" i="43"/>
  <c r="B17" i="43"/>
  <c r="AC16" i="43"/>
  <c r="T16" i="43"/>
  <c r="K16" i="43"/>
  <c r="B16" i="43"/>
  <c r="AC15" i="43"/>
  <c r="T15" i="43"/>
  <c r="K15" i="43"/>
  <c r="B15" i="43"/>
  <c r="AC14" i="43"/>
  <c r="T14" i="43"/>
  <c r="K14" i="43"/>
  <c r="B14" i="43"/>
  <c r="AC13" i="43"/>
  <c r="T13" i="43"/>
  <c r="K13" i="43"/>
  <c r="B13" i="43"/>
  <c r="AC12" i="43"/>
  <c r="T12" i="43"/>
  <c r="K12" i="43"/>
  <c r="B12" i="43"/>
  <c r="AC11" i="43"/>
  <c r="T11" i="43"/>
  <c r="K11" i="43"/>
  <c r="B11" i="43"/>
  <c r="AC10" i="43"/>
  <c r="T10" i="43"/>
  <c r="K10" i="43"/>
  <c r="B10" i="43"/>
  <c r="AC9" i="43"/>
  <c r="T9" i="43"/>
  <c r="K9" i="43"/>
  <c r="B9" i="43"/>
  <c r="AC8" i="43"/>
  <c r="T8" i="43"/>
  <c r="K8" i="43"/>
  <c r="B8" i="43"/>
  <c r="AC7" i="43"/>
  <c r="T7" i="43"/>
  <c r="K7" i="43"/>
  <c r="B7" i="43"/>
  <c r="AC6" i="43"/>
  <c r="T6" i="43"/>
  <c r="K6" i="43"/>
  <c r="B6" i="43"/>
  <c r="AC5" i="43"/>
  <c r="T5" i="43"/>
  <c r="K5" i="43"/>
  <c r="B5" i="43"/>
  <c r="AC4" i="43"/>
  <c r="T4" i="43"/>
  <c r="K4" i="43"/>
  <c r="B4" i="43"/>
  <c r="AC3" i="43"/>
  <c r="T3" i="43"/>
  <c r="K3" i="43"/>
  <c r="B3" i="43"/>
  <c r="AS35" i="49"/>
  <c r="AR35" i="49"/>
  <c r="AS34" i="49"/>
  <c r="AR34" i="49"/>
  <c r="AS33" i="49"/>
  <c r="AR33" i="49"/>
  <c r="AS32" i="49"/>
  <c r="AR32" i="49"/>
  <c r="AS31" i="49"/>
  <c r="AR31" i="49"/>
  <c r="AS30" i="49"/>
  <c r="AR30" i="49"/>
  <c r="AS26" i="49"/>
  <c r="AR26" i="49"/>
  <c r="AS25" i="49"/>
  <c r="AR25" i="49"/>
  <c r="AS24" i="49"/>
  <c r="AR24" i="49"/>
  <c r="AS23" i="49"/>
  <c r="AR23" i="49"/>
  <c r="AS22" i="49"/>
  <c r="AR22" i="49"/>
  <c r="AS21" i="49"/>
  <c r="AR21" i="49"/>
  <c r="P18" i="49"/>
  <c r="C18" i="49"/>
  <c r="AS17" i="49"/>
  <c r="AR17" i="49"/>
  <c r="P17" i="49"/>
  <c r="C17" i="49"/>
  <c r="AS16" i="49"/>
  <c r="AR16" i="49"/>
  <c r="P16" i="49"/>
  <c r="C15" i="49"/>
  <c r="AS15" i="49"/>
  <c r="AR15" i="49"/>
  <c r="P15" i="49"/>
  <c r="C16" i="49"/>
  <c r="AS14" i="49"/>
  <c r="AR14" i="49"/>
  <c r="AS13" i="49"/>
  <c r="AR13" i="49"/>
  <c r="AS12" i="49"/>
  <c r="AR12" i="49"/>
  <c r="P11" i="49"/>
  <c r="C12" i="49"/>
  <c r="P12" i="49"/>
  <c r="C10" i="49"/>
  <c r="P9" i="49"/>
  <c r="C11" i="49"/>
  <c r="P10" i="49"/>
  <c r="C9" i="49"/>
  <c r="AS8" i="49"/>
  <c r="AR8" i="49"/>
  <c r="AS7" i="49"/>
  <c r="AR7" i="49"/>
  <c r="AS6" i="49"/>
  <c r="AR6" i="49"/>
  <c r="P4" i="49"/>
  <c r="C6" i="49"/>
  <c r="AS5" i="49"/>
  <c r="AR5" i="49"/>
  <c r="P6" i="49"/>
  <c r="C5" i="49"/>
  <c r="AS4" i="49"/>
  <c r="AR4" i="49"/>
  <c r="P5" i="49"/>
  <c r="C4" i="49"/>
  <c r="AS3" i="49"/>
  <c r="AR3" i="49"/>
  <c r="P3" i="49"/>
  <c r="C3" i="49"/>
  <c r="AS36" i="48"/>
  <c r="AR36" i="48"/>
  <c r="AS35" i="48"/>
  <c r="AR35" i="48"/>
  <c r="AS34" i="48"/>
  <c r="AR34" i="48"/>
  <c r="AS33" i="48"/>
  <c r="AR33" i="48"/>
  <c r="AS32" i="48"/>
  <c r="AR32" i="48"/>
  <c r="AS31" i="48"/>
  <c r="AR31" i="48"/>
  <c r="AS30" i="48"/>
  <c r="AR30" i="48"/>
  <c r="AS28" i="48"/>
  <c r="AR28" i="48"/>
  <c r="AS27" i="48"/>
  <c r="AR27" i="48"/>
  <c r="AS26" i="48"/>
  <c r="AR26" i="48"/>
  <c r="AS25" i="48"/>
  <c r="AR25" i="48"/>
  <c r="AS24" i="48"/>
  <c r="AR24" i="48"/>
  <c r="P24" i="48"/>
  <c r="C24" i="48"/>
  <c r="AS23" i="48"/>
  <c r="AR23" i="48"/>
  <c r="P23" i="48"/>
  <c r="C23" i="48"/>
  <c r="AS22" i="48"/>
  <c r="AR22" i="48"/>
  <c r="P22" i="48"/>
  <c r="C22" i="48"/>
  <c r="AS21" i="48"/>
  <c r="AR21" i="48"/>
  <c r="P21" i="48"/>
  <c r="C21" i="48"/>
  <c r="AS19" i="48"/>
  <c r="AR19" i="48"/>
  <c r="AS18" i="48"/>
  <c r="AR18" i="48"/>
  <c r="P18" i="48"/>
  <c r="C18" i="48"/>
  <c r="AS17" i="48"/>
  <c r="AR17" i="48"/>
  <c r="P17" i="48"/>
  <c r="C17" i="48"/>
  <c r="AS16" i="48"/>
  <c r="AR16" i="48"/>
  <c r="P16" i="48"/>
  <c r="C16" i="48"/>
  <c r="AS15" i="48"/>
  <c r="AR15" i="48"/>
  <c r="P15" i="48"/>
  <c r="C15" i="48"/>
  <c r="AS14" i="48"/>
  <c r="AR14" i="48"/>
  <c r="AS13" i="48"/>
  <c r="AR13" i="48"/>
  <c r="AS12" i="48"/>
  <c r="AR12" i="48"/>
  <c r="P12" i="48"/>
  <c r="C12" i="48"/>
  <c r="P11" i="48"/>
  <c r="C11" i="48"/>
  <c r="AS10" i="48"/>
  <c r="AR10" i="48"/>
  <c r="P10" i="48"/>
  <c r="C10" i="48"/>
  <c r="AS9" i="48"/>
  <c r="AR9" i="48"/>
  <c r="P9" i="48"/>
  <c r="C9" i="48"/>
  <c r="AS8" i="48"/>
  <c r="AR8" i="48"/>
  <c r="AS7" i="48"/>
  <c r="AR7" i="48"/>
  <c r="AS6" i="48"/>
  <c r="AR6" i="48"/>
  <c r="P6" i="48"/>
  <c r="C6" i="48"/>
  <c r="AS5" i="48"/>
  <c r="AR5" i="48"/>
  <c r="P5" i="48"/>
  <c r="C5" i="48"/>
  <c r="AS4" i="48"/>
  <c r="AR4" i="48"/>
  <c r="P4" i="48"/>
  <c r="C4" i="48"/>
  <c r="AS3" i="48"/>
  <c r="AR3" i="48"/>
  <c r="P3" i="48"/>
  <c r="C3" i="48"/>
  <c r="AA35" i="39"/>
  <c r="Z35" i="39"/>
  <c r="X35" i="39"/>
  <c r="W35" i="39"/>
  <c r="T35" i="39"/>
  <c r="R35" i="39"/>
  <c r="Q35" i="39"/>
  <c r="O35" i="39"/>
  <c r="N35" i="39"/>
  <c r="K35" i="39"/>
  <c r="I34" i="39"/>
  <c r="H34" i="39"/>
  <c r="F34" i="39"/>
  <c r="E34" i="39"/>
  <c r="B34" i="39"/>
  <c r="AA31" i="39"/>
  <c r="Z31" i="39"/>
  <c r="X31" i="39"/>
  <c r="W31" i="39"/>
  <c r="T31" i="39"/>
  <c r="R36" i="39"/>
  <c r="Q36" i="39"/>
  <c r="O36" i="39"/>
  <c r="N36" i="39"/>
  <c r="K36" i="39"/>
  <c r="I33" i="39"/>
  <c r="H33" i="39"/>
  <c r="F33" i="39"/>
  <c r="E33" i="39"/>
  <c r="B33" i="39"/>
  <c r="AA36" i="39"/>
  <c r="Z36" i="39"/>
  <c r="X36" i="39"/>
  <c r="W36" i="39"/>
  <c r="T36" i="39"/>
  <c r="R31" i="39"/>
  <c r="Q31" i="39"/>
  <c r="O31" i="39"/>
  <c r="N31" i="39"/>
  <c r="K31" i="39"/>
  <c r="I31" i="39"/>
  <c r="H31" i="39"/>
  <c r="F31" i="39"/>
  <c r="E31" i="39"/>
  <c r="B31" i="39"/>
  <c r="AA34" i="39"/>
  <c r="Z34" i="39"/>
  <c r="X34" i="39"/>
  <c r="W34" i="39"/>
  <c r="T34" i="39"/>
  <c r="R33" i="39"/>
  <c r="Q33" i="39"/>
  <c r="O33" i="39"/>
  <c r="N33" i="39"/>
  <c r="K33" i="39"/>
  <c r="I35" i="39"/>
  <c r="H35" i="39"/>
  <c r="F35" i="39"/>
  <c r="E35" i="39"/>
  <c r="B35" i="39"/>
  <c r="AA32" i="39"/>
  <c r="Z32" i="39"/>
  <c r="X32" i="39"/>
  <c r="W32" i="39"/>
  <c r="T32" i="39"/>
  <c r="R30" i="39"/>
  <c r="Q30" i="39"/>
  <c r="O30" i="39"/>
  <c r="N30" i="39"/>
  <c r="K30" i="39"/>
  <c r="I32" i="39"/>
  <c r="H32" i="39"/>
  <c r="F32" i="39"/>
  <c r="E32" i="39"/>
  <c r="B32" i="39"/>
  <c r="AA27" i="39"/>
  <c r="Z27" i="39"/>
  <c r="X27" i="39"/>
  <c r="W27" i="39"/>
  <c r="T27" i="39"/>
  <c r="R27" i="39"/>
  <c r="Q27" i="39"/>
  <c r="O27" i="39"/>
  <c r="N27" i="39"/>
  <c r="K27" i="39"/>
  <c r="I36" i="39"/>
  <c r="H36" i="39"/>
  <c r="F36" i="39"/>
  <c r="E36" i="39"/>
  <c r="B36" i="39"/>
  <c r="AA33" i="39"/>
  <c r="Z33" i="39"/>
  <c r="X33" i="39"/>
  <c r="W33" i="39"/>
  <c r="T33" i="39"/>
  <c r="R32" i="39"/>
  <c r="Q32" i="39"/>
  <c r="O32" i="39"/>
  <c r="N32" i="39"/>
  <c r="K32" i="39"/>
  <c r="I28" i="39"/>
  <c r="H28" i="39"/>
  <c r="F28" i="39"/>
  <c r="E28" i="39"/>
  <c r="B28" i="39"/>
  <c r="AA30" i="39"/>
  <c r="Z30" i="39"/>
  <c r="X30" i="39"/>
  <c r="W30" i="39"/>
  <c r="T30" i="39"/>
  <c r="R26" i="39"/>
  <c r="Q26" i="39"/>
  <c r="O26" i="39"/>
  <c r="N26" i="39"/>
  <c r="K26" i="39"/>
  <c r="I30" i="39"/>
  <c r="H30" i="39"/>
  <c r="F30" i="39"/>
  <c r="E30" i="39"/>
  <c r="B30" i="39"/>
  <c r="AA26" i="39"/>
  <c r="Z26" i="39"/>
  <c r="X26" i="39"/>
  <c r="W26" i="39"/>
  <c r="T26" i="39"/>
  <c r="R34" i="39"/>
  <c r="Q34" i="39"/>
  <c r="O34" i="39"/>
  <c r="N34" i="39"/>
  <c r="K34" i="39"/>
  <c r="I29" i="39"/>
  <c r="H29" i="39"/>
  <c r="F29" i="39"/>
  <c r="E29" i="39"/>
  <c r="B29" i="39"/>
  <c r="AA29" i="39"/>
  <c r="Z29" i="39"/>
  <c r="X29" i="39"/>
  <c r="W29" i="39"/>
  <c r="T29" i="39"/>
  <c r="R29" i="39"/>
  <c r="Q29" i="39"/>
  <c r="O29" i="39"/>
  <c r="N29" i="39"/>
  <c r="K29" i="39"/>
  <c r="I27" i="39"/>
  <c r="H27" i="39"/>
  <c r="F27" i="39"/>
  <c r="E27" i="39"/>
  <c r="B27" i="39"/>
  <c r="AA28" i="39"/>
  <c r="Z28" i="39"/>
  <c r="X28" i="39"/>
  <c r="W28" i="39"/>
  <c r="T28" i="39"/>
  <c r="R23" i="39"/>
  <c r="Q23" i="39"/>
  <c r="O23" i="39"/>
  <c r="N23" i="39"/>
  <c r="K23" i="39"/>
  <c r="I24" i="39"/>
  <c r="H24" i="39"/>
  <c r="F24" i="39"/>
  <c r="E24" i="39"/>
  <c r="B24" i="39"/>
  <c r="AA22" i="39"/>
  <c r="Z22" i="39"/>
  <c r="X22" i="39"/>
  <c r="W22" i="39"/>
  <c r="T22" i="39"/>
  <c r="R28" i="39"/>
  <c r="Q28" i="39"/>
  <c r="O28" i="39"/>
  <c r="N28" i="39"/>
  <c r="K28" i="39"/>
  <c r="I25" i="39"/>
  <c r="H25" i="39"/>
  <c r="F25" i="39"/>
  <c r="E25" i="39"/>
  <c r="B25" i="39"/>
  <c r="AA25" i="39"/>
  <c r="Z25" i="39"/>
  <c r="X25" i="39"/>
  <c r="W25" i="39"/>
  <c r="T25" i="39"/>
  <c r="R24" i="39"/>
  <c r="Q24" i="39"/>
  <c r="O24" i="39"/>
  <c r="N24" i="39"/>
  <c r="K24" i="39"/>
  <c r="I26" i="39"/>
  <c r="H26" i="39"/>
  <c r="F26" i="39"/>
  <c r="E26" i="39"/>
  <c r="B26" i="39"/>
  <c r="AA24" i="39"/>
  <c r="Z24" i="39"/>
  <c r="X24" i="39"/>
  <c r="W24" i="39"/>
  <c r="T24" i="39"/>
  <c r="R21" i="39"/>
  <c r="Q21" i="39"/>
  <c r="O21" i="39"/>
  <c r="N21" i="39"/>
  <c r="K21" i="39"/>
  <c r="I22" i="39"/>
  <c r="H22" i="39"/>
  <c r="F22" i="39"/>
  <c r="E22" i="39"/>
  <c r="B22" i="39"/>
  <c r="AA23" i="39"/>
  <c r="Z23" i="39"/>
  <c r="X23" i="39"/>
  <c r="W23" i="39"/>
  <c r="T23" i="39"/>
  <c r="R22" i="39"/>
  <c r="Q22" i="39"/>
  <c r="O22" i="39"/>
  <c r="N22" i="39"/>
  <c r="K22" i="39"/>
  <c r="I21" i="39"/>
  <c r="H21" i="39"/>
  <c r="F21" i="39"/>
  <c r="E21" i="39"/>
  <c r="B21" i="39"/>
  <c r="AA21" i="39"/>
  <c r="Z21" i="39"/>
  <c r="X21" i="39"/>
  <c r="W21" i="39"/>
  <c r="T21" i="39"/>
  <c r="R25" i="39"/>
  <c r="Q25" i="39"/>
  <c r="O25" i="39"/>
  <c r="N25" i="39"/>
  <c r="K25" i="39"/>
  <c r="I23" i="39"/>
  <c r="H23" i="39"/>
  <c r="F23" i="39"/>
  <c r="E23" i="39"/>
  <c r="B23" i="39"/>
  <c r="AJ18" i="39"/>
  <c r="AI18" i="39"/>
  <c r="AG18" i="39"/>
  <c r="AF18" i="39"/>
  <c r="AC18" i="39"/>
  <c r="AA18" i="39"/>
  <c r="Z18" i="39"/>
  <c r="X18" i="39"/>
  <c r="W18" i="39"/>
  <c r="T18" i="39"/>
  <c r="R18" i="39"/>
  <c r="Q18" i="39"/>
  <c r="O18" i="39"/>
  <c r="N18" i="39"/>
  <c r="K18" i="39"/>
  <c r="I18" i="39"/>
  <c r="H18" i="39"/>
  <c r="F18" i="39"/>
  <c r="E18" i="39"/>
  <c r="B18" i="39"/>
  <c r="AJ16" i="39"/>
  <c r="AI16" i="39"/>
  <c r="AG16" i="39"/>
  <c r="AF16" i="39"/>
  <c r="AC16" i="39"/>
  <c r="AA17" i="39"/>
  <c r="Z17" i="39"/>
  <c r="X17" i="39"/>
  <c r="W17" i="39"/>
  <c r="T17" i="39"/>
  <c r="R17" i="39"/>
  <c r="Q17" i="39"/>
  <c r="O17" i="39"/>
  <c r="N17" i="39"/>
  <c r="K17" i="39"/>
  <c r="I17" i="39"/>
  <c r="H17" i="39"/>
  <c r="F17" i="39"/>
  <c r="E17" i="39"/>
  <c r="B17" i="39"/>
  <c r="AJ17" i="39"/>
  <c r="AI17" i="39"/>
  <c r="AG17" i="39"/>
  <c r="AF17" i="39"/>
  <c r="AC17" i="39"/>
  <c r="AA11" i="39"/>
  <c r="Z11" i="39"/>
  <c r="X11" i="39"/>
  <c r="W11" i="39"/>
  <c r="T11" i="39"/>
  <c r="R16" i="39"/>
  <c r="Q16" i="39"/>
  <c r="O16" i="39"/>
  <c r="N16" i="39"/>
  <c r="K16" i="39"/>
  <c r="I14" i="39"/>
  <c r="H14" i="39"/>
  <c r="F14" i="39"/>
  <c r="E14" i="39"/>
  <c r="B14" i="39"/>
  <c r="AJ15" i="39"/>
  <c r="AI15" i="39"/>
  <c r="AG15" i="39"/>
  <c r="AF15" i="39"/>
  <c r="AC15" i="39"/>
  <c r="AA14" i="39"/>
  <c r="Z14" i="39"/>
  <c r="X14" i="39"/>
  <c r="W14" i="39"/>
  <c r="T14" i="39"/>
  <c r="R14" i="39"/>
  <c r="Q14" i="39"/>
  <c r="O14" i="39"/>
  <c r="N14" i="39"/>
  <c r="K14" i="39"/>
  <c r="I16" i="39"/>
  <c r="H16" i="39"/>
  <c r="F16" i="39"/>
  <c r="E16" i="39"/>
  <c r="B16" i="39"/>
  <c r="AJ11" i="39"/>
  <c r="AI11" i="39"/>
  <c r="AG11" i="39"/>
  <c r="AF11" i="39"/>
  <c r="AC11" i="39"/>
  <c r="AA16" i="39"/>
  <c r="Z16" i="39"/>
  <c r="X16" i="39"/>
  <c r="W16" i="39"/>
  <c r="T16" i="39"/>
  <c r="R15" i="39"/>
  <c r="Q15" i="39"/>
  <c r="O15" i="39"/>
  <c r="N15" i="39"/>
  <c r="K15" i="39"/>
  <c r="I13" i="39"/>
  <c r="H13" i="39"/>
  <c r="F13" i="39"/>
  <c r="E13" i="39"/>
  <c r="B13" i="39"/>
  <c r="AJ13" i="39"/>
  <c r="AI13" i="39"/>
  <c r="AG13" i="39"/>
  <c r="AF13" i="39"/>
  <c r="AC13" i="39"/>
  <c r="AA13" i="39"/>
  <c r="Z13" i="39"/>
  <c r="X13" i="39"/>
  <c r="W13" i="39"/>
  <c r="T13" i="39"/>
  <c r="R13" i="39"/>
  <c r="Q13" i="39"/>
  <c r="O13" i="39"/>
  <c r="N13" i="39"/>
  <c r="K13" i="39"/>
  <c r="I11" i="39"/>
  <c r="H11" i="39"/>
  <c r="F11" i="39"/>
  <c r="E11" i="39"/>
  <c r="B11" i="39"/>
  <c r="AJ14" i="39"/>
  <c r="AI14" i="39"/>
  <c r="AG14" i="39"/>
  <c r="AF14" i="39"/>
  <c r="AC14" i="39"/>
  <c r="AA8" i="39"/>
  <c r="Z8" i="39"/>
  <c r="X8" i="39"/>
  <c r="W8" i="39"/>
  <c r="T8" i="39"/>
  <c r="R12" i="39"/>
  <c r="Q12" i="39"/>
  <c r="O12" i="39"/>
  <c r="N12" i="39"/>
  <c r="K12" i="39"/>
  <c r="I15" i="39"/>
  <c r="H15" i="39"/>
  <c r="F15" i="39"/>
  <c r="E15" i="39"/>
  <c r="B15" i="39"/>
  <c r="AJ12" i="39"/>
  <c r="AI12" i="39"/>
  <c r="AG12" i="39"/>
  <c r="AF12" i="39"/>
  <c r="AC12" i="39"/>
  <c r="AA15" i="39"/>
  <c r="Z15" i="39"/>
  <c r="X15" i="39"/>
  <c r="W15" i="39"/>
  <c r="T15" i="39"/>
  <c r="R11" i="39"/>
  <c r="Q11" i="39"/>
  <c r="O11" i="39"/>
  <c r="N11" i="39"/>
  <c r="K11" i="39"/>
  <c r="I12" i="39"/>
  <c r="H12" i="39"/>
  <c r="F12" i="39"/>
  <c r="E12" i="39"/>
  <c r="B12" i="39"/>
  <c r="AJ9" i="39"/>
  <c r="AI9" i="39"/>
  <c r="AG9" i="39"/>
  <c r="AF9" i="39"/>
  <c r="AC9" i="39"/>
  <c r="AA12" i="39"/>
  <c r="Z12" i="39"/>
  <c r="X12" i="39"/>
  <c r="W12" i="39"/>
  <c r="T12" i="39"/>
  <c r="R10" i="39"/>
  <c r="Q10" i="39"/>
  <c r="O10" i="39"/>
  <c r="N10" i="39"/>
  <c r="K10" i="39"/>
  <c r="I10" i="39"/>
  <c r="H10" i="39"/>
  <c r="F10" i="39"/>
  <c r="E10" i="39"/>
  <c r="B10" i="39"/>
  <c r="AJ10" i="39"/>
  <c r="AI10" i="39"/>
  <c r="AG10" i="39"/>
  <c r="AF10" i="39"/>
  <c r="AC10" i="39"/>
  <c r="AA10" i="39"/>
  <c r="Z10" i="39"/>
  <c r="X10" i="39"/>
  <c r="W10" i="39"/>
  <c r="T10" i="39"/>
  <c r="R8" i="39"/>
  <c r="Q8" i="39"/>
  <c r="O8" i="39"/>
  <c r="N8" i="39"/>
  <c r="K8" i="39"/>
  <c r="I9" i="39"/>
  <c r="H9" i="39"/>
  <c r="F9" i="39"/>
  <c r="E9" i="39"/>
  <c r="B9" i="39"/>
  <c r="AJ7" i="39"/>
  <c r="AI7" i="39"/>
  <c r="AG7" i="39"/>
  <c r="AF7" i="39"/>
  <c r="AC7" i="39"/>
  <c r="AA6" i="39"/>
  <c r="Z6" i="39"/>
  <c r="X6" i="39"/>
  <c r="W6" i="39"/>
  <c r="T6" i="39"/>
  <c r="R7" i="39"/>
  <c r="Q7" i="39"/>
  <c r="O7" i="39"/>
  <c r="N7" i="39"/>
  <c r="K7" i="39"/>
  <c r="I5" i="39"/>
  <c r="H5" i="39"/>
  <c r="F5" i="39"/>
  <c r="E5" i="39"/>
  <c r="B5" i="39"/>
  <c r="AJ6" i="39"/>
  <c r="AI6" i="39"/>
  <c r="AG6" i="39"/>
  <c r="AF6" i="39"/>
  <c r="AC6" i="39"/>
  <c r="AA7" i="39"/>
  <c r="Z7" i="39"/>
  <c r="X7" i="39"/>
  <c r="W7" i="39"/>
  <c r="T7" i="39"/>
  <c r="R5" i="39"/>
  <c r="Q5" i="39"/>
  <c r="O5" i="39"/>
  <c r="N5" i="39"/>
  <c r="K5" i="39"/>
  <c r="I7" i="39"/>
  <c r="H7" i="39"/>
  <c r="F7" i="39"/>
  <c r="E7" i="39"/>
  <c r="B7" i="39"/>
  <c r="AJ4" i="39"/>
  <c r="AI4" i="39"/>
  <c r="AG4" i="39"/>
  <c r="AF4" i="39"/>
  <c r="AC4" i="39"/>
  <c r="AA9" i="39"/>
  <c r="Z9" i="39"/>
  <c r="X9" i="39"/>
  <c r="W9" i="39"/>
  <c r="T9" i="39"/>
  <c r="R6" i="39"/>
  <c r="Q6" i="39"/>
  <c r="O6" i="39"/>
  <c r="N6" i="39"/>
  <c r="K6" i="39"/>
  <c r="I8" i="39"/>
  <c r="H8" i="39"/>
  <c r="F8" i="39"/>
  <c r="E8" i="39"/>
  <c r="B8" i="39"/>
  <c r="AJ5" i="39"/>
  <c r="AI5" i="39"/>
  <c r="AG5" i="39"/>
  <c r="AF5" i="39"/>
  <c r="AC5" i="39"/>
  <c r="AA5" i="39"/>
  <c r="Z5" i="39"/>
  <c r="X5" i="39"/>
  <c r="W5" i="39"/>
  <c r="T5" i="39"/>
  <c r="R9" i="39"/>
  <c r="Q9" i="39"/>
  <c r="O9" i="39"/>
  <c r="N9" i="39"/>
  <c r="K9" i="39"/>
  <c r="I6" i="39"/>
  <c r="H6" i="39"/>
  <c r="F6" i="39"/>
  <c r="E6" i="39"/>
  <c r="B6" i="39"/>
  <c r="AJ3" i="39"/>
  <c r="AI3" i="39"/>
  <c r="AG3" i="39"/>
  <c r="AF3" i="39"/>
  <c r="AC3" i="39"/>
  <c r="AA4" i="39"/>
  <c r="Z4" i="39"/>
  <c r="X4" i="39"/>
  <c r="W4" i="39"/>
  <c r="T4" i="39"/>
  <c r="R4" i="39"/>
  <c r="Q4" i="39"/>
  <c r="O4" i="39"/>
  <c r="N4" i="39"/>
  <c r="K4" i="39"/>
  <c r="I4" i="39"/>
  <c r="H4" i="39"/>
  <c r="F4" i="39"/>
  <c r="E4" i="39"/>
  <c r="B4" i="39"/>
  <c r="AJ8" i="39"/>
  <c r="AI8" i="39"/>
  <c r="AG8" i="39"/>
  <c r="AF8" i="39"/>
  <c r="AC8" i="39"/>
  <c r="AA3" i="39"/>
  <c r="Z3" i="39"/>
  <c r="X3" i="39"/>
  <c r="W3" i="39"/>
  <c r="T3" i="39"/>
  <c r="R3" i="39"/>
  <c r="Q3" i="39"/>
  <c r="O3" i="39"/>
  <c r="N3" i="39"/>
  <c r="K3" i="39"/>
  <c r="I3" i="39"/>
  <c r="H3" i="39"/>
  <c r="F3" i="39"/>
  <c r="E3" i="39"/>
  <c r="B3" i="39"/>
  <c r="Q35" i="18"/>
  <c r="O35" i="18"/>
  <c r="O36" i="18" s="1"/>
  <c r="M2" i="18"/>
  <c r="I2" i="18"/>
  <c r="T43" i="39"/>
  <c r="N1" i="18"/>
  <c r="M1" i="18"/>
  <c r="I1" i="18"/>
  <c r="H1" i="18"/>
  <c r="Q27" i="18" l="1"/>
  <c r="G36" i="48"/>
  <c r="G24" i="49"/>
  <c r="G25" i="49"/>
  <c r="G37" i="48"/>
  <c r="G26" i="49"/>
  <c r="G38" i="48"/>
  <c r="G23" i="49"/>
  <c r="G35" i="48"/>
  <c r="BR285" i="30"/>
  <c r="BS288" i="30"/>
  <c r="BT288" i="30" s="1"/>
  <c r="BS287" i="30"/>
  <c r="BU287" i="30"/>
  <c r="BU288" i="30"/>
  <c r="BV288" i="30" s="1"/>
  <c r="BT282" i="30"/>
  <c r="BW287" i="30"/>
  <c r="BW288" i="30"/>
  <c r="BX288" i="30" s="1"/>
  <c r="BQ287" i="30"/>
  <c r="BQ285" i="30" s="1"/>
  <c r="AR35" i="50"/>
  <c r="AS35" i="50" s="1"/>
  <c r="T35" i="50"/>
  <c r="U35" i="50" s="1"/>
  <c r="D35" i="50"/>
  <c r="E35" i="50" s="1"/>
  <c r="AB35" i="50"/>
  <c r="AC35" i="50" s="1"/>
  <c r="AZ35" i="50"/>
  <c r="BA35" i="50" s="1"/>
  <c r="L35" i="50"/>
  <c r="M35" i="50" s="1"/>
  <c r="AJ35" i="50"/>
  <c r="AK35" i="50" s="1"/>
  <c r="BS289" i="30" l="1"/>
  <c r="BT287" i="30"/>
  <c r="BS285" i="30"/>
  <c r="BX287" i="30"/>
  <c r="BX285" i="30" s="1"/>
  <c r="BW285" i="30"/>
  <c r="BV287" i="30"/>
  <c r="BV285" i="30" s="1"/>
  <c r="BU285" i="30"/>
  <c r="BE101" i="51"/>
  <c r="BE100" i="51"/>
  <c r="BE109" i="51"/>
  <c r="BE17" i="51"/>
  <c r="BE57" i="51"/>
  <c r="BE9" i="51"/>
  <c r="BE13" i="51"/>
  <c r="BE25" i="51"/>
  <c r="BE45" i="51"/>
  <c r="BE85" i="51"/>
  <c r="BE81" i="51"/>
  <c r="BE65" i="51"/>
  <c r="BE89" i="51"/>
  <c r="BE37" i="51"/>
  <c r="BE113" i="51"/>
  <c r="BE93" i="51"/>
  <c r="BE44" i="51"/>
  <c r="BE61" i="51"/>
  <c r="BE99" i="51"/>
  <c r="BE105" i="51"/>
  <c r="BE108" i="51"/>
  <c r="BE29" i="51"/>
  <c r="BE49" i="51"/>
  <c r="BE41" i="51"/>
  <c r="BE77" i="51"/>
  <c r="BE33" i="51"/>
  <c r="BE69" i="51"/>
  <c r="BE84" i="51"/>
  <c r="BE80" i="51"/>
  <c r="BE36" i="51"/>
  <c r="BE12" i="51"/>
  <c r="BE24" i="51"/>
  <c r="BE43" i="51"/>
  <c r="BE107" i="51"/>
  <c r="BE83" i="51"/>
  <c r="BE92" i="51"/>
  <c r="BE16" i="51"/>
  <c r="BE21" i="51"/>
  <c r="BE48" i="51"/>
  <c r="BE97" i="51"/>
  <c r="BE28" i="51"/>
  <c r="BE40" i="51"/>
  <c r="BE64" i="51"/>
  <c r="BE5" i="51"/>
  <c r="BE20" i="51"/>
  <c r="BE56" i="51"/>
  <c r="BE60" i="51"/>
  <c r="BE91" i="51"/>
  <c r="BE112" i="51"/>
  <c r="BE27" i="51"/>
  <c r="BE53" i="51"/>
  <c r="BE32" i="51"/>
  <c r="BE90" i="51"/>
  <c r="BE8" i="51"/>
  <c r="BE73" i="51"/>
  <c r="BE19" i="51"/>
  <c r="BE31" i="51"/>
  <c r="BE72" i="51"/>
  <c r="BE23" i="51"/>
  <c r="BE63" i="51"/>
  <c r="BE96" i="51"/>
  <c r="BE79" i="51"/>
  <c r="BE35" i="51"/>
  <c r="BE111" i="51"/>
  <c r="BE87" i="51"/>
  <c r="BE55" i="51"/>
  <c r="BE62" i="51"/>
  <c r="BE110" i="51"/>
  <c r="BE47" i="51"/>
  <c r="BE95" i="51"/>
  <c r="BE86" i="51"/>
  <c r="BE104" i="51"/>
  <c r="BE4" i="51"/>
  <c r="BE68" i="51"/>
  <c r="BE15" i="51"/>
  <c r="BE30" i="51"/>
  <c r="BE52" i="51"/>
  <c r="BE39" i="51"/>
  <c r="BE42" i="51"/>
  <c r="BE22" i="51"/>
  <c r="BE82" i="51"/>
  <c r="BE26" i="51"/>
  <c r="BE38" i="51"/>
  <c r="BE3" i="51"/>
  <c r="BE54" i="51"/>
  <c r="BE18" i="51"/>
  <c r="BE76" i="51"/>
  <c r="BE67" i="51"/>
  <c r="BE106" i="51"/>
  <c r="BE75" i="51"/>
  <c r="BE71" i="51"/>
  <c r="BE103" i="51"/>
  <c r="BE102" i="51"/>
  <c r="BE2" i="51"/>
  <c r="BE11" i="51"/>
  <c r="BE46" i="51"/>
  <c r="BE10" i="51"/>
  <c r="BE59" i="51"/>
  <c r="BE34" i="51"/>
  <c r="BE70" i="51"/>
  <c r="BE7" i="51"/>
  <c r="BE98" i="51"/>
  <c r="BE6" i="51"/>
  <c r="BE51" i="51"/>
  <c r="BE78" i="51"/>
  <c r="BE50" i="51"/>
  <c r="BE74" i="51"/>
  <c r="BE66" i="51"/>
  <c r="BE94" i="51"/>
  <c r="BE58" i="51"/>
  <c r="BE88" i="51"/>
  <c r="AX112" i="51"/>
  <c r="BO112" i="51" s="1"/>
  <c r="BQ112" i="51" s="1"/>
  <c r="AX80" i="51"/>
  <c r="BO80" i="51" s="1"/>
  <c r="BQ80" i="51" s="1"/>
  <c r="AX3" i="51"/>
  <c r="BO3" i="51" s="1"/>
  <c r="BQ3" i="51" s="1"/>
  <c r="AN3" i="51"/>
  <c r="AX111" i="51"/>
  <c r="BO111" i="51" s="1"/>
  <c r="BQ111" i="51" s="1"/>
  <c r="AS111" i="51"/>
  <c r="AT111" i="51" s="1"/>
  <c r="BC28" i="50" s="1"/>
  <c r="AN111" i="51"/>
  <c r="AX34" i="51"/>
  <c r="BO34" i="51" s="1"/>
  <c r="BQ34" i="51" s="1"/>
  <c r="AX99" i="51"/>
  <c r="BO99" i="51" s="1"/>
  <c r="BQ99" i="51" s="1"/>
  <c r="AN99" i="51"/>
  <c r="AX63" i="51"/>
  <c r="BO63" i="51" s="1"/>
  <c r="BQ63" i="51" s="1"/>
  <c r="AX103" i="51"/>
  <c r="BO103" i="51" s="1"/>
  <c r="BQ103" i="51" s="1"/>
  <c r="AN103" i="51"/>
  <c r="AX47" i="51"/>
  <c r="BO47" i="51" s="1"/>
  <c r="BQ47" i="51" s="1"/>
  <c r="AX86" i="51"/>
  <c r="BO86" i="51" s="1"/>
  <c r="BQ86" i="51" s="1"/>
  <c r="AN86" i="51"/>
  <c r="AX42" i="51"/>
  <c r="BO42" i="51" s="1"/>
  <c r="BQ42" i="51" s="1"/>
  <c r="AX27" i="51"/>
  <c r="BO27" i="51" s="1"/>
  <c r="BQ27" i="51" s="1"/>
  <c r="AX51" i="51"/>
  <c r="BO51" i="51" s="1"/>
  <c r="BQ51" i="51" s="1"/>
  <c r="AN51" i="51"/>
  <c r="AX44" i="51"/>
  <c r="BO44" i="51" s="1"/>
  <c r="BQ44" i="51" s="1"/>
  <c r="AN44" i="51"/>
  <c r="AX23" i="51"/>
  <c r="BO23" i="51" s="1"/>
  <c r="BQ23" i="51" s="1"/>
  <c r="AN23" i="51"/>
  <c r="AX92" i="51"/>
  <c r="BO92" i="51" s="1"/>
  <c r="BQ92" i="51" s="1"/>
  <c r="AN92" i="51"/>
  <c r="AX84" i="51"/>
  <c r="BO84" i="51" s="1"/>
  <c r="BQ84" i="51" s="1"/>
  <c r="AN84" i="51"/>
  <c r="AX17" i="51"/>
  <c r="BO17" i="51" s="1"/>
  <c r="BQ17" i="51" s="1"/>
  <c r="AN17" i="51"/>
  <c r="AX28" i="51"/>
  <c r="BO28" i="51" s="1"/>
  <c r="BQ28" i="51" s="1"/>
  <c r="AX102" i="51"/>
  <c r="BO102" i="51" s="1"/>
  <c r="BQ102" i="51" s="1"/>
  <c r="AN102" i="51"/>
  <c r="AX16" i="51"/>
  <c r="BO16" i="51" s="1"/>
  <c r="BQ16" i="51" s="1"/>
  <c r="AX54" i="51"/>
  <c r="BO54" i="51" s="1"/>
  <c r="BQ54" i="51" s="1"/>
  <c r="AN54" i="51"/>
  <c r="AX48" i="51"/>
  <c r="BO48" i="51" s="1"/>
  <c r="BQ48" i="51" s="1"/>
  <c r="AN48" i="51"/>
  <c r="AX21" i="51"/>
  <c r="BO21" i="51" s="1"/>
  <c r="BQ21" i="51" s="1"/>
  <c r="AS21" i="51"/>
  <c r="AT21" i="51" s="1"/>
  <c r="O18" i="50" s="1"/>
  <c r="AN21" i="51"/>
  <c r="AK21" i="51"/>
  <c r="AX25" i="51"/>
  <c r="BO25" i="51" s="1"/>
  <c r="BQ25" i="51" s="1"/>
  <c r="AN25" i="51"/>
  <c r="AX85" i="51"/>
  <c r="BO85" i="51" s="1"/>
  <c r="BQ85" i="51" s="1"/>
  <c r="AN85" i="51"/>
  <c r="AX76" i="51"/>
  <c r="BO76" i="51" s="1"/>
  <c r="BQ76" i="51" s="1"/>
  <c r="AX75" i="51"/>
  <c r="BO75" i="51" s="1"/>
  <c r="BQ75" i="51" s="1"/>
  <c r="AN75" i="51"/>
  <c r="AX82" i="51"/>
  <c r="BO82" i="51" s="1"/>
  <c r="BQ82" i="51" s="1"/>
  <c r="AN82" i="51"/>
  <c r="AX113" i="51"/>
  <c r="BO113" i="51" s="1"/>
  <c r="BQ113" i="51" s="1"/>
  <c r="AN113" i="51"/>
  <c r="AX69" i="51"/>
  <c r="BO69" i="51" s="1"/>
  <c r="BQ69" i="51" s="1"/>
  <c r="AN69" i="51"/>
  <c r="AX94" i="51"/>
  <c r="BO94" i="51" s="1"/>
  <c r="BQ94" i="51" s="1"/>
  <c r="AN94" i="51"/>
  <c r="AX79" i="51"/>
  <c r="BO79" i="51" s="1"/>
  <c r="BQ79" i="51" s="1"/>
  <c r="AN79" i="51"/>
  <c r="AX106" i="51"/>
  <c r="BO106" i="51" s="1"/>
  <c r="BQ106" i="51" s="1"/>
  <c r="AX93" i="51"/>
  <c r="BO93" i="51" s="1"/>
  <c r="BQ93" i="51" s="1"/>
  <c r="AN93" i="51"/>
  <c r="AX98" i="51"/>
  <c r="BO98" i="51" s="1"/>
  <c r="BQ98" i="51" s="1"/>
  <c r="AN98" i="51"/>
  <c r="AX58" i="51"/>
  <c r="BO58" i="51" s="1"/>
  <c r="BQ58" i="51" s="1"/>
  <c r="AX96" i="51"/>
  <c r="BO96" i="51" s="1"/>
  <c r="BQ96" i="51" s="1"/>
  <c r="AN96" i="51"/>
  <c r="AX56" i="51"/>
  <c r="BO56" i="51" s="1"/>
  <c r="BQ56" i="51" s="1"/>
  <c r="AN56" i="51"/>
  <c r="AX12" i="51"/>
  <c r="BO12" i="51" s="1"/>
  <c r="BQ12" i="51" s="1"/>
  <c r="AN12" i="51"/>
  <c r="AX10" i="51"/>
  <c r="BO10" i="51" s="1"/>
  <c r="BQ10" i="51" s="1"/>
  <c r="AN10" i="51"/>
  <c r="AJ10" i="51"/>
  <c r="AX67" i="51"/>
  <c r="BO67" i="51" s="1"/>
  <c r="BQ67" i="51" s="1"/>
  <c r="AN67" i="51"/>
  <c r="AX53" i="51"/>
  <c r="BO53" i="51" s="1"/>
  <c r="BQ53" i="51" s="1"/>
  <c r="AX6" i="51"/>
  <c r="BO6" i="51" s="1"/>
  <c r="BQ6" i="51" s="1"/>
  <c r="AN6" i="51"/>
  <c r="AX35" i="51"/>
  <c r="BO35" i="51" s="1"/>
  <c r="BQ35" i="51" s="1"/>
  <c r="AN35" i="51"/>
  <c r="AX78" i="51"/>
  <c r="BO78" i="51" s="1"/>
  <c r="BQ78" i="51" s="1"/>
  <c r="AS78" i="51"/>
  <c r="AT78" i="51" s="1"/>
  <c r="AM27" i="50" s="1"/>
  <c r="AN78" i="51"/>
  <c r="AX70" i="51"/>
  <c r="BO70" i="51" s="1"/>
  <c r="BQ70" i="51" s="1"/>
  <c r="AX11" i="51"/>
  <c r="BO11" i="51" s="1"/>
  <c r="BQ11" i="51" s="1"/>
  <c r="AS11" i="51"/>
  <c r="AT11" i="51" s="1"/>
  <c r="G24" i="50" s="1"/>
  <c r="AN11" i="51"/>
  <c r="AK11" i="51"/>
  <c r="AJ11" i="51"/>
  <c r="AX71" i="51"/>
  <c r="BO71" i="51" s="1"/>
  <c r="BQ71" i="51" s="1"/>
  <c r="AX64" i="51"/>
  <c r="BO64" i="51" s="1"/>
  <c r="BQ64" i="51" s="1"/>
  <c r="AX8" i="51"/>
  <c r="BO8" i="51" s="1"/>
  <c r="BQ8" i="51" s="1"/>
  <c r="AN8" i="51"/>
  <c r="AX40" i="51"/>
  <c r="BO40" i="51" s="1"/>
  <c r="BQ40" i="51" s="1"/>
  <c r="AN40" i="51"/>
  <c r="AX29" i="51"/>
  <c r="BO29" i="51" s="1"/>
  <c r="BQ29" i="51" s="1"/>
  <c r="AN29" i="51"/>
  <c r="AX7" i="51"/>
  <c r="BO7" i="51" s="1"/>
  <c r="BQ7" i="51" s="1"/>
  <c r="AR7" i="51"/>
  <c r="H20" i="50" s="1"/>
  <c r="AX65" i="51"/>
  <c r="BO65" i="51" s="1"/>
  <c r="BQ65" i="51" s="1"/>
  <c r="AS65" i="51"/>
  <c r="AT65" i="51" s="1"/>
  <c r="AE30" i="50" s="1"/>
  <c r="AN65" i="51"/>
  <c r="AK65" i="51"/>
  <c r="AJ65" i="51"/>
  <c r="H16" i="46" s="1"/>
  <c r="AX61" i="51"/>
  <c r="BO61" i="51" s="1"/>
  <c r="BQ61" i="51" s="1"/>
  <c r="AX66" i="51"/>
  <c r="BO66" i="51" s="1"/>
  <c r="BQ66" i="51" s="1"/>
  <c r="AN66" i="51"/>
  <c r="AX55" i="51"/>
  <c r="BO55" i="51" s="1"/>
  <c r="BQ55" i="51" s="1"/>
  <c r="AN55" i="51"/>
  <c r="AX37" i="51"/>
  <c r="BO37" i="51" s="1"/>
  <c r="BQ37" i="51" s="1"/>
  <c r="AN37" i="51"/>
  <c r="AX20" i="51"/>
  <c r="BO20" i="51" s="1"/>
  <c r="BQ20" i="51" s="1"/>
  <c r="AN20" i="51"/>
  <c r="AX31" i="51"/>
  <c r="BO31" i="51" s="1"/>
  <c r="BQ31" i="51" s="1"/>
  <c r="AN31" i="51"/>
  <c r="AX97" i="51"/>
  <c r="BO97" i="51" s="1"/>
  <c r="BQ97" i="51" s="1"/>
  <c r="AX83" i="51"/>
  <c r="BO83" i="51" s="1"/>
  <c r="BQ83" i="51" s="1"/>
  <c r="AN83" i="51"/>
  <c r="AX36" i="51"/>
  <c r="BO36" i="51" s="1"/>
  <c r="BQ36" i="51" s="1"/>
  <c r="AN36" i="51"/>
  <c r="AX89" i="51"/>
  <c r="BO89" i="51" s="1"/>
  <c r="BQ89" i="51" s="1"/>
  <c r="AN89" i="51"/>
  <c r="AX74" i="51"/>
  <c r="BO74" i="51" s="1"/>
  <c r="BQ74" i="51" s="1"/>
  <c r="AN74" i="51"/>
  <c r="AX52" i="51"/>
  <c r="BO52" i="51" s="1"/>
  <c r="BQ52" i="51" s="1"/>
  <c r="AN52" i="51"/>
  <c r="AX91" i="51"/>
  <c r="BO91" i="51" s="1"/>
  <c r="BQ91" i="51" s="1"/>
  <c r="AN91" i="51"/>
  <c r="AX105" i="51"/>
  <c r="BO105" i="51" s="1"/>
  <c r="BQ105" i="51" s="1"/>
  <c r="AS105" i="51"/>
  <c r="AT105" i="51" s="1"/>
  <c r="BC22" i="50" s="1"/>
  <c r="AN105" i="51"/>
  <c r="AX77" i="51"/>
  <c r="BO77" i="51" s="1"/>
  <c r="BQ77" i="51" s="1"/>
  <c r="AX39" i="51"/>
  <c r="BO39" i="51" s="1"/>
  <c r="BQ39" i="51" s="1"/>
  <c r="AS39" i="51"/>
  <c r="AT39" i="51" s="1"/>
  <c r="W20" i="50" s="1"/>
  <c r="AN39" i="51"/>
  <c r="AK39" i="51"/>
  <c r="AJ39" i="51"/>
  <c r="O4" i="47" s="1"/>
  <c r="AX109" i="51"/>
  <c r="BO109" i="51" s="1"/>
  <c r="BQ109" i="51" s="1"/>
  <c r="AN109" i="51"/>
  <c r="AX68" i="51"/>
  <c r="BO68" i="51" s="1"/>
  <c r="BQ68" i="51" s="1"/>
  <c r="AN68" i="51"/>
  <c r="AX95" i="51"/>
  <c r="BO95" i="51" s="1"/>
  <c r="BQ95" i="51" s="1"/>
  <c r="AN95" i="51"/>
  <c r="AX30" i="51"/>
  <c r="BO30" i="51" s="1"/>
  <c r="BQ30" i="51" s="1"/>
  <c r="AN30" i="51"/>
  <c r="AJ30" i="51"/>
  <c r="O6" i="47" s="1"/>
  <c r="AX4" i="51"/>
  <c r="BO4" i="51" s="1"/>
  <c r="AN4" i="51"/>
  <c r="AX9" i="51"/>
  <c r="BO9" i="51" s="1"/>
  <c r="BQ9" i="51" s="1"/>
  <c r="AS9" i="51"/>
  <c r="AT9" i="51" s="1"/>
  <c r="G22" i="50" s="1"/>
  <c r="AN9" i="51"/>
  <c r="AX38" i="51"/>
  <c r="BO38" i="51" s="1"/>
  <c r="BQ38" i="51" s="1"/>
  <c r="AN38" i="51"/>
  <c r="AK38" i="51"/>
  <c r="AX19" i="51"/>
  <c r="BO19" i="51" s="1"/>
  <c r="BQ19" i="51" s="1"/>
  <c r="AN19" i="51"/>
  <c r="AX101" i="51"/>
  <c r="BO101" i="51" s="1"/>
  <c r="BQ101" i="51" s="1"/>
  <c r="AN101" i="51"/>
  <c r="AX104" i="51"/>
  <c r="BO104" i="51" s="1"/>
  <c r="BQ104" i="51" s="1"/>
  <c r="AN104" i="51"/>
  <c r="AX32" i="51"/>
  <c r="BO32" i="51" s="1"/>
  <c r="BQ32" i="51" s="1"/>
  <c r="AN32" i="51"/>
  <c r="AX100" i="51"/>
  <c r="BO100" i="51" s="1"/>
  <c r="BQ100" i="51" s="1"/>
  <c r="AX24" i="51"/>
  <c r="BO24" i="51" s="1"/>
  <c r="BQ24" i="51" s="1"/>
  <c r="AN24" i="51"/>
  <c r="AX87" i="51"/>
  <c r="BO87" i="51" s="1"/>
  <c r="BQ87" i="51" s="1"/>
  <c r="AN87" i="51"/>
  <c r="AX60" i="51"/>
  <c r="BO60" i="51" s="1"/>
  <c r="BQ60" i="51" s="1"/>
  <c r="AN60" i="51"/>
  <c r="AX49" i="51"/>
  <c r="BO49" i="51" s="1"/>
  <c r="BQ49" i="51" s="1"/>
  <c r="AX50" i="51"/>
  <c r="BO50" i="51" s="1"/>
  <c r="BQ50" i="51" s="1"/>
  <c r="AN50" i="51"/>
  <c r="AX90" i="51"/>
  <c r="BO90" i="51" s="1"/>
  <c r="BQ90" i="51" s="1"/>
  <c r="AN90" i="51"/>
  <c r="AX41" i="51"/>
  <c r="BO41" i="51" s="1"/>
  <c r="BQ41" i="51" s="1"/>
  <c r="AN41" i="51"/>
  <c r="AX46" i="51"/>
  <c r="BO46" i="51" s="1"/>
  <c r="BQ46" i="51" s="1"/>
  <c r="AN46" i="51"/>
  <c r="AX72" i="51"/>
  <c r="BO72" i="51" s="1"/>
  <c r="BQ72" i="51" s="1"/>
  <c r="AN72" i="51"/>
  <c r="AK72" i="51"/>
  <c r="AX15" i="51"/>
  <c r="BO15" i="51" s="1"/>
  <c r="BQ15" i="51" s="1"/>
  <c r="AN15" i="51"/>
  <c r="AX2" i="51"/>
  <c r="BO2" i="51" s="1"/>
  <c r="AN2" i="51"/>
  <c r="AX26" i="51"/>
  <c r="BO26" i="51" s="1"/>
  <c r="BQ26" i="51" s="1"/>
  <c r="AN26" i="51"/>
  <c r="AX110" i="51"/>
  <c r="BO110" i="51" s="1"/>
  <c r="BQ110" i="51" s="1"/>
  <c r="AN110" i="51"/>
  <c r="AX22" i="51"/>
  <c r="BO22" i="51" s="1"/>
  <c r="BQ22" i="51" s="1"/>
  <c r="AN22" i="51"/>
  <c r="AX5" i="51"/>
  <c r="BO5" i="51" s="1"/>
  <c r="BQ5" i="51" s="1"/>
  <c r="AN5" i="51"/>
  <c r="AX13" i="51"/>
  <c r="BO13" i="51" s="1"/>
  <c r="BQ13" i="51" s="1"/>
  <c r="AN13" i="51"/>
  <c r="AX59" i="51"/>
  <c r="BO59" i="51" s="1"/>
  <c r="BQ59" i="51" s="1"/>
  <c r="AX18" i="51"/>
  <c r="BO18" i="51" s="1"/>
  <c r="BQ18" i="51" s="1"/>
  <c r="AS18" i="51"/>
  <c r="AT18" i="51" s="1"/>
  <c r="O15" i="50" s="1"/>
  <c r="AX108" i="51"/>
  <c r="BO108" i="51" s="1"/>
  <c r="BQ108" i="51" s="1"/>
  <c r="AX43" i="51"/>
  <c r="BO43" i="51" s="1"/>
  <c r="BQ43" i="51" s="1"/>
  <c r="AN43" i="51"/>
  <c r="AX45" i="51"/>
  <c r="BO45" i="51" s="1"/>
  <c r="BQ45" i="51" s="1"/>
  <c r="AN45" i="51"/>
  <c r="AX33" i="51"/>
  <c r="BO33" i="51" s="1"/>
  <c r="BQ33" i="51" s="1"/>
  <c r="AR33" i="51"/>
  <c r="P30" i="50" s="1"/>
  <c r="AN33" i="51"/>
  <c r="AX57" i="51"/>
  <c r="BO57" i="51" s="1"/>
  <c r="BQ57" i="51" s="1"/>
  <c r="AX62" i="51"/>
  <c r="BO62" i="51" s="1"/>
  <c r="BQ62" i="51" s="1"/>
  <c r="AN62" i="51"/>
  <c r="AX81" i="51"/>
  <c r="BO81" i="51" s="1"/>
  <c r="BQ81" i="51" s="1"/>
  <c r="AX107" i="51"/>
  <c r="BO107" i="51" s="1"/>
  <c r="BQ107" i="51" s="1"/>
  <c r="AX73" i="51"/>
  <c r="BO73" i="51" s="1"/>
  <c r="BQ73" i="51" s="1"/>
  <c r="AX14" i="51"/>
  <c r="BO14" i="51" s="1"/>
  <c r="BQ14" i="51" s="1"/>
  <c r="AX88" i="51"/>
  <c r="BO88" i="51" s="1"/>
  <c r="BQ88" i="51" s="1"/>
  <c r="BQ2" i="51" l="1"/>
  <c r="R5" i="18"/>
  <c r="BQ4" i="51"/>
  <c r="D5" i="18"/>
  <c r="BM14" i="51"/>
  <c r="AN108" i="51"/>
  <c r="AN61" i="51"/>
  <c r="AN73" i="51"/>
  <c r="AN18" i="51"/>
  <c r="AN107" i="51"/>
  <c r="AN49" i="51"/>
  <c r="AR83" i="51"/>
  <c r="AV16" i="50" s="1"/>
  <c r="AN42" i="51"/>
  <c r="AN100" i="51"/>
  <c r="AN16" i="51"/>
  <c r="AN57" i="51"/>
  <c r="AN70" i="51"/>
  <c r="AN80" i="51"/>
  <c r="AN27" i="51"/>
  <c r="AN58" i="51"/>
  <c r="AN112" i="51"/>
  <c r="AN47" i="51"/>
  <c r="AN63" i="51"/>
  <c r="AN81" i="51"/>
  <c r="AN59" i="51"/>
  <c r="AN76" i="51"/>
  <c r="AN28" i="51"/>
  <c r="AS34" i="51"/>
  <c r="AT34" i="51" s="1"/>
  <c r="W15" i="50" s="1"/>
  <c r="AJ71" i="51"/>
  <c r="AN53" i="51"/>
  <c r="AN88" i="51"/>
  <c r="AN71" i="51"/>
  <c r="AN64" i="51"/>
  <c r="AM81" i="51"/>
  <c r="AM18" i="51"/>
  <c r="AN77" i="51"/>
  <c r="AN97" i="51"/>
  <c r="AN7" i="51"/>
  <c r="AN34" i="51"/>
  <c r="AN106" i="51"/>
  <c r="AK88" i="51"/>
  <c r="AR106" i="51"/>
  <c r="BD23" i="50" s="1"/>
  <c r="AK106" i="51"/>
  <c r="AS106" i="51"/>
  <c r="AT106" i="51" s="1"/>
  <c r="BC23" i="50" s="1"/>
  <c r="AK105" i="51"/>
  <c r="AR85" i="51"/>
  <c r="AV18" i="50" s="1"/>
  <c r="AS2" i="51"/>
  <c r="AT2" i="51" s="1"/>
  <c r="G15" i="50" s="1"/>
  <c r="AJ2" i="51"/>
  <c r="H3" i="46" s="1"/>
  <c r="AK2" i="51"/>
  <c r="BQ283" i="30"/>
  <c r="BT289" i="30"/>
  <c r="BS291" i="30" s="1"/>
  <c r="BT285" i="30"/>
  <c r="AS15" i="51"/>
  <c r="AT15" i="51" s="1"/>
  <c r="G28" i="50" s="1"/>
  <c r="AJ15" i="51"/>
  <c r="AK108" i="51"/>
  <c r="AJ90" i="51"/>
  <c r="H16" i="47" s="1"/>
  <c r="AJ104" i="51"/>
  <c r="AK104" i="51"/>
  <c r="AJ12" i="51"/>
  <c r="O17" i="47" s="1"/>
  <c r="AJ92" i="51"/>
  <c r="O24" i="46" s="1"/>
  <c r="BM11" i="51"/>
  <c r="BM70" i="51"/>
  <c r="BM78" i="51"/>
  <c r="AR90" i="51"/>
  <c r="AV23" i="50" s="1"/>
  <c r="AR88" i="51"/>
  <c r="AV21" i="50" s="1"/>
  <c r="AS88" i="51"/>
  <c r="AT88" i="51" s="1"/>
  <c r="AU21" i="50" s="1"/>
  <c r="AS12" i="51"/>
  <c r="AT12" i="51" s="1"/>
  <c r="G25" i="50" s="1"/>
  <c r="AS112" i="51"/>
  <c r="AT112" i="51" s="1"/>
  <c r="BC29" i="50" s="1"/>
  <c r="AR61" i="51"/>
  <c r="AF26" i="50" s="1"/>
  <c r="BM80" i="51"/>
  <c r="BM112" i="51"/>
  <c r="AS61" i="51"/>
  <c r="AT61" i="51" s="1"/>
  <c r="AE26" i="50" s="1"/>
  <c r="AR73" i="51"/>
  <c r="AN22" i="50" s="1"/>
  <c r="BM9" i="51"/>
  <c r="BM4" i="51"/>
  <c r="BM95" i="51"/>
  <c r="BM68" i="51"/>
  <c r="BM39" i="51"/>
  <c r="BM77" i="51"/>
  <c r="BM105" i="51"/>
  <c r="BM91" i="51"/>
  <c r="BM52" i="51"/>
  <c r="BM89" i="51"/>
  <c r="BM36" i="51"/>
  <c r="BM97" i="51"/>
  <c r="BM31" i="51"/>
  <c r="BM20" i="51"/>
  <c r="BM37" i="51"/>
  <c r="BM55" i="51"/>
  <c r="BM66" i="51"/>
  <c r="BM61" i="51"/>
  <c r="BM65" i="51"/>
  <c r="BM7" i="51"/>
  <c r="BM29" i="51"/>
  <c r="BM40" i="51"/>
  <c r="BM8" i="51"/>
  <c r="BM42" i="51"/>
  <c r="BM86" i="51"/>
  <c r="BM47" i="51"/>
  <c r="BM111" i="51"/>
  <c r="BM63" i="51"/>
  <c r="BM2" i="51"/>
  <c r="BM72" i="51"/>
  <c r="BM90" i="51"/>
  <c r="BM50" i="51"/>
  <c r="BM49" i="51"/>
  <c r="BM60" i="51"/>
  <c r="BM87" i="51"/>
  <c r="BM24" i="51"/>
  <c r="BM100" i="51"/>
  <c r="BM32" i="51"/>
  <c r="BM104" i="51"/>
  <c r="BM101" i="51"/>
  <c r="BM19" i="51"/>
  <c r="BM38" i="51"/>
  <c r="BM92" i="51"/>
  <c r="BM23" i="51"/>
  <c r="BM44" i="51"/>
  <c r="BM51" i="51"/>
  <c r="BM27" i="51"/>
  <c r="BM13" i="51"/>
  <c r="BM110" i="51"/>
  <c r="BM46" i="51"/>
  <c r="BM73" i="51"/>
  <c r="BM33" i="51"/>
  <c r="BM108" i="51"/>
  <c r="AJ61" i="51"/>
  <c r="H15" i="47" s="1"/>
  <c r="BM10" i="51"/>
  <c r="BM12" i="51"/>
  <c r="BM56" i="51"/>
  <c r="BM96" i="51"/>
  <c r="BM82" i="51"/>
  <c r="BM75" i="51"/>
  <c r="BM76" i="51"/>
  <c r="BM85" i="51"/>
  <c r="BM25" i="51"/>
  <c r="BM21" i="51"/>
  <c r="BM48" i="51"/>
  <c r="BM54" i="51"/>
  <c r="BM16" i="51"/>
  <c r="BM102" i="51"/>
  <c r="BM28" i="51"/>
  <c r="BM17" i="51"/>
  <c r="BM84" i="51"/>
  <c r="BM26" i="51"/>
  <c r="BM41" i="51"/>
  <c r="BM57" i="51"/>
  <c r="BM43" i="51"/>
  <c r="BM18" i="51"/>
  <c r="AM50" i="51"/>
  <c r="AK61" i="51"/>
  <c r="BM6" i="51"/>
  <c r="BM67" i="51"/>
  <c r="BM106" i="51"/>
  <c r="BM79" i="51"/>
  <c r="BM94" i="51"/>
  <c r="BM113" i="51"/>
  <c r="BM22" i="51"/>
  <c r="BM15" i="51"/>
  <c r="BM81" i="51"/>
  <c r="BM107" i="51"/>
  <c r="BM45" i="51"/>
  <c r="AM30" i="51"/>
  <c r="BM35" i="51"/>
  <c r="BM58" i="51"/>
  <c r="BM98" i="51"/>
  <c r="BM93" i="51"/>
  <c r="AK100" i="51"/>
  <c r="BM99" i="51"/>
  <c r="BM109" i="51"/>
  <c r="AJ84" i="51"/>
  <c r="O17" i="46" s="1"/>
  <c r="BM59" i="51"/>
  <c r="BM71" i="51"/>
  <c r="BM62" i="51"/>
  <c r="BM64" i="51"/>
  <c r="AR47" i="51"/>
  <c r="X28" i="50" s="1"/>
  <c r="BM53" i="51"/>
  <c r="BM83" i="51"/>
  <c r="BM69" i="51"/>
  <c r="AS100" i="51"/>
  <c r="AT100" i="51" s="1"/>
  <c r="BC17" i="50" s="1"/>
  <c r="AR54" i="51"/>
  <c r="AF19" i="50" s="1"/>
  <c r="BM5" i="51"/>
  <c r="BM74" i="51"/>
  <c r="BM34" i="51"/>
  <c r="BM103" i="51"/>
  <c r="BM3" i="51"/>
  <c r="BM30" i="51"/>
  <c r="AS94" i="51"/>
  <c r="AT94" i="51" s="1"/>
  <c r="AU27" i="50" s="1"/>
  <c r="AM34" i="51"/>
  <c r="AJ100" i="51"/>
  <c r="AK4" i="51"/>
  <c r="AL65" i="51"/>
  <c r="AR44" i="51"/>
  <c r="X25" i="50" s="1"/>
  <c r="AR29" i="51"/>
  <c r="P26" i="50" s="1"/>
  <c r="AM29" i="51"/>
  <c r="AK29" i="51"/>
  <c r="AJ107" i="51"/>
  <c r="O10" i="46" s="1"/>
  <c r="AS92" i="51"/>
  <c r="AT92" i="51" s="1"/>
  <c r="AU25" i="50" s="1"/>
  <c r="AS64" i="51"/>
  <c r="AT64" i="51" s="1"/>
  <c r="AE29" i="50" s="1"/>
  <c r="AJ64" i="51"/>
  <c r="AJ73" i="51"/>
  <c r="H4" i="46" s="1"/>
  <c r="AK73" i="51"/>
  <c r="AR63" i="51"/>
  <c r="AF28" i="50" s="1"/>
  <c r="AR35" i="51"/>
  <c r="X16" i="50" s="1"/>
  <c r="AS103" i="51"/>
  <c r="AT103" i="51" s="1"/>
  <c r="BC20" i="50" s="1"/>
  <c r="AR10" i="51"/>
  <c r="H23" i="50" s="1"/>
  <c r="AJ51" i="51"/>
  <c r="AR51" i="51"/>
  <c r="AF16" i="50" s="1"/>
  <c r="AS51" i="51"/>
  <c r="AT51" i="51" s="1"/>
  <c r="AE16" i="50" s="1"/>
  <c r="AK58" i="51"/>
  <c r="AS58" i="51"/>
  <c r="AT58" i="51" s="1"/>
  <c r="AE23" i="50" s="1"/>
  <c r="AM49" i="51"/>
  <c r="AM106" i="51"/>
  <c r="AM17" i="51"/>
  <c r="AR23" i="51"/>
  <c r="P20" i="50" s="1"/>
  <c r="AM68" i="51"/>
  <c r="AM74" i="51"/>
  <c r="AR56" i="51"/>
  <c r="AF21" i="50" s="1"/>
  <c r="AM22" i="51"/>
  <c r="AJ48" i="51"/>
  <c r="AM36" i="51"/>
  <c r="AM98" i="51"/>
  <c r="AM102" i="51"/>
  <c r="AS83" i="51"/>
  <c r="AT83" i="51" s="1"/>
  <c r="AU16" i="50" s="1"/>
  <c r="AR110" i="51"/>
  <c r="BD27" i="50" s="1"/>
  <c r="AS109" i="51"/>
  <c r="AT109" i="51" s="1"/>
  <c r="BC26" i="50" s="1"/>
  <c r="AK95" i="51"/>
  <c r="AR62" i="51"/>
  <c r="AF27" i="50" s="1"/>
  <c r="AK76" i="51"/>
  <c r="AS24" i="51"/>
  <c r="AT24" i="51" s="1"/>
  <c r="O21" i="50" s="1"/>
  <c r="AS4" i="51"/>
  <c r="AT4" i="51" s="1"/>
  <c r="G17" i="50" s="1"/>
  <c r="AK91" i="51"/>
  <c r="AS36" i="51"/>
  <c r="AT36" i="51" s="1"/>
  <c r="W17" i="50" s="1"/>
  <c r="AS29" i="51"/>
  <c r="AT29" i="51" s="1"/>
  <c r="O26" i="50" s="1"/>
  <c r="AK10" i="51"/>
  <c r="AL10" i="51" s="1"/>
  <c r="AK79" i="51"/>
  <c r="AK102" i="51"/>
  <c r="AJ112" i="51"/>
  <c r="AS73" i="51"/>
  <c r="AT73" i="51" s="1"/>
  <c r="AM22" i="50" s="1"/>
  <c r="AJ62" i="51"/>
  <c r="O21" i="46" s="1"/>
  <c r="AJ46" i="51"/>
  <c r="H5" i="47" s="1"/>
  <c r="AJ77" i="51"/>
  <c r="AM31" i="51"/>
  <c r="AM37" i="51"/>
  <c r="AR66" i="51"/>
  <c r="AN15" i="50" s="1"/>
  <c r="AJ8" i="51"/>
  <c r="O12" i="46" s="1"/>
  <c r="AS35" i="51"/>
  <c r="AT35" i="51" s="1"/>
  <c r="W16" i="50" s="1"/>
  <c r="AJ53" i="51"/>
  <c r="AJ93" i="51"/>
  <c r="AJ82" i="51"/>
  <c r="O5" i="47" s="1"/>
  <c r="AJ28" i="51"/>
  <c r="AK86" i="51"/>
  <c r="AS99" i="51"/>
  <c r="AT99" i="51" s="1"/>
  <c r="BC16" i="50" s="1"/>
  <c r="AK112" i="51"/>
  <c r="AK77" i="51"/>
  <c r="AJ36" i="51"/>
  <c r="H24" i="46" s="1"/>
  <c r="AS66" i="51"/>
  <c r="AT66" i="51" s="1"/>
  <c r="AM15" i="50" s="1"/>
  <c r="AS70" i="51"/>
  <c r="AT70" i="51" s="1"/>
  <c r="AM19" i="50" s="1"/>
  <c r="AK93" i="51"/>
  <c r="AM85" i="51"/>
  <c r="AK54" i="51"/>
  <c r="AK42" i="51"/>
  <c r="AS63" i="51"/>
  <c r="AT63" i="51" s="1"/>
  <c r="AE28" i="50" s="1"/>
  <c r="AJ34" i="51"/>
  <c r="AM111" i="51"/>
  <c r="AS90" i="51"/>
  <c r="AT90" i="51" s="1"/>
  <c r="AU23" i="50" s="1"/>
  <c r="AR49" i="51"/>
  <c r="X30" i="50" s="1"/>
  <c r="AR19" i="51"/>
  <c r="P16" i="50" s="1"/>
  <c r="AK36" i="51"/>
  <c r="AS71" i="51"/>
  <c r="AT71" i="51" s="1"/>
  <c r="AM20" i="50" s="1"/>
  <c r="AS10" i="51"/>
  <c r="AT10" i="51" s="1"/>
  <c r="G23" i="50" s="1"/>
  <c r="AS79" i="51"/>
  <c r="AT79" i="51" s="1"/>
  <c r="AM28" i="50" s="1"/>
  <c r="AS25" i="51"/>
  <c r="AT25" i="51" s="1"/>
  <c r="O22" i="50" s="1"/>
  <c r="AR86" i="51"/>
  <c r="AV19" i="50" s="1"/>
  <c r="AR112" i="51"/>
  <c r="BD29" i="50" s="1"/>
  <c r="AJ26" i="51"/>
  <c r="AR50" i="51"/>
  <c r="AF15" i="50" s="1"/>
  <c r="AR32" i="51"/>
  <c r="P29" i="50" s="1"/>
  <c r="AR77" i="51"/>
  <c r="AN26" i="50" s="1"/>
  <c r="AJ37" i="51"/>
  <c r="H11" i="46" s="1"/>
  <c r="AJ66" i="51"/>
  <c r="AR8" i="51"/>
  <c r="H21" i="50" s="1"/>
  <c r="AJ56" i="51"/>
  <c r="O6" i="46" s="1"/>
  <c r="AJ23" i="51"/>
  <c r="AM51" i="51"/>
  <c r="AR42" i="51"/>
  <c r="X23" i="50" s="1"/>
  <c r="AK5" i="51"/>
  <c r="AM110" i="51"/>
  <c r="AK26" i="51"/>
  <c r="AK60" i="51"/>
  <c r="AS77" i="51"/>
  <c r="AT77" i="51" s="1"/>
  <c r="AM26" i="50" s="1"/>
  <c r="AK20" i="51"/>
  <c r="AK66" i="51"/>
  <c r="AS8" i="51"/>
  <c r="AT8" i="51" s="1"/>
  <c r="G21" i="50" s="1"/>
  <c r="AK70" i="51"/>
  <c r="AS53" i="51"/>
  <c r="AT53" i="51" s="1"/>
  <c r="AE18" i="50" s="1"/>
  <c r="AR98" i="51"/>
  <c r="BD15" i="50" s="1"/>
  <c r="AS93" i="51"/>
  <c r="AT93" i="51" s="1"/>
  <c r="AU26" i="50" s="1"/>
  <c r="AJ106" i="51"/>
  <c r="AL106" i="51" s="1"/>
  <c r="AS17" i="51"/>
  <c r="AT17" i="51" s="1"/>
  <c r="G30" i="50" s="1"/>
  <c r="AR27" i="51"/>
  <c r="P24" i="50" s="1"/>
  <c r="AM14" i="51"/>
  <c r="AR57" i="51"/>
  <c r="AF22" i="50" s="1"/>
  <c r="AS33" i="51"/>
  <c r="AT33" i="51" s="1"/>
  <c r="O30" i="50" s="1"/>
  <c r="AR43" i="51"/>
  <c r="X24" i="50" s="1"/>
  <c r="AJ18" i="51"/>
  <c r="O16" i="46" s="1"/>
  <c r="AK22" i="51"/>
  <c r="AM26" i="51"/>
  <c r="AR60" i="51"/>
  <c r="AF25" i="50" s="1"/>
  <c r="AS101" i="51"/>
  <c r="AT101" i="51" s="1"/>
  <c r="BC18" i="50" s="1"/>
  <c r="AJ38" i="51"/>
  <c r="AL38" i="51" s="1"/>
  <c r="AM9" i="51"/>
  <c r="AK68" i="51"/>
  <c r="AM39" i="51"/>
  <c r="AR105" i="51"/>
  <c r="BD22" i="50" s="1"/>
  <c r="AS74" i="51"/>
  <c r="AT74" i="51" s="1"/>
  <c r="AM23" i="50" s="1"/>
  <c r="AS89" i="51"/>
  <c r="AT89" i="51" s="1"/>
  <c r="AU22" i="50" s="1"/>
  <c r="AK97" i="51"/>
  <c r="AJ31" i="51"/>
  <c r="O11" i="46" s="1"/>
  <c r="AK55" i="51"/>
  <c r="AR78" i="51"/>
  <c r="AN27" i="50" s="1"/>
  <c r="AK12" i="51"/>
  <c r="AL12" i="51" s="1"/>
  <c r="AS69" i="51"/>
  <c r="AT69" i="51" s="1"/>
  <c r="AM18" i="50" s="1"/>
  <c r="AS48" i="51"/>
  <c r="AT48" i="51" s="1"/>
  <c r="W29" i="50" s="1"/>
  <c r="AK92" i="51"/>
  <c r="AS62" i="51"/>
  <c r="AT62" i="51" s="1"/>
  <c r="AE27" i="50" s="1"/>
  <c r="AS57" i="51"/>
  <c r="AT57" i="51" s="1"/>
  <c r="AE22" i="50" s="1"/>
  <c r="AJ108" i="51"/>
  <c r="AJ13" i="51"/>
  <c r="AS46" i="51"/>
  <c r="AT46" i="51" s="1"/>
  <c r="W27" i="50" s="1"/>
  <c r="AS49" i="51"/>
  <c r="AT49" i="51" s="1"/>
  <c r="W30" i="50" s="1"/>
  <c r="AS60" i="51"/>
  <c r="AT60" i="51" s="1"/>
  <c r="AE25" i="50" s="1"/>
  <c r="AS87" i="51"/>
  <c r="AT87" i="51" s="1"/>
  <c r="AU20" i="50" s="1"/>
  <c r="AK30" i="51"/>
  <c r="AL30" i="51" s="1"/>
  <c r="AM109" i="51"/>
  <c r="AM55" i="51"/>
  <c r="AJ67" i="51"/>
  <c r="H6" i="47" s="1"/>
  <c r="AR69" i="51"/>
  <c r="AN18" i="50" s="1"/>
  <c r="AM76" i="51"/>
  <c r="AJ3" i="51"/>
  <c r="AK18" i="51"/>
  <c r="AK19" i="51"/>
  <c r="AS91" i="51"/>
  <c r="AT91" i="51" s="1"/>
  <c r="AU24" i="50" s="1"/>
  <c r="AK31" i="51"/>
  <c r="AK67" i="51"/>
  <c r="AK82" i="51"/>
  <c r="AK28" i="51"/>
  <c r="AJ103" i="51"/>
  <c r="AJ63" i="51"/>
  <c r="AK80" i="51"/>
  <c r="AS107" i="51"/>
  <c r="AT107" i="51" s="1"/>
  <c r="BC24" i="50" s="1"/>
  <c r="AM33" i="51"/>
  <c r="AM45" i="51"/>
  <c r="AR22" i="51"/>
  <c r="P19" i="50" s="1"/>
  <c r="AS26" i="51"/>
  <c r="AT26" i="51" s="1"/>
  <c r="O23" i="50" s="1"/>
  <c r="AM90" i="51"/>
  <c r="AM19" i="51"/>
  <c r="AR68" i="51"/>
  <c r="AN17" i="50" s="1"/>
  <c r="AR55" i="51"/>
  <c r="AF20" i="50" s="1"/>
  <c r="AR65" i="51"/>
  <c r="AF30" i="50" s="1"/>
  <c r="AR70" i="51"/>
  <c r="AN19" i="50" s="1"/>
  <c r="AM35" i="51"/>
  <c r="AM6" i="51"/>
  <c r="AK53" i="51"/>
  <c r="AR12" i="51"/>
  <c r="H25" i="50" s="1"/>
  <c r="AJ94" i="51"/>
  <c r="AM82" i="51"/>
  <c r="AR25" i="51"/>
  <c r="P22" i="50" s="1"/>
  <c r="AM48" i="51"/>
  <c r="AJ16" i="51"/>
  <c r="AM28" i="51"/>
  <c r="AJ47" i="51"/>
  <c r="AK103" i="51"/>
  <c r="AK99" i="51"/>
  <c r="AK34" i="51"/>
  <c r="AM73" i="51"/>
  <c r="AM62" i="51"/>
  <c r="AK33" i="51"/>
  <c r="AM43" i="51"/>
  <c r="AS22" i="51"/>
  <c r="AT22" i="51" s="1"/>
  <c r="O19" i="50" s="1"/>
  <c r="AR26" i="51"/>
  <c r="P23" i="50" s="1"/>
  <c r="AM15" i="51"/>
  <c r="AK90" i="51"/>
  <c r="AL90" i="51" s="1"/>
  <c r="AJ49" i="51"/>
  <c r="H5" i="46" s="1"/>
  <c r="AJ60" i="51"/>
  <c r="H10" i="47" s="1"/>
  <c r="AJ87" i="51"/>
  <c r="AK24" i="51"/>
  <c r="AM101" i="51"/>
  <c r="AR38" i="51"/>
  <c r="X19" i="50" s="1"/>
  <c r="AR9" i="51"/>
  <c r="H22" i="50" s="1"/>
  <c r="AS68" i="51"/>
  <c r="AT68" i="51" s="1"/>
  <c r="AM17" i="50" s="1"/>
  <c r="AM105" i="51"/>
  <c r="AJ52" i="51"/>
  <c r="AK74" i="51"/>
  <c r="AK89" i="51"/>
  <c r="AS55" i="51"/>
  <c r="AT55" i="51" s="1"/>
  <c r="AE20" i="50" s="1"/>
  <c r="AK40" i="51"/>
  <c r="AM64" i="51"/>
  <c r="AK35" i="51"/>
  <c r="AS56" i="51"/>
  <c r="AT56" i="51" s="1"/>
  <c r="AE21" i="50" s="1"/>
  <c r="AK94" i="51"/>
  <c r="AK48" i="51"/>
  <c r="AS23" i="51"/>
  <c r="AT23" i="51" s="1"/>
  <c r="O20" i="50" s="1"/>
  <c r="AK44" i="51"/>
  <c r="AJ42" i="51"/>
  <c r="AK62" i="51"/>
  <c r="AR108" i="51"/>
  <c r="BD25" i="50" s="1"/>
  <c r="AR18" i="51"/>
  <c r="P15" i="50" s="1"/>
  <c r="AK15" i="51"/>
  <c r="AK46" i="51"/>
  <c r="AK49" i="51"/>
  <c r="AS30" i="51"/>
  <c r="AT30" i="51" s="1"/>
  <c r="O27" i="50" s="1"/>
  <c r="AR31" i="51"/>
  <c r="P28" i="50" s="1"/>
  <c r="AS37" i="51"/>
  <c r="AT37" i="51" s="1"/>
  <c r="W18" i="50" s="1"/>
  <c r="AJ29" i="51"/>
  <c r="AR67" i="51"/>
  <c r="AN16" i="50" s="1"/>
  <c r="AM58" i="51"/>
  <c r="AR80" i="51"/>
  <c r="AN29" i="50" s="1"/>
  <c r="AS13" i="51"/>
  <c r="AT13" i="51" s="1"/>
  <c r="G26" i="50" s="1"/>
  <c r="AJ22" i="51"/>
  <c r="O16" i="47" s="1"/>
  <c r="AJ68" i="51"/>
  <c r="O22" i="46" s="1"/>
  <c r="AS31" i="51"/>
  <c r="AT31" i="51" s="1"/>
  <c r="O28" i="50" s="1"/>
  <c r="AR53" i="51"/>
  <c r="AF18" i="50" s="1"/>
  <c r="AS67" i="51"/>
  <c r="AT67" i="51" s="1"/>
  <c r="AM16" i="50" s="1"/>
  <c r="AM93" i="51"/>
  <c r="AS82" i="51"/>
  <c r="AT82" i="51" s="1"/>
  <c r="AU15" i="50" s="1"/>
  <c r="AK25" i="51"/>
  <c r="AS28" i="51"/>
  <c r="AT28" i="51" s="1"/>
  <c r="O25" i="50" s="1"/>
  <c r="AR84" i="51"/>
  <c r="AV17" i="50" s="1"/>
  <c r="AM42" i="51"/>
  <c r="AM86" i="51"/>
  <c r="AR103" i="51"/>
  <c r="BD20" i="50" s="1"/>
  <c r="AR99" i="51"/>
  <c r="BD16" i="50" s="1"/>
  <c r="AR34" i="51"/>
  <c r="X15" i="50" s="1"/>
  <c r="AS80" i="51"/>
  <c r="AT80" i="51" s="1"/>
  <c r="AM29" i="50" s="1"/>
  <c r="AJ58" i="51"/>
  <c r="BM88" i="51"/>
  <c r="AS81" i="51"/>
  <c r="AT81" i="51" s="1"/>
  <c r="AM30" i="50" s="1"/>
  <c r="AK13" i="51"/>
  <c r="AR15" i="51"/>
  <c r="H28" i="50" s="1"/>
  <c r="AM46" i="51"/>
  <c r="AR104" i="51"/>
  <c r="BD21" i="50" s="1"/>
  <c r="AS38" i="51"/>
  <c r="AT38" i="51" s="1"/>
  <c r="W19" i="50" s="1"/>
  <c r="AJ69" i="51"/>
  <c r="AK75" i="51"/>
  <c r="AJ76" i="51"/>
  <c r="AL76" i="51" s="1"/>
  <c r="AK16" i="51"/>
  <c r="AK17" i="51"/>
  <c r="AK84" i="51"/>
  <c r="AS42" i="51"/>
  <c r="AT42" i="51" s="1"/>
  <c r="W23" i="50" s="1"/>
  <c r="AS47" i="51"/>
  <c r="AT47" i="51" s="1"/>
  <c r="W28" i="50" s="1"/>
  <c r="AK3" i="51"/>
  <c r="AJ14" i="51"/>
  <c r="AM107" i="51"/>
  <c r="AR45" i="51"/>
  <c r="X26" i="50" s="1"/>
  <c r="AS108" i="51"/>
  <c r="AT108" i="51" s="1"/>
  <c r="BC25" i="50" s="1"/>
  <c r="AM13" i="51"/>
  <c r="AM87" i="51"/>
  <c r="AR100" i="51"/>
  <c r="BD17" i="50" s="1"/>
  <c r="AS32" i="51"/>
  <c r="AT32" i="51" s="1"/>
  <c r="O29" i="50" s="1"/>
  <c r="AS104" i="51"/>
  <c r="AT104" i="51" s="1"/>
  <c r="BC21" i="50" s="1"/>
  <c r="AR101" i="51"/>
  <c r="BD18" i="50" s="1"/>
  <c r="AS19" i="51"/>
  <c r="AT19" i="51" s="1"/>
  <c r="O16" i="50" s="1"/>
  <c r="AR109" i="51"/>
  <c r="BD26" i="50" s="1"/>
  <c r="AM83" i="51"/>
  <c r="AJ97" i="51"/>
  <c r="AM40" i="51"/>
  <c r="AK8" i="51"/>
  <c r="AK64" i="51"/>
  <c r="AK71" i="51"/>
  <c r="AJ70" i="51"/>
  <c r="AK78" i="51"/>
  <c r="AM69" i="51"/>
  <c r="AS85" i="51"/>
  <c r="AT85" i="51" s="1"/>
  <c r="AU18" i="50" s="1"/>
  <c r="AM16" i="51"/>
  <c r="AM23" i="51"/>
  <c r="AM3" i="51"/>
  <c r="AL112" i="51"/>
  <c r="AK14" i="51"/>
  <c r="AK107" i="51"/>
  <c r="AK57" i="51"/>
  <c r="AS43" i="51"/>
  <c r="AT43" i="51" s="1"/>
  <c r="W24" i="50" s="1"/>
  <c r="AK87" i="51"/>
  <c r="AK32" i="51"/>
  <c r="AJ9" i="51"/>
  <c r="AR30" i="51"/>
  <c r="P27" i="50" s="1"/>
  <c r="AS95" i="51"/>
  <c r="AT95" i="51" s="1"/>
  <c r="AU28" i="50" s="1"/>
  <c r="AR39" i="51"/>
  <c r="X20" i="50" s="1"/>
  <c r="AJ105" i="51"/>
  <c r="AS52" i="51"/>
  <c r="AT52" i="51" s="1"/>
  <c r="AE17" i="50" s="1"/>
  <c r="AR74" i="51"/>
  <c r="AN23" i="50" s="1"/>
  <c r="AR89" i="51"/>
  <c r="AV22" i="50" s="1"/>
  <c r="AR36" i="51"/>
  <c r="X17" i="50" s="1"/>
  <c r="AK37" i="51"/>
  <c r="AJ55" i="51"/>
  <c r="AM8" i="51"/>
  <c r="AM70" i="51"/>
  <c r="AJ35" i="51"/>
  <c r="AM67" i="51"/>
  <c r="AR58" i="51"/>
  <c r="AF23" i="50" s="1"/>
  <c r="AR93" i="51"/>
  <c r="AV26" i="50" s="1"/>
  <c r="AR79" i="51"/>
  <c r="AN28" i="50" s="1"/>
  <c r="AK69" i="51"/>
  <c r="AM75" i="51"/>
  <c r="AJ25" i="51"/>
  <c r="H6" i="46" s="1"/>
  <c r="AJ21" i="51"/>
  <c r="AL21" i="51" s="1"/>
  <c r="AR48" i="51"/>
  <c r="X29" i="50" s="1"/>
  <c r="AS54" i="51"/>
  <c r="AT54" i="51" s="1"/>
  <c r="AE19" i="50" s="1"/>
  <c r="AR28" i="51"/>
  <c r="P25" i="50" s="1"/>
  <c r="AK23" i="51"/>
  <c r="AK27" i="51"/>
  <c r="AS86" i="51"/>
  <c r="AT86" i="51" s="1"/>
  <c r="AU19" i="50" s="1"/>
  <c r="AM80" i="51"/>
  <c r="AR94" i="51"/>
  <c r="AV27" i="50" s="1"/>
  <c r="AR16" i="51"/>
  <c r="H29" i="50" s="1"/>
  <c r="AR102" i="51"/>
  <c r="BD19" i="50" s="1"/>
  <c r="AR17" i="51"/>
  <c r="H30" i="50" s="1"/>
  <c r="AR92" i="51"/>
  <c r="AV25" i="50" s="1"/>
  <c r="AR3" i="51"/>
  <c r="H16" i="50" s="1"/>
  <c r="AS72" i="51"/>
  <c r="AT72" i="51" s="1"/>
  <c r="AM21" i="50" s="1"/>
  <c r="AR46" i="51"/>
  <c r="X27" i="50" s="1"/>
  <c r="AM32" i="51"/>
  <c r="AM104" i="51"/>
  <c r="AJ19" i="51"/>
  <c r="AK9" i="51"/>
  <c r="AR64" i="51"/>
  <c r="AF29" i="50" s="1"/>
  <c r="AR71" i="51"/>
  <c r="AN20" i="50" s="1"/>
  <c r="AR11" i="51"/>
  <c r="H24" i="50" s="1"/>
  <c r="AK98" i="51"/>
  <c r="AK85" i="51"/>
  <c r="AS16" i="51"/>
  <c r="AT16" i="51" s="1"/>
  <c r="G29" i="50" s="1"/>
  <c r="AS102" i="51"/>
  <c r="AT102" i="51" s="1"/>
  <c r="BC19" i="50" s="1"/>
  <c r="AS84" i="51"/>
  <c r="AT84" i="51" s="1"/>
  <c r="AU17" i="50" s="1"/>
  <c r="AK51" i="51"/>
  <c r="AM27" i="51"/>
  <c r="AK47" i="51"/>
  <c r="AS3" i="51"/>
  <c r="AT3" i="51" s="1"/>
  <c r="G16" i="50" s="1"/>
  <c r="AR14" i="51"/>
  <c r="H27" i="50" s="1"/>
  <c r="AR107" i="51"/>
  <c r="BD24" i="50" s="1"/>
  <c r="AJ43" i="51"/>
  <c r="H9" i="47" s="1"/>
  <c r="AR13" i="51"/>
  <c r="H26" i="50" s="1"/>
  <c r="AR5" i="51"/>
  <c r="H18" i="50" s="1"/>
  <c r="AR41" i="51"/>
  <c r="X22" i="50" s="1"/>
  <c r="AR87" i="51"/>
  <c r="AV20" i="50" s="1"/>
  <c r="AM100" i="51"/>
  <c r="AM38" i="51"/>
  <c r="AM95" i="51"/>
  <c r="AM77" i="51"/>
  <c r="AM52" i="51"/>
  <c r="AR37" i="51"/>
  <c r="X18" i="50" s="1"/>
  <c r="AR40" i="51"/>
  <c r="X21" i="50" s="1"/>
  <c r="AM53" i="51"/>
  <c r="AM56" i="51"/>
  <c r="AR96" i="51"/>
  <c r="AV29" i="50" s="1"/>
  <c r="AR76" i="51"/>
  <c r="AN25" i="50" s="1"/>
  <c r="AM63" i="51"/>
  <c r="AS14" i="51"/>
  <c r="AK43" i="51"/>
  <c r="AS59" i="51"/>
  <c r="AT59" i="51" s="1"/>
  <c r="AE24" i="50" s="1"/>
  <c r="AS5" i="51"/>
  <c r="AT5" i="51" s="1"/>
  <c r="G18" i="50" s="1"/>
  <c r="AR2" i="51"/>
  <c r="H15" i="50" s="1"/>
  <c r="AK101" i="51"/>
  <c r="AK109" i="51"/>
  <c r="AK52" i="51"/>
  <c r="AJ74" i="51"/>
  <c r="H17" i="46" s="1"/>
  <c r="AJ89" i="51"/>
  <c r="AM65" i="51"/>
  <c r="AK7" i="51"/>
  <c r="AK56" i="51"/>
  <c r="AJ79" i="51"/>
  <c r="AR82" i="51"/>
  <c r="AV15" i="50" s="1"/>
  <c r="AR75" i="51"/>
  <c r="AN24" i="50" s="1"/>
  <c r="AS76" i="51"/>
  <c r="AT76" i="51" s="1"/>
  <c r="AM25" i="50" s="1"/>
  <c r="AR21" i="51"/>
  <c r="P18" i="50" s="1"/>
  <c r="AK63" i="51"/>
  <c r="AK111" i="51"/>
  <c r="AJ80" i="51"/>
  <c r="AJ81" i="51"/>
  <c r="H21" i="46" s="1"/>
  <c r="AS45" i="51"/>
  <c r="AT45" i="51" s="1"/>
  <c r="W26" i="50" s="1"/>
  <c r="AJ45" i="51"/>
  <c r="O15" i="47" s="1"/>
  <c r="AK41" i="51"/>
  <c r="AJ4" i="51"/>
  <c r="H22" i="46" s="1"/>
  <c r="AM4" i="51"/>
  <c r="AK6" i="51"/>
  <c r="AR6" i="51"/>
  <c r="H19" i="50" s="1"/>
  <c r="AK81" i="51"/>
  <c r="AM41" i="51"/>
  <c r="AJ41" i="51"/>
  <c r="AK50" i="51"/>
  <c r="AJ24" i="51"/>
  <c r="O4" i="46" s="1"/>
  <c r="AM24" i="51"/>
  <c r="AR95" i="51"/>
  <c r="AV28" i="50" s="1"/>
  <c r="AM57" i="51"/>
  <c r="AJ57" i="51"/>
  <c r="O15" i="46" s="1"/>
  <c r="AM5" i="51"/>
  <c r="AJ5" i="51"/>
  <c r="H11" i="47" s="1"/>
  <c r="AK110" i="51"/>
  <c r="AM44" i="51"/>
  <c r="AJ44" i="51"/>
  <c r="AR113" i="51"/>
  <c r="BD30" i="50" s="1"/>
  <c r="AK113" i="51"/>
  <c r="AK45" i="51"/>
  <c r="AK59" i="51"/>
  <c r="AJ72" i="51"/>
  <c r="AM72" i="51"/>
  <c r="AR81" i="51"/>
  <c r="AN30" i="50" s="1"/>
  <c r="AJ59" i="51"/>
  <c r="H9" i="46" s="1"/>
  <c r="AM59" i="51"/>
  <c r="AR72" i="51"/>
  <c r="AN21" i="50" s="1"/>
  <c r="AM60" i="51"/>
  <c r="AL39" i="51"/>
  <c r="AM97" i="51"/>
  <c r="AS110" i="51"/>
  <c r="AT110" i="51" s="1"/>
  <c r="BC27" i="50" s="1"/>
  <c r="AJ110" i="51"/>
  <c r="O3" i="47" s="1"/>
  <c r="AJ91" i="51"/>
  <c r="O10" i="47" s="1"/>
  <c r="AM91" i="51"/>
  <c r="AJ33" i="51"/>
  <c r="AR59" i="51"/>
  <c r="AF24" i="50" s="1"/>
  <c r="AM2" i="51"/>
  <c r="AM7" i="51"/>
  <c r="AJ7" i="51"/>
  <c r="AM108" i="51"/>
  <c r="AS41" i="51"/>
  <c r="AT41" i="51" s="1"/>
  <c r="W22" i="50" s="1"/>
  <c r="AS50" i="51"/>
  <c r="AT50" i="51" s="1"/>
  <c r="AE15" i="50" s="1"/>
  <c r="AJ50" i="51"/>
  <c r="H3" i="47" s="1"/>
  <c r="AM20" i="51"/>
  <c r="AJ20" i="51"/>
  <c r="H18" i="47" s="1"/>
  <c r="AJ32" i="51"/>
  <c r="AJ95" i="51"/>
  <c r="AS40" i="51"/>
  <c r="AT40" i="51" s="1"/>
  <c r="W21" i="50" s="1"/>
  <c r="AL11" i="51"/>
  <c r="AM11" i="51"/>
  <c r="AS96" i="51"/>
  <c r="AT96" i="51" s="1"/>
  <c r="AU29" i="50" s="1"/>
  <c r="AM54" i="51"/>
  <c r="AJ54" i="51"/>
  <c r="AS27" i="51"/>
  <c r="AT27" i="51" s="1"/>
  <c r="O24" i="50" s="1"/>
  <c r="AR97" i="51"/>
  <c r="AV30" i="50" s="1"/>
  <c r="AR20" i="51"/>
  <c r="P17" i="50" s="1"/>
  <c r="AM113" i="51"/>
  <c r="AJ113" i="51"/>
  <c r="AM103" i="51"/>
  <c r="AJ101" i="51"/>
  <c r="H17" i="47" s="1"/>
  <c r="AJ109" i="51"/>
  <c r="H4" i="47" s="1"/>
  <c r="AM89" i="51"/>
  <c r="AJ83" i="51"/>
  <c r="AM61" i="51"/>
  <c r="AK96" i="51"/>
  <c r="AS75" i="51"/>
  <c r="AT75" i="51" s="1"/>
  <c r="AM24" i="50" s="1"/>
  <c r="AM92" i="51"/>
  <c r="AR111" i="51"/>
  <c r="BD28" i="50" s="1"/>
  <c r="AM96" i="51"/>
  <c r="AJ96" i="51"/>
  <c r="AM21" i="51"/>
  <c r="AR52" i="51"/>
  <c r="AF17" i="50" s="1"/>
  <c r="AK83" i="51"/>
  <c r="AS97" i="51"/>
  <c r="AT97" i="51" s="1"/>
  <c r="AU30" i="50" s="1"/>
  <c r="AS20" i="51"/>
  <c r="AT20" i="51" s="1"/>
  <c r="O17" i="50" s="1"/>
  <c r="AS7" i="51"/>
  <c r="AT7" i="51" s="1"/>
  <c r="G20" i="50" s="1"/>
  <c r="AS98" i="51"/>
  <c r="AT98" i="51" s="1"/>
  <c r="BC15" i="50" s="1"/>
  <c r="AM94" i="51"/>
  <c r="AS44" i="51"/>
  <c r="AT44" i="51" s="1"/>
  <c r="W25" i="50" s="1"/>
  <c r="AR24" i="51"/>
  <c r="P21" i="50" s="1"/>
  <c r="AR4" i="51"/>
  <c r="H17" i="50" s="1"/>
  <c r="AR91" i="51"/>
  <c r="AV24" i="50" s="1"/>
  <c r="AM78" i="51"/>
  <c r="AJ78" i="51"/>
  <c r="H12" i="47" s="1"/>
  <c r="AS6" i="51"/>
  <c r="AT6" i="51" s="1"/>
  <c r="G19" i="50" s="1"/>
  <c r="AM12" i="51"/>
  <c r="AS113" i="51"/>
  <c r="AT113" i="51" s="1"/>
  <c r="BC30" i="50" s="1"/>
  <c r="AM99" i="51"/>
  <c r="AJ99" i="51"/>
  <c r="AM66" i="51"/>
  <c r="AM71" i="51"/>
  <c r="AM10" i="51"/>
  <c r="AM79" i="51"/>
  <c r="AM25" i="51"/>
  <c r="AM84" i="51"/>
  <c r="AM47" i="51"/>
  <c r="AM112" i="51"/>
  <c r="AJ40" i="51"/>
  <c r="AJ6" i="51"/>
  <c r="O12" i="47" s="1"/>
  <c r="AJ98" i="51"/>
  <c r="AJ75" i="51"/>
  <c r="AJ102" i="51"/>
  <c r="O18" i="46" s="1"/>
  <c r="AJ27" i="51"/>
  <c r="AJ111" i="51"/>
  <c r="H18" i="46" s="1"/>
  <c r="AJ85" i="51"/>
  <c r="AJ17" i="51"/>
  <c r="H15" i="46" s="1"/>
  <c r="AJ86" i="51"/>
  <c r="O18" i="47" s="1"/>
  <c r="AM88" i="51"/>
  <c r="AJ88" i="51"/>
  <c r="O9" i="46" s="1"/>
  <c r="DE117" i="51"/>
  <c r="DE118" i="51" s="1"/>
  <c r="DF241" i="30"/>
  <c r="DF240" i="30"/>
  <c r="DF239" i="30"/>
  <c r="DF238" i="30"/>
  <c r="DF237" i="30"/>
  <c r="DF231" i="30"/>
  <c r="DF230" i="30"/>
  <c r="DF229" i="30"/>
  <c r="DF228" i="30"/>
  <c r="DF227" i="30"/>
  <c r="DF226" i="30"/>
  <c r="DF225" i="30"/>
  <c r="DF224" i="30"/>
  <c r="DF223" i="30"/>
  <c r="DF222" i="30"/>
  <c r="DF221" i="30"/>
  <c r="DF235" i="30"/>
  <c r="DF234" i="30"/>
  <c r="DF233" i="30"/>
  <c r="DF232" i="30"/>
  <c r="DF236" i="30"/>
  <c r="AC34" i="42"/>
  <c r="X34" i="42"/>
  <c r="W34" i="42"/>
  <c r="U34" i="42"/>
  <c r="Q34" i="42"/>
  <c r="P34" i="42"/>
  <c r="AC5" i="42"/>
  <c r="X5" i="42"/>
  <c r="W5" i="42"/>
  <c r="U5" i="42"/>
  <c r="Q5" i="42"/>
  <c r="P5" i="42"/>
  <c r="AC94" i="42"/>
  <c r="X94" i="42"/>
  <c r="W94" i="42"/>
  <c r="U94" i="42"/>
  <c r="Q94" i="42"/>
  <c r="P94" i="42"/>
  <c r="AC19" i="42"/>
  <c r="X19" i="42"/>
  <c r="W19" i="42"/>
  <c r="U19" i="42"/>
  <c r="Q19" i="42"/>
  <c r="P19" i="42"/>
  <c r="AC52" i="42"/>
  <c r="X52" i="42"/>
  <c r="W52" i="42"/>
  <c r="U52" i="42"/>
  <c r="Q52" i="42"/>
  <c r="P52" i="42"/>
  <c r="AC46" i="42"/>
  <c r="X46" i="42"/>
  <c r="W46" i="42"/>
  <c r="U46" i="42"/>
  <c r="Q46" i="42"/>
  <c r="P46" i="42"/>
  <c r="AC29" i="42"/>
  <c r="X29" i="42"/>
  <c r="W29" i="42"/>
  <c r="U29" i="42"/>
  <c r="Q29" i="42"/>
  <c r="P29" i="42"/>
  <c r="AC2" i="42"/>
  <c r="X2" i="42"/>
  <c r="W2" i="42"/>
  <c r="U2" i="42"/>
  <c r="Q2" i="42"/>
  <c r="P2" i="42"/>
  <c r="AL2" i="51" l="1"/>
  <c r="AO14" i="51"/>
  <c r="AT14" i="51"/>
  <c r="BL14" i="51" s="1"/>
  <c r="O3" i="46"/>
  <c r="BF14" i="51"/>
  <c r="AJ37" i="50"/>
  <c r="A14" i="50"/>
  <c r="AL104" i="51"/>
  <c r="AL15" i="51"/>
  <c r="BH14" i="51"/>
  <c r="AL62" i="51"/>
  <c r="AL84" i="51"/>
  <c r="AL23" i="51"/>
  <c r="AO57" i="51"/>
  <c r="AL71" i="51"/>
  <c r="AO32" i="51"/>
  <c r="AL19" i="51"/>
  <c r="AO74" i="51"/>
  <c r="AO17" i="51"/>
  <c r="AO94" i="51"/>
  <c r="AO83" i="51"/>
  <c r="AO58" i="51"/>
  <c r="AO65" i="51"/>
  <c r="AP65" i="51" s="1"/>
  <c r="AO104" i="51"/>
  <c r="AP104" i="51" s="1"/>
  <c r="AO19" i="51"/>
  <c r="AP19" i="51" s="1"/>
  <c r="AO39" i="51"/>
  <c r="AP39" i="51" s="1"/>
  <c r="AO5" i="51"/>
  <c r="AO12" i="51"/>
  <c r="AP12" i="51" s="1"/>
  <c r="AO76" i="51"/>
  <c r="AP76" i="51" s="1"/>
  <c r="AO28" i="51"/>
  <c r="AO70" i="51"/>
  <c r="AO13" i="51"/>
  <c r="AO95" i="51"/>
  <c r="AO36" i="51"/>
  <c r="AO7" i="51"/>
  <c r="AO11" i="51"/>
  <c r="AP11" i="51" s="1"/>
  <c r="AO80" i="51"/>
  <c r="AO84" i="51"/>
  <c r="AO26" i="51"/>
  <c r="AO54" i="51"/>
  <c r="AO87" i="51"/>
  <c r="AO110" i="51"/>
  <c r="AO91" i="51"/>
  <c r="AO97" i="51"/>
  <c r="AO101" i="51"/>
  <c r="AO85" i="51"/>
  <c r="AO41" i="51"/>
  <c r="AO78" i="51"/>
  <c r="AO42" i="51"/>
  <c r="AO109" i="51"/>
  <c r="AO99" i="51"/>
  <c r="AO29" i="51"/>
  <c r="AO8" i="51"/>
  <c r="AO47" i="51"/>
  <c r="AO4" i="51"/>
  <c r="AO113" i="51"/>
  <c r="AO10" i="51"/>
  <c r="AP10" i="51" s="1"/>
  <c r="AO33" i="51"/>
  <c r="AO90" i="51"/>
  <c r="AP90" i="51" s="1"/>
  <c r="AO16" i="51"/>
  <c r="AO49" i="51"/>
  <c r="AO3" i="51"/>
  <c r="AO60" i="51"/>
  <c r="AO100" i="51"/>
  <c r="AO25" i="51"/>
  <c r="AO46" i="51"/>
  <c r="AO20" i="51"/>
  <c r="AO112" i="51"/>
  <c r="AP112" i="51" s="1"/>
  <c r="AO64" i="51"/>
  <c r="AO111" i="51"/>
  <c r="AO27" i="51"/>
  <c r="AO79" i="51"/>
  <c r="AO2" i="51"/>
  <c r="AP2" i="51" s="1"/>
  <c r="AO51" i="51"/>
  <c r="AO69" i="51"/>
  <c r="AO108" i="51"/>
  <c r="AO106" i="51"/>
  <c r="AP106" i="51" s="1"/>
  <c r="AO22" i="51"/>
  <c r="AO50" i="51"/>
  <c r="AO86" i="51"/>
  <c r="AO31" i="51"/>
  <c r="AO75" i="51"/>
  <c r="AO82" i="51"/>
  <c r="AO53" i="51"/>
  <c r="AO62" i="51"/>
  <c r="AO92" i="51"/>
  <c r="AO30" i="51"/>
  <c r="AP30" i="51" s="1"/>
  <c r="AO48" i="51"/>
  <c r="AO6" i="51"/>
  <c r="AO43" i="51"/>
  <c r="AO88" i="51"/>
  <c r="AO34" i="51"/>
  <c r="AO52" i="51"/>
  <c r="AO105" i="51"/>
  <c r="AO61" i="51"/>
  <c r="AO40" i="51"/>
  <c r="AO63" i="51"/>
  <c r="AO93" i="51"/>
  <c r="AO96" i="51"/>
  <c r="AO23" i="51"/>
  <c r="AO56" i="51"/>
  <c r="AO67" i="51"/>
  <c r="AO44" i="51"/>
  <c r="AO21" i="51"/>
  <c r="AP21" i="51" s="1"/>
  <c r="AO103" i="51"/>
  <c r="AO68" i="51"/>
  <c r="AO73" i="51"/>
  <c r="AO38" i="51"/>
  <c r="AP38" i="51" s="1"/>
  <c r="AO55" i="51"/>
  <c r="AO71" i="51"/>
  <c r="AP71" i="51" s="1"/>
  <c r="AO98" i="51"/>
  <c r="AL37" i="51"/>
  <c r="AO77" i="51"/>
  <c r="AO37" i="51"/>
  <c r="AO9" i="51"/>
  <c r="AO89" i="51"/>
  <c r="AO72" i="51"/>
  <c r="AO15" i="51"/>
  <c r="AO59" i="51"/>
  <c r="AO18" i="51"/>
  <c r="AO107" i="51"/>
  <c r="AO45" i="51"/>
  <c r="AO102" i="51"/>
  <c r="AO24" i="51"/>
  <c r="AO35" i="51"/>
  <c r="AO81" i="51"/>
  <c r="AO66" i="51"/>
  <c r="AL53" i="51"/>
  <c r="AL41" i="51"/>
  <c r="AL94" i="51"/>
  <c r="AL87" i="51"/>
  <c r="AL108" i="51"/>
  <c r="AL61" i="51"/>
  <c r="AL92" i="51"/>
  <c r="AL48" i="51"/>
  <c r="AL40" i="51"/>
  <c r="O5" i="46"/>
  <c r="AL99" i="51"/>
  <c r="O11" i="47"/>
  <c r="AL105" i="51"/>
  <c r="O23" i="46"/>
  <c r="AL80" i="51"/>
  <c r="H12" i="46"/>
  <c r="AL97" i="51"/>
  <c r="H23" i="46"/>
  <c r="AL33" i="51"/>
  <c r="H10" i="46"/>
  <c r="AL72" i="51"/>
  <c r="O9" i="47"/>
  <c r="AL86" i="51"/>
  <c r="AL25" i="51"/>
  <c r="AL100" i="51"/>
  <c r="AL91" i="51"/>
  <c r="AL64" i="51"/>
  <c r="AL89" i="51"/>
  <c r="AL9" i="51"/>
  <c r="AL4" i="51"/>
  <c r="AL70" i="51"/>
  <c r="AL73" i="51"/>
  <c r="AL75" i="51"/>
  <c r="AL107" i="51"/>
  <c r="AL29" i="51"/>
  <c r="AL63" i="51"/>
  <c r="AL51" i="51"/>
  <c r="AL8" i="51"/>
  <c r="AL79" i="51"/>
  <c r="AL56" i="51"/>
  <c r="AL17" i="51"/>
  <c r="AL57" i="51"/>
  <c r="AL93" i="51"/>
  <c r="AL24" i="51"/>
  <c r="AL16" i="51"/>
  <c r="AL20" i="51"/>
  <c r="AL60" i="51"/>
  <c r="AL27" i="51"/>
  <c r="AL35" i="51"/>
  <c r="AL55" i="51"/>
  <c r="AL68" i="51"/>
  <c r="AL52" i="51"/>
  <c r="AL42" i="51"/>
  <c r="AL22" i="51"/>
  <c r="AL26" i="51"/>
  <c r="AL3" i="51"/>
  <c r="AL54" i="51"/>
  <c r="AL103" i="51"/>
  <c r="AL102" i="51"/>
  <c r="AL34" i="51"/>
  <c r="BH35" i="51"/>
  <c r="BH53" i="51"/>
  <c r="BH25" i="51"/>
  <c r="BH105" i="51"/>
  <c r="BH41" i="51"/>
  <c r="BH69" i="51"/>
  <c r="BH23" i="51"/>
  <c r="BH92" i="51"/>
  <c r="BH15" i="51"/>
  <c r="BH97" i="51"/>
  <c r="BH42" i="51"/>
  <c r="BH32" i="51"/>
  <c r="BH71" i="51"/>
  <c r="BH19" i="51"/>
  <c r="BH2" i="51"/>
  <c r="BH17" i="51"/>
  <c r="BH20" i="51"/>
  <c r="BH50" i="51"/>
  <c r="BH108" i="51"/>
  <c r="BH9" i="51"/>
  <c r="BH29" i="51"/>
  <c r="BH21" i="51"/>
  <c r="BH8" i="51"/>
  <c r="BH81" i="51"/>
  <c r="BH96" i="51"/>
  <c r="BH52" i="51"/>
  <c r="BH102" i="51"/>
  <c r="BH66" i="51"/>
  <c r="BH16" i="51"/>
  <c r="BH85" i="51"/>
  <c r="BH33" i="51"/>
  <c r="BH40" i="51"/>
  <c r="BH113" i="51"/>
  <c r="BH46" i="51"/>
  <c r="BH13" i="51"/>
  <c r="BH109" i="51"/>
  <c r="BH64" i="51"/>
  <c r="BH65" i="51"/>
  <c r="BH84" i="51"/>
  <c r="BH5" i="51"/>
  <c r="BH12" i="51"/>
  <c r="BH45" i="51"/>
  <c r="BH62" i="51"/>
  <c r="BH38" i="51"/>
  <c r="BH59" i="51"/>
  <c r="BH49" i="51"/>
  <c r="BH99" i="51"/>
  <c r="BH90" i="51"/>
  <c r="BH87" i="51"/>
  <c r="BH37" i="51"/>
  <c r="BH36" i="51"/>
  <c r="BH56" i="51"/>
  <c r="BH60" i="51"/>
  <c r="BH77" i="51"/>
  <c r="BH47" i="51"/>
  <c r="BH54" i="51"/>
  <c r="BH70" i="51"/>
  <c r="BH48" i="51"/>
  <c r="BH83" i="51"/>
  <c r="BH58" i="51"/>
  <c r="BH82" i="51"/>
  <c r="BH93" i="51"/>
  <c r="BH24" i="51"/>
  <c r="BH91" i="51"/>
  <c r="BH89" i="51"/>
  <c r="BH28" i="51"/>
  <c r="BH86" i="51"/>
  <c r="BH76" i="51"/>
  <c r="BH98" i="51"/>
  <c r="BH73" i="51"/>
  <c r="BH44" i="51"/>
  <c r="BH95" i="51"/>
  <c r="BH18" i="51"/>
  <c r="BH7" i="51"/>
  <c r="BH43" i="51"/>
  <c r="BH110" i="51"/>
  <c r="BH3" i="51"/>
  <c r="BH34" i="51"/>
  <c r="BH67" i="51"/>
  <c r="BH112" i="51"/>
  <c r="BH55" i="51"/>
  <c r="BH26" i="51"/>
  <c r="BH10" i="51"/>
  <c r="BH111" i="51"/>
  <c r="BH22" i="51"/>
  <c r="BH11" i="51"/>
  <c r="BH79" i="51"/>
  <c r="BH39" i="51"/>
  <c r="BH94" i="51"/>
  <c r="BH6" i="51"/>
  <c r="BH63" i="51"/>
  <c r="BH30" i="51"/>
  <c r="BH103" i="51"/>
  <c r="BH74" i="51"/>
  <c r="BH101" i="51"/>
  <c r="BH72" i="51"/>
  <c r="BH68" i="51"/>
  <c r="BH75" i="51"/>
  <c r="BH78" i="51"/>
  <c r="BH104" i="51"/>
  <c r="BH61" i="51"/>
  <c r="BH107" i="51"/>
  <c r="BH27" i="51"/>
  <c r="BH80" i="51"/>
  <c r="BH31" i="51"/>
  <c r="BH4" i="51"/>
  <c r="BH106" i="51"/>
  <c r="BH51" i="51"/>
  <c r="BH57" i="51"/>
  <c r="BH100" i="51"/>
  <c r="BF101" i="51"/>
  <c r="BF57" i="51"/>
  <c r="BF45" i="51"/>
  <c r="BF89" i="51"/>
  <c r="BF44" i="51"/>
  <c r="BF108" i="51"/>
  <c r="BF77" i="51"/>
  <c r="BF80" i="51"/>
  <c r="BF43" i="51"/>
  <c r="BF16" i="51"/>
  <c r="BF28" i="51"/>
  <c r="BF20" i="51"/>
  <c r="BF112" i="51"/>
  <c r="BF90" i="51"/>
  <c r="BF31" i="51"/>
  <c r="BF96" i="51"/>
  <c r="BF87" i="51"/>
  <c r="BF47" i="51"/>
  <c r="BF4" i="51"/>
  <c r="BF52" i="51"/>
  <c r="BF82" i="51"/>
  <c r="BF54" i="51"/>
  <c r="BF106" i="51"/>
  <c r="BF102" i="51"/>
  <c r="BF46" i="51"/>
  <c r="BF70" i="51"/>
  <c r="BF51" i="51"/>
  <c r="BF66" i="51"/>
  <c r="BF17" i="51"/>
  <c r="BF100" i="51"/>
  <c r="BF9" i="51"/>
  <c r="BF85" i="51"/>
  <c r="BF37" i="51"/>
  <c r="BF61" i="51"/>
  <c r="BF29" i="51"/>
  <c r="BF33" i="51"/>
  <c r="BF36" i="51"/>
  <c r="BF107" i="51"/>
  <c r="BF21" i="51"/>
  <c r="BF40" i="51"/>
  <c r="BF56" i="51"/>
  <c r="BF27" i="51"/>
  <c r="BF8" i="51"/>
  <c r="BF72" i="51"/>
  <c r="BF79" i="51"/>
  <c r="BF55" i="51"/>
  <c r="BF95" i="51"/>
  <c r="BF68" i="51"/>
  <c r="BF39" i="51"/>
  <c r="BF26" i="51"/>
  <c r="BF18" i="51"/>
  <c r="BF75" i="51"/>
  <c r="BF10" i="51"/>
  <c r="BF7" i="51"/>
  <c r="BF78" i="51"/>
  <c r="BF94" i="51"/>
  <c r="BF109" i="51"/>
  <c r="BF13" i="51"/>
  <c r="BF81" i="51"/>
  <c r="BF113" i="51"/>
  <c r="BF99" i="51"/>
  <c r="BF49" i="51"/>
  <c r="BF69" i="51"/>
  <c r="BF12" i="51"/>
  <c r="BF83" i="51"/>
  <c r="BF48" i="51"/>
  <c r="BF64" i="51"/>
  <c r="BF60" i="51"/>
  <c r="BF53" i="51"/>
  <c r="BF73" i="51"/>
  <c r="BF23" i="51"/>
  <c r="BF35" i="51"/>
  <c r="BF62" i="51"/>
  <c r="BF86" i="51"/>
  <c r="BF15" i="51"/>
  <c r="BF42" i="51"/>
  <c r="BF38" i="51"/>
  <c r="BF76" i="51"/>
  <c r="BF71" i="51"/>
  <c r="BF2" i="51"/>
  <c r="BF59" i="51"/>
  <c r="BF98" i="51"/>
  <c r="BF50" i="51"/>
  <c r="BF58" i="51"/>
  <c r="BF84" i="51"/>
  <c r="BF63" i="51"/>
  <c r="BF103" i="51"/>
  <c r="BF25" i="51"/>
  <c r="BF97" i="51"/>
  <c r="BF104" i="51"/>
  <c r="BF6" i="51"/>
  <c r="BF67" i="51"/>
  <c r="BF34" i="51"/>
  <c r="BF22" i="51"/>
  <c r="BF105" i="51"/>
  <c r="BF32" i="51"/>
  <c r="BF3" i="51"/>
  <c r="BF24" i="51"/>
  <c r="BF111" i="51"/>
  <c r="BF11" i="51"/>
  <c r="BF65" i="51"/>
  <c r="BF5" i="51"/>
  <c r="BF30" i="51"/>
  <c r="BF74" i="51"/>
  <c r="BF41" i="51"/>
  <c r="BF19" i="51"/>
  <c r="BF92" i="51"/>
  <c r="BF110" i="51"/>
  <c r="BF93" i="51"/>
  <c r="BF91" i="51"/>
  <c r="BL17" i="51"/>
  <c r="BL25" i="51"/>
  <c r="BL65" i="51"/>
  <c r="BL93" i="51"/>
  <c r="BL105" i="51"/>
  <c r="BL41" i="51"/>
  <c r="BL84" i="51"/>
  <c r="BL24" i="51"/>
  <c r="BL92" i="51"/>
  <c r="BL97" i="51"/>
  <c r="BL5" i="51"/>
  <c r="BL91" i="51"/>
  <c r="BL32" i="51"/>
  <c r="BL19" i="51"/>
  <c r="BL63" i="51"/>
  <c r="BL111" i="51"/>
  <c r="BL110" i="51"/>
  <c r="BL104" i="51"/>
  <c r="BL30" i="51"/>
  <c r="BL22" i="51"/>
  <c r="BL3" i="51"/>
  <c r="BL67" i="51"/>
  <c r="BL103" i="51"/>
  <c r="BL11" i="51"/>
  <c r="BL34" i="51"/>
  <c r="BL6" i="51"/>
  <c r="BL74" i="51"/>
  <c r="BL101" i="51"/>
  <c r="BL57" i="51"/>
  <c r="BL45" i="51"/>
  <c r="BL89" i="51"/>
  <c r="BL44" i="51"/>
  <c r="BL108" i="51"/>
  <c r="BL77" i="51"/>
  <c r="BL80" i="51"/>
  <c r="BL43" i="51"/>
  <c r="BL16" i="51"/>
  <c r="BL28" i="51"/>
  <c r="BL20" i="51"/>
  <c r="BL112" i="51"/>
  <c r="BL90" i="51"/>
  <c r="BL31" i="51"/>
  <c r="BL96" i="51"/>
  <c r="BL87" i="51"/>
  <c r="BL47" i="51"/>
  <c r="BL4" i="51"/>
  <c r="BL52" i="51"/>
  <c r="BL82" i="51"/>
  <c r="BL54" i="51"/>
  <c r="BL106" i="51"/>
  <c r="BL102" i="51"/>
  <c r="BL46" i="51"/>
  <c r="BL70" i="51"/>
  <c r="BL51" i="51"/>
  <c r="BL66" i="51"/>
  <c r="BL13" i="51"/>
  <c r="BL100" i="51"/>
  <c r="BL9" i="51"/>
  <c r="BL85" i="51"/>
  <c r="BL37" i="51"/>
  <c r="BL61" i="51"/>
  <c r="BL29" i="51"/>
  <c r="BL33" i="51"/>
  <c r="BL36" i="51"/>
  <c r="BL107" i="51"/>
  <c r="BL21" i="51"/>
  <c r="BL40" i="51"/>
  <c r="BL56" i="51"/>
  <c r="BL27" i="51"/>
  <c r="BL8" i="51"/>
  <c r="BL72" i="51"/>
  <c r="BL79" i="51"/>
  <c r="BL55" i="51"/>
  <c r="BL95" i="51"/>
  <c r="BL68" i="51"/>
  <c r="BL39" i="51"/>
  <c r="BL26" i="51"/>
  <c r="BL18" i="51"/>
  <c r="BL75" i="51"/>
  <c r="BL10" i="51"/>
  <c r="BL7" i="51"/>
  <c r="BL78" i="51"/>
  <c r="BL94" i="51"/>
  <c r="BL83" i="51"/>
  <c r="BL62" i="51"/>
  <c r="BL59" i="51"/>
  <c r="BL113" i="51"/>
  <c r="BL60" i="51"/>
  <c r="BL42" i="51"/>
  <c r="BL58" i="51"/>
  <c r="BL12" i="51"/>
  <c r="BL35" i="51"/>
  <c r="BL81" i="51"/>
  <c r="BL64" i="51"/>
  <c r="BL15" i="51"/>
  <c r="BL49" i="51"/>
  <c r="BL73" i="51"/>
  <c r="BL69" i="51"/>
  <c r="BL23" i="51"/>
  <c r="BL71" i="51"/>
  <c r="BL109" i="51"/>
  <c r="BL48" i="51"/>
  <c r="BL86" i="51"/>
  <c r="BL98" i="51"/>
  <c r="BL2" i="51"/>
  <c r="BL99" i="51"/>
  <c r="BL53" i="51"/>
  <c r="BL38" i="51"/>
  <c r="BL50" i="51"/>
  <c r="BL76" i="51"/>
  <c r="BG101" i="51"/>
  <c r="BG57" i="51"/>
  <c r="BG45" i="51"/>
  <c r="BG89" i="51"/>
  <c r="BG44" i="51"/>
  <c r="BG108" i="51"/>
  <c r="BG77" i="51"/>
  <c r="BG80" i="51"/>
  <c r="BG43" i="51"/>
  <c r="BG16" i="51"/>
  <c r="BG28" i="51"/>
  <c r="BG20" i="51"/>
  <c r="BG112" i="51"/>
  <c r="BG90" i="51"/>
  <c r="BG31" i="51"/>
  <c r="BG96" i="51"/>
  <c r="BG87" i="51"/>
  <c r="BG47" i="51"/>
  <c r="BG4" i="51"/>
  <c r="BG52" i="51"/>
  <c r="BG82" i="51"/>
  <c r="BG54" i="51"/>
  <c r="BG106" i="51"/>
  <c r="BG102" i="51"/>
  <c r="BG46" i="51"/>
  <c r="BG70" i="51"/>
  <c r="BG51" i="51"/>
  <c r="BG66" i="51"/>
  <c r="BG100" i="51"/>
  <c r="BG9" i="51"/>
  <c r="BG85" i="51"/>
  <c r="BG37" i="51"/>
  <c r="BG61" i="51"/>
  <c r="BG29" i="51"/>
  <c r="BG33" i="51"/>
  <c r="BG36" i="51"/>
  <c r="BG107" i="51"/>
  <c r="BG21" i="51"/>
  <c r="BG40" i="51"/>
  <c r="BG56" i="51"/>
  <c r="BG27" i="51"/>
  <c r="BG8" i="51"/>
  <c r="BG72" i="51"/>
  <c r="BG79" i="51"/>
  <c r="BG55" i="51"/>
  <c r="BG95" i="51"/>
  <c r="BG68" i="51"/>
  <c r="BG39" i="51"/>
  <c r="BG26" i="51"/>
  <c r="BG18" i="51"/>
  <c r="BG75" i="51"/>
  <c r="BG14" i="51"/>
  <c r="BG10" i="51"/>
  <c r="BG7" i="51"/>
  <c r="BG78" i="51"/>
  <c r="BG94" i="51"/>
  <c r="BG109" i="51"/>
  <c r="BG13" i="51"/>
  <c r="BG81" i="51"/>
  <c r="BG113" i="51"/>
  <c r="BG99" i="51"/>
  <c r="BG49" i="51"/>
  <c r="BG69" i="51"/>
  <c r="BG12" i="51"/>
  <c r="BG83" i="51"/>
  <c r="BG48" i="51"/>
  <c r="BG64" i="51"/>
  <c r="BG60" i="51"/>
  <c r="BG53" i="51"/>
  <c r="BG73" i="51"/>
  <c r="BG23" i="51"/>
  <c r="BG35" i="51"/>
  <c r="BG62" i="51"/>
  <c r="BG86" i="51"/>
  <c r="BG15" i="51"/>
  <c r="BG42" i="51"/>
  <c r="BG38" i="51"/>
  <c r="BG76" i="51"/>
  <c r="BG71" i="51"/>
  <c r="BG2" i="51"/>
  <c r="BG59" i="51"/>
  <c r="BG98" i="51"/>
  <c r="BG50" i="51"/>
  <c r="BG58" i="51"/>
  <c r="BG17" i="51"/>
  <c r="BG25" i="51"/>
  <c r="BG65" i="51"/>
  <c r="BG93" i="51"/>
  <c r="BG105" i="51"/>
  <c r="BG41" i="51"/>
  <c r="BG84" i="51"/>
  <c r="BG24" i="51"/>
  <c r="BG92" i="51"/>
  <c r="BG97" i="51"/>
  <c r="BG5" i="51"/>
  <c r="BG91" i="51"/>
  <c r="BG32" i="51"/>
  <c r="BG19" i="51"/>
  <c r="BG63" i="51"/>
  <c r="BG111" i="51"/>
  <c r="BG110" i="51"/>
  <c r="BG104" i="51"/>
  <c r="BG30" i="51"/>
  <c r="BG22" i="51"/>
  <c r="BG3" i="51"/>
  <c r="BG67" i="51"/>
  <c r="BG103" i="51"/>
  <c r="BG11" i="51"/>
  <c r="BG34" i="51"/>
  <c r="BG6" i="51"/>
  <c r="BG74" i="51"/>
  <c r="AL58" i="51"/>
  <c r="AL74" i="51"/>
  <c r="AL113" i="51"/>
  <c r="AL67" i="51"/>
  <c r="AL18" i="51"/>
  <c r="AL36" i="51"/>
  <c r="AL77" i="51"/>
  <c r="AL50" i="51"/>
  <c r="AL85" i="51"/>
  <c r="AL66" i="51"/>
  <c r="AL44" i="51"/>
  <c r="AL95" i="51"/>
  <c r="AL7" i="51"/>
  <c r="AL47" i="51"/>
  <c r="AL82" i="51"/>
  <c r="AL5" i="51"/>
  <c r="AL98" i="51"/>
  <c r="AL46" i="51"/>
  <c r="AL28" i="51"/>
  <c r="AL13" i="51"/>
  <c r="AL14" i="51"/>
  <c r="AL31" i="51"/>
  <c r="AL111" i="51"/>
  <c r="AL49" i="51"/>
  <c r="AL109" i="51"/>
  <c r="AL101" i="51"/>
  <c r="AL81" i="51"/>
  <c r="AL69" i="51"/>
  <c r="AL96" i="51"/>
  <c r="BL88" i="51"/>
  <c r="AL6" i="51"/>
  <c r="AL78" i="51"/>
  <c r="AL32" i="51"/>
  <c r="AL43" i="51"/>
  <c r="AL110" i="51"/>
  <c r="AL83" i="51"/>
  <c r="BG88" i="51"/>
  <c r="AL59" i="51"/>
  <c r="AL45" i="51"/>
  <c r="BF88" i="51"/>
  <c r="AL88" i="51"/>
  <c r="BH88" i="51"/>
  <c r="AC87" i="42"/>
  <c r="X87" i="42"/>
  <c r="W87" i="42"/>
  <c r="U87" i="42"/>
  <c r="Q87" i="42"/>
  <c r="P87" i="42"/>
  <c r="AC6" i="42"/>
  <c r="X6" i="42"/>
  <c r="W6" i="42"/>
  <c r="U6" i="42"/>
  <c r="Q6" i="42"/>
  <c r="P6" i="42"/>
  <c r="AC22" i="42"/>
  <c r="X22" i="42"/>
  <c r="W22" i="42"/>
  <c r="U22" i="42"/>
  <c r="Q22" i="42"/>
  <c r="P22" i="42"/>
  <c r="AC4" i="42"/>
  <c r="X4" i="42"/>
  <c r="W4" i="42"/>
  <c r="U4" i="42"/>
  <c r="Q4" i="42"/>
  <c r="P4" i="42"/>
  <c r="AC14" i="42"/>
  <c r="X14" i="42"/>
  <c r="W14" i="42"/>
  <c r="U14" i="42"/>
  <c r="Q14" i="42"/>
  <c r="P14" i="42"/>
  <c r="AC7" i="42"/>
  <c r="X7" i="42"/>
  <c r="W7" i="42"/>
  <c r="U7" i="42"/>
  <c r="Q7" i="42"/>
  <c r="P7" i="42"/>
  <c r="AC59" i="42"/>
  <c r="X59" i="42"/>
  <c r="W59" i="42"/>
  <c r="U59" i="42"/>
  <c r="Q59" i="42"/>
  <c r="P59" i="42"/>
  <c r="AC8" i="42"/>
  <c r="X8" i="42"/>
  <c r="W8" i="42"/>
  <c r="U8" i="42"/>
  <c r="Q8" i="42"/>
  <c r="P8" i="42"/>
  <c r="BB44" i="50"/>
  <c r="BB45" i="50" s="1"/>
  <c r="BB46" i="50" s="1"/>
  <c r="BB47" i="50" s="1"/>
  <c r="AT44" i="50"/>
  <c r="AT45" i="50" s="1"/>
  <c r="AT46" i="50" s="1"/>
  <c r="AT47" i="50" s="1"/>
  <c r="AL44" i="50"/>
  <c r="AL45" i="50" s="1"/>
  <c r="AL46" i="50" s="1"/>
  <c r="AL47" i="50" s="1"/>
  <c r="AD44" i="50"/>
  <c r="AD45" i="50" s="1"/>
  <c r="AD46" i="50" s="1"/>
  <c r="AD47" i="50" s="1"/>
  <c r="V44" i="50"/>
  <c r="V45" i="50" s="1"/>
  <c r="V46" i="50" s="1"/>
  <c r="V47" i="50" s="1"/>
  <c r="N44" i="50"/>
  <c r="N45" i="50" s="1"/>
  <c r="N46" i="50" s="1"/>
  <c r="N47" i="50" s="1"/>
  <c r="BI113" i="42"/>
  <c r="BI111" i="42"/>
  <c r="BI109" i="42"/>
  <c r="BI110" i="42"/>
  <c r="BI112" i="42"/>
  <c r="BI108" i="42"/>
  <c r="BI107" i="42"/>
  <c r="BI106" i="42"/>
  <c r="BI105" i="42"/>
  <c r="BI103" i="42"/>
  <c r="BI104" i="42"/>
  <c r="BI102" i="42"/>
  <c r="BI101" i="42"/>
  <c r="BI96" i="42"/>
  <c r="BI100" i="42"/>
  <c r="BI99" i="42"/>
  <c r="BI95" i="42"/>
  <c r="BI93" i="42"/>
  <c r="BI97" i="42"/>
  <c r="BI94" i="42"/>
  <c r="BI98" i="42"/>
  <c r="BI92" i="42"/>
  <c r="BI90" i="42"/>
  <c r="BI91" i="42"/>
  <c r="BI88" i="42"/>
  <c r="BI87" i="42"/>
  <c r="BI89" i="42"/>
  <c r="BI86" i="42"/>
  <c r="BI85" i="42"/>
  <c r="BI84" i="42"/>
  <c r="BI83" i="42"/>
  <c r="BI82" i="42"/>
  <c r="BI81" i="42"/>
  <c r="BI79" i="42"/>
  <c r="BI80" i="42"/>
  <c r="BI78" i="42"/>
  <c r="BI77" i="42"/>
  <c r="BI76" i="42"/>
  <c r="BI74" i="42"/>
  <c r="BI73" i="42"/>
  <c r="BI72" i="42"/>
  <c r="BI71" i="42"/>
  <c r="BI70" i="42"/>
  <c r="BI69" i="42"/>
  <c r="BI68" i="42"/>
  <c r="BI75" i="42"/>
  <c r="BI67" i="42"/>
  <c r="BI66" i="42"/>
  <c r="BI65" i="42"/>
  <c r="BI64" i="42"/>
  <c r="BI63" i="42"/>
  <c r="BI61" i="42"/>
  <c r="BI60" i="42"/>
  <c r="BI59" i="42"/>
  <c r="BI56" i="42"/>
  <c r="BI58" i="42"/>
  <c r="BI57" i="42"/>
  <c r="BI46" i="42"/>
  <c r="BI54" i="42"/>
  <c r="BI55" i="42"/>
  <c r="BI62" i="42"/>
  <c r="BI48" i="42"/>
  <c r="BI50" i="42"/>
  <c r="BI51" i="42"/>
  <c r="BI47" i="42"/>
  <c r="BI49" i="42"/>
  <c r="BI44" i="42"/>
  <c r="BI53" i="42"/>
  <c r="BI52" i="42"/>
  <c r="BI43" i="42"/>
  <c r="BI41" i="42"/>
  <c r="BI45" i="42"/>
  <c r="BI42" i="42"/>
  <c r="BI40" i="42"/>
  <c r="BI30" i="42"/>
  <c r="BI39" i="42"/>
  <c r="BI37" i="42"/>
  <c r="BI38" i="42"/>
  <c r="BI35" i="42"/>
  <c r="BI36" i="42"/>
  <c r="BI34" i="42"/>
  <c r="BI32" i="42"/>
  <c r="BI33" i="42"/>
  <c r="BI27" i="42"/>
  <c r="BI31" i="42"/>
  <c r="BI23" i="42"/>
  <c r="BI28" i="42"/>
  <c r="BI26" i="42"/>
  <c r="BI29" i="42"/>
  <c r="BI24" i="42"/>
  <c r="BI25" i="42"/>
  <c r="BI21" i="42"/>
  <c r="BI20" i="42"/>
  <c r="BI19" i="42"/>
  <c r="BI22" i="42"/>
  <c r="BI15" i="42"/>
  <c r="BI18" i="42"/>
  <c r="BI16" i="42"/>
  <c r="BI17" i="42"/>
  <c r="BI14" i="42"/>
  <c r="BI13" i="42"/>
  <c r="BI9" i="42"/>
  <c r="BI7" i="42"/>
  <c r="BI12" i="42"/>
  <c r="BI10" i="42"/>
  <c r="BI8" i="42"/>
  <c r="BI11" i="42"/>
  <c r="BI5" i="42"/>
  <c r="BI6" i="42"/>
  <c r="BI3" i="42"/>
  <c r="BI4" i="42"/>
  <c r="BI2" i="42"/>
  <c r="AB2" i="42"/>
  <c r="AP15" i="51" l="1"/>
  <c r="AQ14" i="51"/>
  <c r="AP14" i="51"/>
  <c r="G27" i="50"/>
  <c r="AP23" i="51"/>
  <c r="AP84" i="51"/>
  <c r="AP62" i="51"/>
  <c r="AP57" i="51"/>
  <c r="AP83" i="51"/>
  <c r="AP3" i="51"/>
  <c r="AP105" i="51"/>
  <c r="AP70" i="51"/>
  <c r="AP58" i="51"/>
  <c r="AP32" i="51"/>
  <c r="AP26" i="51"/>
  <c r="AP48" i="51"/>
  <c r="AP79" i="51"/>
  <c r="AP86" i="51"/>
  <c r="AP42" i="51"/>
  <c r="AP87" i="51"/>
  <c r="AP95" i="51"/>
  <c r="AP100" i="51"/>
  <c r="AP110" i="51"/>
  <c r="AP74" i="51"/>
  <c r="AP109" i="51"/>
  <c r="AP25" i="51"/>
  <c r="AP46" i="51"/>
  <c r="AP103" i="51"/>
  <c r="AP91" i="51"/>
  <c r="AP6" i="51"/>
  <c r="AP31" i="51"/>
  <c r="AP36" i="51"/>
  <c r="AP63" i="51"/>
  <c r="AP17" i="51"/>
  <c r="AP5" i="51"/>
  <c r="AP7" i="51"/>
  <c r="AP94" i="51"/>
  <c r="AP66" i="51"/>
  <c r="AP98" i="51"/>
  <c r="AP44" i="51"/>
  <c r="AP27" i="51"/>
  <c r="AP113" i="51"/>
  <c r="AP78" i="51"/>
  <c r="AP54" i="51"/>
  <c r="AP35" i="51"/>
  <c r="AP13" i="51"/>
  <c r="AP93" i="51"/>
  <c r="AP33" i="51"/>
  <c r="AP99" i="51"/>
  <c r="AP60" i="51"/>
  <c r="AP67" i="51"/>
  <c r="AP92" i="51"/>
  <c r="AP111" i="51"/>
  <c r="AP72" i="51"/>
  <c r="AP56" i="51"/>
  <c r="AP64" i="51"/>
  <c r="AP47" i="51"/>
  <c r="AP85" i="51"/>
  <c r="AP28" i="51"/>
  <c r="AP89" i="51"/>
  <c r="AP34" i="51"/>
  <c r="AP53" i="51"/>
  <c r="AP108" i="51"/>
  <c r="AP8" i="51"/>
  <c r="AP80" i="51"/>
  <c r="AP102" i="51"/>
  <c r="AP9" i="51"/>
  <c r="AP73" i="51"/>
  <c r="AP96" i="51"/>
  <c r="AP88" i="51"/>
  <c r="AP82" i="51"/>
  <c r="AP69" i="51"/>
  <c r="AP20" i="51"/>
  <c r="AP29" i="51"/>
  <c r="AP97" i="51"/>
  <c r="AP37" i="51"/>
  <c r="AP68" i="51"/>
  <c r="AP43" i="51"/>
  <c r="AP75" i="51"/>
  <c r="AP51" i="51"/>
  <c r="AP77" i="51"/>
  <c r="AP40" i="51"/>
  <c r="AP22" i="51"/>
  <c r="AP45" i="51"/>
  <c r="AP41" i="51"/>
  <c r="AP50" i="51"/>
  <c r="AP49" i="51"/>
  <c r="AP16" i="51"/>
  <c r="AP52" i="51"/>
  <c r="AP101" i="51"/>
  <c r="AP55" i="51"/>
  <c r="AP59" i="51"/>
  <c r="AP4" i="51"/>
  <c r="AP61" i="51"/>
  <c r="AP107" i="51"/>
  <c r="AP24" i="51"/>
  <c r="BI26" i="51"/>
  <c r="BI49" i="51"/>
  <c r="AP81" i="51"/>
  <c r="BI48" i="51"/>
  <c r="BI37" i="51"/>
  <c r="BI103" i="51"/>
  <c r="BI53" i="51"/>
  <c r="BI111" i="51"/>
  <c r="BI34" i="51"/>
  <c r="BI108" i="51"/>
  <c r="BI66" i="51"/>
  <c r="BI51" i="51"/>
  <c r="BI40" i="51"/>
  <c r="BI12" i="51"/>
  <c r="BI86" i="51"/>
  <c r="BI46" i="51"/>
  <c r="AP18" i="51"/>
  <c r="BI14" i="51"/>
  <c r="BI97" i="51"/>
  <c r="BI98" i="51"/>
  <c r="BI16" i="51"/>
  <c r="BI56" i="51"/>
  <c r="BI72" i="51"/>
  <c r="BI61" i="51"/>
  <c r="BI88" i="51"/>
  <c r="BI85" i="51"/>
  <c r="BI60" i="51"/>
  <c r="BI82" i="51"/>
  <c r="BI50" i="51"/>
  <c r="BI99" i="51"/>
  <c r="BI81" i="51"/>
  <c r="BI2" i="51"/>
  <c r="BI64" i="51"/>
  <c r="BI25" i="51"/>
  <c r="BI90" i="51"/>
  <c r="BI109" i="51"/>
  <c r="BI54" i="51"/>
  <c r="BI55" i="51"/>
  <c r="BI38" i="51"/>
  <c r="BI77" i="51"/>
  <c r="BI4" i="51"/>
  <c r="BI39" i="51"/>
  <c r="BI93" i="51"/>
  <c r="BI105" i="51"/>
  <c r="BI43" i="51"/>
  <c r="BI44" i="51"/>
  <c r="BI92" i="51"/>
  <c r="BI75" i="51"/>
  <c r="BI22" i="51"/>
  <c r="BI41" i="51"/>
  <c r="BI35" i="51"/>
  <c r="BI79" i="51"/>
  <c r="BI112" i="51"/>
  <c r="BI100" i="51"/>
  <c r="BI33" i="51"/>
  <c r="BI101" i="51"/>
  <c r="BI69" i="51"/>
  <c r="BI68" i="51"/>
  <c r="BI23" i="51"/>
  <c r="BI3" i="51"/>
  <c r="BI47" i="51"/>
  <c r="BI5" i="51"/>
  <c r="BI102" i="51"/>
  <c r="BI45" i="51"/>
  <c r="BI63" i="51"/>
  <c r="BI52" i="51"/>
  <c r="BI6" i="51"/>
  <c r="BI96" i="51"/>
  <c r="BI62" i="51"/>
  <c r="BI31" i="51"/>
  <c r="BI106" i="51"/>
  <c r="BI91" i="51"/>
  <c r="BI9" i="51"/>
  <c r="BI27" i="51"/>
  <c r="BI20" i="51"/>
  <c r="BI24" i="51"/>
  <c r="BI10" i="51"/>
  <c r="BI87" i="51"/>
  <c r="BI84" i="51"/>
  <c r="BI42" i="51"/>
  <c r="BI18" i="51"/>
  <c r="BI8" i="51"/>
  <c r="BI113" i="51"/>
  <c r="BI29" i="51"/>
  <c r="BI73" i="51"/>
  <c r="BI36" i="51"/>
  <c r="BI95" i="51"/>
  <c r="BI13" i="51"/>
  <c r="BI30" i="51"/>
  <c r="BI83" i="51"/>
  <c r="BI17" i="51"/>
  <c r="BI74" i="51"/>
  <c r="BI58" i="51"/>
  <c r="BI67" i="51"/>
  <c r="BI78" i="51"/>
  <c r="BI107" i="51"/>
  <c r="BI80" i="51"/>
  <c r="BI11" i="51"/>
  <c r="BI7" i="51"/>
  <c r="BI71" i="51"/>
  <c r="BI15" i="51"/>
  <c r="BI32" i="51"/>
  <c r="BI94" i="51"/>
  <c r="BI57" i="51"/>
  <c r="BI110" i="51"/>
  <c r="BI70" i="51"/>
  <c r="BI28" i="51"/>
  <c r="BI76" i="51"/>
  <c r="BI89" i="51"/>
  <c r="BI21" i="51"/>
  <c r="BI19" i="51"/>
  <c r="BI104" i="51"/>
  <c r="BI65" i="51"/>
  <c r="BI59" i="51"/>
  <c r="AQ88" i="51"/>
  <c r="AQ13" i="51"/>
  <c r="AQ55" i="51"/>
  <c r="AQ22" i="51"/>
  <c r="AQ75" i="51"/>
  <c r="AQ21" i="51"/>
  <c r="AQ96" i="51"/>
  <c r="AQ101" i="51"/>
  <c r="AQ9" i="51"/>
  <c r="AQ46" i="51"/>
  <c r="AQ50" i="51"/>
  <c r="AQ105" i="51"/>
  <c r="AQ7" i="51"/>
  <c r="AQ102" i="51"/>
  <c r="AQ113" i="51"/>
  <c r="AQ81" i="51"/>
  <c r="AQ94" i="51"/>
  <c r="AQ57" i="51"/>
  <c r="AQ32" i="51"/>
  <c r="AQ112" i="51"/>
  <c r="AQ95" i="51"/>
  <c r="AQ58" i="51"/>
  <c r="AQ47" i="51"/>
  <c r="AQ71" i="51"/>
  <c r="AQ35" i="51"/>
  <c r="AQ106" i="51"/>
  <c r="AQ98" i="51"/>
  <c r="AQ44" i="51"/>
  <c r="AQ60" i="51"/>
  <c r="AQ109" i="51"/>
  <c r="AQ93" i="51"/>
  <c r="AQ82" i="51"/>
  <c r="AQ66" i="51"/>
  <c r="AQ92" i="51"/>
  <c r="AQ31" i="51"/>
  <c r="AQ73" i="51"/>
  <c r="AQ2" i="51"/>
  <c r="AQ45" i="51"/>
  <c r="AQ100" i="51"/>
  <c r="AQ48" i="51"/>
  <c r="AQ34" i="51"/>
  <c r="AQ97" i="51"/>
  <c r="AQ56" i="51"/>
  <c r="AQ36" i="51"/>
  <c r="AQ68" i="51"/>
  <c r="AQ37" i="51"/>
  <c r="AQ65" i="51"/>
  <c r="AQ89" i="51"/>
  <c r="AQ42" i="51"/>
  <c r="AQ16" i="51"/>
  <c r="AQ74" i="51"/>
  <c r="AQ87" i="51"/>
  <c r="AQ104" i="51"/>
  <c r="AQ70" i="51"/>
  <c r="AQ25" i="51"/>
  <c r="AQ79" i="51"/>
  <c r="AQ80" i="51"/>
  <c r="AQ3" i="51"/>
  <c r="AQ90" i="51"/>
  <c r="AQ84" i="51"/>
  <c r="AQ103" i="51"/>
  <c r="AQ53" i="51"/>
  <c r="AQ26" i="51"/>
  <c r="AQ23" i="51"/>
  <c r="AQ6" i="51"/>
  <c r="AQ39" i="51"/>
  <c r="AQ67" i="51"/>
  <c r="AQ24" i="51"/>
  <c r="AQ5" i="51"/>
  <c r="AQ20" i="51"/>
  <c r="AQ64" i="51"/>
  <c r="AQ30" i="51"/>
  <c r="AQ38" i="51"/>
  <c r="AQ91" i="51"/>
  <c r="AQ10" i="51"/>
  <c r="AQ29" i="51"/>
  <c r="AQ41" i="51"/>
  <c r="AQ111" i="51"/>
  <c r="AQ49" i="51"/>
  <c r="AQ108" i="51"/>
  <c r="AQ78" i="51"/>
  <c r="AQ77" i="51"/>
  <c r="AQ12" i="51"/>
  <c r="AQ72" i="51"/>
  <c r="AQ27" i="51"/>
  <c r="AQ62" i="51"/>
  <c r="AQ86" i="51"/>
  <c r="AQ110" i="51"/>
  <c r="AQ59" i="51"/>
  <c r="AQ43" i="51"/>
  <c r="AQ11" i="51"/>
  <c r="AQ99" i="51"/>
  <c r="AQ51" i="51"/>
  <c r="AQ33" i="51"/>
  <c r="AQ40" i="51"/>
  <c r="AQ61" i="51"/>
  <c r="AQ63" i="51"/>
  <c r="AQ54" i="51"/>
  <c r="AQ19" i="51"/>
  <c r="AQ8" i="51"/>
  <c r="AQ15" i="51"/>
  <c r="AQ28" i="51"/>
  <c r="AQ107" i="51"/>
  <c r="AQ69" i="51"/>
  <c r="AQ83" i="51"/>
  <c r="AQ4" i="51"/>
  <c r="AQ85" i="51"/>
  <c r="AQ18" i="51"/>
  <c r="AQ76" i="51"/>
  <c r="AQ17" i="51"/>
  <c r="AQ52" i="51"/>
  <c r="L34" i="50"/>
  <c r="M34" i="50" s="1"/>
  <c r="T34" i="50"/>
  <c r="U34" i="50" s="1"/>
  <c r="AB34" i="50"/>
  <c r="AC34" i="50" s="1"/>
  <c r="AJ34" i="50"/>
  <c r="AK34" i="50" s="1"/>
  <c r="AR34" i="50"/>
  <c r="AS34" i="50" s="1"/>
  <c r="AZ34" i="50"/>
  <c r="BA34" i="50" s="1"/>
  <c r="D34" i="50"/>
  <c r="E34" i="50" s="1"/>
  <c r="AC11" i="42"/>
  <c r="X11" i="42"/>
  <c r="W11" i="42"/>
  <c r="U11" i="42"/>
  <c r="Q11" i="42"/>
  <c r="P11" i="42"/>
  <c r="AC10" i="42"/>
  <c r="X10" i="42"/>
  <c r="W10" i="42"/>
  <c r="U10" i="42"/>
  <c r="Q10" i="42"/>
  <c r="P10" i="42"/>
  <c r="AC62" i="42"/>
  <c r="X62" i="42"/>
  <c r="W62" i="42"/>
  <c r="U62" i="42"/>
  <c r="Q62" i="42"/>
  <c r="P62" i="42"/>
  <c r="AC23" i="42"/>
  <c r="X23" i="42"/>
  <c r="W23" i="42"/>
  <c r="U23" i="42"/>
  <c r="Q23" i="42"/>
  <c r="P23" i="42"/>
  <c r="AC53" i="42"/>
  <c r="X53" i="42"/>
  <c r="W53" i="42"/>
  <c r="U53" i="42"/>
  <c r="Q53" i="42"/>
  <c r="P53" i="42"/>
  <c r="AC30" i="42"/>
  <c r="X30" i="42"/>
  <c r="W30" i="42"/>
  <c r="U30" i="42"/>
  <c r="Q30" i="42"/>
  <c r="P30" i="42"/>
  <c r="AC18" i="42"/>
  <c r="X18" i="42"/>
  <c r="W18" i="42"/>
  <c r="U18" i="42"/>
  <c r="Q18" i="42"/>
  <c r="P18" i="42"/>
  <c r="AC13" i="42"/>
  <c r="X13" i="42"/>
  <c r="W13" i="42"/>
  <c r="U13" i="42"/>
  <c r="Q13" i="42"/>
  <c r="P13" i="42"/>
  <c r="R26" i="49"/>
  <c r="R23" i="49"/>
  <c r="R24" i="49"/>
  <c r="R27" i="49"/>
  <c r="R22" i="49"/>
  <c r="R25" i="49"/>
  <c r="R30" i="48"/>
  <c r="Z35" i="49" s="1"/>
  <c r="R35" i="48"/>
  <c r="R33" i="48"/>
  <c r="Z38" i="49" s="1"/>
  <c r="R32" i="48"/>
  <c r="Z37" i="49" s="1"/>
  <c r="R31" i="48"/>
  <c r="Z36" i="49" s="1"/>
  <c r="R29" i="48"/>
  <c r="Z34" i="49" s="1"/>
  <c r="R34" i="48"/>
  <c r="Z39" i="49" s="1"/>
  <c r="R28" i="48"/>
  <c r="Z33" i="49" s="1"/>
  <c r="P24" i="49"/>
  <c r="P23" i="49"/>
  <c r="P26" i="49"/>
  <c r="P22" i="49"/>
  <c r="P25" i="49"/>
  <c r="P30" i="48"/>
  <c r="AC15" i="48"/>
  <c r="AI14" i="48"/>
  <c r="AI24" i="48" s="1"/>
  <c r="P35" i="48"/>
  <c r="P33" i="49" s="1"/>
  <c r="AI11" i="48"/>
  <c r="AI23" i="48" s="1"/>
  <c r="AI30" i="48" s="1"/>
  <c r="AG36" i="48" s="1"/>
  <c r="P33" i="48"/>
  <c r="P37" i="49" s="1"/>
  <c r="AC9" i="48"/>
  <c r="P32" i="48"/>
  <c r="P39" i="49" s="1"/>
  <c r="AC6" i="48"/>
  <c r="AC20" i="48" s="1"/>
  <c r="AI5" i="48"/>
  <c r="AC5" i="48"/>
  <c r="P31" i="48"/>
  <c r="AI15" i="48"/>
  <c r="AC14" i="48"/>
  <c r="AC24" i="48" s="1"/>
  <c r="AC30" i="48" s="1"/>
  <c r="P29" i="48"/>
  <c r="AI12" i="48"/>
  <c r="AC11" i="48"/>
  <c r="AI9" i="48"/>
  <c r="P28" i="48"/>
  <c r="AI6" i="48"/>
  <c r="AI20" i="48" s="1"/>
  <c r="AI29" i="48" s="1"/>
  <c r="U30" i="48"/>
  <c r="T30" i="48"/>
  <c r="S30" i="48"/>
  <c r="U31" i="48"/>
  <c r="T31" i="48"/>
  <c r="S31" i="48"/>
  <c r="U35" i="48"/>
  <c r="T35" i="48"/>
  <c r="S35" i="48"/>
  <c r="U29" i="48"/>
  <c r="T29" i="48"/>
  <c r="S29" i="48"/>
  <c r="U33" i="48"/>
  <c r="T33" i="48"/>
  <c r="S33" i="48"/>
  <c r="U34" i="48"/>
  <c r="T34" i="48"/>
  <c r="S34" i="48"/>
  <c r="U32" i="48"/>
  <c r="T32" i="48"/>
  <c r="S32" i="48"/>
  <c r="U28" i="48"/>
  <c r="T28" i="48"/>
  <c r="S28" i="48"/>
  <c r="P34" i="48"/>
  <c r="P35" i="49" s="1"/>
  <c r="U24" i="49"/>
  <c r="T24" i="49"/>
  <c r="S24" i="49"/>
  <c r="Q24" i="49"/>
  <c r="U27" i="49"/>
  <c r="T27" i="49"/>
  <c r="S27" i="49"/>
  <c r="Q27" i="49"/>
  <c r="U23" i="49"/>
  <c r="T23" i="49"/>
  <c r="S23" i="49"/>
  <c r="Q23" i="49"/>
  <c r="U22" i="49"/>
  <c r="T22" i="49"/>
  <c r="S22" i="49"/>
  <c r="Q22" i="49"/>
  <c r="U26" i="49"/>
  <c r="T26" i="49"/>
  <c r="S26" i="49"/>
  <c r="Q26" i="49"/>
  <c r="U25" i="49"/>
  <c r="T25" i="49"/>
  <c r="S25" i="49"/>
  <c r="Q25" i="49"/>
  <c r="P27" i="49"/>
  <c r="V38" i="49"/>
  <c r="V36" i="49"/>
  <c r="V34" i="49"/>
  <c r="V32" i="49"/>
  <c r="Q30" i="48"/>
  <c r="Q31" i="48"/>
  <c r="Q35" i="48"/>
  <c r="Q29" i="48"/>
  <c r="Q33" i="48"/>
  <c r="Q34" i="48"/>
  <c r="Q32" i="48"/>
  <c r="Q28" i="48"/>
  <c r="AI30" i="49"/>
  <c r="AG36" i="49" s="1"/>
  <c r="AI29" i="49"/>
  <c r="AI24" i="49"/>
  <c r="AC24" i="49"/>
  <c r="AC30" i="49" s="1"/>
  <c r="AG34" i="49" s="1"/>
  <c r="AI23" i="49"/>
  <c r="AC23" i="49"/>
  <c r="AI21" i="49"/>
  <c r="AC21" i="49"/>
  <c r="AC29" i="49" s="1"/>
  <c r="AI20" i="49"/>
  <c r="AI8" i="48"/>
  <c r="AI21" i="48" s="1"/>
  <c r="AC12" i="48"/>
  <c r="AC23" i="48" s="1"/>
  <c r="AC8" i="48"/>
  <c r="AC21" i="48" s="1"/>
  <c r="BK2" i="51" l="1"/>
  <c r="BJ14" i="51"/>
  <c r="BK14" i="51"/>
  <c r="P36" i="49"/>
  <c r="P38" i="49"/>
  <c r="AC29" i="48"/>
  <c r="AG34" i="48" s="1"/>
  <c r="BJ88" i="51"/>
  <c r="BK88" i="51"/>
  <c r="BJ109" i="51"/>
  <c r="BJ43" i="51"/>
  <c r="BJ101" i="51"/>
  <c r="BJ22" i="51"/>
  <c r="BJ55" i="51"/>
  <c r="BJ91" i="51"/>
  <c r="BJ95" i="51"/>
  <c r="BJ93" i="51"/>
  <c r="BJ2" i="51"/>
  <c r="BJ46" i="51"/>
  <c r="BJ35" i="51"/>
  <c r="BJ87" i="51"/>
  <c r="BJ12" i="51"/>
  <c r="BJ26" i="51"/>
  <c r="BJ107" i="51"/>
  <c r="BJ21" i="51"/>
  <c r="BJ79" i="51"/>
  <c r="BJ102" i="51"/>
  <c r="BJ96" i="51"/>
  <c r="BJ80" i="51"/>
  <c r="BJ74" i="51"/>
  <c r="BJ30" i="51"/>
  <c r="BJ5" i="51"/>
  <c r="BJ65" i="51"/>
  <c r="BJ71" i="51"/>
  <c r="BJ23" i="51"/>
  <c r="BJ69" i="51"/>
  <c r="BJ7" i="51"/>
  <c r="BJ72" i="51"/>
  <c r="BJ33" i="51"/>
  <c r="BJ36" i="51"/>
  <c r="BJ106" i="51"/>
  <c r="BJ31" i="51"/>
  <c r="BJ77" i="51"/>
  <c r="BJ6" i="51"/>
  <c r="BJ104" i="51"/>
  <c r="BJ97" i="51"/>
  <c r="BJ25" i="51"/>
  <c r="BJ76" i="51"/>
  <c r="BJ73" i="51"/>
  <c r="BJ49" i="51"/>
  <c r="BJ94" i="51"/>
  <c r="BJ18" i="51"/>
  <c r="BJ78" i="51"/>
  <c r="BJ9" i="51"/>
  <c r="BJ54" i="51"/>
  <c r="BJ90" i="51"/>
  <c r="BJ108" i="51"/>
  <c r="BJ34" i="51"/>
  <c r="BJ110" i="51"/>
  <c r="BJ92" i="51"/>
  <c r="BJ17" i="51"/>
  <c r="BJ38" i="51"/>
  <c r="BJ53" i="51"/>
  <c r="BJ99" i="51"/>
  <c r="BJ39" i="51"/>
  <c r="BJ8" i="51"/>
  <c r="BJ68" i="51"/>
  <c r="BJ100" i="51"/>
  <c r="BJ82" i="51"/>
  <c r="BJ112" i="51"/>
  <c r="BJ44" i="51"/>
  <c r="BJ11" i="51"/>
  <c r="BJ111" i="51"/>
  <c r="BJ24" i="51"/>
  <c r="BJ58" i="51"/>
  <c r="BJ42" i="51"/>
  <c r="BJ60" i="51"/>
  <c r="BJ113" i="51"/>
  <c r="BJ56" i="51"/>
  <c r="BJ29" i="51"/>
  <c r="BJ40" i="51"/>
  <c r="BJ66" i="51"/>
  <c r="BJ52" i="51"/>
  <c r="BJ20" i="51"/>
  <c r="BJ89" i="51"/>
  <c r="BJ103" i="51"/>
  <c r="BJ63" i="51"/>
  <c r="BJ84" i="51"/>
  <c r="BJ50" i="51"/>
  <c r="BJ15" i="51"/>
  <c r="BJ64" i="51"/>
  <c r="BJ81" i="51"/>
  <c r="BJ37" i="51"/>
  <c r="BJ27" i="51"/>
  <c r="BJ85" i="51"/>
  <c r="BJ51" i="51"/>
  <c r="BJ4" i="51"/>
  <c r="BJ28" i="51"/>
  <c r="BJ45" i="51"/>
  <c r="BJ67" i="51"/>
  <c r="BJ19" i="51"/>
  <c r="BJ41" i="51"/>
  <c r="BJ98" i="51"/>
  <c r="BJ86" i="51"/>
  <c r="BJ48" i="51"/>
  <c r="BJ13" i="51"/>
  <c r="BJ10" i="51"/>
  <c r="BJ61" i="51"/>
  <c r="BJ75" i="51"/>
  <c r="BJ70" i="51"/>
  <c r="BJ47" i="51"/>
  <c r="BJ16" i="51"/>
  <c r="BJ57" i="51"/>
  <c r="BJ3" i="51"/>
  <c r="BJ32" i="51"/>
  <c r="BJ105" i="51"/>
  <c r="BJ59" i="51"/>
  <c r="BJ62" i="51"/>
  <c r="BJ83" i="51"/>
  <c r="BK85" i="51"/>
  <c r="BK68" i="51"/>
  <c r="BK45" i="51"/>
  <c r="BK109" i="51"/>
  <c r="BK101" i="51"/>
  <c r="BK27" i="51"/>
  <c r="BK54" i="51"/>
  <c r="BK87" i="51"/>
  <c r="BK12" i="51"/>
  <c r="BK10" i="51"/>
  <c r="BK67" i="51"/>
  <c r="BC67" i="51" s="1"/>
  <c r="BK90" i="51"/>
  <c r="BK74" i="51"/>
  <c r="BK56" i="51"/>
  <c r="BK73" i="51"/>
  <c r="BK44" i="51"/>
  <c r="BK95" i="51"/>
  <c r="BK102" i="51"/>
  <c r="BK21" i="51"/>
  <c r="BK111" i="51"/>
  <c r="BK37" i="51"/>
  <c r="BK9" i="51"/>
  <c r="BK41" i="51"/>
  <c r="BK24" i="51"/>
  <c r="BK60" i="51"/>
  <c r="BK83" i="51"/>
  <c r="BK69" i="51"/>
  <c r="BK61" i="51"/>
  <c r="BK59" i="51"/>
  <c r="BK77" i="51"/>
  <c r="BK91" i="51"/>
  <c r="BK39" i="51"/>
  <c r="BK3" i="51"/>
  <c r="BK16" i="51"/>
  <c r="BK97" i="51"/>
  <c r="BK31" i="51"/>
  <c r="BK98" i="51"/>
  <c r="BK112" i="51"/>
  <c r="BK7" i="51"/>
  <c r="BK8" i="51"/>
  <c r="BK20" i="51"/>
  <c r="BK93" i="51"/>
  <c r="BK13" i="51"/>
  <c r="BK11" i="51"/>
  <c r="BK104" i="51"/>
  <c r="BK29" i="51"/>
  <c r="BK96" i="51"/>
  <c r="BK63" i="51"/>
  <c r="BK17" i="51"/>
  <c r="BK107" i="51"/>
  <c r="BK40" i="51"/>
  <c r="BK78" i="51"/>
  <c r="BK38" i="51"/>
  <c r="BK6" i="51"/>
  <c r="BK80" i="51"/>
  <c r="BK42" i="51"/>
  <c r="BK34" i="51"/>
  <c r="BK92" i="51"/>
  <c r="BK106" i="51"/>
  <c r="BK32" i="51"/>
  <c r="BK105" i="51"/>
  <c r="BK75" i="51"/>
  <c r="BK99" i="51"/>
  <c r="BK53" i="51"/>
  <c r="BK47" i="51"/>
  <c r="BK4" i="51"/>
  <c r="BK5" i="51"/>
  <c r="BK43" i="51"/>
  <c r="BK84" i="51"/>
  <c r="BK58" i="51"/>
  <c r="BK52" i="51"/>
  <c r="BK76" i="51"/>
  <c r="BK28" i="51"/>
  <c r="BK33" i="51"/>
  <c r="BK110" i="51"/>
  <c r="BK108" i="51"/>
  <c r="BK30" i="51"/>
  <c r="BK23" i="51"/>
  <c r="BK79" i="51"/>
  <c r="BK89" i="51"/>
  <c r="BK48" i="51"/>
  <c r="BK66" i="51"/>
  <c r="BK35" i="51"/>
  <c r="BC35" i="51" s="1"/>
  <c r="BK57" i="51"/>
  <c r="BK50" i="51"/>
  <c r="BK22" i="51"/>
  <c r="BK62" i="51"/>
  <c r="BK70" i="51"/>
  <c r="BK81" i="51"/>
  <c r="BK19" i="51"/>
  <c r="BK103" i="51"/>
  <c r="BK72" i="51"/>
  <c r="BK36" i="51"/>
  <c r="BK113" i="51"/>
  <c r="BK18" i="51"/>
  <c r="BK15" i="51"/>
  <c r="BK51" i="51"/>
  <c r="BK86" i="51"/>
  <c r="BK49" i="51"/>
  <c r="BK64" i="51"/>
  <c r="BK26" i="51"/>
  <c r="BK25" i="51"/>
  <c r="BK65" i="51"/>
  <c r="BK100" i="51"/>
  <c r="BK82" i="51"/>
  <c r="BK71" i="51"/>
  <c r="BK94" i="51"/>
  <c r="BK46" i="51"/>
  <c r="BK55" i="51"/>
  <c r="P32" i="49"/>
  <c r="P34" i="49"/>
  <c r="AC96" i="42"/>
  <c r="X96" i="42"/>
  <c r="W96" i="42"/>
  <c r="U96" i="42"/>
  <c r="Q96" i="42"/>
  <c r="P96" i="42"/>
  <c r="AC15" i="42"/>
  <c r="X15" i="42"/>
  <c r="W15" i="42"/>
  <c r="U15" i="42"/>
  <c r="Q15" i="42"/>
  <c r="P15" i="42"/>
  <c r="AC17" i="42"/>
  <c r="X17" i="42"/>
  <c r="W17" i="42"/>
  <c r="U17" i="42"/>
  <c r="Q17" i="42"/>
  <c r="P17" i="42"/>
  <c r="AC3" i="42"/>
  <c r="X3" i="42"/>
  <c r="W3" i="42"/>
  <c r="U3" i="42"/>
  <c r="Q3" i="42"/>
  <c r="P3" i="42"/>
  <c r="BC14" i="51" l="1"/>
  <c r="BC61" i="51"/>
  <c r="BC39" i="51"/>
  <c r="BC27" i="51"/>
  <c r="BC36" i="51"/>
  <c r="BC11" i="51"/>
  <c r="BC88" i="51"/>
  <c r="BC48" i="51"/>
  <c r="BC4" i="51"/>
  <c r="BC63" i="51"/>
  <c r="BC25" i="51"/>
  <c r="BC33" i="51"/>
  <c r="BC70" i="51"/>
  <c r="BC112" i="51"/>
  <c r="BC9" i="51"/>
  <c r="BC97" i="51"/>
  <c r="BC72" i="51"/>
  <c r="BC74" i="51"/>
  <c r="BC12" i="51"/>
  <c r="BC55" i="51"/>
  <c r="BC59" i="51"/>
  <c r="BC19" i="51"/>
  <c r="BC60" i="51"/>
  <c r="BC82" i="51"/>
  <c r="BC17" i="51"/>
  <c r="BC78" i="51"/>
  <c r="BC104" i="51"/>
  <c r="BC80" i="51"/>
  <c r="BC22" i="51"/>
  <c r="BC96" i="51"/>
  <c r="BC75" i="51"/>
  <c r="BC105" i="51"/>
  <c r="BC81" i="51"/>
  <c r="BC20" i="51"/>
  <c r="BC42" i="51"/>
  <c r="BC100" i="51"/>
  <c r="BC92" i="51"/>
  <c r="BC18" i="51"/>
  <c r="BC6" i="51"/>
  <c r="BC69" i="51"/>
  <c r="BC101" i="51"/>
  <c r="BC41" i="51"/>
  <c r="BC7" i="51"/>
  <c r="BC32" i="51"/>
  <c r="BC10" i="51"/>
  <c r="BC45" i="51"/>
  <c r="BC64" i="51"/>
  <c r="BC52" i="51"/>
  <c r="BC58" i="51"/>
  <c r="BC68" i="51"/>
  <c r="BC94" i="51"/>
  <c r="BC77" i="51"/>
  <c r="BC23" i="51"/>
  <c r="BC102" i="51"/>
  <c r="BC46" i="51"/>
  <c r="BC43" i="51"/>
  <c r="BC3" i="51"/>
  <c r="BC13" i="51"/>
  <c r="BC28" i="51"/>
  <c r="BC15" i="51"/>
  <c r="BC66" i="51"/>
  <c r="BC24" i="51"/>
  <c r="BC8" i="51"/>
  <c r="BC34" i="51"/>
  <c r="BC49" i="51"/>
  <c r="BC31" i="51"/>
  <c r="BC71" i="51"/>
  <c r="BC79" i="51"/>
  <c r="BC2" i="51"/>
  <c r="BC109" i="51"/>
  <c r="BC57" i="51"/>
  <c r="BC50" i="51"/>
  <c r="BC111" i="51"/>
  <c r="BC108" i="51"/>
  <c r="BC73" i="51"/>
  <c r="BC106" i="51"/>
  <c r="BC65" i="51"/>
  <c r="BC21" i="51"/>
  <c r="BC93" i="51"/>
  <c r="BC113" i="51"/>
  <c r="BC51" i="51"/>
  <c r="BC29" i="51"/>
  <c r="BC99" i="51"/>
  <c r="BC90" i="51"/>
  <c r="BC76" i="51"/>
  <c r="BC5" i="51"/>
  <c r="BC107" i="51"/>
  <c r="BC95" i="51"/>
  <c r="BC103" i="51"/>
  <c r="BC83" i="51"/>
  <c r="BC98" i="51"/>
  <c r="BC85" i="51"/>
  <c r="BC56" i="51"/>
  <c r="BC44" i="51"/>
  <c r="BC53" i="51"/>
  <c r="BC26" i="51"/>
  <c r="BC91" i="51"/>
  <c r="BC110" i="51"/>
  <c r="BC40" i="51"/>
  <c r="BC16" i="51"/>
  <c r="BC86" i="51"/>
  <c r="BC84" i="51"/>
  <c r="BC47" i="51"/>
  <c r="BC54" i="51"/>
  <c r="BC30" i="51"/>
  <c r="BC62" i="51"/>
  <c r="BC38" i="51"/>
  <c r="BC37" i="51"/>
  <c r="BC89" i="51"/>
  <c r="BC87" i="51"/>
  <c r="CV232" i="30"/>
  <c r="BA14" i="51" l="1"/>
  <c r="BA31" i="51"/>
  <c r="BA26" i="51"/>
  <c r="BA51" i="51"/>
  <c r="BA61" i="51"/>
  <c r="BA82" i="51"/>
  <c r="BA10" i="51"/>
  <c r="BA69" i="51"/>
  <c r="BA35" i="51"/>
  <c r="BA12" i="51"/>
  <c r="BA104" i="51"/>
  <c r="BA83" i="51"/>
  <c r="BA23" i="51"/>
  <c r="BA22" i="51"/>
  <c r="BA89" i="51"/>
  <c r="BA2" i="51"/>
  <c r="BA78" i="51"/>
  <c r="BA79" i="51"/>
  <c r="BA103" i="51"/>
  <c r="BA41" i="51"/>
  <c r="BA90" i="51"/>
  <c r="BA47" i="51"/>
  <c r="BA30" i="51"/>
  <c r="BA111" i="51"/>
  <c r="BA29" i="51"/>
  <c r="BA77" i="51"/>
  <c r="BA63" i="51"/>
  <c r="BA107" i="51"/>
  <c r="BA5" i="51"/>
  <c r="BA109" i="51"/>
  <c r="BA66" i="51"/>
  <c r="BA11" i="51"/>
  <c r="BA76" i="51"/>
  <c r="BA3" i="51"/>
  <c r="BA45" i="51"/>
  <c r="BA108" i="51"/>
  <c r="BA48" i="51"/>
  <c r="BA74" i="51"/>
  <c r="BA93" i="51"/>
  <c r="BA99" i="51"/>
  <c r="BA58" i="51"/>
  <c r="BA36" i="51"/>
  <c r="BA95" i="51"/>
  <c r="BA38" i="51"/>
  <c r="BA87" i="51"/>
  <c r="BA72" i="51"/>
  <c r="BA98" i="51"/>
  <c r="BA85" i="51"/>
  <c r="BA55" i="51"/>
  <c r="BA106" i="51"/>
  <c r="BA43" i="51"/>
  <c r="BA37" i="51"/>
  <c r="BA73" i="51"/>
  <c r="BA46" i="51"/>
  <c r="BA54" i="51"/>
  <c r="BA13" i="51"/>
  <c r="BA105" i="51"/>
  <c r="BA65" i="51"/>
  <c r="BA67" i="51"/>
  <c r="BA56" i="51"/>
  <c r="BA113" i="51"/>
  <c r="BA28" i="51"/>
  <c r="BA33" i="51"/>
  <c r="BA15" i="51"/>
  <c r="BA91" i="51"/>
  <c r="BA70" i="51"/>
  <c r="BA92" i="51"/>
  <c r="BA59" i="51"/>
  <c r="BA44" i="51"/>
  <c r="BA68" i="51"/>
  <c r="BA24" i="51"/>
  <c r="BA86" i="51"/>
  <c r="BA101" i="51"/>
  <c r="BA60" i="51"/>
  <c r="BA40" i="51"/>
  <c r="BA94" i="51"/>
  <c r="BA17" i="51"/>
  <c r="BA62" i="51"/>
  <c r="BA81" i="51"/>
  <c r="BA110" i="51"/>
  <c r="BA75" i="51"/>
  <c r="BA88" i="51"/>
  <c r="BA112" i="51"/>
  <c r="BA9" i="51"/>
  <c r="BA42" i="51"/>
  <c r="BA102" i="51"/>
  <c r="BA57" i="51"/>
  <c r="BA52" i="51"/>
  <c r="BA97" i="51"/>
  <c r="BA32" i="51"/>
  <c r="BA4" i="51"/>
  <c r="BA16" i="51"/>
  <c r="BA50" i="51"/>
  <c r="BA34" i="51"/>
  <c r="BA7" i="51"/>
  <c r="BA25" i="51"/>
  <c r="CD1" i="51"/>
  <c r="BA96" i="51"/>
  <c r="BA80" i="51"/>
  <c r="BA84" i="51"/>
  <c r="BA64" i="51"/>
  <c r="BA8" i="51"/>
  <c r="BA19" i="51"/>
  <c r="BA6" i="51"/>
  <c r="BA71" i="51"/>
  <c r="BA21" i="51"/>
  <c r="BA39" i="51"/>
  <c r="BA27" i="51"/>
  <c r="BA100" i="51"/>
  <c r="BA49" i="51"/>
  <c r="BA53" i="51"/>
  <c r="BA18" i="51"/>
  <c r="BA20" i="51"/>
  <c r="V12" i="46"/>
  <c r="R24" i="46"/>
  <c r="R21" i="46"/>
  <c r="AC98" i="42"/>
  <c r="X98" i="42"/>
  <c r="W98" i="42"/>
  <c r="U98" i="42"/>
  <c r="Q98" i="42"/>
  <c r="P98" i="42"/>
  <c r="R23" i="46"/>
  <c r="R22" i="46"/>
  <c r="AC45" i="42"/>
  <c r="X45" i="42"/>
  <c r="W45" i="42"/>
  <c r="U45" i="42"/>
  <c r="Q45" i="42"/>
  <c r="P45" i="42"/>
  <c r="AC41" i="42"/>
  <c r="X41" i="42"/>
  <c r="W41" i="42"/>
  <c r="U41" i="42"/>
  <c r="Q41" i="42"/>
  <c r="P41" i="42"/>
  <c r="R18" i="46"/>
  <c r="R16" i="46"/>
  <c r="R17" i="46"/>
  <c r="R15" i="46"/>
  <c r="AC97" i="42"/>
  <c r="X97" i="42"/>
  <c r="W97" i="42"/>
  <c r="U97" i="42"/>
  <c r="Q97" i="42"/>
  <c r="P97" i="42"/>
  <c r="R11" i="46"/>
  <c r="R9" i="46"/>
  <c r="R104" i="18"/>
  <c r="R12" i="46"/>
  <c r="R10" i="46"/>
  <c r="AC63" i="42"/>
  <c r="X63" i="42"/>
  <c r="W63" i="42"/>
  <c r="U63" i="42"/>
  <c r="Q63" i="42"/>
  <c r="P63" i="42"/>
  <c r="BB110" i="51" l="1"/>
  <c r="AZ27" i="50"/>
  <c r="BB76" i="51"/>
  <c r="AJ25" i="50"/>
  <c r="BB29" i="51"/>
  <c r="L26" i="50"/>
  <c r="BB78" i="51"/>
  <c r="AJ27" i="50"/>
  <c r="BB35" i="51"/>
  <c r="T16" i="50"/>
  <c r="BB53" i="51"/>
  <c r="AB18" i="50"/>
  <c r="BB19" i="51"/>
  <c r="L16" i="50"/>
  <c r="BB7" i="51"/>
  <c r="D20" i="50"/>
  <c r="BB57" i="51"/>
  <c r="AB22" i="50"/>
  <c r="BB81" i="51"/>
  <c r="AJ30" i="50"/>
  <c r="BB24" i="51"/>
  <c r="L21" i="50"/>
  <c r="BB33" i="51"/>
  <c r="L30" i="50"/>
  <c r="BB54" i="51"/>
  <c r="AB19" i="50"/>
  <c r="BB98" i="51"/>
  <c r="AZ15" i="50"/>
  <c r="BB99" i="51"/>
  <c r="AZ16" i="50"/>
  <c r="BB11" i="51"/>
  <c r="D24" i="50"/>
  <c r="BB111" i="51"/>
  <c r="AZ28" i="50"/>
  <c r="BB2" i="51"/>
  <c r="D15" i="50"/>
  <c r="BB69" i="51"/>
  <c r="AJ18" i="50"/>
  <c r="BB25" i="51"/>
  <c r="L22" i="50"/>
  <c r="BB85" i="51"/>
  <c r="AR18" i="50"/>
  <c r="BB102" i="51"/>
  <c r="AZ19" i="50"/>
  <c r="BB72" i="51"/>
  <c r="AJ21" i="50"/>
  <c r="BB10" i="51"/>
  <c r="D23" i="50"/>
  <c r="BB100" i="51"/>
  <c r="AZ17" i="50"/>
  <c r="BB64" i="51"/>
  <c r="AB29" i="50"/>
  <c r="BB50" i="51"/>
  <c r="AB15" i="50"/>
  <c r="BB42" i="51"/>
  <c r="T23" i="50"/>
  <c r="BB17" i="51"/>
  <c r="D30" i="50"/>
  <c r="BB44" i="51"/>
  <c r="T25" i="50"/>
  <c r="BB113" i="51"/>
  <c r="AZ30" i="50"/>
  <c r="BB73" i="51"/>
  <c r="AJ22" i="50"/>
  <c r="BB87" i="51"/>
  <c r="AR20" i="50"/>
  <c r="BB74" i="51"/>
  <c r="AJ23" i="50"/>
  <c r="BB109" i="51"/>
  <c r="AZ26" i="50"/>
  <c r="BB47" i="51"/>
  <c r="T28" i="50"/>
  <c r="BB22" i="51"/>
  <c r="L19" i="50"/>
  <c r="BB82" i="51"/>
  <c r="AR15" i="50"/>
  <c r="BB15" i="51"/>
  <c r="D28" i="50"/>
  <c r="BB8" i="51"/>
  <c r="D21" i="50"/>
  <c r="BB28" i="51"/>
  <c r="L25" i="50"/>
  <c r="BB30" i="51"/>
  <c r="L27" i="50"/>
  <c r="BB84" i="51"/>
  <c r="AR17" i="50"/>
  <c r="BB16" i="51"/>
  <c r="D29" i="50"/>
  <c r="BB9" i="51"/>
  <c r="D22" i="50"/>
  <c r="BB94" i="51"/>
  <c r="AR27" i="50"/>
  <c r="BB59" i="51"/>
  <c r="AB24" i="50"/>
  <c r="BB56" i="51"/>
  <c r="AB21" i="50"/>
  <c r="BB37" i="51"/>
  <c r="T18" i="50"/>
  <c r="BB38" i="51"/>
  <c r="T19" i="50"/>
  <c r="BB48" i="51"/>
  <c r="T29" i="50"/>
  <c r="BB5" i="51"/>
  <c r="D18" i="50"/>
  <c r="BB90" i="51"/>
  <c r="AR23" i="50"/>
  <c r="BB23" i="51"/>
  <c r="L20" i="50"/>
  <c r="BB61" i="51"/>
  <c r="AB26" i="50"/>
  <c r="BB6" i="51"/>
  <c r="D19" i="50"/>
  <c r="BB13" i="51"/>
  <c r="D26" i="50"/>
  <c r="BB34" i="51"/>
  <c r="T15" i="50"/>
  <c r="BB46" i="51"/>
  <c r="T27" i="50"/>
  <c r="BB89" i="51"/>
  <c r="AR22" i="50"/>
  <c r="BB39" i="51"/>
  <c r="T20" i="50"/>
  <c r="BB80" i="51"/>
  <c r="AJ29" i="50"/>
  <c r="BB4" i="51"/>
  <c r="D17" i="50"/>
  <c r="BB112" i="51"/>
  <c r="AZ29" i="50"/>
  <c r="BB40" i="51"/>
  <c r="T21" i="50"/>
  <c r="BB92" i="51"/>
  <c r="AR25" i="50"/>
  <c r="BB67" i="51"/>
  <c r="AJ16" i="50"/>
  <c r="BB43" i="51"/>
  <c r="T24" i="50"/>
  <c r="BB14" i="51"/>
  <c r="D27" i="50"/>
  <c r="BB108" i="51"/>
  <c r="AZ25" i="50"/>
  <c r="BB107" i="51"/>
  <c r="AZ24" i="50"/>
  <c r="BB41" i="51"/>
  <c r="T22" i="50"/>
  <c r="BB83" i="51"/>
  <c r="AR16" i="50"/>
  <c r="BB51" i="51"/>
  <c r="AB16" i="50"/>
  <c r="BB52" i="51"/>
  <c r="AB17" i="50"/>
  <c r="BB58" i="51"/>
  <c r="AB23" i="50"/>
  <c r="BB62" i="51"/>
  <c r="AB27" i="50"/>
  <c r="BB93" i="51"/>
  <c r="AR26" i="50"/>
  <c r="BB27" i="51"/>
  <c r="L24" i="50"/>
  <c r="BB21" i="51"/>
  <c r="L18" i="50"/>
  <c r="BB96" i="51"/>
  <c r="AR29" i="50"/>
  <c r="BB32" i="51"/>
  <c r="L29" i="50"/>
  <c r="BB88" i="51"/>
  <c r="AR21" i="50"/>
  <c r="BB60" i="51"/>
  <c r="AB25" i="50"/>
  <c r="BB70" i="51"/>
  <c r="AJ19" i="50"/>
  <c r="BB65" i="51"/>
  <c r="AB30" i="50"/>
  <c r="BB106" i="51"/>
  <c r="AZ23" i="50"/>
  <c r="BB95" i="51"/>
  <c r="AR28" i="50"/>
  <c r="BB45" i="51"/>
  <c r="T26" i="50"/>
  <c r="BB63" i="51"/>
  <c r="AB28" i="50"/>
  <c r="BB103" i="51"/>
  <c r="AZ20" i="50"/>
  <c r="BB104" i="51"/>
  <c r="AZ21" i="50"/>
  <c r="BB26" i="51"/>
  <c r="L23" i="50"/>
  <c r="BB18" i="51"/>
  <c r="L15" i="50"/>
  <c r="BB86" i="51"/>
  <c r="AR19" i="50"/>
  <c r="BB49" i="51"/>
  <c r="T30" i="50"/>
  <c r="BB68" i="51"/>
  <c r="AJ17" i="50"/>
  <c r="BB66" i="51"/>
  <c r="AJ15" i="50"/>
  <c r="BB20" i="51"/>
  <c r="L17" i="50"/>
  <c r="BB71" i="51"/>
  <c r="AJ20" i="50"/>
  <c r="BB97" i="51"/>
  <c r="AR30" i="50"/>
  <c r="BB75" i="51"/>
  <c r="AJ24" i="50"/>
  <c r="BB101" i="51"/>
  <c r="AZ18" i="50"/>
  <c r="BB91" i="51"/>
  <c r="AR24" i="50"/>
  <c r="BB105" i="51"/>
  <c r="AZ22" i="50"/>
  <c r="BB55" i="51"/>
  <c r="AB20" i="50"/>
  <c r="BB36" i="51"/>
  <c r="T17" i="50"/>
  <c r="BB3" i="51"/>
  <c r="D16" i="50"/>
  <c r="BB77" i="51"/>
  <c r="AJ26" i="50"/>
  <c r="BB79" i="51"/>
  <c r="AJ28" i="50"/>
  <c r="BB12" i="51"/>
  <c r="D25" i="50"/>
  <c r="BB31" i="51"/>
  <c r="L28" i="50"/>
  <c r="R6" i="46"/>
  <c r="R3" i="46"/>
  <c r="AC75" i="42"/>
  <c r="X75" i="42"/>
  <c r="W75" i="42"/>
  <c r="U75" i="42"/>
  <c r="Q75" i="42"/>
  <c r="P75" i="42"/>
  <c r="R5" i="46"/>
  <c r="R4" i="46"/>
  <c r="AZ1" i="51" l="1"/>
  <c r="K24" i="46"/>
  <c r="K21" i="46"/>
  <c r="AC50" i="42"/>
  <c r="X50" i="42"/>
  <c r="W50" i="42"/>
  <c r="U50" i="42"/>
  <c r="Q50" i="42"/>
  <c r="P50" i="42"/>
  <c r="K23" i="46"/>
  <c r="K22" i="46"/>
  <c r="AC38" i="42"/>
  <c r="X38" i="42"/>
  <c r="W38" i="42"/>
  <c r="U38" i="42"/>
  <c r="Q38" i="42"/>
  <c r="P38" i="42"/>
  <c r="K16" i="46" l="1"/>
  <c r="K17" i="46"/>
  <c r="AC48" i="42"/>
  <c r="X48" i="42"/>
  <c r="W48" i="42"/>
  <c r="U48" i="42"/>
  <c r="Q48" i="42"/>
  <c r="P48" i="42"/>
  <c r="K18" i="46"/>
  <c r="K15" i="46"/>
  <c r="AC110" i="42"/>
  <c r="X110" i="42"/>
  <c r="W110" i="42"/>
  <c r="U110" i="42"/>
  <c r="Q110" i="42"/>
  <c r="P110" i="42"/>
  <c r="K11" i="46"/>
  <c r="K10" i="46"/>
  <c r="AC55" i="42"/>
  <c r="X55" i="42"/>
  <c r="W55" i="42"/>
  <c r="U55" i="42"/>
  <c r="Q55" i="42"/>
  <c r="P55" i="42"/>
  <c r="AC9" i="42"/>
  <c r="X9" i="42"/>
  <c r="W9" i="42"/>
  <c r="U9" i="42"/>
  <c r="Q9" i="42"/>
  <c r="P9" i="42"/>
  <c r="K12" i="46"/>
  <c r="K9" i="46"/>
  <c r="AC112" i="42"/>
  <c r="X112" i="42"/>
  <c r="W112" i="42"/>
  <c r="U112" i="42"/>
  <c r="Q112" i="42"/>
  <c r="P112" i="42"/>
  <c r="K3" i="46"/>
  <c r="K4" i="46"/>
  <c r="K6" i="46"/>
  <c r="K5" i="46"/>
  <c r="AC89" i="42"/>
  <c r="X89" i="42"/>
  <c r="W89" i="42"/>
  <c r="U89" i="42"/>
  <c r="Q89" i="42"/>
  <c r="P89" i="42"/>
  <c r="AC27" i="42"/>
  <c r="X27" i="42"/>
  <c r="W27" i="42"/>
  <c r="U27" i="42"/>
  <c r="Q27" i="42"/>
  <c r="P27" i="42"/>
  <c r="AC32" i="42" l="1"/>
  <c r="X32" i="42"/>
  <c r="W32" i="42"/>
  <c r="U32" i="42"/>
  <c r="Q32" i="42"/>
  <c r="P32" i="42"/>
  <c r="AC26" i="42"/>
  <c r="X26" i="42"/>
  <c r="W26" i="42"/>
  <c r="U26" i="42"/>
  <c r="Q26" i="42"/>
  <c r="P26" i="42"/>
  <c r="AC33" i="42"/>
  <c r="X33" i="42"/>
  <c r="W33" i="42"/>
  <c r="U33" i="42"/>
  <c r="Q33" i="42"/>
  <c r="P33" i="42"/>
  <c r="AC24" i="42"/>
  <c r="X24" i="42"/>
  <c r="W24" i="42"/>
  <c r="U24" i="42"/>
  <c r="Q24" i="42"/>
  <c r="P24" i="42"/>
  <c r="AC40" i="42"/>
  <c r="X40" i="42"/>
  <c r="W40" i="42"/>
  <c r="U40" i="42"/>
  <c r="Q40" i="42"/>
  <c r="P40" i="42"/>
  <c r="AC31" i="42"/>
  <c r="X31" i="42"/>
  <c r="W31" i="42"/>
  <c r="U31" i="42"/>
  <c r="Q31" i="42"/>
  <c r="P31" i="42"/>
  <c r="AC47" i="42" l="1"/>
  <c r="X47" i="42"/>
  <c r="W47" i="42"/>
  <c r="U47" i="42"/>
  <c r="Q47" i="42"/>
  <c r="P47" i="42"/>
  <c r="AC43" i="42"/>
  <c r="X43" i="42"/>
  <c r="W43" i="42"/>
  <c r="U43" i="42"/>
  <c r="Q43" i="42"/>
  <c r="P43" i="42"/>
  <c r="AC35" i="42"/>
  <c r="X35" i="42"/>
  <c r="W35" i="42"/>
  <c r="U35" i="42"/>
  <c r="Q35" i="42"/>
  <c r="P35" i="42"/>
  <c r="AC39" i="42"/>
  <c r="X39" i="42"/>
  <c r="W39" i="42"/>
  <c r="U39" i="42"/>
  <c r="Q39" i="42"/>
  <c r="P39" i="42"/>
  <c r="AC49" i="42"/>
  <c r="X49" i="42"/>
  <c r="W49" i="42"/>
  <c r="U49" i="42"/>
  <c r="Q49" i="42"/>
  <c r="P49" i="42"/>
  <c r="AB46" i="42"/>
  <c r="AC64" i="42"/>
  <c r="X64" i="42"/>
  <c r="W64" i="42"/>
  <c r="U64" i="42"/>
  <c r="Q64" i="42"/>
  <c r="AC16" i="42"/>
  <c r="X16" i="42"/>
  <c r="W16" i="42"/>
  <c r="Q16" i="42"/>
  <c r="P16" i="42"/>
  <c r="AC58" i="42"/>
  <c r="X58" i="42"/>
  <c r="W58" i="42"/>
  <c r="U58" i="42"/>
  <c r="Q58" i="42"/>
  <c r="P58" i="42"/>
  <c r="AC56" i="42"/>
  <c r="X56" i="42"/>
  <c r="W56" i="42"/>
  <c r="U56" i="42"/>
  <c r="Q56" i="42"/>
  <c r="P56" i="42"/>
  <c r="AC37" i="42"/>
  <c r="X37" i="42"/>
  <c r="W37" i="42"/>
  <c r="U37" i="42"/>
  <c r="Q37" i="42"/>
  <c r="AC66" i="42"/>
  <c r="X66" i="42"/>
  <c r="W66" i="42"/>
  <c r="U66" i="42"/>
  <c r="Q66" i="42"/>
  <c r="P66" i="42"/>
  <c r="AC70" i="42" l="1"/>
  <c r="X70" i="42"/>
  <c r="W70" i="42"/>
  <c r="U70" i="42"/>
  <c r="Q70" i="42"/>
  <c r="P70" i="42"/>
  <c r="AC71" i="42"/>
  <c r="X71" i="42"/>
  <c r="W71" i="42"/>
  <c r="U71" i="42"/>
  <c r="Q71" i="42"/>
  <c r="P71" i="42"/>
  <c r="AC77" i="42"/>
  <c r="X77" i="42"/>
  <c r="W77" i="42"/>
  <c r="U77" i="42"/>
  <c r="Q77" i="42"/>
  <c r="P77" i="42"/>
  <c r="AC21" i="42"/>
  <c r="X21" i="42"/>
  <c r="W21" i="42"/>
  <c r="U21" i="42"/>
  <c r="Q21" i="42"/>
  <c r="P21" i="42"/>
  <c r="AC51" i="42" l="1"/>
  <c r="X51" i="42"/>
  <c r="W51" i="42"/>
  <c r="U51" i="42"/>
  <c r="Q51" i="42"/>
  <c r="P51" i="42"/>
  <c r="AC69" i="42"/>
  <c r="X69" i="42"/>
  <c r="W69" i="42"/>
  <c r="U69" i="42"/>
  <c r="Q69" i="42"/>
  <c r="P69" i="42"/>
  <c r="AC78" i="42"/>
  <c r="X78" i="42"/>
  <c r="W78" i="42"/>
  <c r="U78" i="42"/>
  <c r="Q78" i="42"/>
  <c r="P78" i="42"/>
  <c r="AC57" i="42"/>
  <c r="X57" i="42"/>
  <c r="W57" i="42"/>
  <c r="U57" i="42"/>
  <c r="Q57" i="42"/>
  <c r="P57" i="42"/>
  <c r="AC80" i="42"/>
  <c r="X80" i="42"/>
  <c r="W80" i="42"/>
  <c r="U80" i="42"/>
  <c r="Q80" i="42"/>
  <c r="P80" i="42"/>
  <c r="AC44" i="42"/>
  <c r="X44" i="42"/>
  <c r="W44" i="42"/>
  <c r="U44" i="42"/>
  <c r="Q44" i="42"/>
  <c r="P44" i="42"/>
  <c r="AC74" i="42"/>
  <c r="X74" i="42"/>
  <c r="W74" i="42"/>
  <c r="U74" i="42"/>
  <c r="Q74" i="42"/>
  <c r="P74" i="42"/>
  <c r="AC86" i="42"/>
  <c r="X86" i="42"/>
  <c r="W86" i="42"/>
  <c r="U86" i="42"/>
  <c r="Q86" i="42"/>
  <c r="P86" i="42"/>
  <c r="AC12" i="42"/>
  <c r="X12" i="42"/>
  <c r="W12" i="42"/>
  <c r="U12" i="42"/>
  <c r="Q12" i="42"/>
  <c r="P12" i="42"/>
  <c r="AC83" i="42"/>
  <c r="X83" i="42"/>
  <c r="W83" i="42"/>
  <c r="U83" i="42"/>
  <c r="Q83" i="42"/>
  <c r="P83" i="42"/>
  <c r="AC42" i="42"/>
  <c r="X42" i="42"/>
  <c r="W42" i="42"/>
  <c r="U42" i="42"/>
  <c r="Q42" i="42"/>
  <c r="P42" i="42"/>
  <c r="AC85" i="42"/>
  <c r="X85" i="42"/>
  <c r="W85" i="42"/>
  <c r="U85" i="42"/>
  <c r="Q85" i="42"/>
  <c r="P85" i="42"/>
  <c r="AC84" i="42" l="1"/>
  <c r="X84" i="42"/>
  <c r="W84" i="42"/>
  <c r="U84" i="42"/>
  <c r="Q84" i="42"/>
  <c r="P84" i="42"/>
  <c r="AC81" i="42"/>
  <c r="X81" i="42"/>
  <c r="W81" i="42"/>
  <c r="U81" i="42"/>
  <c r="Q81" i="42"/>
  <c r="P81" i="42"/>
  <c r="AC92" i="42"/>
  <c r="X92" i="42"/>
  <c r="W92" i="42"/>
  <c r="U92" i="42"/>
  <c r="Q92" i="42"/>
  <c r="P92" i="42"/>
  <c r="AC60" i="42"/>
  <c r="X60" i="42"/>
  <c r="W60" i="42"/>
  <c r="U60" i="42"/>
  <c r="Q60" i="42"/>
  <c r="P60" i="42"/>
  <c r="AC93" i="42"/>
  <c r="X93" i="42"/>
  <c r="W93" i="42"/>
  <c r="U93" i="42"/>
  <c r="Q93" i="42"/>
  <c r="P93" i="42"/>
  <c r="AC28" i="42"/>
  <c r="X28" i="42"/>
  <c r="W28" i="42"/>
  <c r="U28" i="42"/>
  <c r="Q28" i="42"/>
  <c r="P28" i="42"/>
  <c r="AC90" i="42"/>
  <c r="X90" i="42"/>
  <c r="AB90" i="42" s="1"/>
  <c r="W90" i="42"/>
  <c r="U90" i="42"/>
  <c r="Q90" i="42"/>
  <c r="P90" i="42"/>
  <c r="AC54" i="42"/>
  <c r="X54" i="42"/>
  <c r="W54" i="42"/>
  <c r="U54" i="42"/>
  <c r="Q54" i="42"/>
  <c r="P54" i="42"/>
  <c r="AC91" i="42"/>
  <c r="X91" i="42"/>
  <c r="W91" i="42"/>
  <c r="U91" i="42"/>
  <c r="Q91" i="42"/>
  <c r="P91" i="42"/>
  <c r="AC82" i="42"/>
  <c r="X82" i="42"/>
  <c r="W82" i="42"/>
  <c r="U82" i="42"/>
  <c r="Q82" i="42"/>
  <c r="P82" i="42"/>
  <c r="AC95" i="42"/>
  <c r="X95" i="42"/>
  <c r="W95" i="42"/>
  <c r="U95" i="42"/>
  <c r="Q95" i="42"/>
  <c r="P95" i="42"/>
  <c r="AC20" i="42"/>
  <c r="X20" i="42"/>
  <c r="W20" i="42"/>
  <c r="U20" i="42"/>
  <c r="Q20" i="42"/>
  <c r="P20" i="42"/>
  <c r="AC99" i="42"/>
  <c r="X99" i="42"/>
  <c r="W99" i="42"/>
  <c r="U99" i="42"/>
  <c r="Q99" i="42"/>
  <c r="P99" i="42"/>
  <c r="AC100" i="42" l="1"/>
  <c r="X100" i="42"/>
  <c r="W100" i="42"/>
  <c r="U100" i="42"/>
  <c r="Q100" i="42"/>
  <c r="P100" i="42"/>
  <c r="AC25" i="42"/>
  <c r="X25" i="42"/>
  <c r="W25" i="42"/>
  <c r="U25" i="42"/>
  <c r="Q25" i="42"/>
  <c r="P25" i="42"/>
  <c r="AC104" i="42"/>
  <c r="X104" i="42"/>
  <c r="W104" i="42"/>
  <c r="U104" i="42"/>
  <c r="Q104" i="42"/>
  <c r="P104" i="42"/>
  <c r="AC36" i="42"/>
  <c r="X36" i="42"/>
  <c r="W36" i="42"/>
  <c r="U36" i="42"/>
  <c r="Q36" i="42"/>
  <c r="P36" i="42"/>
  <c r="AC106" i="42"/>
  <c r="X106" i="42"/>
  <c r="W106" i="42"/>
  <c r="U106" i="42"/>
  <c r="Q106" i="42"/>
  <c r="P106" i="42"/>
  <c r="AC67" i="42"/>
  <c r="X67" i="42"/>
  <c r="W67" i="42"/>
  <c r="U67" i="42"/>
  <c r="Q67" i="42"/>
  <c r="P67" i="42"/>
  <c r="T22" i="18"/>
  <c r="S22" i="18"/>
  <c r="R22" i="18"/>
  <c r="Q22" i="18"/>
  <c r="T21" i="18"/>
  <c r="S21" i="18"/>
  <c r="R21" i="18"/>
  <c r="Q21" i="18"/>
  <c r="T20" i="18"/>
  <c r="S20" i="18"/>
  <c r="R20" i="18"/>
  <c r="Q20" i="18"/>
  <c r="T19" i="18"/>
  <c r="S19" i="18"/>
  <c r="R19" i="18"/>
  <c r="Q19" i="18"/>
  <c r="T18" i="18"/>
  <c r="S18" i="18"/>
  <c r="R18" i="18"/>
  <c r="Q18" i="18"/>
  <c r="T17" i="18"/>
  <c r="S17" i="18"/>
  <c r="R17" i="18"/>
  <c r="Q17" i="18"/>
  <c r="D17" i="18"/>
  <c r="E22" i="18"/>
  <c r="D22" i="18"/>
  <c r="C22" i="18"/>
  <c r="B22" i="18"/>
  <c r="E21" i="18"/>
  <c r="D21" i="18"/>
  <c r="C21" i="18"/>
  <c r="B21" i="18"/>
  <c r="E20" i="18"/>
  <c r="D20" i="18"/>
  <c r="C20" i="18"/>
  <c r="B20" i="18"/>
  <c r="E19" i="18"/>
  <c r="D19" i="18"/>
  <c r="C19" i="18"/>
  <c r="B19" i="18"/>
  <c r="E18" i="18"/>
  <c r="C18" i="18"/>
  <c r="B18" i="18"/>
  <c r="C17" i="18"/>
  <c r="B17" i="18"/>
  <c r="E17" i="18"/>
  <c r="AC65" i="42"/>
  <c r="X65" i="42"/>
  <c r="W65" i="42"/>
  <c r="U65" i="42"/>
  <c r="Q65" i="42"/>
  <c r="P65" i="42"/>
  <c r="AC102" i="42"/>
  <c r="X102" i="42"/>
  <c r="W102" i="42"/>
  <c r="U102" i="42"/>
  <c r="Q102" i="42"/>
  <c r="P102" i="42"/>
  <c r="AC61" i="42"/>
  <c r="X61" i="42"/>
  <c r="W61" i="42"/>
  <c r="U61" i="42"/>
  <c r="Q61" i="42"/>
  <c r="P61" i="42"/>
  <c r="AC105" i="42"/>
  <c r="X105" i="42"/>
  <c r="W105" i="42"/>
  <c r="U105" i="42"/>
  <c r="Q105" i="42"/>
  <c r="P105" i="42"/>
  <c r="AC76" i="42"/>
  <c r="X76" i="42"/>
  <c r="W76" i="42"/>
  <c r="U76" i="42"/>
  <c r="Q76" i="42"/>
  <c r="P76" i="42"/>
  <c r="AC103" i="42"/>
  <c r="X103" i="42"/>
  <c r="W103" i="42"/>
  <c r="U103" i="42"/>
  <c r="Q103" i="42"/>
  <c r="P103" i="42"/>
  <c r="AC79" i="42"/>
  <c r="X79" i="42"/>
  <c r="W79" i="42"/>
  <c r="U79" i="42"/>
  <c r="Q79" i="42"/>
  <c r="P79" i="42"/>
  <c r="AC108" i="42"/>
  <c r="X108" i="42"/>
  <c r="W108" i="42"/>
  <c r="U108" i="42"/>
  <c r="Q108" i="42"/>
  <c r="P108" i="42"/>
  <c r="AC72" i="42"/>
  <c r="X72" i="42"/>
  <c r="W72" i="42"/>
  <c r="U72" i="42"/>
  <c r="Q72" i="42"/>
  <c r="P72" i="42"/>
  <c r="AC107" i="42"/>
  <c r="X107" i="42"/>
  <c r="W107" i="42"/>
  <c r="U107" i="42"/>
  <c r="Q107" i="42"/>
  <c r="P107" i="42"/>
  <c r="AC73" i="42"/>
  <c r="X73" i="42"/>
  <c r="W73" i="42"/>
  <c r="U73" i="42"/>
  <c r="Q73" i="42"/>
  <c r="P73" i="42"/>
  <c r="J21" i="18" l="1"/>
  <c r="AC68" i="42"/>
  <c r="X68" i="42"/>
  <c r="W68" i="42"/>
  <c r="U68" i="42"/>
  <c r="Q68" i="42"/>
  <c r="P68" i="42"/>
  <c r="AC113" i="42"/>
  <c r="X113" i="42"/>
  <c r="W113" i="42"/>
  <c r="U113" i="42"/>
  <c r="Q113" i="42"/>
  <c r="P113" i="42"/>
  <c r="AC101" i="42"/>
  <c r="X101" i="42"/>
  <c r="W101" i="42"/>
  <c r="U101" i="42"/>
  <c r="Q101" i="42"/>
  <c r="P101" i="42"/>
  <c r="AC111" i="42"/>
  <c r="X111" i="42"/>
  <c r="W111" i="42"/>
  <c r="U111" i="42"/>
  <c r="Q111" i="42"/>
  <c r="P111" i="42"/>
  <c r="AC88" i="42"/>
  <c r="X88" i="42"/>
  <c r="W88" i="42"/>
  <c r="U88" i="42"/>
  <c r="Q88" i="42"/>
  <c r="P88" i="42"/>
  <c r="AC109" i="42"/>
  <c r="X109" i="42"/>
  <c r="W109" i="42"/>
  <c r="U109" i="42"/>
  <c r="Q109" i="42"/>
  <c r="P109" i="42"/>
  <c r="W104" i="18" l="1"/>
  <c r="T92" i="18"/>
  <c r="S92" i="18"/>
  <c r="R92" i="18"/>
  <c r="Q92" i="18"/>
  <c r="T91" i="18"/>
  <c r="S91" i="18"/>
  <c r="R91" i="18"/>
  <c r="Q91" i="18"/>
  <c r="T90" i="18"/>
  <c r="S90" i="18"/>
  <c r="R90" i="18"/>
  <c r="Q90" i="18"/>
  <c r="T89" i="18"/>
  <c r="S89" i="18"/>
  <c r="R89" i="18"/>
  <c r="Q89" i="18"/>
  <c r="T88" i="18"/>
  <c r="S88" i="18"/>
  <c r="R88" i="18"/>
  <c r="Q88" i="18"/>
  <c r="T87" i="18"/>
  <c r="S87" i="18"/>
  <c r="R87" i="18"/>
  <c r="Q87" i="18"/>
  <c r="O87" i="18"/>
  <c r="O92" i="18"/>
  <c r="N92" i="18"/>
  <c r="M92" i="18"/>
  <c r="L92" i="18"/>
  <c r="O91" i="18"/>
  <c r="N91" i="18"/>
  <c r="M91" i="18"/>
  <c r="L91" i="18"/>
  <c r="O90" i="18"/>
  <c r="N90" i="18"/>
  <c r="M90" i="18"/>
  <c r="L90" i="18"/>
  <c r="O89" i="18"/>
  <c r="N89" i="18"/>
  <c r="M89" i="18"/>
  <c r="L89" i="18"/>
  <c r="O88" i="18"/>
  <c r="N88" i="18"/>
  <c r="M88" i="18"/>
  <c r="L88" i="18"/>
  <c r="N87" i="18"/>
  <c r="M87" i="18"/>
  <c r="L87" i="18"/>
  <c r="U104" i="18" l="1"/>
  <c r="M104" i="18"/>
  <c r="R17" i="47" l="1"/>
  <c r="R16" i="47"/>
  <c r="R18" i="47"/>
  <c r="R15" i="47"/>
  <c r="R11" i="47"/>
  <c r="R9" i="47"/>
  <c r="R12" i="47"/>
  <c r="R10" i="47"/>
  <c r="R5" i="47" l="1"/>
  <c r="R3" i="47"/>
  <c r="R4" i="47"/>
  <c r="R6" i="47"/>
  <c r="K18" i="47"/>
  <c r="K16" i="47"/>
  <c r="K17" i="47"/>
  <c r="K15" i="47"/>
  <c r="K10" i="47" l="1"/>
  <c r="K9" i="47"/>
  <c r="K11" i="47"/>
  <c r="K12" i="47"/>
  <c r="K4" i="47"/>
  <c r="K5" i="47"/>
  <c r="K6" i="47"/>
  <c r="K3" i="47"/>
  <c r="AL2" i="41" l="1"/>
  <c r="AN2" i="42" l="1"/>
  <c r="AO2" i="42"/>
  <c r="BW241" i="30" l="1"/>
  <c r="BV241" i="30" s="1"/>
  <c r="BZ243" i="30"/>
  <c r="BZ242" i="30"/>
  <c r="BZ241" i="30"/>
  <c r="BZ240" i="30"/>
  <c r="BZ239" i="30"/>
  <c r="BZ238" i="30"/>
  <c r="BZ237" i="30"/>
  <c r="BZ236" i="30"/>
  <c r="BZ235" i="30"/>
  <c r="BZ234" i="30"/>
  <c r="CB241" i="30" l="1"/>
  <c r="BU241" i="30"/>
  <c r="BW234" i="30"/>
  <c r="BV234" i="30" s="1"/>
  <c r="BW235" i="30"/>
  <c r="BV235" i="30" s="1"/>
  <c r="BW242" i="30"/>
  <c r="BV242" i="30" s="1"/>
  <c r="BW243" i="30"/>
  <c r="BV243" i="30" s="1"/>
  <c r="BW236" i="30"/>
  <c r="BV236" i="30" s="1"/>
  <c r="BW240" i="30"/>
  <c r="BV240" i="30" s="1"/>
  <c r="BW237" i="30"/>
  <c r="BV237" i="30" s="1"/>
  <c r="BW238" i="30"/>
  <c r="BV238" i="30" s="1"/>
  <c r="BW239" i="30"/>
  <c r="BV239" i="30" s="1"/>
  <c r="CB237" i="30" l="1"/>
  <c r="BU237" i="30"/>
  <c r="CB240" i="30"/>
  <c r="BU240" i="30"/>
  <c r="CB236" i="30"/>
  <c r="BU236" i="30"/>
  <c r="CB242" i="30"/>
  <c r="BU242" i="30"/>
  <c r="CB239" i="30"/>
  <c r="BU239" i="30"/>
  <c r="CB235" i="30"/>
  <c r="BU235" i="30"/>
  <c r="CB243" i="30"/>
  <c r="BU243" i="30"/>
  <c r="CB238" i="30"/>
  <c r="BU238" i="30"/>
  <c r="CB234" i="30"/>
  <c r="BU234" i="30"/>
  <c r="AB13" i="42"/>
  <c r="CN236" i="30"/>
  <c r="CN235" i="30"/>
  <c r="CN234" i="30"/>
  <c r="CN233" i="30"/>
  <c r="CN232" i="30"/>
  <c r="CN231" i="30"/>
  <c r="CN230" i="30"/>
  <c r="CN229" i="30"/>
  <c r="CN228" i="30"/>
  <c r="CN227" i="30"/>
  <c r="CN226" i="30"/>
  <c r="CN225" i="30"/>
  <c r="CN224" i="30"/>
  <c r="AJ12" i="41"/>
  <c r="AB50" i="42"/>
  <c r="AB76" i="42" l="1"/>
  <c r="T57" i="18"/>
  <c r="S57" i="18"/>
  <c r="S64" i="18" s="1"/>
  <c r="R57" i="18"/>
  <c r="R64" i="18" s="1"/>
  <c r="R99" i="18" s="1"/>
  <c r="Q57" i="18"/>
  <c r="Q64" i="18" s="1"/>
  <c r="Q99" i="18" s="1"/>
  <c r="T56" i="18"/>
  <c r="T63" i="18" s="1"/>
  <c r="S56" i="18"/>
  <c r="S63" i="18" s="1"/>
  <c r="R56" i="18"/>
  <c r="R63" i="18" s="1"/>
  <c r="R98" i="18" s="1"/>
  <c r="Q56" i="18"/>
  <c r="Q63" i="18" s="1"/>
  <c r="Q98" i="18" s="1"/>
  <c r="T55" i="18"/>
  <c r="T62" i="18" s="1"/>
  <c r="S55" i="18"/>
  <c r="S62" i="18" s="1"/>
  <c r="R55" i="18"/>
  <c r="R62" i="18" s="1"/>
  <c r="R97" i="18" s="1"/>
  <c r="Q55" i="18"/>
  <c r="Q62" i="18" s="1"/>
  <c r="Q97" i="18" s="1"/>
  <c r="T54" i="18"/>
  <c r="T61" i="18" s="1"/>
  <c r="S54" i="18"/>
  <c r="S61" i="18" s="1"/>
  <c r="R54" i="18"/>
  <c r="R61" i="18" s="1"/>
  <c r="R96" i="18" s="1"/>
  <c r="Q54" i="18"/>
  <c r="Q61" i="18" s="1"/>
  <c r="Q96" i="18" s="1"/>
  <c r="T53" i="18"/>
  <c r="T60" i="18" s="1"/>
  <c r="S53" i="18"/>
  <c r="S60" i="18" s="1"/>
  <c r="R53" i="18"/>
  <c r="R60" i="18" s="1"/>
  <c r="R95" i="18" s="1"/>
  <c r="Q53" i="18"/>
  <c r="Q60" i="18" s="1"/>
  <c r="T52" i="18"/>
  <c r="T59" i="18" s="1"/>
  <c r="S52" i="18"/>
  <c r="S59" i="18" s="1"/>
  <c r="R52" i="18"/>
  <c r="R59" i="18" s="1"/>
  <c r="R94" i="18" s="1"/>
  <c r="Q52" i="18"/>
  <c r="Q59" i="18" s="1"/>
  <c r="O52" i="18"/>
  <c r="O59" i="18" s="1"/>
  <c r="O94" i="18" s="1"/>
  <c r="O57" i="18"/>
  <c r="O64" i="18" s="1"/>
  <c r="O99" i="18" s="1"/>
  <c r="N57" i="18"/>
  <c r="N64" i="18" s="1"/>
  <c r="N99" i="18" s="1"/>
  <c r="M57" i="18"/>
  <c r="M64" i="18" s="1"/>
  <c r="M99" i="18" s="1"/>
  <c r="L57" i="18"/>
  <c r="O56" i="18"/>
  <c r="O63" i="18" s="1"/>
  <c r="O98" i="18" s="1"/>
  <c r="N56" i="18"/>
  <c r="N63" i="18" s="1"/>
  <c r="N98" i="18" s="1"/>
  <c r="M56" i="18"/>
  <c r="M63" i="18" s="1"/>
  <c r="M98" i="18" s="1"/>
  <c r="L56" i="18"/>
  <c r="L63" i="18" s="1"/>
  <c r="O55" i="18"/>
  <c r="O62" i="18" s="1"/>
  <c r="O97" i="18" s="1"/>
  <c r="N55" i="18"/>
  <c r="N62" i="18" s="1"/>
  <c r="N97" i="18" s="1"/>
  <c r="M55" i="18"/>
  <c r="M62" i="18" s="1"/>
  <c r="M97" i="18" s="1"/>
  <c r="L55" i="18"/>
  <c r="L62" i="18" s="1"/>
  <c r="O54" i="18"/>
  <c r="O61" i="18" s="1"/>
  <c r="O96" i="18" s="1"/>
  <c r="N54" i="18"/>
  <c r="N61" i="18" s="1"/>
  <c r="N96" i="18" s="1"/>
  <c r="M54" i="18"/>
  <c r="M61" i="18" s="1"/>
  <c r="M96" i="18" s="1"/>
  <c r="L54" i="18"/>
  <c r="L61" i="18" s="1"/>
  <c r="O53" i="18"/>
  <c r="O60" i="18" s="1"/>
  <c r="O95" i="18" s="1"/>
  <c r="N53" i="18"/>
  <c r="N60" i="18" s="1"/>
  <c r="N95" i="18" s="1"/>
  <c r="M53" i="18"/>
  <c r="M60" i="18" s="1"/>
  <c r="M95" i="18" s="1"/>
  <c r="L53" i="18"/>
  <c r="N52" i="18"/>
  <c r="N59" i="18" s="1"/>
  <c r="N94" i="18" s="1"/>
  <c r="M52" i="18"/>
  <c r="M59" i="18" s="1"/>
  <c r="M94" i="18" s="1"/>
  <c r="L52" i="18"/>
  <c r="L59" i="18" s="1"/>
  <c r="O43" i="18"/>
  <c r="N43" i="18"/>
  <c r="M43" i="18"/>
  <c r="L43" i="18"/>
  <c r="L50" i="18" s="1"/>
  <c r="F127" i="18" s="1"/>
  <c r="O42" i="18"/>
  <c r="N42" i="18"/>
  <c r="M42" i="18"/>
  <c r="L42" i="18"/>
  <c r="L49" i="18" s="1"/>
  <c r="F126" i="18" s="1"/>
  <c r="O41" i="18"/>
  <c r="N41" i="18"/>
  <c r="M41" i="18"/>
  <c r="L41" i="18"/>
  <c r="O40" i="18"/>
  <c r="N40" i="18"/>
  <c r="M40" i="18"/>
  <c r="L40" i="18"/>
  <c r="L47" i="18" s="1"/>
  <c r="F124" i="18" s="1"/>
  <c r="O39" i="18"/>
  <c r="N39" i="18"/>
  <c r="M39" i="18"/>
  <c r="L39" i="18"/>
  <c r="L46" i="18" s="1"/>
  <c r="F123" i="18" s="1"/>
  <c r="N38" i="18"/>
  <c r="M38" i="18"/>
  <c r="L38" i="18"/>
  <c r="L45" i="18" s="1"/>
  <c r="T43" i="18"/>
  <c r="T50" i="18" s="1"/>
  <c r="J127" i="18" s="1"/>
  <c r="S43" i="18"/>
  <c r="S50" i="18" s="1"/>
  <c r="J121" i="18" s="1"/>
  <c r="R43" i="18"/>
  <c r="Q43" i="18"/>
  <c r="T42" i="18"/>
  <c r="T49" i="18" s="1"/>
  <c r="J126" i="18" s="1"/>
  <c r="S42" i="18"/>
  <c r="S49" i="18" s="1"/>
  <c r="J120" i="18" s="1"/>
  <c r="R42" i="18"/>
  <c r="Q42" i="18"/>
  <c r="T41" i="18"/>
  <c r="T48" i="18" s="1"/>
  <c r="J125" i="18" s="1"/>
  <c r="S41" i="18"/>
  <c r="R41" i="18"/>
  <c r="Q41" i="18"/>
  <c r="T40" i="18"/>
  <c r="T47" i="18" s="1"/>
  <c r="J124" i="18" s="1"/>
  <c r="S40" i="18"/>
  <c r="R40" i="18"/>
  <c r="Q40" i="18"/>
  <c r="T39" i="18"/>
  <c r="T46" i="18" s="1"/>
  <c r="J123" i="18" s="1"/>
  <c r="S39" i="18"/>
  <c r="R39" i="18"/>
  <c r="Q39" i="18"/>
  <c r="T38" i="18"/>
  <c r="T45" i="18" s="1"/>
  <c r="J122" i="18" s="1"/>
  <c r="S38" i="18"/>
  <c r="R38" i="18"/>
  <c r="O38" i="18"/>
  <c r="T64" i="18"/>
  <c r="L64" i="18"/>
  <c r="L60" i="18"/>
  <c r="F122" i="18" l="1"/>
  <c r="L96" i="18"/>
  <c r="E124" i="18" s="1"/>
  <c r="D124" i="18" s="1"/>
  <c r="C124" i="18" s="1"/>
  <c r="L94" i="18"/>
  <c r="E122" i="18" s="1"/>
  <c r="D122" i="18" s="1"/>
  <c r="C122" i="18" s="1"/>
  <c r="T97" i="18"/>
  <c r="I125" i="18" s="1"/>
  <c r="H125" i="18" s="1"/>
  <c r="G125" i="18" s="1"/>
  <c r="L95" i="18"/>
  <c r="E123" i="18" s="1"/>
  <c r="D123" i="18" s="1"/>
  <c r="C123" i="18" s="1"/>
  <c r="S96" i="18"/>
  <c r="I118" i="18" s="1"/>
  <c r="H118" i="18" s="1"/>
  <c r="L99" i="18"/>
  <c r="E127" i="18" s="1"/>
  <c r="D127" i="18" s="1"/>
  <c r="C127" i="18" s="1"/>
  <c r="L97" i="18"/>
  <c r="E125" i="18" s="1"/>
  <c r="D125" i="18" s="1"/>
  <c r="C125" i="18" s="1"/>
  <c r="T94" i="18"/>
  <c r="I122" i="18" s="1"/>
  <c r="H122" i="18" s="1"/>
  <c r="G122" i="18" s="1"/>
  <c r="T95" i="18"/>
  <c r="I123" i="18" s="1"/>
  <c r="H123" i="18" s="1"/>
  <c r="G123" i="18" s="1"/>
  <c r="T96" i="18"/>
  <c r="I124" i="18" s="1"/>
  <c r="H124" i="18" s="1"/>
  <c r="G124" i="18" s="1"/>
  <c r="T99" i="18"/>
  <c r="I127" i="18" s="1"/>
  <c r="H127" i="18" s="1"/>
  <c r="G127" i="18" s="1"/>
  <c r="L98" i="18"/>
  <c r="E126" i="18" s="1"/>
  <c r="D126" i="18" s="1"/>
  <c r="C126" i="18" s="1"/>
  <c r="S98" i="18"/>
  <c r="I120" i="18" s="1"/>
  <c r="H120" i="18" s="1"/>
  <c r="T98" i="18"/>
  <c r="I126" i="18" s="1"/>
  <c r="H126" i="18" s="1"/>
  <c r="G126" i="18" s="1"/>
  <c r="S95" i="18"/>
  <c r="I117" i="18" s="1"/>
  <c r="H117" i="18" s="1"/>
  <c r="S97" i="18"/>
  <c r="I119" i="18" s="1"/>
  <c r="H119" i="18" s="1"/>
  <c r="S99" i="18"/>
  <c r="I121" i="18" s="1"/>
  <c r="H121" i="18" s="1"/>
  <c r="G121" i="18" s="1"/>
  <c r="Q94" i="18"/>
  <c r="I104" i="18" s="1"/>
  <c r="H104" i="18" s="1"/>
  <c r="Q95" i="18"/>
  <c r="I105" i="18" s="1"/>
  <c r="H105" i="18" s="1"/>
  <c r="S94" i="18"/>
  <c r="I116" i="18" s="1"/>
  <c r="H116" i="18" s="1"/>
  <c r="I106" i="18"/>
  <c r="H106" i="18" s="1"/>
  <c r="I108" i="18"/>
  <c r="H108" i="18" s="1"/>
  <c r="I110" i="18"/>
  <c r="H110" i="18" s="1"/>
  <c r="I112" i="18"/>
  <c r="H112" i="18" s="1"/>
  <c r="I107" i="18"/>
  <c r="H107" i="18" s="1"/>
  <c r="I109" i="18"/>
  <c r="I115" i="18"/>
  <c r="I111" i="18"/>
  <c r="H111" i="18" s="1"/>
  <c r="I114" i="18"/>
  <c r="H114" i="18" s="1"/>
  <c r="I113" i="18"/>
  <c r="V40" i="42"/>
  <c r="H115" i="18" l="1"/>
  <c r="H109" i="18"/>
  <c r="H113" i="18"/>
  <c r="AL35" i="40" l="1"/>
  <c r="AM35" i="40" s="1"/>
  <c r="AL34" i="40"/>
  <c r="AM34" i="40" s="1"/>
  <c r="AL33" i="40"/>
  <c r="AM33" i="40" s="1"/>
  <c r="AL32" i="40"/>
  <c r="AM32" i="40" s="1"/>
  <c r="AL31" i="40"/>
  <c r="AM31" i="40" s="1"/>
  <c r="AL30" i="40"/>
  <c r="AM30" i="40" s="1"/>
  <c r="AL29" i="40"/>
  <c r="AM29" i="40" s="1"/>
  <c r="AL28" i="40"/>
  <c r="AM28" i="40" s="1"/>
  <c r="AL27" i="40"/>
  <c r="AM27" i="40" s="1"/>
  <c r="AL26" i="40"/>
  <c r="AM26" i="40" s="1"/>
  <c r="G49" i="18"/>
  <c r="E49" i="18"/>
  <c r="BD1" i="42"/>
  <c r="T85" i="18"/>
  <c r="S85" i="18"/>
  <c r="R78" i="18"/>
  <c r="Q71" i="18"/>
  <c r="O85" i="18"/>
  <c r="N85" i="18"/>
  <c r="M71" i="18"/>
  <c r="L71" i="18"/>
  <c r="AM24" i="40" l="1"/>
  <c r="AM23" i="40" s="1"/>
  <c r="C55" i="18"/>
  <c r="C71" i="18" s="1"/>
  <c r="M49" i="18" s="1"/>
  <c r="F120" i="18" s="1"/>
  <c r="D55" i="18"/>
  <c r="D53" i="18"/>
  <c r="D51" i="18"/>
  <c r="I55" i="18"/>
  <c r="I71" i="18" s="1"/>
  <c r="J51" i="18"/>
  <c r="J67" i="18" s="1"/>
  <c r="H52" i="18"/>
  <c r="I52" i="18"/>
  <c r="I68" i="18" s="1"/>
  <c r="S46" i="18" s="1"/>
  <c r="J117" i="18" s="1"/>
  <c r="I54" i="18"/>
  <c r="I70" i="18" s="1"/>
  <c r="S48" i="18" s="1"/>
  <c r="J119" i="18" s="1"/>
  <c r="I56" i="18"/>
  <c r="I72" i="18" s="1"/>
  <c r="J53" i="18"/>
  <c r="J69" i="18" s="1"/>
  <c r="G54" i="18"/>
  <c r="H56" i="18"/>
  <c r="J52" i="18"/>
  <c r="J68" i="18" s="1"/>
  <c r="J54" i="18"/>
  <c r="J70" i="18" s="1"/>
  <c r="J56" i="18"/>
  <c r="J72" i="18" s="1"/>
  <c r="J55" i="18"/>
  <c r="J71" i="18" s="1"/>
  <c r="G52" i="18"/>
  <c r="H54" i="18"/>
  <c r="G55" i="18"/>
  <c r="G56" i="18"/>
  <c r="G51" i="18"/>
  <c r="G53" i="18"/>
  <c r="H51" i="18"/>
  <c r="H53" i="18"/>
  <c r="H55" i="18"/>
  <c r="I51" i="18"/>
  <c r="I67" i="18" s="1"/>
  <c r="S45" i="18" s="1"/>
  <c r="J116" i="18" s="1"/>
  <c r="I53" i="18"/>
  <c r="I69" i="18" s="1"/>
  <c r="S47" i="18" s="1"/>
  <c r="J118" i="18" s="1"/>
  <c r="E55" i="18"/>
  <c r="B54" i="18"/>
  <c r="B70" i="18" s="1"/>
  <c r="L48" i="18" s="1"/>
  <c r="F125" i="18" s="1"/>
  <c r="C54" i="18"/>
  <c r="C70" i="18" s="1"/>
  <c r="M48" i="18" s="1"/>
  <c r="F119" i="18" s="1"/>
  <c r="C56" i="18"/>
  <c r="C72" i="18" s="1"/>
  <c r="M50" i="18" s="1"/>
  <c r="F121" i="18" s="1"/>
  <c r="E51" i="18"/>
  <c r="B56" i="18"/>
  <c r="B72" i="18" s="1"/>
  <c r="C52" i="18"/>
  <c r="C68" i="18" s="1"/>
  <c r="M46" i="18" s="1"/>
  <c r="F117" i="18" s="1"/>
  <c r="D52" i="18"/>
  <c r="D54" i="18"/>
  <c r="D56" i="18"/>
  <c r="E52" i="18"/>
  <c r="E56" i="18"/>
  <c r="E53" i="18"/>
  <c r="B52" i="18"/>
  <c r="B68" i="18" s="1"/>
  <c r="E54" i="18"/>
  <c r="B51" i="18"/>
  <c r="B67" i="18" s="1"/>
  <c r="B53" i="18"/>
  <c r="B69" i="18" s="1"/>
  <c r="B55" i="18"/>
  <c r="B71" i="18" s="1"/>
  <c r="C51" i="18"/>
  <c r="C67" i="18" s="1"/>
  <c r="M45" i="18" s="1"/>
  <c r="C53" i="18"/>
  <c r="C69" i="18" s="1"/>
  <c r="M47" i="18" s="1"/>
  <c r="F118" i="18" s="1"/>
  <c r="M85" i="18"/>
  <c r="L78" i="18"/>
  <c r="M78" i="18"/>
  <c r="N71" i="18"/>
  <c r="N78" i="18"/>
  <c r="L85" i="18"/>
  <c r="T71" i="18"/>
  <c r="S78" i="18"/>
  <c r="R71" i="18"/>
  <c r="T78" i="18"/>
  <c r="S71" i="18"/>
  <c r="R85" i="18"/>
  <c r="Q85" i="18"/>
  <c r="Q78" i="18"/>
  <c r="O71" i="18"/>
  <c r="O78" i="18"/>
  <c r="CG246" i="30"/>
  <c r="CE266" i="30"/>
  <c r="CE265" i="30"/>
  <c r="CE264" i="30"/>
  <c r="CE263" i="30"/>
  <c r="CE262" i="30"/>
  <c r="CE261" i="30"/>
  <c r="CF266" i="30"/>
  <c r="CF265" i="30"/>
  <c r="CF264" i="30"/>
  <c r="CF262" i="30"/>
  <c r="CF263" i="30"/>
  <c r="F116" i="18" l="1"/>
  <c r="Y4" i="42"/>
  <c r="AB4" i="42"/>
  <c r="CE273" i="30"/>
  <c r="CE272" i="30"/>
  <c r="CE271" i="30"/>
  <c r="CE270" i="30"/>
  <c r="CE269" i="30"/>
  <c r="CE268" i="30"/>
  <c r="CF273" i="30"/>
  <c r="CF272" i="30"/>
  <c r="CF271" i="30"/>
  <c r="CF270" i="30"/>
  <c r="CF269" i="30"/>
  <c r="CF261" i="30"/>
  <c r="CF268" i="30" s="1"/>
  <c r="CE252" i="30"/>
  <c r="CC257" i="30"/>
  <c r="CC280" i="30" s="1"/>
  <c r="CC255" i="30"/>
  <c r="CC278" i="30" s="1"/>
  <c r="CC254" i="30"/>
  <c r="CC277" i="30" s="1"/>
  <c r="CC253" i="30"/>
  <c r="CC276" i="30" s="1"/>
  <c r="CD257" i="30"/>
  <c r="CD280" i="30" s="1"/>
  <c r="CD255" i="30"/>
  <c r="CD278" i="30" s="1"/>
  <c r="CD254" i="30"/>
  <c r="CD277" i="30" s="1"/>
  <c r="CD253" i="30"/>
  <c r="CD276" i="30" s="1"/>
  <c r="CC256" i="30"/>
  <c r="CC279" i="30" s="1"/>
  <c r="CC252" i="30"/>
  <c r="CC275" i="30" s="1"/>
  <c r="CD256" i="30"/>
  <c r="CD279" i="30" s="1"/>
  <c r="CD252" i="30"/>
  <c r="CD275" i="30" s="1"/>
  <c r="CE257" i="30"/>
  <c r="CE255" i="30"/>
  <c r="CE254" i="30"/>
  <c r="CE253" i="30"/>
  <c r="CF257" i="30"/>
  <c r="CF256" i="30"/>
  <c r="CF255" i="30"/>
  <c r="CF254" i="30"/>
  <c r="CF253" i="30"/>
  <c r="CE256" i="30"/>
  <c r="CF252" i="30"/>
  <c r="CH246" i="30"/>
  <c r="CG245" i="30"/>
  <c r="CH245" i="30" s="1"/>
  <c r="CF276" i="30" l="1"/>
  <c r="CF277" i="30"/>
  <c r="CE279" i="30"/>
  <c r="CE280" i="30"/>
  <c r="CF275" i="30"/>
  <c r="CF278" i="30"/>
  <c r="CF279" i="30"/>
  <c r="CE277" i="30"/>
  <c r="CE278" i="30"/>
  <c r="CF280" i="30"/>
  <c r="CE276" i="30"/>
  <c r="CE275" i="30"/>
  <c r="Q36" i="18" l="1"/>
  <c r="BZ205" i="30" l="1"/>
  <c r="CB205" i="30" s="1"/>
  <c r="BB215" i="30" l="1"/>
  <c r="AZ215" i="30"/>
  <c r="AX215" i="30"/>
  <c r="AV215" i="30"/>
  <c r="BD214" i="30"/>
  <c r="BB214" i="30"/>
  <c r="AZ214" i="30"/>
  <c r="AX214" i="30"/>
  <c r="AV214" i="30"/>
  <c r="BD213" i="30"/>
  <c r="BB213" i="30"/>
  <c r="AZ213" i="30"/>
  <c r="AX213" i="30"/>
  <c r="AV213" i="30"/>
  <c r="BD212" i="30"/>
  <c r="BB212" i="30"/>
  <c r="AZ212" i="30"/>
  <c r="AX212" i="30"/>
  <c r="AV212" i="30"/>
  <c r="BD211" i="30"/>
  <c r="BB211" i="30"/>
  <c r="AZ211" i="30"/>
  <c r="AX211" i="30"/>
  <c r="AV211" i="30"/>
  <c r="BD215" i="30"/>
  <c r="O27" i="18" l="1"/>
  <c r="AB109" i="42" l="1"/>
  <c r="K24" i="47" l="1"/>
  <c r="J24" i="47"/>
  <c r="I24" i="47"/>
  <c r="G24" i="47"/>
  <c r="K22" i="47"/>
  <c r="J22" i="47"/>
  <c r="I22" i="47"/>
  <c r="G22" i="47"/>
  <c r="K23" i="47"/>
  <c r="J23" i="47"/>
  <c r="I23" i="47"/>
  <c r="G23" i="47"/>
  <c r="K25" i="47"/>
  <c r="J25" i="47"/>
  <c r="I25" i="47"/>
  <c r="G25" i="47"/>
  <c r="K26" i="47"/>
  <c r="J26" i="47"/>
  <c r="I26" i="47"/>
  <c r="G26" i="47"/>
  <c r="K27" i="47"/>
  <c r="J27" i="47"/>
  <c r="I27" i="47"/>
  <c r="G27" i="47"/>
  <c r="BZ229" i="30"/>
  <c r="CB229" i="30" s="1"/>
  <c r="BZ228" i="30"/>
  <c r="CB228" i="30" s="1"/>
  <c r="BZ227" i="30"/>
  <c r="CB227" i="30" s="1"/>
  <c r="BZ226" i="30"/>
  <c r="CB226" i="30" s="1"/>
  <c r="BZ225" i="30"/>
  <c r="CB225" i="30" s="1"/>
  <c r="BZ224" i="30"/>
  <c r="CB224" i="30" s="1"/>
  <c r="BZ223" i="30"/>
  <c r="CB223" i="30" s="1"/>
  <c r="BZ222" i="30"/>
  <c r="CB222" i="30" s="1"/>
  <c r="BZ221" i="30"/>
  <c r="CB221" i="30" s="1"/>
  <c r="BZ220" i="30"/>
  <c r="CB220" i="30" s="1"/>
  <c r="BZ219" i="30"/>
  <c r="CB219" i="30" s="1"/>
  <c r="BZ218" i="30"/>
  <c r="CB218" i="30" s="1"/>
  <c r="BZ217" i="30"/>
  <c r="CB217" i="30" s="1"/>
  <c r="BZ216" i="30"/>
  <c r="CB216" i="30" s="1"/>
  <c r="BZ215" i="30"/>
  <c r="CB215" i="30" s="1"/>
  <c r="BZ214" i="30"/>
  <c r="CB214" i="30" s="1"/>
  <c r="BZ213" i="30"/>
  <c r="CB213" i="30" s="1"/>
  <c r="BZ212" i="30"/>
  <c r="CB212" i="30" s="1"/>
  <c r="BZ211" i="30"/>
  <c r="CB211" i="30" s="1"/>
  <c r="R30" i="46" l="1"/>
  <c r="Q30" i="46"/>
  <c r="P30" i="46"/>
  <c r="R31" i="46"/>
  <c r="Q31" i="46"/>
  <c r="P31" i="46"/>
  <c r="N31" i="46"/>
  <c r="R35" i="46"/>
  <c r="Q35" i="46"/>
  <c r="P35" i="46"/>
  <c r="N35" i="46"/>
  <c r="R29" i="46"/>
  <c r="Q29" i="46"/>
  <c r="P29" i="46"/>
  <c r="N29" i="46"/>
  <c r="R33" i="46"/>
  <c r="Q33" i="46"/>
  <c r="P33" i="46"/>
  <c r="N33" i="46"/>
  <c r="R34" i="46"/>
  <c r="Q34" i="46"/>
  <c r="P34" i="46"/>
  <c r="N34" i="46"/>
  <c r="R32" i="46"/>
  <c r="Q32" i="46"/>
  <c r="P32" i="46"/>
  <c r="N32" i="46"/>
  <c r="R28" i="46"/>
  <c r="Q28" i="46"/>
  <c r="P28" i="46"/>
  <c r="N28" i="46"/>
  <c r="T29" i="46" l="1"/>
  <c r="T15" i="46"/>
  <c r="M30" i="46" l="1"/>
  <c r="O30" i="46"/>
  <c r="AI12" i="41" l="1"/>
  <c r="AB28" i="42"/>
  <c r="H26" i="47" l="1"/>
  <c r="H27" i="47"/>
  <c r="O32" i="46"/>
  <c r="O31" i="46"/>
  <c r="O34" i="46"/>
  <c r="O28" i="46"/>
  <c r="AB111" i="42"/>
  <c r="AB113" i="42"/>
  <c r="AB103" i="42"/>
  <c r="AB105" i="42"/>
  <c r="AB65" i="42"/>
  <c r="AB108" i="42"/>
  <c r="AB100" i="42"/>
  <c r="AB88" i="42"/>
  <c r="AB73" i="42"/>
  <c r="AB86" i="42"/>
  <c r="AB106" i="42"/>
  <c r="AB107" i="42"/>
  <c r="AB60" i="42"/>
  <c r="AB92" i="42"/>
  <c r="AB91" i="42"/>
  <c r="AB95" i="42"/>
  <c r="AB112" i="42"/>
  <c r="AB83" i="42"/>
  <c r="AB102" i="42"/>
  <c r="AB69" i="42"/>
  <c r="AB96" i="42"/>
  <c r="AB99" i="42"/>
  <c r="AB110" i="42"/>
  <c r="AB89" i="42"/>
  <c r="AB49" i="42"/>
  <c r="AB72" i="42"/>
  <c r="AB84" i="42"/>
  <c r="AB101" i="42"/>
  <c r="AB93" i="42"/>
  <c r="AB68" i="42"/>
  <c r="AB77" i="42"/>
  <c r="AB87" i="42"/>
  <c r="AB54" i="42"/>
  <c r="AB82" i="42"/>
  <c r="AB104" i="42"/>
  <c r="AB94" i="42"/>
  <c r="AB97" i="42"/>
  <c r="AB98" i="42"/>
  <c r="AB48" i="42"/>
  <c r="AB78" i="42"/>
  <c r="AB56" i="42"/>
  <c r="AB74" i="42"/>
  <c r="AB75" i="42"/>
  <c r="AB81" i="42"/>
  <c r="AB79" i="42"/>
  <c r="AB58" i="42"/>
  <c r="AB61" i="42"/>
  <c r="AB33" i="42"/>
  <c r="AB80" i="42"/>
  <c r="AB67" i="42"/>
  <c r="AB44" i="42"/>
  <c r="AB57" i="42"/>
  <c r="AB59" i="42"/>
  <c r="AB85" i="42"/>
  <c r="AB40" i="42"/>
  <c r="AB23" i="42"/>
  <c r="AB64" i="42"/>
  <c r="AB36" i="42"/>
  <c r="AB18" i="42"/>
  <c r="AB70" i="42"/>
  <c r="AB34" i="42"/>
  <c r="AB37" i="42"/>
  <c r="AB71" i="42"/>
  <c r="AB24" i="42"/>
  <c r="AB16" i="42"/>
  <c r="AB21" i="42"/>
  <c r="AB53" i="42"/>
  <c r="AB38" i="42"/>
  <c r="AB63" i="42"/>
  <c r="AB35" i="42"/>
  <c r="AB51" i="42"/>
  <c r="AB32" i="42"/>
  <c r="AB45" i="42"/>
  <c r="AB30" i="42"/>
  <c r="AB42" i="42"/>
  <c r="AB20" i="42"/>
  <c r="AB47" i="42"/>
  <c r="AB25" i="42"/>
  <c r="AB52" i="42"/>
  <c r="AB66" i="42"/>
  <c r="AB41" i="42"/>
  <c r="AB31" i="42"/>
  <c r="AB10" i="42"/>
  <c r="AB62" i="42"/>
  <c r="AB27" i="42"/>
  <c r="AB14" i="42"/>
  <c r="AB15" i="42"/>
  <c r="AB43" i="42"/>
  <c r="AB17" i="42"/>
  <c r="AB22" i="42"/>
  <c r="AB39" i="42"/>
  <c r="AB55" i="42"/>
  <c r="AB29" i="42"/>
  <c r="AB19" i="42"/>
  <c r="AB7" i="42"/>
  <c r="AB8" i="42"/>
  <c r="AB9" i="42"/>
  <c r="AB26" i="42"/>
  <c r="AB12" i="42"/>
  <c r="AB5" i="42"/>
  <c r="AB11" i="42"/>
  <c r="AB6" i="42"/>
  <c r="AB3" i="42"/>
  <c r="D37" i="50" l="1"/>
  <c r="T37" i="50"/>
  <c r="L37" i="50"/>
  <c r="AZ37" i="50"/>
  <c r="AR37" i="50"/>
  <c r="AB37" i="50"/>
  <c r="H23" i="47"/>
  <c r="H22" i="47"/>
  <c r="H25" i="47"/>
  <c r="O35" i="46"/>
  <c r="O33" i="46"/>
  <c r="O29" i="46"/>
  <c r="H24" i="47"/>
  <c r="AT37" i="50" l="1"/>
  <c r="AS37" i="50" s="1"/>
  <c r="AL37" i="50"/>
  <c r="AK37" i="50" s="1"/>
  <c r="N37" i="50"/>
  <c r="M37" i="50" s="1"/>
  <c r="AD37" i="50"/>
  <c r="AC37" i="50" s="1"/>
  <c r="V37" i="50"/>
  <c r="U37" i="50" s="1"/>
  <c r="BB37" i="50"/>
  <c r="BA37" i="50" s="1"/>
  <c r="F37" i="50"/>
  <c r="E37" i="50" s="1"/>
  <c r="CE197" i="30"/>
  <c r="CD197" i="30"/>
  <c r="BZ204" i="30"/>
  <c r="CB204" i="30" s="1"/>
  <c r="BZ203" i="30"/>
  <c r="CB203" i="30" s="1"/>
  <c r="BZ202" i="30"/>
  <c r="CB202" i="30" s="1"/>
  <c r="BZ201" i="30"/>
  <c r="CB201" i="30" s="1"/>
  <c r="BZ186" i="30"/>
  <c r="CB186" i="30" s="1"/>
  <c r="BZ187" i="30"/>
  <c r="CB187" i="30" s="1"/>
  <c r="BZ188" i="30"/>
  <c r="CB188" i="30" s="1"/>
  <c r="BZ189" i="30"/>
  <c r="CB189" i="30" s="1"/>
  <c r="BZ200" i="30"/>
  <c r="CB200" i="30" s="1"/>
  <c r="BZ199" i="30"/>
  <c r="CB199" i="30" s="1"/>
  <c r="BZ198" i="30"/>
  <c r="CB198" i="30" s="1"/>
  <c r="BZ197" i="30"/>
  <c r="CB197" i="30" s="1"/>
  <c r="BZ196" i="30"/>
  <c r="CB196" i="30" s="1"/>
  <c r="BZ195" i="30"/>
  <c r="CB195" i="30" s="1"/>
  <c r="BZ194" i="30"/>
  <c r="CB194" i="30" s="1"/>
  <c r="BZ193" i="30"/>
  <c r="CB193" i="30" s="1"/>
  <c r="BZ192" i="30"/>
  <c r="CB192" i="30" s="1"/>
  <c r="BZ191" i="30"/>
  <c r="CB191" i="30" s="1"/>
  <c r="BZ190" i="30"/>
  <c r="CB190" i="30" s="1"/>
  <c r="BZ124" i="30"/>
  <c r="V28" i="47"/>
  <c r="V27" i="47"/>
  <c r="X25" i="47"/>
  <c r="X24" i="47"/>
  <c r="V23" i="47"/>
  <c r="V22" i="47"/>
  <c r="X18" i="47"/>
  <c r="X17" i="47"/>
  <c r="F24" i="47"/>
  <c r="V13" i="47"/>
  <c r="V12" i="47"/>
  <c r="X11" i="47"/>
  <c r="X10" i="47"/>
  <c r="V8" i="47"/>
  <c r="V7" i="47"/>
  <c r="F27" i="47"/>
  <c r="F26" i="47"/>
  <c r="CD185" i="30" l="1"/>
  <c r="CD188" i="30" s="1"/>
  <c r="F22" i="47"/>
  <c r="F23" i="47"/>
  <c r="F25" i="47"/>
  <c r="CE198" i="30"/>
  <c r="CD187" i="30" l="1"/>
  <c r="CA119" i="30"/>
  <c r="CA118" i="30"/>
  <c r="CB118" i="30" s="1"/>
  <c r="AH12" i="41" l="1"/>
  <c r="CD133" i="30"/>
  <c r="CC127" i="30"/>
  <c r="CC133" i="30" s="1"/>
  <c r="BZ132" i="30"/>
  <c r="BC175" i="30"/>
  <c r="BC174" i="30"/>
  <c r="BC173" i="30"/>
  <c r="BC172" i="30"/>
  <c r="BC171" i="30"/>
  <c r="BC176" i="30"/>
  <c r="BC170" i="30"/>
  <c r="CD134" i="30" l="1"/>
  <c r="AI109" i="42" l="1"/>
  <c r="AI95" i="42"/>
  <c r="AI111" i="42"/>
  <c r="AI113" i="42"/>
  <c r="AI65" i="42"/>
  <c r="AI106" i="42"/>
  <c r="AI46" i="42"/>
  <c r="AI60" i="42"/>
  <c r="AI92" i="42"/>
  <c r="AI91" i="42"/>
  <c r="AI75" i="42"/>
  <c r="AI72" i="42"/>
  <c r="AI102" i="42"/>
  <c r="AI100" i="42"/>
  <c r="AI108" i="42"/>
  <c r="AI76" i="42"/>
  <c r="AI99" i="42"/>
  <c r="AI105" i="42"/>
  <c r="AI103" i="42"/>
  <c r="AI112" i="42"/>
  <c r="AI78" i="42"/>
  <c r="AI73" i="42"/>
  <c r="AI74" i="42"/>
  <c r="AI88" i="42"/>
  <c r="AI69" i="42"/>
  <c r="AI89" i="42"/>
  <c r="AI83" i="42"/>
  <c r="AI96" i="42"/>
  <c r="AI107" i="42"/>
  <c r="AI48" i="42"/>
  <c r="AI104" i="42"/>
  <c r="AI86" i="42"/>
  <c r="AI81" i="42"/>
  <c r="AI68" i="42"/>
  <c r="AI77" i="42"/>
  <c r="AI90" i="42"/>
  <c r="AI101" i="42"/>
  <c r="AI67" i="42"/>
  <c r="AI85" i="42"/>
  <c r="AI53" i="42"/>
  <c r="AI110" i="42"/>
  <c r="AI56" i="42"/>
  <c r="AI37" i="42"/>
  <c r="AI87" i="42"/>
  <c r="AI79" i="42"/>
  <c r="AI57" i="42"/>
  <c r="AI80" i="42"/>
  <c r="AI94" i="42"/>
  <c r="AI84" i="42"/>
  <c r="AI97" i="42"/>
  <c r="AI71" i="42"/>
  <c r="AI93" i="42"/>
  <c r="AI40" i="42"/>
  <c r="AI82" i="42"/>
  <c r="AI54" i="42"/>
  <c r="AI61" i="42"/>
  <c r="AI49" i="42"/>
  <c r="AI34" i="42"/>
  <c r="AI23" i="42"/>
  <c r="AI64" i="42"/>
  <c r="AI36" i="42"/>
  <c r="AI31" i="42"/>
  <c r="AI70" i="42"/>
  <c r="AI30" i="42"/>
  <c r="AI18" i="42"/>
  <c r="AI98" i="42"/>
  <c r="AI24" i="42"/>
  <c r="AI35" i="42"/>
  <c r="AI58" i="42"/>
  <c r="AI50" i="42"/>
  <c r="AI38" i="42"/>
  <c r="AI44" i="42"/>
  <c r="AI21" i="42"/>
  <c r="AI16" i="42"/>
  <c r="AI33" i="42"/>
  <c r="AI52" i="42"/>
  <c r="AI59" i="42"/>
  <c r="AI47" i="42"/>
  <c r="AI45" i="42"/>
  <c r="AI28" i="42"/>
  <c r="AI27" i="42"/>
  <c r="AI32" i="42"/>
  <c r="AI9" i="42"/>
  <c r="AI15" i="42"/>
  <c r="AI51" i="42"/>
  <c r="AI66" i="42"/>
  <c r="AI55" i="42"/>
  <c r="AI20" i="42"/>
  <c r="AI43" i="42"/>
  <c r="AI10" i="42"/>
  <c r="AI17" i="42"/>
  <c r="AI63" i="42"/>
  <c r="AI8" i="42"/>
  <c r="AI42" i="42"/>
  <c r="AI39" i="42"/>
  <c r="AI22" i="42"/>
  <c r="AI7" i="42"/>
  <c r="AI19" i="42"/>
  <c r="AI25" i="42"/>
  <c r="AI2" i="42"/>
  <c r="AI29" i="42"/>
  <c r="AI62" i="42"/>
  <c r="AI12" i="42"/>
  <c r="AI41" i="42"/>
  <c r="AI26" i="42"/>
  <c r="AI5" i="42"/>
  <c r="AI6" i="42"/>
  <c r="AI11" i="42"/>
  <c r="AI14" i="42"/>
  <c r="AI4" i="42"/>
  <c r="AI13" i="42"/>
  <c r="AI3" i="42"/>
  <c r="BK68" i="30"/>
  <c r="BK67" i="30"/>
  <c r="BK66" i="30"/>
  <c r="BK65" i="30"/>
  <c r="BK64" i="30"/>
  <c r="BK63" i="30"/>
  <c r="BK62" i="30"/>
  <c r="BK61" i="30"/>
  <c r="BK60" i="30"/>
  <c r="BK59" i="30"/>
  <c r="BL58" i="30"/>
  <c r="BM67" i="30"/>
  <c r="CA123" i="30"/>
  <c r="BZ125" i="30"/>
  <c r="BZ126" i="30"/>
  <c r="BZ127" i="30"/>
  <c r="BZ128" i="30"/>
  <c r="BZ129" i="30"/>
  <c r="BZ130" i="30"/>
  <c r="BZ131" i="30"/>
  <c r="BZ133" i="30"/>
  <c r="BZ134" i="30"/>
  <c r="X18" i="46"/>
  <c r="X17" i="46"/>
  <c r="X25" i="46"/>
  <c r="X24" i="46"/>
  <c r="X11" i="46"/>
  <c r="X10" i="46"/>
  <c r="V28" i="46"/>
  <c r="V27" i="46"/>
  <c r="V23" i="46"/>
  <c r="V22" i="46"/>
  <c r="V13" i="46"/>
  <c r="V8" i="46"/>
  <c r="V7" i="46"/>
  <c r="M32" i="46"/>
  <c r="M31" i="46"/>
  <c r="M29" i="46"/>
  <c r="T27" i="47" s="1"/>
  <c r="M34" i="46"/>
  <c r="M28" i="46"/>
  <c r="T24" i="46" l="1"/>
  <c r="T26" i="46"/>
  <c r="T8" i="46"/>
  <c r="AW2" i="42"/>
  <c r="T9" i="46"/>
  <c r="T21" i="46"/>
  <c r="T23" i="46"/>
  <c r="T30" i="46"/>
  <c r="T11" i="46"/>
  <c r="T20" i="46"/>
  <c r="M35" i="46"/>
  <c r="T12" i="47" s="1"/>
  <c r="T12" i="46"/>
  <c r="M33" i="46"/>
  <c r="T9" i="47" s="1"/>
  <c r="T6" i="46"/>
  <c r="M25" i="47"/>
  <c r="T14" i="46"/>
  <c r="T27" i="46"/>
  <c r="T5" i="46"/>
  <c r="Y109" i="42"/>
  <c r="M24" i="47" l="1"/>
  <c r="M26" i="47"/>
  <c r="M27" i="47"/>
  <c r="T24" i="47"/>
  <c r="Y42" i="42"/>
  <c r="Y27" i="42"/>
  <c r="Y21" i="42"/>
  <c r="Y31" i="42"/>
  <c r="Y49" i="42"/>
  <c r="Y48" i="42"/>
  <c r="Y89" i="42"/>
  <c r="Y74" i="42"/>
  <c r="Y60" i="42"/>
  <c r="Y46" i="42"/>
  <c r="Y106" i="42"/>
  <c r="Y65" i="42"/>
  <c r="Y113" i="42"/>
  <c r="Y111" i="42"/>
  <c r="Y95" i="42"/>
  <c r="AN32" i="42"/>
  <c r="AN109" i="42"/>
  <c r="AN95" i="42"/>
  <c r="AN111" i="42"/>
  <c r="AN113" i="42"/>
  <c r="AN65" i="42"/>
  <c r="AN106" i="42"/>
  <c r="AN46" i="42"/>
  <c r="AN60" i="42"/>
  <c r="AN92" i="42"/>
  <c r="AN91" i="42"/>
  <c r="AN75" i="42"/>
  <c r="AN72" i="42"/>
  <c r="AN102" i="42"/>
  <c r="AN100" i="42"/>
  <c r="AN108" i="42"/>
  <c r="AN76" i="42"/>
  <c r="AN99" i="42"/>
  <c r="AN105" i="42"/>
  <c r="AN103" i="42"/>
  <c r="AN112" i="42"/>
  <c r="AN78" i="42"/>
  <c r="AN73" i="42"/>
  <c r="AN74" i="42"/>
  <c r="AN88" i="42"/>
  <c r="AN69" i="42"/>
  <c r="AN89" i="42"/>
  <c r="AN83" i="42"/>
  <c r="AN96" i="42"/>
  <c r="AN107" i="42"/>
  <c r="AN48" i="42"/>
  <c r="AN104" i="42"/>
  <c r="AN86" i="42"/>
  <c r="AN81" i="42"/>
  <c r="AN68" i="42"/>
  <c r="AN77" i="42"/>
  <c r="AN90" i="42"/>
  <c r="AN101" i="42"/>
  <c r="AN67" i="42"/>
  <c r="AN85" i="42"/>
  <c r="AN53" i="42"/>
  <c r="AN110" i="42"/>
  <c r="AN56" i="42"/>
  <c r="AN37" i="42"/>
  <c r="AN87" i="42"/>
  <c r="AN79" i="42"/>
  <c r="AN57" i="42"/>
  <c r="AN80" i="42"/>
  <c r="AN94" i="42"/>
  <c r="AN84" i="42"/>
  <c r="AN97" i="42"/>
  <c r="AN71" i="42"/>
  <c r="AN93" i="42"/>
  <c r="AN40" i="42"/>
  <c r="AN82" i="42"/>
  <c r="AN54" i="42"/>
  <c r="AN61" i="42"/>
  <c r="AN49" i="42"/>
  <c r="AN34" i="42"/>
  <c r="AN23" i="42"/>
  <c r="AN64" i="42"/>
  <c r="AN36" i="42"/>
  <c r="AN31" i="42"/>
  <c r="AN70" i="42"/>
  <c r="AN30" i="42"/>
  <c r="AN18" i="42"/>
  <c r="AN98" i="42"/>
  <c r="AN24" i="42"/>
  <c r="AN35" i="42"/>
  <c r="AN58" i="42"/>
  <c r="AN50" i="42"/>
  <c r="AN38" i="42"/>
  <c r="AN44" i="42"/>
  <c r="AN21" i="42"/>
  <c r="AN16" i="42"/>
  <c r="AN33" i="42"/>
  <c r="AN52" i="42"/>
  <c r="AN59" i="42"/>
  <c r="AN47" i="42"/>
  <c r="AN45" i="42"/>
  <c r="AN28" i="42"/>
  <c r="AN27" i="42"/>
  <c r="AN9" i="42"/>
  <c r="AN15" i="42"/>
  <c r="AN51" i="42"/>
  <c r="AN66" i="42"/>
  <c r="AN55" i="42"/>
  <c r="AN20" i="42"/>
  <c r="AN43" i="42"/>
  <c r="AN10" i="42"/>
  <c r="AN17" i="42"/>
  <c r="AN63" i="42"/>
  <c r="AN8" i="42"/>
  <c r="AN42" i="42"/>
  <c r="AN39" i="42"/>
  <c r="AN22" i="42"/>
  <c r="AN7" i="42"/>
  <c r="AN19" i="42"/>
  <c r="AN25" i="42"/>
  <c r="AN29" i="42"/>
  <c r="AN62" i="42"/>
  <c r="AN12" i="42"/>
  <c r="AN41" i="42"/>
  <c r="AN26" i="42"/>
  <c r="AN5" i="42"/>
  <c r="AN6" i="42"/>
  <c r="AN11" i="42"/>
  <c r="AN14" i="42"/>
  <c r="AN4" i="42"/>
  <c r="AN13" i="42"/>
  <c r="AN3" i="42"/>
  <c r="Y33" i="42" l="1"/>
  <c r="Y84" i="42"/>
  <c r="Y80" i="42"/>
  <c r="Y78" i="42"/>
  <c r="Y12" i="42"/>
  <c r="Y82" i="42"/>
  <c r="Y88" i="42"/>
  <c r="Y29" i="42"/>
  <c r="Y51" i="42"/>
  <c r="Y79" i="42"/>
  <c r="Y76" i="42"/>
  <c r="Y40" i="42"/>
  <c r="Y83" i="42"/>
  <c r="Y87" i="42"/>
  <c r="Y44" i="42"/>
  <c r="Y57" i="42"/>
  <c r="Y86" i="42"/>
  <c r="Y81" i="42"/>
  <c r="Y67" i="42"/>
  <c r="O70" i="18" l="1"/>
  <c r="N84" i="18"/>
  <c r="M70" i="18"/>
  <c r="L70" i="18"/>
  <c r="O76" i="18"/>
  <c r="N76" i="18"/>
  <c r="M76" i="18"/>
  <c r="L83" i="18"/>
  <c r="O75" i="18"/>
  <c r="N82" i="18"/>
  <c r="M68" i="18"/>
  <c r="L75" i="18"/>
  <c r="O81" i="18"/>
  <c r="N74" i="18"/>
  <c r="M74" i="18"/>
  <c r="L81" i="18"/>
  <c r="O66" i="18"/>
  <c r="N80" i="18"/>
  <c r="M80" i="18"/>
  <c r="L66" i="18"/>
  <c r="T84" i="18"/>
  <c r="S84" i="18"/>
  <c r="R84" i="18"/>
  <c r="Q84" i="18"/>
  <c r="T76" i="18"/>
  <c r="S83" i="18"/>
  <c r="R83" i="18"/>
  <c r="T82" i="18"/>
  <c r="S68" i="18"/>
  <c r="R68" i="18"/>
  <c r="Q82" i="18"/>
  <c r="T74" i="18"/>
  <c r="S81" i="18"/>
  <c r="R67" i="18"/>
  <c r="Q81" i="18"/>
  <c r="T80" i="18"/>
  <c r="S66" i="18"/>
  <c r="R80" i="18"/>
  <c r="Q80" i="18"/>
  <c r="Q83" i="18"/>
  <c r="Y101" i="42"/>
  <c r="Y92" i="42"/>
  <c r="Y77" i="42"/>
  <c r="Y64" i="42"/>
  <c r="Y56" i="42"/>
  <c r="Y71" i="42"/>
  <c r="Y107" i="42"/>
  <c r="Y47" i="42"/>
  <c r="Y103" i="42"/>
  <c r="Y91" i="42"/>
  <c r="Y105" i="42"/>
  <c r="Y24" i="42"/>
  <c r="Y100" i="42"/>
  <c r="Y69" i="42"/>
  <c r="Y36" i="42"/>
  <c r="L77" i="18" l="1"/>
  <c r="L84" i="18"/>
  <c r="L82" i="18"/>
  <c r="L68" i="18"/>
  <c r="R69" i="18"/>
  <c r="R76" i="18"/>
  <c r="L69" i="18"/>
  <c r="L76" i="18"/>
  <c r="L67" i="18"/>
  <c r="N69" i="18"/>
  <c r="N83" i="18"/>
  <c r="R82" i="18"/>
  <c r="R75" i="18"/>
  <c r="N70" i="18"/>
  <c r="N68" i="18"/>
  <c r="N75" i="18"/>
  <c r="R74" i="18"/>
  <c r="R81" i="18"/>
  <c r="N67" i="18"/>
  <c r="N81" i="18"/>
  <c r="Q77" i="18"/>
  <c r="O84" i="18"/>
  <c r="O77" i="18"/>
  <c r="Q74" i="18"/>
  <c r="O82" i="18"/>
  <c r="O68" i="18"/>
  <c r="O67" i="18"/>
  <c r="O80" i="18"/>
  <c r="O73" i="18"/>
  <c r="N77" i="18"/>
  <c r="N66" i="18"/>
  <c r="N73" i="18"/>
  <c r="Q70" i="18"/>
  <c r="R77" i="18"/>
  <c r="R70" i="18"/>
  <c r="Q75" i="18"/>
  <c r="Q68" i="18"/>
  <c r="T70" i="18"/>
  <c r="T77" i="18"/>
  <c r="T69" i="18"/>
  <c r="T83" i="18"/>
  <c r="T81" i="18"/>
  <c r="T67" i="18"/>
  <c r="M77" i="18"/>
  <c r="M84" i="18"/>
  <c r="M69" i="18"/>
  <c r="M83" i="18"/>
  <c r="M82" i="18"/>
  <c r="M75" i="18"/>
  <c r="M81" i="18"/>
  <c r="M67" i="18"/>
  <c r="M73" i="18"/>
  <c r="M66" i="18"/>
  <c r="S70" i="18"/>
  <c r="S77" i="18"/>
  <c r="S76" i="18"/>
  <c r="S69" i="18"/>
  <c r="S75" i="18"/>
  <c r="S82" i="18"/>
  <c r="S74" i="18"/>
  <c r="S67" i="18"/>
  <c r="S80" i="18"/>
  <c r="L74" i="18"/>
  <c r="O74" i="18"/>
  <c r="L73" i="18"/>
  <c r="L80" i="18"/>
  <c r="T68" i="18"/>
  <c r="R73" i="18"/>
  <c r="R66" i="18"/>
  <c r="T73" i="18"/>
  <c r="T75" i="18"/>
  <c r="T66" i="18"/>
  <c r="Q76" i="18"/>
  <c r="Q67" i="18"/>
  <c r="Q69" i="18"/>
  <c r="S73" i="18"/>
  <c r="O69" i="18"/>
  <c r="O83" i="18"/>
  <c r="Q66" i="18"/>
  <c r="Q73" i="18"/>
  <c r="Y32" i="42"/>
  <c r="Y35" i="42"/>
  <c r="Y90" i="42"/>
  <c r="Y102" i="42"/>
  <c r="P80" i="18" l="1"/>
  <c r="P66" i="18"/>
  <c r="M9" i="18" s="1"/>
  <c r="M10" i="18" s="1"/>
  <c r="P73" i="18"/>
  <c r="Y99" i="42"/>
  <c r="Y20" i="42"/>
  <c r="Y61" i="42"/>
  <c r="Y37" i="42"/>
  <c r="HJ43" i="44"/>
  <c r="HI43" i="44"/>
  <c r="HH43" i="44"/>
  <c r="HG43" i="44"/>
  <c r="HF43" i="44"/>
  <c r="HE43" i="44"/>
  <c r="HD43" i="44"/>
  <c r="HJ42" i="44"/>
  <c r="HI42" i="44"/>
  <c r="HH42" i="44"/>
  <c r="HG42" i="44"/>
  <c r="HF42" i="44"/>
  <c r="HE42" i="44"/>
  <c r="HD42" i="44"/>
  <c r="HJ41" i="44"/>
  <c r="HI41" i="44"/>
  <c r="HH41" i="44"/>
  <c r="HG41" i="44"/>
  <c r="HF41" i="44"/>
  <c r="HE41" i="44"/>
  <c r="HD41" i="44"/>
  <c r="HJ40" i="44"/>
  <c r="HI40" i="44"/>
  <c r="HH40" i="44"/>
  <c r="HG40" i="44"/>
  <c r="HF40" i="44"/>
  <c r="HE40" i="44"/>
  <c r="HD40" i="44"/>
  <c r="HJ39" i="44"/>
  <c r="HI39" i="44"/>
  <c r="HH39" i="44"/>
  <c r="HG39" i="44"/>
  <c r="HF39" i="44"/>
  <c r="HE39" i="44"/>
  <c r="HD39" i="44"/>
  <c r="HJ38" i="44"/>
  <c r="HI38" i="44"/>
  <c r="HH38" i="44"/>
  <c r="HG38" i="44"/>
  <c r="HF38" i="44"/>
  <c r="HE38" i="44"/>
  <c r="HD38" i="44"/>
  <c r="HJ37" i="44"/>
  <c r="HI37" i="44"/>
  <c r="HH37" i="44"/>
  <c r="HG37" i="44"/>
  <c r="HF37" i="44"/>
  <c r="HE37" i="44"/>
  <c r="HD37" i="44"/>
  <c r="Y93" i="42"/>
  <c r="Y66" i="42"/>
  <c r="Y73" i="42"/>
  <c r="Y16" i="42"/>
  <c r="Y68" i="42"/>
  <c r="AD83" i="42" l="1"/>
  <c r="AD61" i="42"/>
  <c r="AD77" i="42"/>
  <c r="AG12" i="41"/>
  <c r="AF12" i="41"/>
  <c r="R21" i="42"/>
  <c r="AD100" i="42"/>
  <c r="AD57" i="42"/>
  <c r="R3" i="42"/>
  <c r="AO109" i="42"/>
  <c r="AO95" i="42"/>
  <c r="AO111" i="42"/>
  <c r="AO113" i="42"/>
  <c r="AO65" i="42"/>
  <c r="AO106" i="42"/>
  <c r="AO46" i="42"/>
  <c r="AO60" i="42"/>
  <c r="AO92" i="42"/>
  <c r="AO91" i="42"/>
  <c r="AO75" i="42"/>
  <c r="AO72" i="42"/>
  <c r="AO102" i="42"/>
  <c r="AO100" i="42"/>
  <c r="AO108" i="42"/>
  <c r="AO76" i="42"/>
  <c r="AO99" i="42"/>
  <c r="AO105" i="42"/>
  <c r="AO103" i="42"/>
  <c r="AO112" i="42"/>
  <c r="AO78" i="42"/>
  <c r="AO73" i="42"/>
  <c r="AO74" i="42"/>
  <c r="AO88" i="42"/>
  <c r="AO69" i="42"/>
  <c r="AO89" i="42"/>
  <c r="AO83" i="42"/>
  <c r="AO96" i="42"/>
  <c r="AO107" i="42"/>
  <c r="AO48" i="42"/>
  <c r="AO104" i="42"/>
  <c r="AO86" i="42"/>
  <c r="AO81" i="42"/>
  <c r="AO68" i="42"/>
  <c r="AO77" i="42"/>
  <c r="AO90" i="42"/>
  <c r="AO101" i="42"/>
  <c r="AO67" i="42"/>
  <c r="AO85" i="42"/>
  <c r="AO53" i="42"/>
  <c r="AO110" i="42"/>
  <c r="AO56" i="42"/>
  <c r="AO37" i="42"/>
  <c r="AO87" i="42"/>
  <c r="AO79" i="42"/>
  <c r="AO57" i="42"/>
  <c r="AO80" i="42"/>
  <c r="AO94" i="42"/>
  <c r="AO84" i="42"/>
  <c r="AO97" i="42"/>
  <c r="AO71" i="42"/>
  <c r="AO93" i="42"/>
  <c r="AO40" i="42"/>
  <c r="AO82" i="42"/>
  <c r="AO54" i="42"/>
  <c r="AO61" i="42"/>
  <c r="AO49" i="42"/>
  <c r="AO34" i="42"/>
  <c r="AO23" i="42"/>
  <c r="AO64" i="42"/>
  <c r="AO36" i="42"/>
  <c r="AO31" i="42"/>
  <c r="AO70" i="42"/>
  <c r="AO30" i="42"/>
  <c r="AO18" i="42"/>
  <c r="AO98" i="42"/>
  <c r="AO24" i="42"/>
  <c r="AO35" i="42"/>
  <c r="AO58" i="42"/>
  <c r="AO50" i="42"/>
  <c r="AO38" i="42"/>
  <c r="AO44" i="42"/>
  <c r="AO21" i="42"/>
  <c r="AO16" i="42"/>
  <c r="AO33" i="42"/>
  <c r="AO52" i="42"/>
  <c r="AO59" i="42"/>
  <c r="AO47" i="42"/>
  <c r="AO45" i="42"/>
  <c r="AO28" i="42"/>
  <c r="AO27" i="42"/>
  <c r="AO32" i="42"/>
  <c r="AO9" i="42"/>
  <c r="AO15" i="42"/>
  <c r="AO51" i="42"/>
  <c r="AO66" i="42"/>
  <c r="AO55" i="42"/>
  <c r="AO20" i="42"/>
  <c r="AO43" i="42"/>
  <c r="AO10" i="42"/>
  <c r="AO17" i="42"/>
  <c r="AO63" i="42"/>
  <c r="AO8" i="42"/>
  <c r="AO42" i="42"/>
  <c r="AO39" i="42"/>
  <c r="AO22" i="42"/>
  <c r="AO7" i="42"/>
  <c r="AO19" i="42"/>
  <c r="AO25" i="42"/>
  <c r="AO29" i="42"/>
  <c r="AO62" i="42"/>
  <c r="AO12" i="42"/>
  <c r="AO41" i="42"/>
  <c r="AO26" i="42"/>
  <c r="AO5" i="42"/>
  <c r="AO6" i="42"/>
  <c r="AO11" i="42"/>
  <c r="AO14" i="42"/>
  <c r="AO4" i="42"/>
  <c r="AO13" i="42"/>
  <c r="AO3" i="42"/>
  <c r="AD95" i="42"/>
  <c r="AD111" i="42"/>
  <c r="AD113" i="42"/>
  <c r="AD65" i="42"/>
  <c r="AD106" i="42"/>
  <c r="AD46" i="42"/>
  <c r="AD60" i="42"/>
  <c r="AD92" i="42"/>
  <c r="AD91" i="42"/>
  <c r="AD102" i="42"/>
  <c r="AD76" i="42"/>
  <c r="AD99" i="42"/>
  <c r="AD105" i="42"/>
  <c r="AD103" i="42"/>
  <c r="AD78" i="42"/>
  <c r="AD73" i="42"/>
  <c r="AD74" i="42"/>
  <c r="AD88" i="42"/>
  <c r="AD69" i="42"/>
  <c r="AD89" i="42"/>
  <c r="AD107" i="42"/>
  <c r="AD48" i="42"/>
  <c r="AD86" i="42"/>
  <c r="AD81" i="42"/>
  <c r="AD68" i="42"/>
  <c r="AD90" i="42"/>
  <c r="AD101" i="42"/>
  <c r="AD67" i="42"/>
  <c r="AD56" i="42"/>
  <c r="AD37" i="42"/>
  <c r="AD87" i="42"/>
  <c r="AD79" i="42"/>
  <c r="AD80" i="42"/>
  <c r="AD84" i="42"/>
  <c r="AD71" i="42"/>
  <c r="AD93" i="42"/>
  <c r="AD40" i="42"/>
  <c r="AD82" i="42"/>
  <c r="AD49" i="42"/>
  <c r="AD34" i="42"/>
  <c r="AD64" i="42"/>
  <c r="AD36" i="42"/>
  <c r="AD31" i="42"/>
  <c r="AD24" i="42"/>
  <c r="AD35" i="42"/>
  <c r="AD44" i="42"/>
  <c r="AD21" i="42"/>
  <c r="AD16" i="42"/>
  <c r="AD33" i="42"/>
  <c r="AD47" i="42"/>
  <c r="AD27" i="42"/>
  <c r="AD32" i="42"/>
  <c r="AD51" i="42"/>
  <c r="AD66" i="42"/>
  <c r="AD20" i="42"/>
  <c r="AD42" i="42"/>
  <c r="AD29" i="42"/>
  <c r="AD12" i="42"/>
  <c r="AD109" i="42"/>
  <c r="AE109" i="42" s="1"/>
  <c r="R109" i="42"/>
  <c r="S95" i="42"/>
  <c r="R95" i="42"/>
  <c r="S111" i="42"/>
  <c r="R111" i="42"/>
  <c r="S113" i="42"/>
  <c r="R113" i="42"/>
  <c r="S65" i="42"/>
  <c r="R65" i="42"/>
  <c r="S106" i="42"/>
  <c r="R106" i="42"/>
  <c r="S46" i="42"/>
  <c r="R46" i="42"/>
  <c r="S60" i="42"/>
  <c r="R60" i="42"/>
  <c r="S92" i="42"/>
  <c r="R92" i="42"/>
  <c r="S91" i="42"/>
  <c r="R91" i="42"/>
  <c r="R75" i="42"/>
  <c r="S102" i="42"/>
  <c r="R102" i="42"/>
  <c r="S100" i="42"/>
  <c r="R100" i="42"/>
  <c r="R108" i="42"/>
  <c r="S76" i="42"/>
  <c r="R76" i="42"/>
  <c r="S99" i="42"/>
  <c r="R99" i="42"/>
  <c r="S105" i="42"/>
  <c r="R105" i="42"/>
  <c r="S103" i="42"/>
  <c r="R103" i="42"/>
  <c r="R112" i="42"/>
  <c r="S78" i="42"/>
  <c r="R78" i="42"/>
  <c r="S73" i="42"/>
  <c r="R73" i="42"/>
  <c r="S74" i="42"/>
  <c r="R74" i="42"/>
  <c r="S88" i="42"/>
  <c r="R88" i="42"/>
  <c r="S69" i="42"/>
  <c r="R69" i="42"/>
  <c r="S89" i="42"/>
  <c r="R89" i="42"/>
  <c r="S83" i="42"/>
  <c r="R83" i="42"/>
  <c r="R96" i="42"/>
  <c r="S107" i="42"/>
  <c r="R107" i="42"/>
  <c r="S48" i="42"/>
  <c r="R48" i="42"/>
  <c r="S104" i="42"/>
  <c r="R104" i="42"/>
  <c r="S86" i="42"/>
  <c r="R86" i="42"/>
  <c r="S81" i="42"/>
  <c r="R81" i="42"/>
  <c r="S68" i="42"/>
  <c r="R68" i="42"/>
  <c r="S77" i="42"/>
  <c r="R77" i="42"/>
  <c r="S90" i="42"/>
  <c r="R90" i="42"/>
  <c r="S101" i="42"/>
  <c r="R101" i="42"/>
  <c r="S67" i="42"/>
  <c r="R67" i="42"/>
  <c r="S85" i="42"/>
  <c r="R53" i="42"/>
  <c r="S110" i="42"/>
  <c r="R110" i="42"/>
  <c r="S56" i="42"/>
  <c r="R56" i="42"/>
  <c r="S37" i="42"/>
  <c r="R37" i="42"/>
  <c r="S87" i="42"/>
  <c r="R87" i="42"/>
  <c r="S79" i="42"/>
  <c r="R79" i="42"/>
  <c r="S57" i="42"/>
  <c r="R57" i="42"/>
  <c r="S80" i="42"/>
  <c r="R80" i="42"/>
  <c r="S84" i="42"/>
  <c r="R84" i="42"/>
  <c r="S71" i="42"/>
  <c r="R71" i="42"/>
  <c r="S93" i="42"/>
  <c r="R93" i="42"/>
  <c r="S40" i="42"/>
  <c r="R40" i="42"/>
  <c r="S82" i="42"/>
  <c r="R82" i="42"/>
  <c r="S54" i="42"/>
  <c r="R54" i="42"/>
  <c r="S61" i="42"/>
  <c r="R61" i="42"/>
  <c r="S49" i="42"/>
  <c r="R49" i="42"/>
  <c r="S34" i="42"/>
  <c r="R34" i="42"/>
  <c r="R23" i="42"/>
  <c r="S64" i="42"/>
  <c r="R64" i="42"/>
  <c r="S36" i="42"/>
  <c r="R36" i="42"/>
  <c r="S31" i="42"/>
  <c r="R31" i="42"/>
  <c r="R30" i="42"/>
  <c r="S24" i="42"/>
  <c r="R24" i="42"/>
  <c r="S35" i="42"/>
  <c r="R35" i="42"/>
  <c r="S58" i="42"/>
  <c r="R58" i="42"/>
  <c r="S50" i="42"/>
  <c r="R50" i="42"/>
  <c r="S38" i="42"/>
  <c r="R38" i="42"/>
  <c r="S44" i="42"/>
  <c r="R44" i="42"/>
  <c r="S21" i="42"/>
  <c r="S16" i="42"/>
  <c r="R16" i="42"/>
  <c r="S33" i="42"/>
  <c r="R33" i="42"/>
  <c r="S52" i="42"/>
  <c r="R52" i="42"/>
  <c r="S59" i="42"/>
  <c r="R59" i="42"/>
  <c r="S47" i="42"/>
  <c r="R47" i="42"/>
  <c r="R45" i="42"/>
  <c r="S28" i="42"/>
  <c r="R28" i="42"/>
  <c r="S27" i="42"/>
  <c r="R27" i="42"/>
  <c r="S32" i="42"/>
  <c r="R32" i="42"/>
  <c r="S9" i="42"/>
  <c r="S51" i="42"/>
  <c r="R51" i="42"/>
  <c r="S66" i="42"/>
  <c r="R66" i="42"/>
  <c r="S55" i="42"/>
  <c r="R55" i="42"/>
  <c r="S20" i="42"/>
  <c r="R20" i="42"/>
  <c r="S10" i="42"/>
  <c r="R10" i="42"/>
  <c r="S63" i="42"/>
  <c r="R63" i="42"/>
  <c r="S42" i="42"/>
  <c r="R42" i="42"/>
  <c r="S39" i="42"/>
  <c r="R39" i="42"/>
  <c r="S2" i="42"/>
  <c r="R2" i="42"/>
  <c r="S29" i="42"/>
  <c r="R29" i="42"/>
  <c r="S12" i="42"/>
  <c r="R12" i="42"/>
  <c r="S41" i="42"/>
  <c r="R41" i="42"/>
  <c r="S26" i="42"/>
  <c r="R26" i="42"/>
  <c r="S5" i="42"/>
  <c r="R5" i="42"/>
  <c r="S6" i="42"/>
  <c r="R6" i="42"/>
  <c r="S14" i="42"/>
  <c r="R14" i="42"/>
  <c r="S109" i="42"/>
  <c r="AD30" i="41"/>
  <c r="AD29" i="41"/>
  <c r="AD28" i="41"/>
  <c r="AD27" i="41"/>
  <c r="AD26" i="41"/>
  <c r="AD25" i="41"/>
  <c r="AD24" i="41"/>
  <c r="Y34" i="42"/>
  <c r="HP14" i="44"/>
  <c r="HP21" i="44" s="1"/>
  <c r="HP29" i="44" s="1"/>
  <c r="HO14" i="44"/>
  <c r="HM14" i="44"/>
  <c r="HM18" i="44" s="1"/>
  <c r="HM26" i="44" s="1"/>
  <c r="HL14" i="44"/>
  <c r="HL15" i="44" s="1"/>
  <c r="HL23" i="44" s="1"/>
  <c r="HJ14" i="44"/>
  <c r="HJ15" i="44" s="1"/>
  <c r="HJ23" i="44" s="1"/>
  <c r="HI14" i="44"/>
  <c r="HI18" i="44" s="1"/>
  <c r="HI26" i="44" s="1"/>
  <c r="HG14" i="44"/>
  <c r="HF14" i="44"/>
  <c r="HF18" i="44" s="1"/>
  <c r="HF26" i="44" s="1"/>
  <c r="HC20" i="44"/>
  <c r="HE20" i="44" s="1"/>
  <c r="HE28" i="44" s="1"/>
  <c r="HC19" i="44"/>
  <c r="HC17" i="44"/>
  <c r="HH17" i="44" s="1"/>
  <c r="HH25" i="44" s="1"/>
  <c r="HC16" i="44"/>
  <c r="HQ16" i="44" s="1"/>
  <c r="HQ24" i="44" s="1"/>
  <c r="HC28" i="44"/>
  <c r="HC27" i="44"/>
  <c r="HC25" i="44"/>
  <c r="HC24" i="44"/>
  <c r="H26" i="18"/>
  <c r="G26" i="18"/>
  <c r="F26" i="18"/>
  <c r="E26" i="18"/>
  <c r="D26" i="18"/>
  <c r="C26" i="18"/>
  <c r="HE15" i="44"/>
  <c r="HE23" i="44" s="1"/>
  <c r="HH15" i="44"/>
  <c r="HH23" i="44" s="1"/>
  <c r="HK15" i="44"/>
  <c r="HN15" i="44"/>
  <c r="HN23" i="44" s="1"/>
  <c r="HO15" i="44"/>
  <c r="HO23" i="44" s="1"/>
  <c r="HQ15" i="44"/>
  <c r="HQ23" i="44" s="1"/>
  <c r="HE18" i="44"/>
  <c r="HE26" i="44" s="1"/>
  <c r="HH18" i="44"/>
  <c r="HH26" i="44" s="1"/>
  <c r="HJ18" i="44"/>
  <c r="HJ26" i="44" s="1"/>
  <c r="HK18" i="44"/>
  <c r="HK26" i="44" s="1"/>
  <c r="HN18" i="44"/>
  <c r="HN26" i="44" s="1"/>
  <c r="HO18" i="44"/>
  <c r="HO26" i="44" s="1"/>
  <c r="HQ18" i="44"/>
  <c r="HQ26" i="44" s="1"/>
  <c r="HE19" i="44"/>
  <c r="HE27" i="44" s="1"/>
  <c r="HH19" i="44"/>
  <c r="HH27" i="44" s="1"/>
  <c r="HK19" i="44"/>
  <c r="HK27" i="44" s="1"/>
  <c r="HN19" i="44"/>
  <c r="HN27" i="44" s="1"/>
  <c r="HO19" i="44"/>
  <c r="HO27" i="44" s="1"/>
  <c r="HQ19" i="44"/>
  <c r="HQ27" i="44" s="1"/>
  <c r="HE21" i="44"/>
  <c r="HE29" i="44" s="1"/>
  <c r="HH21" i="44"/>
  <c r="HH29" i="44" s="1"/>
  <c r="HJ21" i="44"/>
  <c r="HJ29" i="44" s="1"/>
  <c r="HK21" i="44"/>
  <c r="HK29" i="44" s="1"/>
  <c r="HN21" i="44"/>
  <c r="HN29" i="44" s="1"/>
  <c r="HO21" i="44"/>
  <c r="HO29" i="44" s="1"/>
  <c r="HQ21" i="44"/>
  <c r="HQ29" i="44" s="1"/>
  <c r="HK23" i="44"/>
  <c r="HE7" i="44"/>
  <c r="GR23" i="44"/>
  <c r="GR22" i="44"/>
  <c r="GR21" i="44"/>
  <c r="GR20" i="44"/>
  <c r="GR19" i="44"/>
  <c r="GR18" i="44"/>
  <c r="GR17" i="44"/>
  <c r="B26" i="18"/>
  <c r="L1" i="18" s="1"/>
  <c r="HI15" i="44" l="1"/>
  <c r="HI23" i="44" s="1"/>
  <c r="HJ19" i="44"/>
  <c r="HJ27" i="44" s="1"/>
  <c r="K1" i="18"/>
  <c r="S27" i="18" s="1"/>
  <c r="P27" i="18"/>
  <c r="AE22" i="41"/>
  <c r="HL16" i="44"/>
  <c r="HL24" i="44" s="1"/>
  <c r="HL19" i="44"/>
  <c r="HL27" i="44" s="1"/>
  <c r="HL21" i="44"/>
  <c r="HL29" i="44" s="1"/>
  <c r="HL18" i="44"/>
  <c r="HL26" i="44" s="1"/>
  <c r="HN16" i="44"/>
  <c r="HN24" i="44" s="1"/>
  <c r="HP15" i="44"/>
  <c r="HP23" i="44" s="1"/>
  <c r="HH16" i="44"/>
  <c r="HH24" i="44" s="1"/>
  <c r="HL17" i="44"/>
  <c r="HL25" i="44" s="1"/>
  <c r="HE16" i="44"/>
  <c r="HE24" i="44" s="1"/>
  <c r="HM21" i="44"/>
  <c r="HM29" i="44" s="1"/>
  <c r="HO16" i="44"/>
  <c r="HO24" i="44" s="1"/>
  <c r="HP16" i="44"/>
  <c r="HP24" i="44" s="1"/>
  <c r="HK16" i="44"/>
  <c r="HK24" i="44" s="1"/>
  <c r="HJ16" i="44"/>
  <c r="HJ24" i="44" s="1"/>
  <c r="HF19" i="44"/>
  <c r="HF27" i="44" s="1"/>
  <c r="HO17" i="44"/>
  <c r="HO25" i="44" s="1"/>
  <c r="HN17" i="44"/>
  <c r="HN25" i="44" s="1"/>
  <c r="HK17" i="44"/>
  <c r="HK25" i="44" s="1"/>
  <c r="HJ17" i="44"/>
  <c r="HJ25" i="44" s="1"/>
  <c r="HE17" i="44"/>
  <c r="HE25" i="44" s="1"/>
  <c r="HF16" i="44"/>
  <c r="HF24" i="44" s="1"/>
  <c r="HQ17" i="44"/>
  <c r="HQ25" i="44" s="1"/>
  <c r="HN20" i="44"/>
  <c r="HN28" i="44" s="1"/>
  <c r="HL20" i="44"/>
  <c r="HL28" i="44" s="1"/>
  <c r="HJ20" i="44"/>
  <c r="HJ28" i="44" s="1"/>
  <c r="HP17" i="44"/>
  <c r="HP25" i="44" s="1"/>
  <c r="HG17" i="44"/>
  <c r="HG25" i="44" s="1"/>
  <c r="HM17" i="44"/>
  <c r="HM25" i="44" s="1"/>
  <c r="HG15" i="44"/>
  <c r="HG23" i="44" s="1"/>
  <c r="HP19" i="44"/>
  <c r="HP27" i="44" s="1"/>
  <c r="HP18" i="44"/>
  <c r="HP26" i="44" s="1"/>
  <c r="HM16" i="44"/>
  <c r="HM24" i="44" s="1"/>
  <c r="HM20" i="44"/>
  <c r="HM28" i="44" s="1"/>
  <c r="HM19" i="44"/>
  <c r="HM27" i="44" s="1"/>
  <c r="HM15" i="44"/>
  <c r="HM23" i="44" s="1"/>
  <c r="HI17" i="44"/>
  <c r="HI25" i="44" s="1"/>
  <c r="HI21" i="44"/>
  <c r="HI29" i="44" s="1"/>
  <c r="HI19" i="44"/>
  <c r="HI27" i="44" s="1"/>
  <c r="HI16" i="44"/>
  <c r="HI24" i="44" s="1"/>
  <c r="HG16" i="44"/>
  <c r="HG24" i="44" s="1"/>
  <c r="HG21" i="44"/>
  <c r="HG29" i="44" s="1"/>
  <c r="HG20" i="44"/>
  <c r="HG28" i="44" s="1"/>
  <c r="HG18" i="44"/>
  <c r="HG26" i="44" s="1"/>
  <c r="HG19" i="44"/>
  <c r="HG27" i="44" s="1"/>
  <c r="HF17" i="44"/>
  <c r="HF25" i="44" s="1"/>
  <c r="HF20" i="44"/>
  <c r="HF28" i="44" s="1"/>
  <c r="HF15" i="44"/>
  <c r="HF23" i="44" s="1"/>
  <c r="HF21" i="44"/>
  <c r="HF29" i="44" s="1"/>
  <c r="HK20" i="44"/>
  <c r="HK28" i="44" s="1"/>
  <c r="HQ20" i="44"/>
  <c r="HQ28" i="44" s="1"/>
  <c r="HI20" i="44"/>
  <c r="HI28" i="44" s="1"/>
  <c r="HP20" i="44"/>
  <c r="HP28" i="44" s="1"/>
  <c r="HH20" i="44"/>
  <c r="HH28" i="44" s="1"/>
  <c r="HO20" i="44"/>
  <c r="HO28" i="44" s="1"/>
  <c r="D38" i="18"/>
  <c r="E38" i="18"/>
  <c r="F38" i="18"/>
  <c r="G38" i="18"/>
  <c r="H38" i="18"/>
  <c r="GZ28" i="44"/>
  <c r="GZ14" i="44"/>
  <c r="GZ3" i="44"/>
  <c r="GZ10" i="44"/>
  <c r="GZ15" i="44"/>
  <c r="GZ24" i="44"/>
  <c r="GZ4" i="44"/>
  <c r="GZ16" i="44"/>
  <c r="GZ29" i="44"/>
  <c r="GZ8" i="44"/>
  <c r="GZ27" i="44"/>
  <c r="GZ17" i="44"/>
  <c r="GZ11" i="44"/>
  <c r="GZ18" i="44"/>
  <c r="GZ26" i="44"/>
  <c r="GZ22" i="44"/>
  <c r="GZ20" i="44"/>
  <c r="GZ23" i="44"/>
  <c r="GZ9" i="44"/>
  <c r="GZ13" i="44"/>
  <c r="GZ6" i="44"/>
  <c r="GZ12" i="44"/>
  <c r="GZ2" i="44"/>
  <c r="GZ25" i="44"/>
  <c r="GZ19" i="44"/>
  <c r="GZ5" i="44"/>
  <c r="GZ7" i="44"/>
  <c r="GZ21" i="44"/>
  <c r="FZ25" i="44"/>
  <c r="ER15" i="44"/>
  <c r="ER12" i="44"/>
  <c r="ER11" i="44"/>
  <c r="ER10" i="44"/>
  <c r="ER9" i="44"/>
  <c r="ER5" i="44"/>
  <c r="ER4" i="44"/>
  <c r="EU13" i="44"/>
  <c r="EU12" i="44"/>
  <c r="EU5" i="44"/>
  <c r="EU2" i="44"/>
  <c r="EX17" i="44"/>
  <c r="EX15" i="44"/>
  <c r="EX14" i="44"/>
  <c r="EX9" i="44"/>
  <c r="EX3" i="44"/>
  <c r="EX2" i="44"/>
  <c r="FA15" i="44"/>
  <c r="FA11" i="44"/>
  <c r="FA10" i="44"/>
  <c r="FA4" i="44"/>
  <c r="FD15" i="44"/>
  <c r="FD14" i="44"/>
  <c r="FD13" i="44"/>
  <c r="FD11" i="44"/>
  <c r="FD10" i="44"/>
  <c r="FG17" i="44"/>
  <c r="FG13" i="44"/>
  <c r="FG12" i="44"/>
  <c r="FG7" i="44"/>
  <c r="FG2" i="44"/>
  <c r="FJ17" i="44"/>
  <c r="FJ15" i="44"/>
  <c r="FJ13" i="44"/>
  <c r="FJ12" i="44"/>
  <c r="FJ5" i="44"/>
  <c r="FJ4" i="44"/>
  <c r="FJ3" i="44"/>
  <c r="FJ2" i="44"/>
  <c r="GK27" i="44"/>
  <c r="GK29" i="44"/>
  <c r="GK28" i="44"/>
  <c r="GK26" i="44"/>
  <c r="GK25" i="44"/>
  <c r="GK24" i="44"/>
  <c r="GO10" i="44"/>
  <c r="GG32" i="44"/>
  <c r="GF32" i="44"/>
  <c r="GE32" i="44"/>
  <c r="GD32" i="44"/>
  <c r="GC32" i="44"/>
  <c r="GG31" i="44"/>
  <c r="GF31" i="44"/>
  <c r="GE31" i="44"/>
  <c r="GD31" i="44"/>
  <c r="GC31" i="44"/>
  <c r="GG30" i="44"/>
  <c r="GF30" i="44"/>
  <c r="GE30" i="44"/>
  <c r="GD30" i="44"/>
  <c r="GC30" i="44"/>
  <c r="GG29" i="44"/>
  <c r="GF29" i="44"/>
  <c r="GE29" i="44"/>
  <c r="GD29" i="44"/>
  <c r="GC29" i="44"/>
  <c r="GG28" i="44"/>
  <c r="GF28" i="44"/>
  <c r="GE28" i="44"/>
  <c r="GD28" i="44"/>
  <c r="GC28" i="44"/>
  <c r="GG27" i="44"/>
  <c r="GF27" i="44"/>
  <c r="GE27" i="44"/>
  <c r="GD27" i="44"/>
  <c r="GC27" i="44"/>
  <c r="GG26" i="44"/>
  <c r="GF26" i="44"/>
  <c r="GE26" i="44"/>
  <c r="GD26" i="44"/>
  <c r="GC26" i="44"/>
  <c r="GG25" i="44"/>
  <c r="GF25" i="44"/>
  <c r="GE25" i="44"/>
  <c r="GD25" i="44"/>
  <c r="GC25" i="44"/>
  <c r="GG24" i="44"/>
  <c r="GF24" i="44"/>
  <c r="GE24" i="44"/>
  <c r="GD24" i="44"/>
  <c r="GC24" i="44"/>
  <c r="GG23" i="44"/>
  <c r="GF23" i="44"/>
  <c r="GE23" i="44"/>
  <c r="GD23" i="44"/>
  <c r="GC23" i="44"/>
  <c r="GG22" i="44"/>
  <c r="GF22" i="44"/>
  <c r="GE22" i="44"/>
  <c r="GD22" i="44"/>
  <c r="GC22" i="44"/>
  <c r="GG21" i="44"/>
  <c r="GF21" i="44"/>
  <c r="GE21" i="44"/>
  <c r="GD21" i="44"/>
  <c r="GC21" i="44"/>
  <c r="GG20" i="44"/>
  <c r="GF20" i="44"/>
  <c r="GD20" i="44"/>
  <c r="GC20" i="44"/>
  <c r="FZ19" i="44"/>
  <c r="GO9" i="44"/>
  <c r="GO8" i="44"/>
  <c r="GO7" i="44"/>
  <c r="GO6" i="44"/>
  <c r="GO5" i="44"/>
  <c r="GO4" i="44"/>
  <c r="GO3" i="44"/>
  <c r="GO2" i="44"/>
  <c r="GE20" i="44"/>
  <c r="GL10" i="44"/>
  <c r="GL9" i="44"/>
  <c r="GL8" i="44"/>
  <c r="GL7" i="44"/>
  <c r="GL6" i="44"/>
  <c r="GL5" i="44"/>
  <c r="GL4" i="44"/>
  <c r="GL3" i="44"/>
  <c r="GL2" i="44"/>
  <c r="FY19" i="44"/>
  <c r="FX19" i="44"/>
  <c r="FW19" i="44"/>
  <c r="FV19" i="44"/>
  <c r="FU19" i="44"/>
  <c r="FT19" i="44"/>
  <c r="FS19" i="44"/>
  <c r="FI19" i="44"/>
  <c r="FF19" i="44"/>
  <c r="FC19" i="44"/>
  <c r="EZ19" i="44"/>
  <c r="EW19" i="44"/>
  <c r="ET19" i="44"/>
  <c r="EQ19" i="44"/>
  <c r="EK3" i="44"/>
  <c r="EJ3" i="44"/>
  <c r="EI3" i="44"/>
  <c r="EH3" i="44"/>
  <c r="EG3" i="44"/>
  <c r="EF3" i="44"/>
  <c r="EE3" i="44"/>
  <c r="ED3" i="44"/>
  <c r="EC3" i="44"/>
  <c r="EB3" i="44"/>
  <c r="EA3" i="44"/>
  <c r="DZ3" i="44"/>
  <c r="DY3" i="44"/>
  <c r="DX3" i="44"/>
  <c r="DW3" i="44"/>
  <c r="DV3" i="44"/>
  <c r="DT3" i="44"/>
  <c r="DS3" i="44"/>
  <c r="DR3" i="44"/>
  <c r="DQ3" i="44"/>
  <c r="DP3" i="44"/>
  <c r="DO3" i="44"/>
  <c r="DN3" i="44"/>
  <c r="DM3" i="44"/>
  <c r="DL3" i="44"/>
  <c r="DK3" i="44"/>
  <c r="DJ3" i="44"/>
  <c r="DI3" i="44"/>
  <c r="DH3" i="44"/>
  <c r="DG3" i="44"/>
  <c r="DF3" i="44"/>
  <c r="DE3" i="44"/>
  <c r="DC3" i="44"/>
  <c r="DB3" i="44"/>
  <c r="DA3" i="44"/>
  <c r="CZ3" i="44"/>
  <c r="CY3" i="44"/>
  <c r="CX3" i="44"/>
  <c r="CW3" i="44"/>
  <c r="CV3" i="44"/>
  <c r="CU3" i="44"/>
  <c r="CT3" i="44"/>
  <c r="CS3" i="44"/>
  <c r="CR3" i="44"/>
  <c r="CQ3" i="44"/>
  <c r="CP3" i="44"/>
  <c r="CO3" i="44"/>
  <c r="CN3" i="44"/>
  <c r="CL3" i="44"/>
  <c r="CK3" i="44"/>
  <c r="CJ3" i="44"/>
  <c r="CI3" i="44"/>
  <c r="CH3" i="44"/>
  <c r="CG3" i="44"/>
  <c r="CF3" i="44"/>
  <c r="CE3" i="44"/>
  <c r="CD3" i="44"/>
  <c r="CC3" i="44"/>
  <c r="CB3" i="44"/>
  <c r="CA3" i="44"/>
  <c r="BZ3" i="44"/>
  <c r="BY3" i="44"/>
  <c r="BX3" i="44"/>
  <c r="BW3" i="44"/>
  <c r="BU3" i="44"/>
  <c r="BT3" i="44"/>
  <c r="BS3" i="44"/>
  <c r="BR3" i="44"/>
  <c r="BQ3" i="44"/>
  <c r="BP3" i="44"/>
  <c r="BO3" i="44"/>
  <c r="BN3" i="44"/>
  <c r="BM3" i="44"/>
  <c r="BL3" i="44"/>
  <c r="BK3" i="44"/>
  <c r="BJ3" i="44"/>
  <c r="BI3" i="44"/>
  <c r="BH3" i="44"/>
  <c r="BG3" i="44"/>
  <c r="BF3" i="44"/>
  <c r="BD3" i="44"/>
  <c r="BC3" i="44"/>
  <c r="BB3" i="44"/>
  <c r="BA3" i="44"/>
  <c r="AZ3" i="44"/>
  <c r="AY3" i="44"/>
  <c r="AX3" i="44"/>
  <c r="AW3" i="44"/>
  <c r="AV3" i="44"/>
  <c r="AU3" i="44"/>
  <c r="AT3" i="44"/>
  <c r="AS3" i="44"/>
  <c r="AR3" i="44"/>
  <c r="AQ3" i="44"/>
  <c r="AP3" i="44"/>
  <c r="AO3" i="44"/>
  <c r="AM3" i="44"/>
  <c r="AL3" i="44"/>
  <c r="AK3" i="44"/>
  <c r="AJ3" i="44"/>
  <c r="AI3" i="44"/>
  <c r="AH3" i="44"/>
  <c r="AG3" i="44"/>
  <c r="AF3" i="44"/>
  <c r="AE3" i="44"/>
  <c r="AD3" i="44"/>
  <c r="AC3" i="44"/>
  <c r="AB3" i="44"/>
  <c r="AA3" i="44"/>
  <c r="Z3" i="44"/>
  <c r="Y3" i="44"/>
  <c r="X3" i="44"/>
  <c r="AD13" i="42"/>
  <c r="AF2" i="41"/>
  <c r="AG2" i="41"/>
  <c r="AH2" i="41"/>
  <c r="AI2" i="41"/>
  <c r="AJ2" i="41"/>
  <c r="F5" i="18" l="1"/>
  <c r="P5" i="18"/>
  <c r="FD19" i="44"/>
  <c r="EX19" i="44"/>
  <c r="FG19" i="44"/>
  <c r="FJ19" i="44"/>
  <c r="ER19" i="44"/>
  <c r="FA19" i="44"/>
  <c r="EU19" i="44"/>
  <c r="HA1" i="44"/>
  <c r="FY21" i="44"/>
  <c r="GC13" i="44" s="1"/>
  <c r="FS21" i="44"/>
  <c r="GC15" i="44" s="1"/>
  <c r="FX21" i="44"/>
  <c r="GC11" i="44" s="1"/>
  <c r="FT21" i="44"/>
  <c r="GC12" i="44" s="1"/>
  <c r="FU21" i="44"/>
  <c r="GC17" i="44" s="1"/>
  <c r="FV21" i="44"/>
  <c r="GC14" i="44" s="1"/>
  <c r="FW21" i="44"/>
  <c r="GC16" i="44" s="1"/>
  <c r="R27" i="18"/>
  <c r="L17" i="18" l="1"/>
  <c r="N25" i="18" s="1"/>
  <c r="G58" i="18"/>
  <c r="AW109" i="42"/>
  <c r="AW95" i="42"/>
  <c r="AW58" i="42"/>
  <c r="AW75" i="42"/>
  <c r="AW82" i="42"/>
  <c r="AW84" i="42"/>
  <c r="AW97" i="42"/>
  <c r="AW22" i="42"/>
  <c r="AW81" i="42"/>
  <c r="AW88" i="42"/>
  <c r="AW9" i="42"/>
  <c r="AW99" i="42"/>
  <c r="AW6" i="42"/>
  <c r="AW8" i="42"/>
  <c r="AW45" i="42"/>
  <c r="AW12" i="42"/>
  <c r="AW19" i="42"/>
  <c r="AW10" i="42"/>
  <c r="AW28" i="42"/>
  <c r="AW52" i="42"/>
  <c r="AW38" i="42"/>
  <c r="AW93" i="42"/>
  <c r="AW57" i="42"/>
  <c r="AW101" i="42"/>
  <c r="AW110" i="42"/>
  <c r="AW78" i="42"/>
  <c r="AW100" i="42"/>
  <c r="AW60" i="42"/>
  <c r="AW13" i="42"/>
  <c r="AW29" i="42"/>
  <c r="AW39" i="42"/>
  <c r="AW43" i="42"/>
  <c r="AW27" i="42"/>
  <c r="AW35" i="42"/>
  <c r="AW50" i="42"/>
  <c r="AW30" i="42"/>
  <c r="AW79" i="42"/>
  <c r="AW85" i="42"/>
  <c r="AW104" i="42"/>
  <c r="AW103" i="42"/>
  <c r="AW112" i="42"/>
  <c r="AW106" i="42"/>
  <c r="AW3" i="42"/>
  <c r="AW42" i="42"/>
  <c r="AW66" i="42"/>
  <c r="AW33" i="42"/>
  <c r="AW24" i="42"/>
  <c r="AW98" i="42"/>
  <c r="AW54" i="42"/>
  <c r="AW37" i="42"/>
  <c r="AW90" i="42"/>
  <c r="AW107" i="42"/>
  <c r="AW74" i="42"/>
  <c r="AW102" i="42"/>
  <c r="AW65" i="42"/>
  <c r="AW11" i="42"/>
  <c r="AW25" i="42"/>
  <c r="AW20" i="42"/>
  <c r="AW32" i="42"/>
  <c r="AW16" i="42"/>
  <c r="AW31" i="42"/>
  <c r="AW61" i="42"/>
  <c r="AW23" i="42"/>
  <c r="AW56" i="42"/>
  <c r="AW77" i="42"/>
  <c r="AW48" i="42"/>
  <c r="AW96" i="42"/>
  <c r="AW108" i="42"/>
  <c r="AW46" i="42"/>
  <c r="AW4" i="42"/>
  <c r="AW62" i="42"/>
  <c r="AW15" i="42"/>
  <c r="AW49" i="42"/>
  <c r="AW113" i="42"/>
  <c r="AW41" i="42"/>
  <c r="AW14" i="42"/>
  <c r="AW17" i="42"/>
  <c r="AW21" i="42"/>
  <c r="AW36" i="42"/>
  <c r="AW34" i="42"/>
  <c r="AW87" i="42"/>
  <c r="AW53" i="42"/>
  <c r="AW83" i="42"/>
  <c r="AW105" i="42"/>
  <c r="AW72" i="42"/>
  <c r="AW5" i="42"/>
  <c r="AW63" i="42"/>
  <c r="AW55" i="42"/>
  <c r="AW44" i="42"/>
  <c r="AW64" i="42"/>
  <c r="AW70" i="42"/>
  <c r="AW71" i="42"/>
  <c r="AW67" i="42"/>
  <c r="AW86" i="42"/>
  <c r="AW69" i="42"/>
  <c r="AW89" i="42"/>
  <c r="AW91" i="42"/>
  <c r="AW111" i="42"/>
  <c r="AW26" i="42"/>
  <c r="AW7" i="42"/>
  <c r="AW51" i="42"/>
  <c r="AW47" i="42"/>
  <c r="AW59" i="42"/>
  <c r="AW18" i="42"/>
  <c r="AW40" i="42"/>
  <c r="AW80" i="42"/>
  <c r="AW94" i="42"/>
  <c r="AW68" i="42"/>
  <c r="AW73" i="42"/>
  <c r="AW76" i="42"/>
  <c r="AW92" i="42"/>
  <c r="AX69" i="30"/>
  <c r="AX70" i="30" s="1"/>
  <c r="T44" i="39"/>
  <c r="V95" i="42"/>
  <c r="AE88" i="42"/>
  <c r="V88" i="42"/>
  <c r="V109" i="42"/>
  <c r="AE111" i="42"/>
  <c r="V111" i="42"/>
  <c r="AE69" i="42"/>
  <c r="V69" i="42"/>
  <c r="AE106" i="42"/>
  <c r="V106" i="42"/>
  <c r="AE83" i="42"/>
  <c r="Y104" i="42"/>
  <c r="V104" i="42"/>
  <c r="V46" i="42"/>
  <c r="Y85" i="42"/>
  <c r="AE113" i="42"/>
  <c r="V113" i="42"/>
  <c r="Y72" i="42"/>
  <c r="V72" i="42"/>
  <c r="S72" i="42"/>
  <c r="R72" i="42"/>
  <c r="Y94" i="42"/>
  <c r="S94" i="42"/>
  <c r="R94" i="42"/>
  <c r="V65" i="42"/>
  <c r="AD75" i="42"/>
  <c r="Y75" i="42"/>
  <c r="V75" i="42"/>
  <c r="S75" i="42"/>
  <c r="AE60" i="42"/>
  <c r="V60" i="42"/>
  <c r="AD110" i="42"/>
  <c r="Y110" i="42"/>
  <c r="V110" i="42"/>
  <c r="V91" i="42"/>
  <c r="Y108" i="42"/>
  <c r="V108" i="42"/>
  <c r="S108" i="42"/>
  <c r="AE92" i="42"/>
  <c r="V92" i="42"/>
  <c r="AE89" i="42"/>
  <c r="V89" i="42"/>
  <c r="AE67" i="42"/>
  <c r="V67" i="42"/>
  <c r="Y96" i="42"/>
  <c r="V96" i="42"/>
  <c r="S96" i="42"/>
  <c r="AE105" i="42"/>
  <c r="AD112" i="42"/>
  <c r="Y112" i="42"/>
  <c r="V112" i="42"/>
  <c r="S112" i="42"/>
  <c r="Y54" i="42"/>
  <c r="V54" i="42"/>
  <c r="AE102" i="42"/>
  <c r="V102" i="42"/>
  <c r="AE100" i="42"/>
  <c r="V100" i="42"/>
  <c r="V76" i="42"/>
  <c r="V74" i="42"/>
  <c r="AE93" i="42"/>
  <c r="V103" i="42"/>
  <c r="AE99" i="42"/>
  <c r="V99" i="42"/>
  <c r="AE37" i="42"/>
  <c r="V37" i="42"/>
  <c r="AE57" i="42"/>
  <c r="V57" i="42"/>
  <c r="Y70" i="42"/>
  <c r="S70" i="42"/>
  <c r="R70" i="42"/>
  <c r="AE80" i="42"/>
  <c r="Y58" i="42"/>
  <c r="V58" i="42"/>
  <c r="AE73" i="42"/>
  <c r="AE82" i="42"/>
  <c r="V82" i="42"/>
  <c r="AE78" i="42"/>
  <c r="V78" i="42"/>
  <c r="Y18" i="42"/>
  <c r="S18" i="42"/>
  <c r="R18" i="42"/>
  <c r="AD59" i="42"/>
  <c r="Y59" i="42"/>
  <c r="V59" i="42"/>
  <c r="AE48" i="42"/>
  <c r="V48" i="42"/>
  <c r="Y97" i="42"/>
  <c r="S97" i="42"/>
  <c r="R97" i="42"/>
  <c r="Y53" i="42"/>
  <c r="V53" i="42"/>
  <c r="S53" i="42"/>
  <c r="AE86" i="42"/>
  <c r="V86" i="42"/>
  <c r="AE107" i="42"/>
  <c r="V107" i="42"/>
  <c r="AE68" i="42"/>
  <c r="V36" i="42"/>
  <c r="AE35" i="42"/>
  <c r="V81" i="42"/>
  <c r="AE64" i="42"/>
  <c r="V64" i="42"/>
  <c r="AE101" i="42"/>
  <c r="V101" i="42"/>
  <c r="AE47" i="42"/>
  <c r="Y55" i="42"/>
  <c r="V55" i="42"/>
  <c r="AE21" i="42"/>
  <c r="V21" i="42"/>
  <c r="Y8" i="42"/>
  <c r="S8" i="42"/>
  <c r="R8" i="42"/>
  <c r="AD30" i="42"/>
  <c r="Y30" i="42"/>
  <c r="V30" i="42"/>
  <c r="S30" i="42"/>
  <c r="V79" i="42"/>
  <c r="V87" i="42"/>
  <c r="AE77" i="42"/>
  <c r="V77" i="42"/>
  <c r="AE34" i="42"/>
  <c r="V34" i="42"/>
  <c r="Y9" i="42"/>
  <c r="R9" i="42"/>
  <c r="AE33" i="42"/>
  <c r="V33" i="42"/>
  <c r="AE71" i="42"/>
  <c r="AE84" i="42"/>
  <c r="V84" i="42"/>
  <c r="Y23" i="42"/>
  <c r="V23" i="42"/>
  <c r="S23" i="42"/>
  <c r="Y50" i="42"/>
  <c r="V50" i="42"/>
  <c r="AD10" i="42"/>
  <c r="Y10" i="42"/>
  <c r="V10" i="42"/>
  <c r="Y98" i="42"/>
  <c r="S98" i="42"/>
  <c r="R98" i="42"/>
  <c r="V31" i="42"/>
  <c r="AD19" i="42"/>
  <c r="Y19" i="42"/>
  <c r="S19" i="42"/>
  <c r="R19" i="42"/>
  <c r="AD63" i="42"/>
  <c r="Y63" i="42"/>
  <c r="V63" i="42"/>
  <c r="V66" i="42"/>
  <c r="AD38" i="42"/>
  <c r="Y38" i="42"/>
  <c r="V38" i="42"/>
  <c r="Y43" i="42"/>
  <c r="S43" i="42"/>
  <c r="R43" i="42"/>
  <c r="AD17" i="42"/>
  <c r="Y17" i="42"/>
  <c r="S17" i="42"/>
  <c r="R17" i="42"/>
  <c r="V49" i="42"/>
  <c r="V51" i="42"/>
  <c r="V42" i="42"/>
  <c r="AD22" i="42"/>
  <c r="Y22" i="42"/>
  <c r="S22" i="42"/>
  <c r="R22" i="42"/>
  <c r="Y7" i="42"/>
  <c r="S7" i="42"/>
  <c r="Y39" i="42"/>
  <c r="V39" i="42"/>
  <c r="Y41" i="42"/>
  <c r="V41" i="42"/>
  <c r="AE61" i="42"/>
  <c r="V61" i="42"/>
  <c r="AE32" i="42"/>
  <c r="Y52" i="42"/>
  <c r="V52" i="42"/>
  <c r="AD62" i="42"/>
  <c r="Y62" i="42"/>
  <c r="S62" i="42"/>
  <c r="R62" i="42"/>
  <c r="Y45" i="42"/>
  <c r="V45" i="42"/>
  <c r="S45" i="42"/>
  <c r="AE27" i="42"/>
  <c r="V27" i="42"/>
  <c r="AD2" i="42"/>
  <c r="Y2" i="42"/>
  <c r="V2" i="42"/>
  <c r="AE20" i="42"/>
  <c r="V20" i="42"/>
  <c r="AE16" i="42"/>
  <c r="V16" i="42"/>
  <c r="AE12" i="42"/>
  <c r="V12" i="42"/>
  <c r="V29" i="42"/>
  <c r="Y28" i="42"/>
  <c r="V28" i="42"/>
  <c r="AD25" i="42"/>
  <c r="Y25" i="42"/>
  <c r="S25" i="42"/>
  <c r="R25" i="42"/>
  <c r="Y15" i="42"/>
  <c r="S15" i="42"/>
  <c r="R15" i="42"/>
  <c r="Y26" i="42"/>
  <c r="V26" i="42"/>
  <c r="AD6" i="42"/>
  <c r="Y6" i="42"/>
  <c r="V6" i="42"/>
  <c r="Y5" i="42"/>
  <c r="V5" i="42"/>
  <c r="AD14" i="42"/>
  <c r="Y14" i="42"/>
  <c r="V14" i="42"/>
  <c r="S4" i="42"/>
  <c r="AD11" i="42"/>
  <c r="Y11" i="42"/>
  <c r="S11" i="42"/>
  <c r="AE13" i="42"/>
  <c r="Y13" i="42"/>
  <c r="S13" i="42"/>
  <c r="R13" i="42"/>
  <c r="AD3" i="42"/>
  <c r="Y3" i="42"/>
  <c r="V3" i="42"/>
  <c r="S3" i="42"/>
  <c r="W12" i="37"/>
  <c r="S12" i="37"/>
  <c r="W9" i="37"/>
  <c r="T9" i="37"/>
  <c r="S9" i="37"/>
  <c r="W21" i="37"/>
  <c r="T21" i="37"/>
  <c r="S21" i="37"/>
  <c r="W13" i="37"/>
  <c r="T13" i="37"/>
  <c r="S13" i="37"/>
  <c r="W23" i="37"/>
  <c r="S23" i="37"/>
  <c r="M23" i="37"/>
  <c r="W3" i="37"/>
  <c r="T3" i="37"/>
  <c r="S3" i="37"/>
  <c r="M3" i="37"/>
  <c r="L3" i="37"/>
  <c r="W19" i="37"/>
  <c r="S19" i="37"/>
  <c r="M19" i="37"/>
  <c r="W37" i="37"/>
  <c r="T37" i="37"/>
  <c r="S37" i="37"/>
  <c r="Q37" i="37"/>
  <c r="M37" i="37"/>
  <c r="L37" i="37"/>
  <c r="W38" i="37"/>
  <c r="S38" i="37"/>
  <c r="W7" i="37"/>
  <c r="T7" i="37"/>
  <c r="S7" i="37"/>
  <c r="W41" i="37"/>
  <c r="S41" i="37"/>
  <c r="W40" i="37"/>
  <c r="T40" i="37"/>
  <c r="S40" i="37"/>
  <c r="W44" i="37"/>
  <c r="S44" i="37"/>
  <c r="M44" i="37"/>
  <c r="L44" i="37"/>
  <c r="W6" i="37"/>
  <c r="T6" i="37"/>
  <c r="S6" i="37"/>
  <c r="W43" i="37"/>
  <c r="S43" i="37"/>
  <c r="W46" i="37"/>
  <c r="T46" i="37"/>
  <c r="S46" i="37"/>
  <c r="W48" i="37"/>
  <c r="S48" i="37"/>
  <c r="W28" i="37"/>
  <c r="T28" i="37"/>
  <c r="S28" i="37"/>
  <c r="W51" i="37"/>
  <c r="S51" i="37"/>
  <c r="M51" i="37"/>
  <c r="L51" i="37"/>
  <c r="W26" i="37"/>
  <c r="T26" i="37"/>
  <c r="S26" i="37"/>
  <c r="M26" i="37"/>
  <c r="L26" i="37"/>
  <c r="W52" i="37"/>
  <c r="S52" i="37"/>
  <c r="W29" i="37"/>
  <c r="T29" i="37"/>
  <c r="S29" i="37"/>
  <c r="W53" i="37"/>
  <c r="S53" i="37"/>
  <c r="M53" i="37"/>
  <c r="W25" i="37"/>
  <c r="T25" i="37"/>
  <c r="S25" i="37"/>
  <c r="W33" i="37"/>
  <c r="S33" i="37"/>
  <c r="W55" i="37"/>
  <c r="T55" i="37"/>
  <c r="S55" i="37"/>
  <c r="W49" i="37"/>
  <c r="S49" i="37"/>
  <c r="M49" i="37"/>
  <c r="W57" i="37"/>
  <c r="T57" i="37"/>
  <c r="S57" i="37"/>
  <c r="L57" i="37"/>
  <c r="W59" i="37"/>
  <c r="S59" i="37"/>
  <c r="M59" i="37"/>
  <c r="L59" i="37"/>
  <c r="W16" i="37"/>
  <c r="T16" i="37"/>
  <c r="S16" i="37"/>
  <c r="W18" i="37"/>
  <c r="S18" i="37"/>
  <c r="M18" i="37"/>
  <c r="L18" i="37"/>
  <c r="W61" i="37"/>
  <c r="T61" i="37"/>
  <c r="S61" i="37"/>
  <c r="M61" i="37"/>
  <c r="L61" i="37"/>
  <c r="W62" i="37"/>
  <c r="S62" i="37"/>
  <c r="M62" i="37"/>
  <c r="W27" i="37"/>
  <c r="T27" i="37"/>
  <c r="S27" i="37"/>
  <c r="Q27" i="37"/>
  <c r="M27" i="37"/>
  <c r="L27" i="37"/>
  <c r="W42" i="37"/>
  <c r="T42" i="37"/>
  <c r="S42" i="37"/>
  <c r="M42" i="37"/>
  <c r="W64" i="37"/>
  <c r="T64" i="37"/>
  <c r="S64" i="37"/>
  <c r="W66" i="37"/>
  <c r="S66" i="37"/>
  <c r="M66" i="37"/>
  <c r="W54" i="37"/>
  <c r="T54" i="37"/>
  <c r="S54" i="37"/>
  <c r="M54" i="37"/>
  <c r="L54" i="37"/>
  <c r="W69" i="37"/>
  <c r="S69" i="37"/>
  <c r="M69" i="37"/>
  <c r="L69" i="37"/>
  <c r="W11" i="37"/>
  <c r="T11" i="37"/>
  <c r="S11" i="37"/>
  <c r="M11" i="37"/>
  <c r="L11" i="37"/>
  <c r="W70" i="37"/>
  <c r="S70" i="37"/>
  <c r="M70" i="37"/>
  <c r="W24" i="37"/>
  <c r="T24" i="37"/>
  <c r="S24" i="37"/>
  <c r="W68" i="37"/>
  <c r="S68" i="37"/>
  <c r="M68" i="37"/>
  <c r="W72" i="37"/>
  <c r="T72" i="37"/>
  <c r="S72" i="37"/>
  <c r="Q72" i="37"/>
  <c r="M72" i="37"/>
  <c r="L72" i="37"/>
  <c r="W73" i="37"/>
  <c r="S73" i="37"/>
  <c r="M73" i="37"/>
  <c r="W14" i="37"/>
  <c r="T14" i="37"/>
  <c r="S14" i="37"/>
  <c r="M14" i="37"/>
  <c r="L14" i="37"/>
  <c r="W30" i="37"/>
  <c r="S30" i="37"/>
  <c r="Q30" i="37"/>
  <c r="M30" i="37"/>
  <c r="W74" i="37"/>
  <c r="T74" i="37"/>
  <c r="S74" i="37"/>
  <c r="W58" i="37"/>
  <c r="S58" i="37"/>
  <c r="M58" i="37"/>
  <c r="W76" i="37"/>
  <c r="T76" i="37"/>
  <c r="S76" i="37"/>
  <c r="W75" i="37"/>
  <c r="S75" i="37"/>
  <c r="M75" i="37"/>
  <c r="L75" i="37"/>
  <c r="W78" i="37"/>
  <c r="T78" i="37"/>
  <c r="S78" i="37"/>
  <c r="M78" i="37"/>
  <c r="L78" i="37"/>
  <c r="W67" i="37"/>
  <c r="S67" i="37"/>
  <c r="M67" i="37"/>
  <c r="W79" i="37"/>
  <c r="T79" i="37"/>
  <c r="S79" i="37"/>
  <c r="W15" i="37"/>
  <c r="S15" i="37"/>
  <c r="W80" i="37"/>
  <c r="T80" i="37"/>
  <c r="S80" i="37"/>
  <c r="W81" i="37"/>
  <c r="S81" i="37"/>
  <c r="M81" i="37"/>
  <c r="W47" i="37"/>
  <c r="T47" i="37"/>
  <c r="S47" i="37"/>
  <c r="L47" i="37"/>
  <c r="W10" i="37"/>
  <c r="S10" i="37"/>
  <c r="Q10" i="37"/>
  <c r="M10" i="37"/>
  <c r="L10" i="37"/>
  <c r="W83" i="37"/>
  <c r="T83" i="37"/>
  <c r="S83" i="37"/>
  <c r="M83" i="37"/>
  <c r="L83" i="37"/>
  <c r="W84" i="37"/>
  <c r="S84" i="37"/>
  <c r="W36" i="37"/>
  <c r="T36" i="37"/>
  <c r="S36" i="37"/>
  <c r="W85" i="37"/>
  <c r="S85" i="37"/>
  <c r="W17" i="37"/>
  <c r="T17" i="37"/>
  <c r="S17" i="37"/>
  <c r="AS2" i="42" l="1"/>
  <c r="AN22" i="39"/>
  <c r="AD52" i="42"/>
  <c r="AE52" i="42" s="1"/>
  <c r="AD7" i="42"/>
  <c r="AE7" i="42" s="1"/>
  <c r="AD23" i="42"/>
  <c r="AE23" i="42" s="1"/>
  <c r="AD18" i="42"/>
  <c r="AE18" i="42" s="1"/>
  <c r="AD96" i="42"/>
  <c r="AE96" i="42" s="1"/>
  <c r="V4" i="42"/>
  <c r="R4" i="42"/>
  <c r="T4" i="42" s="1"/>
  <c r="AD9" i="42"/>
  <c r="AE9" i="42" s="1"/>
  <c r="AD108" i="42"/>
  <c r="AE108" i="42" s="1"/>
  <c r="AD41" i="42"/>
  <c r="AE41" i="42" s="1"/>
  <c r="AD85" i="42"/>
  <c r="AE85" i="42" s="1"/>
  <c r="AD70" i="42"/>
  <c r="AE70" i="42" s="1"/>
  <c r="AD39" i="42"/>
  <c r="AE39" i="42" s="1"/>
  <c r="AD98" i="42"/>
  <c r="AE98" i="42" s="1"/>
  <c r="AD50" i="42"/>
  <c r="AE50" i="42" s="1"/>
  <c r="AD8" i="42"/>
  <c r="AE8" i="42" s="1"/>
  <c r="AD58" i="42"/>
  <c r="AE58" i="42" s="1"/>
  <c r="AD45" i="42"/>
  <c r="AE45" i="42" s="1"/>
  <c r="AD53" i="42"/>
  <c r="AE53" i="42" s="1"/>
  <c r="AD55" i="42"/>
  <c r="AE55" i="42" s="1"/>
  <c r="AD72" i="42"/>
  <c r="AE72" i="42" s="1"/>
  <c r="AD15" i="42"/>
  <c r="AE15" i="42" s="1"/>
  <c r="V7" i="42"/>
  <c r="R7" i="42"/>
  <c r="T7" i="42" s="1"/>
  <c r="AD97" i="42"/>
  <c r="AE97" i="42" s="1"/>
  <c r="AD94" i="42"/>
  <c r="AE94" i="42" s="1"/>
  <c r="V85" i="42"/>
  <c r="R85" i="42"/>
  <c r="AD104" i="42"/>
  <c r="AE104" i="42" s="1"/>
  <c r="V11" i="42"/>
  <c r="R11" i="42"/>
  <c r="AD28" i="42"/>
  <c r="AE28" i="42" s="1"/>
  <c r="AD43" i="42"/>
  <c r="AE43" i="42" s="1"/>
  <c r="AD4" i="42"/>
  <c r="AE4" i="42" s="1"/>
  <c r="AD5" i="42"/>
  <c r="AE5" i="42" s="1"/>
  <c r="AD26" i="42"/>
  <c r="AE26" i="42" s="1"/>
  <c r="AD54" i="42"/>
  <c r="AE54" i="42" s="1"/>
  <c r="T30" i="42"/>
  <c r="V9" i="42"/>
  <c r="T83" i="42"/>
  <c r="T26" i="42"/>
  <c r="T20" i="42"/>
  <c r="T2" i="42"/>
  <c r="V32" i="42"/>
  <c r="T67" i="42"/>
  <c r="T65" i="42"/>
  <c r="AE3" i="42"/>
  <c r="T90" i="42"/>
  <c r="T91" i="42"/>
  <c r="T112" i="42"/>
  <c r="T52" i="42"/>
  <c r="T42" i="42"/>
  <c r="T58" i="42"/>
  <c r="T54" i="42"/>
  <c r="T106" i="42"/>
  <c r="T74" i="42"/>
  <c r="T86" i="42"/>
  <c r="T29" i="42"/>
  <c r="T39" i="42"/>
  <c r="T10" i="42"/>
  <c r="T36" i="42"/>
  <c r="T109" i="42"/>
  <c r="T46" i="42"/>
  <c r="T57" i="42"/>
  <c r="T5" i="42"/>
  <c r="T16" i="42"/>
  <c r="T41" i="42"/>
  <c r="T59" i="42"/>
  <c r="T9" i="42"/>
  <c r="T38" i="42"/>
  <c r="T37" i="42"/>
  <c r="V47" i="42"/>
  <c r="T95" i="42"/>
  <c r="V90" i="42"/>
  <c r="AS26" i="42"/>
  <c r="V56" i="42"/>
  <c r="V97" i="42"/>
  <c r="V93" i="42"/>
  <c r="T69" i="42"/>
  <c r="V70" i="42"/>
  <c r="T22" i="42"/>
  <c r="AE95" i="42"/>
  <c r="AE90" i="42"/>
  <c r="T62" i="42"/>
  <c r="AE25" i="42"/>
  <c r="AQ3" i="42"/>
  <c r="AE65" i="42"/>
  <c r="V25" i="42"/>
  <c r="AE22" i="42"/>
  <c r="AE74" i="42"/>
  <c r="AE75" i="42"/>
  <c r="V22" i="42"/>
  <c r="V71" i="42"/>
  <c r="V8" i="42"/>
  <c r="V24" i="42"/>
  <c r="V83" i="42"/>
  <c r="T6" i="42"/>
  <c r="T64" i="42"/>
  <c r="AE62" i="42"/>
  <c r="AE63" i="42"/>
  <c r="AE79" i="42"/>
  <c r="AE29" i="42"/>
  <c r="AE51" i="42"/>
  <c r="AE42" i="42"/>
  <c r="AE66" i="42"/>
  <c r="AE19" i="42"/>
  <c r="V44" i="42"/>
  <c r="AE56" i="42"/>
  <c r="AE30" i="42"/>
  <c r="AE49" i="42"/>
  <c r="AE31" i="42"/>
  <c r="AE24" i="42"/>
  <c r="AE81" i="42"/>
  <c r="AE17" i="42"/>
  <c r="AE59" i="42"/>
  <c r="T12" i="42"/>
  <c r="T27" i="42"/>
  <c r="T49" i="42"/>
  <c r="T31" i="42"/>
  <c r="T23" i="42"/>
  <c r="T33" i="42"/>
  <c r="T87" i="42"/>
  <c r="T48" i="42"/>
  <c r="T82" i="42"/>
  <c r="T103" i="42"/>
  <c r="T92" i="42"/>
  <c r="T104" i="42"/>
  <c r="T111" i="42"/>
  <c r="AE6" i="42"/>
  <c r="AE10" i="42"/>
  <c r="AE91" i="42"/>
  <c r="AE44" i="42"/>
  <c r="AE36" i="42"/>
  <c r="AE2" i="42"/>
  <c r="AE38" i="42"/>
  <c r="AE112" i="42"/>
  <c r="AE110" i="42"/>
  <c r="AE46" i="42"/>
  <c r="AE14" i="42"/>
  <c r="AE11" i="42"/>
  <c r="V17" i="42"/>
  <c r="AE76" i="42"/>
  <c r="T66" i="42"/>
  <c r="AE40" i="42"/>
  <c r="AE103" i="42"/>
  <c r="AE87" i="42"/>
  <c r="AS12" i="42"/>
  <c r="AS22" i="42"/>
  <c r="AS14" i="42"/>
  <c r="T32" i="42"/>
  <c r="AS41" i="42"/>
  <c r="T45" i="42"/>
  <c r="AS42" i="42"/>
  <c r="AS63" i="42"/>
  <c r="AS10" i="42"/>
  <c r="AS27" i="42"/>
  <c r="V15" i="42"/>
  <c r="AS95" i="42"/>
  <c r="AS91" i="42"/>
  <c r="AS82" i="42"/>
  <c r="AS46" i="42"/>
  <c r="AS65" i="42"/>
  <c r="AS112" i="42"/>
  <c r="AS48" i="42"/>
  <c r="AS81" i="42"/>
  <c r="AS9" i="42"/>
  <c r="AS71" i="42"/>
  <c r="AS108" i="42"/>
  <c r="AS47" i="42"/>
  <c r="AS103" i="42"/>
  <c r="AS101" i="42"/>
  <c r="AS39" i="42"/>
  <c r="AS38" i="42"/>
  <c r="AS61" i="42"/>
  <c r="AS31" i="42"/>
  <c r="AS79" i="42"/>
  <c r="AS66" i="42"/>
  <c r="AS8" i="42"/>
  <c r="AS3" i="42"/>
  <c r="T13" i="42"/>
  <c r="AS25" i="42"/>
  <c r="AS43" i="42"/>
  <c r="AS50" i="42"/>
  <c r="AS4" i="42"/>
  <c r="AS6" i="42"/>
  <c r="T28" i="42"/>
  <c r="AS32" i="42"/>
  <c r="AS17" i="42"/>
  <c r="AS20" i="42"/>
  <c r="AS5" i="42"/>
  <c r="AS29" i="42"/>
  <c r="AS45" i="42"/>
  <c r="AS62" i="42"/>
  <c r="AS13" i="42"/>
  <c r="T14" i="42"/>
  <c r="AS16" i="42"/>
  <c r="T61" i="42"/>
  <c r="AS11" i="42"/>
  <c r="T3" i="42"/>
  <c r="AS15" i="42"/>
  <c r="AS28" i="42"/>
  <c r="AS52" i="42"/>
  <c r="AS40" i="42"/>
  <c r="AS23" i="42"/>
  <c r="T71" i="42"/>
  <c r="AS34" i="42"/>
  <c r="T35" i="42"/>
  <c r="V62" i="42"/>
  <c r="T40" i="42"/>
  <c r="T77" i="42"/>
  <c r="AS87" i="42"/>
  <c r="T56" i="42"/>
  <c r="T79" i="42"/>
  <c r="T44" i="42"/>
  <c r="AS24" i="42"/>
  <c r="V13" i="42"/>
  <c r="AS51" i="42"/>
  <c r="V19" i="42"/>
  <c r="AS55" i="42"/>
  <c r="BW117" i="42"/>
  <c r="BW118" i="42" s="1"/>
  <c r="AS49" i="42"/>
  <c r="T84" i="42"/>
  <c r="AS44" i="42"/>
  <c r="AS77" i="42"/>
  <c r="AS56" i="42"/>
  <c r="T47" i="42"/>
  <c r="AS97" i="42"/>
  <c r="T94" i="42"/>
  <c r="V43" i="42"/>
  <c r="AS98" i="42"/>
  <c r="T50" i="42"/>
  <c r="AS33" i="42"/>
  <c r="T51" i="42"/>
  <c r="T17" i="42"/>
  <c r="T63" i="42"/>
  <c r="AS92" i="42"/>
  <c r="AS7" i="42"/>
  <c r="AS19" i="42"/>
  <c r="V98" i="42"/>
  <c r="AS84" i="42"/>
  <c r="AS30" i="42"/>
  <c r="T8" i="42"/>
  <c r="AS64" i="42"/>
  <c r="AS58" i="42"/>
  <c r="AS93" i="42"/>
  <c r="T96" i="42"/>
  <c r="AS90" i="42"/>
  <c r="T68" i="42"/>
  <c r="AS107" i="42"/>
  <c r="AS53" i="42"/>
  <c r="AS59" i="42"/>
  <c r="AS36" i="42"/>
  <c r="AS99" i="42"/>
  <c r="AS89" i="42"/>
  <c r="T34" i="42"/>
  <c r="T81" i="42"/>
  <c r="T97" i="42"/>
  <c r="AS70" i="42"/>
  <c r="AS74" i="42"/>
  <c r="AS54" i="42"/>
  <c r="V105" i="42"/>
  <c r="T21" i="42"/>
  <c r="AS18" i="42"/>
  <c r="AS35" i="42"/>
  <c r="AS86" i="42"/>
  <c r="AS21" i="42"/>
  <c r="T55" i="42"/>
  <c r="T101" i="42"/>
  <c r="T24" i="42"/>
  <c r="AS68" i="42"/>
  <c r="T107" i="42"/>
  <c r="T53" i="42"/>
  <c r="AS37" i="42"/>
  <c r="T100" i="42"/>
  <c r="V73" i="42"/>
  <c r="AS80" i="42"/>
  <c r="T110" i="42"/>
  <c r="AS60" i="42"/>
  <c r="AS111" i="42"/>
  <c r="V35" i="42"/>
  <c r="V68" i="42"/>
  <c r="V18" i="42"/>
  <c r="AS57" i="42"/>
  <c r="T76" i="42"/>
  <c r="AS102" i="42"/>
  <c r="T75" i="42"/>
  <c r="AS83" i="42"/>
  <c r="AS78" i="42"/>
  <c r="V80" i="42"/>
  <c r="AS96" i="42"/>
  <c r="AS67" i="42"/>
  <c r="AS72" i="42"/>
  <c r="AS104" i="42"/>
  <c r="AS69" i="42"/>
  <c r="AS88" i="42"/>
  <c r="AS100" i="42"/>
  <c r="AS110" i="42"/>
  <c r="T113" i="42"/>
  <c r="AS85" i="42"/>
  <c r="T70" i="42"/>
  <c r="T93" i="42"/>
  <c r="AS76" i="42"/>
  <c r="T89" i="42"/>
  <c r="T108" i="42"/>
  <c r="T60" i="42"/>
  <c r="AS75" i="42"/>
  <c r="AS106" i="42"/>
  <c r="T99" i="42"/>
  <c r="T102" i="42"/>
  <c r="AS105" i="42"/>
  <c r="AS94" i="42"/>
  <c r="T78" i="42"/>
  <c r="AS73" i="42"/>
  <c r="T72" i="42"/>
  <c r="AS113" i="42"/>
  <c r="AS109" i="42"/>
  <c r="V94" i="42"/>
  <c r="W86" i="37"/>
  <c r="S86" i="37"/>
  <c r="W56" i="37"/>
  <c r="T56" i="37"/>
  <c r="S56" i="37"/>
  <c r="W87" i="37"/>
  <c r="S87" i="37"/>
  <c r="M87" i="37"/>
  <c r="W63" i="37"/>
  <c r="T63" i="37"/>
  <c r="S63" i="37"/>
  <c r="Q63" i="37"/>
  <c r="M63" i="37"/>
  <c r="L63" i="37"/>
  <c r="W89" i="37"/>
  <c r="S89" i="37"/>
  <c r="M89" i="37"/>
  <c r="W5" i="37"/>
  <c r="T5" i="37"/>
  <c r="S5" i="37"/>
  <c r="M5" i="37"/>
  <c r="L5" i="37"/>
  <c r="W90" i="37"/>
  <c r="S90" i="37"/>
  <c r="Q90" i="37"/>
  <c r="M90" i="37"/>
  <c r="L90" i="37"/>
  <c r="W32" i="37"/>
  <c r="T32" i="37"/>
  <c r="S32" i="37"/>
  <c r="M32" i="37"/>
  <c r="L32" i="37"/>
  <c r="W91" i="37"/>
  <c r="S91" i="37"/>
  <c r="M91" i="37"/>
  <c r="W31" i="37"/>
  <c r="T31" i="37"/>
  <c r="S31" i="37"/>
  <c r="M31" i="37"/>
  <c r="L31" i="37"/>
  <c r="W65" i="37"/>
  <c r="T65" i="37"/>
  <c r="S65" i="37"/>
  <c r="M65" i="37"/>
  <c r="L65" i="37"/>
  <c r="W92" i="37"/>
  <c r="T92" i="37"/>
  <c r="S92" i="37"/>
  <c r="M92" i="37"/>
  <c r="BM56" i="30"/>
  <c r="BP56" i="30" s="1"/>
  <c r="BM55" i="30"/>
  <c r="BM54" i="30"/>
  <c r="BM53" i="30"/>
  <c r="BM52" i="30"/>
  <c r="BM51" i="30"/>
  <c r="BM50" i="30"/>
  <c r="BM49" i="30"/>
  <c r="BM48" i="30"/>
  <c r="BM47" i="30"/>
  <c r="BK55" i="30"/>
  <c r="BK54" i="30"/>
  <c r="BK53" i="30"/>
  <c r="BK52" i="30"/>
  <c r="BK51" i="30"/>
  <c r="BK50" i="30"/>
  <c r="BK49" i="30"/>
  <c r="BK48" i="30"/>
  <c r="BK47" i="30"/>
  <c r="AO113" i="37"/>
  <c r="AO112" i="37"/>
  <c r="AO111" i="37"/>
  <c r="AO110" i="37"/>
  <c r="AO109" i="37"/>
  <c r="AO108" i="37"/>
  <c r="AO107" i="37"/>
  <c r="AO106" i="37"/>
  <c r="AO105" i="37"/>
  <c r="AO104" i="37"/>
  <c r="AO103" i="37"/>
  <c r="AO102" i="37"/>
  <c r="AO101" i="37"/>
  <c r="AO100" i="37"/>
  <c r="AO99" i="37"/>
  <c r="AO98" i="37"/>
  <c r="AO97" i="37"/>
  <c r="AO96" i="37"/>
  <c r="AO95" i="37"/>
  <c r="AO94" i="37"/>
  <c r="AO93" i="37"/>
  <c r="AO92" i="37"/>
  <c r="AO91" i="37"/>
  <c r="AO90" i="37"/>
  <c r="AO89" i="37"/>
  <c r="AO88" i="37"/>
  <c r="AO87" i="37"/>
  <c r="AO86" i="37"/>
  <c r="AO85" i="37"/>
  <c r="AO84" i="37"/>
  <c r="AO83" i="37"/>
  <c r="AO82" i="37"/>
  <c r="AO81" i="37"/>
  <c r="AO80" i="37"/>
  <c r="AO79" i="37"/>
  <c r="AO78" i="37"/>
  <c r="AO77" i="37"/>
  <c r="AO76" i="37"/>
  <c r="AO75" i="37"/>
  <c r="AO74" i="37"/>
  <c r="AO73" i="37"/>
  <c r="AO72" i="37"/>
  <c r="AO71" i="37"/>
  <c r="AO70" i="37"/>
  <c r="AO69" i="37"/>
  <c r="AO68" i="37"/>
  <c r="AO67" i="37"/>
  <c r="AO66" i="37"/>
  <c r="AO65" i="37"/>
  <c r="AO64" i="37"/>
  <c r="AO63" i="37"/>
  <c r="AO62" i="37"/>
  <c r="AO61" i="37"/>
  <c r="AO60" i="37"/>
  <c r="AO59" i="37"/>
  <c r="AO58" i="37"/>
  <c r="AO57" i="37"/>
  <c r="AO56" i="37"/>
  <c r="AO55" i="37"/>
  <c r="AO54" i="37"/>
  <c r="AO53" i="37"/>
  <c r="AO52" i="37"/>
  <c r="AO51" i="37"/>
  <c r="AO50" i="37"/>
  <c r="AO49" i="37"/>
  <c r="AO48" i="37"/>
  <c r="AO47" i="37"/>
  <c r="AO46" i="37"/>
  <c r="AO45" i="37"/>
  <c r="AO44" i="37"/>
  <c r="AO43" i="37"/>
  <c r="AO42" i="37"/>
  <c r="AO41" i="37"/>
  <c r="AO40" i="37"/>
  <c r="AO39" i="37"/>
  <c r="AO38" i="37"/>
  <c r="AO37" i="37"/>
  <c r="AO36" i="37"/>
  <c r="AO35" i="37"/>
  <c r="AO34" i="37"/>
  <c r="AO33" i="37"/>
  <c r="AO32" i="37"/>
  <c r="AO31" i="37"/>
  <c r="AO30" i="37"/>
  <c r="AO29" i="37"/>
  <c r="AO28" i="37"/>
  <c r="AO27" i="37"/>
  <c r="AO26" i="37"/>
  <c r="AO25" i="37"/>
  <c r="AO24" i="37"/>
  <c r="AO23" i="37"/>
  <c r="AO22" i="37"/>
  <c r="AO21" i="37"/>
  <c r="AO20" i="37"/>
  <c r="AO19" i="37"/>
  <c r="AO18" i="37"/>
  <c r="AO17" i="37"/>
  <c r="AO16" i="37"/>
  <c r="AO15" i="37"/>
  <c r="AO14" i="37"/>
  <c r="AO13" i="37"/>
  <c r="AO12" i="37"/>
  <c r="AO11" i="37"/>
  <c r="AO10" i="37"/>
  <c r="AO9" i="37"/>
  <c r="AO8" i="37"/>
  <c r="AO7" i="37"/>
  <c r="AO6" i="37"/>
  <c r="AO5" i="37"/>
  <c r="AO4" i="37"/>
  <c r="AO3" i="37"/>
  <c r="AO2" i="37"/>
  <c r="W93" i="37"/>
  <c r="S93" i="37"/>
  <c r="W22" i="37"/>
  <c r="T22" i="37"/>
  <c r="S22" i="37"/>
  <c r="L22" i="37"/>
  <c r="W88" i="37"/>
  <c r="W94" i="37"/>
  <c r="S94" i="37"/>
  <c r="W71" i="37"/>
  <c r="T71" i="37"/>
  <c r="S71" i="37"/>
  <c r="T36" i="50" l="1"/>
  <c r="L36" i="50"/>
  <c r="D36" i="50"/>
  <c r="AZ36" i="50"/>
  <c r="BB36" i="50"/>
  <c r="AR36" i="50"/>
  <c r="AT36" i="50"/>
  <c r="AL36" i="50"/>
  <c r="AJ36" i="50"/>
  <c r="N36" i="50"/>
  <c r="AD36" i="50"/>
  <c r="V36" i="50"/>
  <c r="AB36" i="50"/>
  <c r="F36" i="50"/>
  <c r="Z4" i="42"/>
  <c r="Z65" i="42"/>
  <c r="AP2" i="42"/>
  <c r="AR2" i="42"/>
  <c r="AP4" i="42"/>
  <c r="AV36" i="42"/>
  <c r="AV94" i="42"/>
  <c r="AV60" i="42"/>
  <c r="AV95" i="42"/>
  <c r="AV63" i="42"/>
  <c r="AV43" i="42"/>
  <c r="AV4" i="42"/>
  <c r="AV104" i="42"/>
  <c r="AV44" i="42"/>
  <c r="AV2" i="42"/>
  <c r="AV17" i="42"/>
  <c r="AV100" i="42"/>
  <c r="AV68" i="42"/>
  <c r="AV19" i="42"/>
  <c r="AV69" i="42"/>
  <c r="AV32" i="42"/>
  <c r="AV87" i="42"/>
  <c r="AV49" i="42"/>
  <c r="AV90" i="42"/>
  <c r="AV51" i="42"/>
  <c r="AV10" i="42"/>
  <c r="AV28" i="42"/>
  <c r="AV48" i="42"/>
  <c r="AV101" i="42"/>
  <c r="AV37" i="42"/>
  <c r="AV38" i="42"/>
  <c r="AV106" i="42"/>
  <c r="AV110" i="42"/>
  <c r="AV46" i="42"/>
  <c r="AV26" i="42"/>
  <c r="AV35" i="42"/>
  <c r="AV89" i="42"/>
  <c r="AV27" i="42"/>
  <c r="AV93" i="42"/>
  <c r="AV11" i="42"/>
  <c r="AV74" i="42"/>
  <c r="AV55" i="42"/>
  <c r="AV62" i="42"/>
  <c r="AV107" i="42"/>
  <c r="AV13" i="42"/>
  <c r="AV56" i="42"/>
  <c r="AV5" i="42"/>
  <c r="AV79" i="42"/>
  <c r="AV59" i="42"/>
  <c r="AV33" i="42"/>
  <c r="AV111" i="42"/>
  <c r="AV66" i="42"/>
  <c r="AV88" i="42"/>
  <c r="AV9" i="42"/>
  <c r="AV77" i="42"/>
  <c r="AV99" i="42"/>
  <c r="AV42" i="42"/>
  <c r="AV7" i="42"/>
  <c r="AV25" i="42"/>
  <c r="AV73" i="42"/>
  <c r="AV12" i="42"/>
  <c r="AV85" i="42"/>
  <c r="AV78" i="42"/>
  <c r="AV57" i="42"/>
  <c r="AV30" i="42"/>
  <c r="AV45" i="42"/>
  <c r="AV105" i="42"/>
  <c r="AV29" i="42"/>
  <c r="AV97" i="42"/>
  <c r="AV6" i="42"/>
  <c r="AV61" i="42"/>
  <c r="AV52" i="42"/>
  <c r="AV50" i="42"/>
  <c r="AV86" i="42"/>
  <c r="AV14" i="42"/>
  <c r="AV72" i="42"/>
  <c r="AV109" i="42"/>
  <c r="AV75" i="42"/>
  <c r="AV80" i="42"/>
  <c r="AV70" i="42"/>
  <c r="AV41" i="42"/>
  <c r="AV47" i="42"/>
  <c r="AV96" i="42"/>
  <c r="AV3" i="42"/>
  <c r="AV71" i="42"/>
  <c r="AV113" i="42"/>
  <c r="AV18" i="42"/>
  <c r="AV112" i="42"/>
  <c r="AV24" i="42"/>
  <c r="AV108" i="42"/>
  <c r="AV8" i="42"/>
  <c r="AV76" i="42"/>
  <c r="AV84" i="42"/>
  <c r="AV58" i="42"/>
  <c r="AV83" i="42"/>
  <c r="AV39" i="42"/>
  <c r="AV91" i="42"/>
  <c r="AV15" i="42"/>
  <c r="AV81" i="42"/>
  <c r="AV54" i="42"/>
  <c r="AV21" i="42"/>
  <c r="AV92" i="42"/>
  <c r="AV34" i="42"/>
  <c r="AV102" i="42"/>
  <c r="AV22" i="42"/>
  <c r="AV98" i="42"/>
  <c r="AV53" i="42"/>
  <c r="AV67" i="42"/>
  <c r="AV20" i="42"/>
  <c r="AV23" i="42"/>
  <c r="AV103" i="42"/>
  <c r="AV16" i="42"/>
  <c r="AV65" i="42"/>
  <c r="AV82" i="42"/>
  <c r="AV64" i="42"/>
  <c r="AV31" i="42"/>
  <c r="AV40" i="42"/>
  <c r="E58" i="18"/>
  <c r="BP49" i="30"/>
  <c r="Z113" i="42"/>
  <c r="Z100" i="42"/>
  <c r="Z8" i="42"/>
  <c r="Z17" i="42"/>
  <c r="Z47" i="42"/>
  <c r="Z77" i="42"/>
  <c r="Z48" i="42"/>
  <c r="Z41" i="42"/>
  <c r="Z39" i="42"/>
  <c r="Z42" i="42"/>
  <c r="Z55" i="42"/>
  <c r="Z60" i="42"/>
  <c r="Z97" i="42"/>
  <c r="Z51" i="42"/>
  <c r="Z40" i="42"/>
  <c r="Z28" i="42"/>
  <c r="Z87" i="42"/>
  <c r="Z64" i="42"/>
  <c r="Z16" i="42"/>
  <c r="Z52" i="42"/>
  <c r="Z2" i="42"/>
  <c r="Z62" i="42"/>
  <c r="Z59" i="42"/>
  <c r="Z53" i="42"/>
  <c r="Z81" i="42"/>
  <c r="Z68" i="42"/>
  <c r="Z33" i="42"/>
  <c r="Z6" i="42"/>
  <c r="Z22" i="42"/>
  <c r="Z95" i="42"/>
  <c r="Z5" i="42"/>
  <c r="Z29" i="42"/>
  <c r="Z112" i="42"/>
  <c r="Z20" i="42"/>
  <c r="Z63" i="42"/>
  <c r="Z82" i="42"/>
  <c r="Z12" i="42"/>
  <c r="Z58" i="42"/>
  <c r="Z67" i="42"/>
  <c r="Z72" i="42"/>
  <c r="Z78" i="42"/>
  <c r="Z108" i="42"/>
  <c r="Z89" i="42"/>
  <c r="Z107" i="42"/>
  <c r="Z34" i="42"/>
  <c r="Z50" i="42"/>
  <c r="Z35" i="42"/>
  <c r="Z45" i="42"/>
  <c r="Z111" i="42"/>
  <c r="Z23" i="42"/>
  <c r="Z57" i="42"/>
  <c r="Z86" i="42"/>
  <c r="Z91" i="42"/>
  <c r="Z26" i="42"/>
  <c r="Z14" i="42"/>
  <c r="Z13" i="42"/>
  <c r="Z75" i="42"/>
  <c r="Z21" i="42"/>
  <c r="Z96" i="42"/>
  <c r="Z84" i="42"/>
  <c r="Z44" i="42"/>
  <c r="Z66" i="42"/>
  <c r="Z104" i="42"/>
  <c r="Z31" i="42"/>
  <c r="Z69" i="42"/>
  <c r="Z37" i="42"/>
  <c r="Z46" i="42"/>
  <c r="Z74" i="42"/>
  <c r="Z90" i="42"/>
  <c r="Z83" i="42"/>
  <c r="Z10" i="42"/>
  <c r="Z102" i="42"/>
  <c r="Z93" i="42"/>
  <c r="Z110" i="42"/>
  <c r="Z24" i="42"/>
  <c r="Z79" i="42"/>
  <c r="Z71" i="42"/>
  <c r="Z61" i="42"/>
  <c r="Z32" i="42"/>
  <c r="Z92" i="42"/>
  <c r="Z49" i="42"/>
  <c r="Z38" i="42"/>
  <c r="Z109" i="42"/>
  <c r="Z106" i="42"/>
  <c r="Z99" i="42"/>
  <c r="Z70" i="42"/>
  <c r="Z76" i="42"/>
  <c r="Z101" i="42"/>
  <c r="Z94" i="42"/>
  <c r="Z56" i="42"/>
  <c r="Z103" i="42"/>
  <c r="Z27" i="42"/>
  <c r="Z9" i="42"/>
  <c r="Z36" i="42"/>
  <c r="Z54" i="42"/>
  <c r="Z30" i="42"/>
  <c r="Z7" i="42"/>
  <c r="Z3" i="42"/>
  <c r="BP52" i="30"/>
  <c r="BP47" i="30"/>
  <c r="BP55" i="30"/>
  <c r="BP48" i="30"/>
  <c r="BP51" i="30"/>
  <c r="BP50" i="30"/>
  <c r="BP53" i="30"/>
  <c r="BP54" i="30"/>
  <c r="AQ83" i="42"/>
  <c r="AQ78" i="42"/>
  <c r="AQ86" i="42"/>
  <c r="AQ37" i="42"/>
  <c r="AQ94" i="42"/>
  <c r="AQ26" i="42"/>
  <c r="AQ33" i="42"/>
  <c r="AQ48" i="42"/>
  <c r="AQ92" i="42"/>
  <c r="AQ56" i="42"/>
  <c r="AQ57" i="42"/>
  <c r="AQ68" i="42"/>
  <c r="AQ103" i="42"/>
  <c r="AQ60" i="42"/>
  <c r="AQ105" i="42"/>
  <c r="AQ81" i="42"/>
  <c r="AQ71" i="42"/>
  <c r="AQ27" i="42"/>
  <c r="AQ93" i="42"/>
  <c r="AQ74" i="42"/>
  <c r="AQ46" i="42"/>
  <c r="AQ109" i="42"/>
  <c r="AQ73" i="42"/>
  <c r="AQ30" i="42"/>
  <c r="AQ95" i="42"/>
  <c r="AQ67" i="42"/>
  <c r="AQ87" i="42"/>
  <c r="AQ84" i="42"/>
  <c r="AQ24" i="42"/>
  <c r="AQ6" i="42"/>
  <c r="AQ96" i="42"/>
  <c r="AQ19" i="42"/>
  <c r="AQ65" i="42"/>
  <c r="AQ104" i="42"/>
  <c r="AQ34" i="42"/>
  <c r="AQ20" i="42"/>
  <c r="AQ53" i="42"/>
  <c r="AQ10" i="42"/>
  <c r="AQ102" i="42"/>
  <c r="AQ88" i="42"/>
  <c r="AQ70" i="42"/>
  <c r="AQ8" i="42"/>
  <c r="AQ17" i="42"/>
  <c r="AQ107" i="42"/>
  <c r="AQ47" i="42"/>
  <c r="AQ14" i="42"/>
  <c r="AQ28" i="42"/>
  <c r="AQ29" i="42"/>
  <c r="AQ21" i="42"/>
  <c r="AQ80" i="42"/>
  <c r="AQ108" i="42"/>
  <c r="AQ18" i="42"/>
  <c r="AQ58" i="42"/>
  <c r="AQ72" i="42"/>
  <c r="AQ22" i="42"/>
  <c r="AQ4" i="42"/>
  <c r="AQ62" i="42"/>
  <c r="AQ110" i="42"/>
  <c r="AQ5" i="42"/>
  <c r="AQ43" i="42"/>
  <c r="AQ77" i="42"/>
  <c r="AQ13" i="42"/>
  <c r="AQ50" i="42"/>
  <c r="AQ112" i="42"/>
  <c r="AQ35" i="42"/>
  <c r="AQ44" i="42"/>
  <c r="AQ41" i="42"/>
  <c r="AQ40" i="42"/>
  <c r="AQ23" i="42"/>
  <c r="AQ36" i="42"/>
  <c r="AQ75" i="42"/>
  <c r="AQ99" i="42"/>
  <c r="AQ64" i="42"/>
  <c r="AQ55" i="42"/>
  <c r="AQ82" i="42"/>
  <c r="AQ66" i="42"/>
  <c r="AQ49" i="42"/>
  <c r="AQ2" i="42"/>
  <c r="AQ38" i="42"/>
  <c r="AQ59" i="42"/>
  <c r="AQ69" i="42"/>
  <c r="AQ111" i="42"/>
  <c r="AQ113" i="42"/>
  <c r="AQ54" i="42"/>
  <c r="AQ91" i="42"/>
  <c r="AQ100" i="42"/>
  <c r="AQ101" i="42"/>
  <c r="AQ85" i="42"/>
  <c r="AQ97" i="42"/>
  <c r="AQ52" i="42"/>
  <c r="AQ79" i="42"/>
  <c r="AQ98" i="42"/>
  <c r="AQ12" i="42"/>
  <c r="AQ61" i="42"/>
  <c r="AQ39" i="42"/>
  <c r="AQ31" i="42"/>
  <c r="AQ106" i="42"/>
  <c r="AQ42" i="42"/>
  <c r="AQ16" i="42"/>
  <c r="AQ9" i="42"/>
  <c r="AQ89" i="42"/>
  <c r="AQ15" i="42"/>
  <c r="AQ51" i="42"/>
  <c r="AQ90" i="42"/>
  <c r="AQ63" i="42"/>
  <c r="AQ76" i="42"/>
  <c r="AQ32" i="42"/>
  <c r="AQ45" i="42"/>
  <c r="AP106" i="42"/>
  <c r="AQ25" i="42"/>
  <c r="T25" i="42"/>
  <c r="AR88" i="42"/>
  <c r="AR65" i="42"/>
  <c r="AP94" i="42"/>
  <c r="AP93" i="42"/>
  <c r="AP3" i="42"/>
  <c r="AR110" i="42"/>
  <c r="T11" i="42"/>
  <c r="AR104" i="42"/>
  <c r="AP65" i="42"/>
  <c r="AP22" i="42"/>
  <c r="AP83" i="42"/>
  <c r="AP89" i="42"/>
  <c r="AR11" i="42"/>
  <c r="AQ7" i="42"/>
  <c r="AR89" i="42"/>
  <c r="AR18" i="42"/>
  <c r="AR40" i="42"/>
  <c r="AQ11" i="42"/>
  <c r="AR46" i="42"/>
  <c r="AR70" i="42"/>
  <c r="AR24" i="42"/>
  <c r="AR112" i="42"/>
  <c r="AP87" i="42"/>
  <c r="AR8" i="42"/>
  <c r="AR55" i="42"/>
  <c r="AR23" i="42"/>
  <c r="AP7" i="42"/>
  <c r="AR44" i="42"/>
  <c r="AR41" i="42"/>
  <c r="AP49" i="42"/>
  <c r="AR77" i="42"/>
  <c r="AR48" i="42"/>
  <c r="AR69" i="42"/>
  <c r="AP52" i="42"/>
  <c r="AP44" i="42"/>
  <c r="AP36" i="42"/>
  <c r="AP54" i="42"/>
  <c r="AP37" i="42"/>
  <c r="AR28" i="42"/>
  <c r="AP78" i="42"/>
  <c r="AP57" i="42"/>
  <c r="AP92" i="42"/>
  <c r="AP18" i="42"/>
  <c r="T18" i="42"/>
  <c r="AP24" i="42"/>
  <c r="AP90" i="42"/>
  <c r="AR81" i="42"/>
  <c r="AR37" i="42"/>
  <c r="AP81" i="42"/>
  <c r="AR107" i="42"/>
  <c r="AR50" i="42"/>
  <c r="AP63" i="42"/>
  <c r="AP50" i="42"/>
  <c r="AR13" i="42"/>
  <c r="AR16" i="42"/>
  <c r="AR29" i="42"/>
  <c r="AR6" i="42"/>
  <c r="AR3" i="42"/>
  <c r="AR66" i="42"/>
  <c r="AR7" i="42"/>
  <c r="AR93" i="42"/>
  <c r="AR113" i="42"/>
  <c r="AR111" i="42"/>
  <c r="AR49" i="42"/>
  <c r="AR20" i="42"/>
  <c r="AP17" i="42"/>
  <c r="AP84" i="42"/>
  <c r="AP59" i="42"/>
  <c r="AP91" i="42"/>
  <c r="AP99" i="42"/>
  <c r="AR45" i="42"/>
  <c r="AR4" i="42"/>
  <c r="AR14" i="42"/>
  <c r="AP101" i="42"/>
  <c r="T19" i="42"/>
  <c r="AP19" i="42"/>
  <c r="AR30" i="42"/>
  <c r="AR17" i="42"/>
  <c r="AR36" i="42"/>
  <c r="AR99" i="42"/>
  <c r="AR83" i="42"/>
  <c r="AR64" i="42"/>
  <c r="AR100" i="42"/>
  <c r="AP10" i="42"/>
  <c r="AP38" i="42"/>
  <c r="AP34" i="42"/>
  <c r="AP82" i="42"/>
  <c r="AP58" i="42"/>
  <c r="AP108" i="42"/>
  <c r="AR52" i="42"/>
  <c r="AR5" i="42"/>
  <c r="AP11" i="42"/>
  <c r="AR25" i="42"/>
  <c r="AR73" i="42"/>
  <c r="AR85" i="42"/>
  <c r="AP56" i="42"/>
  <c r="AP98" i="42"/>
  <c r="T98" i="42"/>
  <c r="AR42" i="42"/>
  <c r="AP23" i="42"/>
  <c r="AR101" i="42"/>
  <c r="AR57" i="42"/>
  <c r="AR82" i="42"/>
  <c r="AR102" i="42"/>
  <c r="AP42" i="42"/>
  <c r="AP29" i="42"/>
  <c r="AP61" i="42"/>
  <c r="AP5" i="42"/>
  <c r="AP77" i="42"/>
  <c r="AP95" i="42"/>
  <c r="AP103" i="42"/>
  <c r="AP109" i="42"/>
  <c r="AP14" i="42"/>
  <c r="AR94" i="42"/>
  <c r="AP60" i="42"/>
  <c r="AP102" i="42"/>
  <c r="AP70" i="42"/>
  <c r="AP111" i="42"/>
  <c r="AR76" i="42"/>
  <c r="AP80" i="42"/>
  <c r="T80" i="42"/>
  <c r="AR68" i="42"/>
  <c r="AP110" i="42"/>
  <c r="AP55" i="42"/>
  <c r="AP33" i="42"/>
  <c r="AR98" i="42"/>
  <c r="AR38" i="42"/>
  <c r="AR71" i="42"/>
  <c r="AR56" i="42"/>
  <c r="AR31" i="42"/>
  <c r="AR87" i="42"/>
  <c r="AR62" i="42"/>
  <c r="AR75" i="42"/>
  <c r="AR54" i="42"/>
  <c r="AR60" i="42"/>
  <c r="AP71" i="42"/>
  <c r="AP39" i="42"/>
  <c r="AP28" i="42"/>
  <c r="AP96" i="42"/>
  <c r="AP107" i="42"/>
  <c r="AP25" i="42"/>
  <c r="AP51" i="42"/>
  <c r="AR84" i="42"/>
  <c r="T88" i="42"/>
  <c r="AP88" i="42"/>
  <c r="AP73" i="42"/>
  <c r="T73" i="42"/>
  <c r="AP104" i="42"/>
  <c r="AR95" i="42"/>
  <c r="AR103" i="42"/>
  <c r="AP69" i="42"/>
  <c r="AR91" i="42"/>
  <c r="AR106" i="42"/>
  <c r="AR80" i="42"/>
  <c r="AR59" i="42"/>
  <c r="AP76" i="42"/>
  <c r="AR35" i="42"/>
  <c r="AR97" i="42"/>
  <c r="AR105" i="42"/>
  <c r="AP68" i="42"/>
  <c r="AR58" i="42"/>
  <c r="AP43" i="42"/>
  <c r="T43" i="42"/>
  <c r="AR19" i="42"/>
  <c r="AR9" i="42"/>
  <c r="AP66" i="42"/>
  <c r="AR21" i="42"/>
  <c r="AR78" i="42"/>
  <c r="AR92" i="42"/>
  <c r="AR72" i="42"/>
  <c r="AP31" i="42"/>
  <c r="AP12" i="42"/>
  <c r="AP67" i="42"/>
  <c r="AP86" i="42"/>
  <c r="AP46" i="42"/>
  <c r="AR26" i="42"/>
  <c r="AR12" i="42"/>
  <c r="AR39" i="42"/>
  <c r="AR15" i="42"/>
  <c r="AR74" i="42"/>
  <c r="AP9" i="42"/>
  <c r="AP8" i="42"/>
  <c r="AP105" i="42"/>
  <c r="T105" i="42"/>
  <c r="AP97" i="42"/>
  <c r="AR63" i="42"/>
  <c r="AR22" i="42"/>
  <c r="AR43" i="42"/>
  <c r="AR79" i="42"/>
  <c r="AR33" i="42"/>
  <c r="AP79" i="42"/>
  <c r="AP40" i="42"/>
  <c r="AR90" i="42"/>
  <c r="AR96" i="42"/>
  <c r="AR108" i="42"/>
  <c r="AR10" i="42"/>
  <c r="AP62" i="42"/>
  <c r="AP26" i="42"/>
  <c r="AP6" i="42"/>
  <c r="AP20" i="42"/>
  <c r="AP41" i="42"/>
  <c r="AP48" i="42"/>
  <c r="AP53" i="42"/>
  <c r="AP75" i="42"/>
  <c r="AP27" i="42"/>
  <c r="AR61" i="42"/>
  <c r="AR32" i="42"/>
  <c r="AP15" i="42"/>
  <c r="T15" i="42"/>
  <c r="AP72" i="42"/>
  <c r="AP100" i="42"/>
  <c r="AP85" i="42"/>
  <c r="T85" i="42"/>
  <c r="AP47" i="42"/>
  <c r="AR86" i="42"/>
  <c r="AP30" i="42"/>
  <c r="AP21" i="42"/>
  <c r="AR53" i="42"/>
  <c r="AR47" i="42"/>
  <c r="AR34" i="42"/>
  <c r="AR51" i="42"/>
  <c r="AR67" i="42"/>
  <c r="AR109" i="42"/>
  <c r="AP35" i="42"/>
  <c r="AR27" i="42"/>
  <c r="AP45" i="42"/>
  <c r="AP64" i="42"/>
  <c r="AP112" i="42"/>
  <c r="AP74" i="42"/>
  <c r="AP113" i="42"/>
  <c r="AP13" i="42"/>
  <c r="AP16" i="42"/>
  <c r="AP32" i="42"/>
  <c r="W95" i="37"/>
  <c r="S95" i="37"/>
  <c r="M95" i="37"/>
  <c r="W77" i="37"/>
  <c r="T77" i="37"/>
  <c r="S77" i="37"/>
  <c r="M77" i="37"/>
  <c r="L77" i="37"/>
  <c r="W96" i="37"/>
  <c r="S96" i="37"/>
  <c r="M96" i="37"/>
  <c r="W20" i="37"/>
  <c r="T20" i="37"/>
  <c r="S20" i="37"/>
  <c r="M20" i="37"/>
  <c r="L20" i="37"/>
  <c r="W98" i="37"/>
  <c r="S98" i="37"/>
  <c r="M98" i="37"/>
  <c r="W35" i="37"/>
  <c r="T35" i="37"/>
  <c r="S35" i="37"/>
  <c r="M35" i="37"/>
  <c r="L35" i="37"/>
  <c r="W99" i="37"/>
  <c r="S99" i="37"/>
  <c r="M99" i="37"/>
  <c r="W60" i="37"/>
  <c r="T60" i="37"/>
  <c r="S60" i="37"/>
  <c r="M60" i="37"/>
  <c r="L60" i="37"/>
  <c r="M36" i="50" l="1"/>
  <c r="E36" i="50"/>
  <c r="AA20" i="42"/>
  <c r="U36" i="50"/>
  <c r="AA47" i="42"/>
  <c r="AA97" i="42"/>
  <c r="AA96" i="42"/>
  <c r="AA29" i="42"/>
  <c r="AA33" i="42"/>
  <c r="AA92" i="42"/>
  <c r="AA26" i="42"/>
  <c r="AA109" i="42"/>
  <c r="AA83" i="42"/>
  <c r="AA70" i="42"/>
  <c r="AA14" i="42"/>
  <c r="AA42" i="42"/>
  <c r="AA36" i="42"/>
  <c r="AA41" i="42"/>
  <c r="AA46" i="42"/>
  <c r="AA81" i="42"/>
  <c r="AA82" i="42"/>
  <c r="AA95" i="42"/>
  <c r="AA55" i="42"/>
  <c r="AA16" i="42"/>
  <c r="AA108" i="42"/>
  <c r="AA84" i="42"/>
  <c r="AA69" i="42"/>
  <c r="AA30" i="42"/>
  <c r="AA2" i="42"/>
  <c r="AA27" i="42"/>
  <c r="AA78" i="42"/>
  <c r="AA73" i="42"/>
  <c r="BA36" i="50"/>
  <c r="AA113" i="42"/>
  <c r="AA38" i="42"/>
  <c r="AA31" i="42"/>
  <c r="AA49" i="42"/>
  <c r="AA88" i="42"/>
  <c r="AA51" i="42"/>
  <c r="AA112" i="42"/>
  <c r="AA74" i="42"/>
  <c r="AA91" i="42"/>
  <c r="AA44" i="42"/>
  <c r="AA39" i="42"/>
  <c r="AA104" i="42"/>
  <c r="AA12" i="42"/>
  <c r="AA13" i="42"/>
  <c r="AA43" i="42"/>
  <c r="AA85" i="42"/>
  <c r="AA22" i="42"/>
  <c r="AA21" i="42"/>
  <c r="AA19" i="42"/>
  <c r="AA103" i="42"/>
  <c r="AA76" i="42"/>
  <c r="AA18" i="42"/>
  <c r="AA111" i="42"/>
  <c r="AA98" i="42"/>
  <c r="AA7" i="42"/>
  <c r="AA15" i="42"/>
  <c r="AA60" i="42"/>
  <c r="AA57" i="42"/>
  <c r="AA90" i="42"/>
  <c r="AA64" i="42"/>
  <c r="AA68" i="42"/>
  <c r="AA80" i="42"/>
  <c r="AA67" i="42"/>
  <c r="AA40" i="42"/>
  <c r="AA9" i="42"/>
  <c r="AA93" i="42"/>
  <c r="AA77" i="42"/>
  <c r="AA72" i="42"/>
  <c r="AA34" i="42"/>
  <c r="AA62" i="42"/>
  <c r="AA48" i="42"/>
  <c r="AA53" i="42"/>
  <c r="AA28" i="42"/>
  <c r="AA61" i="42"/>
  <c r="AA58" i="42"/>
  <c r="AA17" i="42"/>
  <c r="AA4" i="42"/>
  <c r="AA52" i="42"/>
  <c r="AA56" i="42"/>
  <c r="AA32" i="42"/>
  <c r="AA75" i="42"/>
  <c r="AA10" i="42"/>
  <c r="AA11" i="42"/>
  <c r="AA65" i="42"/>
  <c r="AA100" i="42"/>
  <c r="AA71" i="42"/>
  <c r="AA101" i="42"/>
  <c r="AA89" i="42"/>
  <c r="AA102" i="42"/>
  <c r="AA23" i="42"/>
  <c r="AA106" i="42"/>
  <c r="AA63" i="42"/>
  <c r="AA110" i="42"/>
  <c r="AA6" i="42"/>
  <c r="AA3" i="42"/>
  <c r="AA87" i="42"/>
  <c r="AA59" i="42"/>
  <c r="AA94" i="42"/>
  <c r="AA35" i="42"/>
  <c r="AA8" i="42"/>
  <c r="AA66" i="42"/>
  <c r="AA25" i="42"/>
  <c r="AA105" i="42"/>
  <c r="AA37" i="42"/>
  <c r="AA45" i="42"/>
  <c r="AA86" i="42"/>
  <c r="AA99" i="42"/>
  <c r="AA54" i="42"/>
  <c r="AA50" i="42"/>
  <c r="AA24" i="42"/>
  <c r="AA107" i="42"/>
  <c r="AA79" i="42"/>
  <c r="AA5" i="42"/>
  <c r="AS36" i="50"/>
  <c r="AK36" i="50"/>
  <c r="AC36" i="50"/>
  <c r="H62" i="18"/>
  <c r="G62" i="18"/>
  <c r="H63" i="18"/>
  <c r="H65" i="18"/>
  <c r="H60" i="18"/>
  <c r="H61" i="18"/>
  <c r="G65" i="18"/>
  <c r="G61" i="18"/>
  <c r="G63" i="18"/>
  <c r="G64" i="18"/>
  <c r="G60" i="18"/>
  <c r="H64" i="18"/>
  <c r="D63" i="18"/>
  <c r="E63" i="18"/>
  <c r="D64" i="18"/>
  <c r="D60" i="18"/>
  <c r="E64" i="18"/>
  <c r="D62" i="18"/>
  <c r="E60" i="18"/>
  <c r="D65" i="18"/>
  <c r="E65" i="18"/>
  <c r="D61" i="18"/>
  <c r="E61" i="18"/>
  <c r="E62" i="18"/>
  <c r="Q5" i="18"/>
  <c r="E5" i="18"/>
  <c r="Z11" i="42"/>
  <c r="Z43" i="42"/>
  <c r="Z73" i="42"/>
  <c r="Z19" i="42"/>
  <c r="Z18" i="42"/>
  <c r="Z15" i="42"/>
  <c r="Z98" i="42"/>
  <c r="Z80" i="42"/>
  <c r="Z105" i="42"/>
  <c r="Z88" i="42"/>
  <c r="Z85" i="42"/>
  <c r="Z25" i="42"/>
  <c r="W100" i="37"/>
  <c r="S100" i="37"/>
  <c r="M100" i="37"/>
  <c r="W8" i="37"/>
  <c r="T8" i="37"/>
  <c r="S8" i="37"/>
  <c r="W102" i="37"/>
  <c r="S102" i="37"/>
  <c r="M102" i="37"/>
  <c r="L102" i="37"/>
  <c r="W45" i="37"/>
  <c r="T45" i="37"/>
  <c r="S45" i="37"/>
  <c r="M45" i="37"/>
  <c r="L45" i="37"/>
  <c r="W103" i="37"/>
  <c r="S103" i="37"/>
  <c r="M103" i="37"/>
  <c r="W101" i="37"/>
  <c r="T101" i="37"/>
  <c r="S101" i="37"/>
  <c r="Q101" i="37"/>
  <c r="M101" i="37"/>
  <c r="L101" i="37"/>
  <c r="W105" i="37"/>
  <c r="S105" i="37"/>
  <c r="M105" i="37"/>
  <c r="W104" i="37"/>
  <c r="T104" i="37"/>
  <c r="S104" i="37"/>
  <c r="L104" i="37"/>
  <c r="W34" i="37"/>
  <c r="S34" i="37"/>
  <c r="W106" i="37"/>
  <c r="T106" i="37"/>
  <c r="S106" i="37"/>
  <c r="AU3" i="42" l="1"/>
  <c r="AU101" i="42"/>
  <c r="AU22" i="42"/>
  <c r="AU113" i="42"/>
  <c r="AU84" i="42"/>
  <c r="AU41" i="42"/>
  <c r="AU92" i="42"/>
  <c r="AU24" i="42"/>
  <c r="AU25" i="42"/>
  <c r="AU6" i="42"/>
  <c r="AU71" i="42"/>
  <c r="AU52" i="42"/>
  <c r="AU62" i="42"/>
  <c r="AU80" i="42"/>
  <c r="AU98" i="42"/>
  <c r="AU85" i="42"/>
  <c r="AU74" i="42"/>
  <c r="AU108" i="42"/>
  <c r="AU36" i="42"/>
  <c r="AU33" i="42"/>
  <c r="AU105" i="42"/>
  <c r="AU7" i="42"/>
  <c r="AU100" i="42"/>
  <c r="AU43" i="42"/>
  <c r="AU29" i="42"/>
  <c r="AU54" i="42"/>
  <c r="AU8" i="42"/>
  <c r="AU63" i="42"/>
  <c r="AU65" i="42"/>
  <c r="AU17" i="42"/>
  <c r="AU72" i="42"/>
  <c r="AU64" i="42"/>
  <c r="AU18" i="42"/>
  <c r="AU13" i="42"/>
  <c r="AU51" i="42"/>
  <c r="AU78" i="42"/>
  <c r="AU55" i="42"/>
  <c r="AU14" i="42"/>
  <c r="AU96" i="42"/>
  <c r="AU91" i="42"/>
  <c r="AU4" i="42"/>
  <c r="AU112" i="42"/>
  <c r="AU35" i="42"/>
  <c r="AU106" i="42"/>
  <c r="AU11" i="42"/>
  <c r="AU58" i="42"/>
  <c r="AU77" i="42"/>
  <c r="AU90" i="42"/>
  <c r="AU76" i="42"/>
  <c r="AU12" i="42"/>
  <c r="AU88" i="42"/>
  <c r="AU27" i="42"/>
  <c r="AU95" i="42"/>
  <c r="AU70" i="42"/>
  <c r="AU97" i="42"/>
  <c r="AU56" i="42"/>
  <c r="AU50" i="42"/>
  <c r="AU34" i="42"/>
  <c r="AU16" i="42"/>
  <c r="AU86" i="42"/>
  <c r="AU94" i="42"/>
  <c r="AU23" i="42"/>
  <c r="AU10" i="42"/>
  <c r="AU61" i="42"/>
  <c r="AU93" i="42"/>
  <c r="AU57" i="42"/>
  <c r="AU103" i="42"/>
  <c r="AU104" i="42"/>
  <c r="AU49" i="42"/>
  <c r="AU2" i="42"/>
  <c r="AU82" i="42"/>
  <c r="AU83" i="42"/>
  <c r="AU47" i="42"/>
  <c r="AU48" i="42"/>
  <c r="AU66" i="42"/>
  <c r="AU68" i="42"/>
  <c r="AU73" i="42"/>
  <c r="AU99" i="42"/>
  <c r="AU5" i="42"/>
  <c r="AU45" i="42"/>
  <c r="AU59" i="42"/>
  <c r="AU102" i="42"/>
  <c r="AU75" i="42"/>
  <c r="AU28" i="42"/>
  <c r="AU9" i="42"/>
  <c r="AU60" i="42"/>
  <c r="AU19" i="42"/>
  <c r="AU39" i="42"/>
  <c r="AU31" i="42"/>
  <c r="AU30" i="42"/>
  <c r="AU81" i="42"/>
  <c r="AU109" i="42"/>
  <c r="AU107" i="42"/>
  <c r="AU67" i="42"/>
  <c r="AU110" i="42"/>
  <c r="AU111" i="42"/>
  <c r="AU42" i="42"/>
  <c r="AU79" i="42"/>
  <c r="AU37" i="42"/>
  <c r="AU87" i="42"/>
  <c r="AU89" i="42"/>
  <c r="AU32" i="42"/>
  <c r="AU53" i="42"/>
  <c r="AU40" i="42"/>
  <c r="AU15" i="42"/>
  <c r="AU21" i="42"/>
  <c r="AU44" i="42"/>
  <c r="AU38" i="42"/>
  <c r="AU69" i="42"/>
  <c r="AU46" i="42"/>
  <c r="AU26" i="42"/>
  <c r="AU20" i="42"/>
  <c r="C63" i="18"/>
  <c r="E70" i="18" s="1"/>
  <c r="O48" i="18" s="1"/>
  <c r="F107" i="18" s="1"/>
  <c r="C65" i="18"/>
  <c r="E72" i="18" s="1"/>
  <c r="O50" i="18" s="1"/>
  <c r="B63" i="18"/>
  <c r="D70" i="18" s="1"/>
  <c r="N48" i="18" s="1"/>
  <c r="F113" i="18" s="1"/>
  <c r="C64" i="18"/>
  <c r="E71" i="18" s="1"/>
  <c r="O49" i="18" s="1"/>
  <c r="F108" i="18" s="1"/>
  <c r="B65" i="18"/>
  <c r="D72" i="18" s="1"/>
  <c r="N50" i="18" s="1"/>
  <c r="F115" i="18" s="1"/>
  <c r="C62" i="18"/>
  <c r="E69" i="18" s="1"/>
  <c r="O47" i="18" s="1"/>
  <c r="C60" i="18"/>
  <c r="E67" i="18" s="1"/>
  <c r="O45" i="18" s="1"/>
  <c r="F104" i="18" s="1"/>
  <c r="B60" i="18"/>
  <c r="D67" i="18" s="1"/>
  <c r="N45" i="18" s="1"/>
  <c r="B61" i="18"/>
  <c r="D68" i="18" s="1"/>
  <c r="N46" i="18" s="1"/>
  <c r="F111" i="18" s="1"/>
  <c r="B62" i="18"/>
  <c r="D69" i="18" s="1"/>
  <c r="N47" i="18" s="1"/>
  <c r="F112" i="18" s="1"/>
  <c r="B64" i="18"/>
  <c r="D71" i="18" s="1"/>
  <c r="N49" i="18" s="1"/>
  <c r="F114" i="18" s="1"/>
  <c r="C61" i="18"/>
  <c r="E68" i="18" s="1"/>
  <c r="O46" i="18" s="1"/>
  <c r="I62" i="18"/>
  <c r="G69" i="18" s="1"/>
  <c r="Q47" i="18" s="1"/>
  <c r="J106" i="18" s="1"/>
  <c r="J63" i="18"/>
  <c r="H70" i="18" s="1"/>
  <c r="R48" i="18" s="1"/>
  <c r="J113" i="18" s="1"/>
  <c r="I63" i="18"/>
  <c r="G70" i="18" s="1"/>
  <c r="Q48" i="18" s="1"/>
  <c r="I60" i="18"/>
  <c r="G67" i="18" s="1"/>
  <c r="Q45" i="18" s="1"/>
  <c r="J104" i="18" s="1"/>
  <c r="I64" i="18"/>
  <c r="G71" i="18" s="1"/>
  <c r="Q49" i="18" s="1"/>
  <c r="J62" i="18"/>
  <c r="H69" i="18" s="1"/>
  <c r="R47" i="18" s="1"/>
  <c r="J112" i="18" s="1"/>
  <c r="I61" i="18"/>
  <c r="G68" i="18" s="1"/>
  <c r="Q46" i="18" s="1"/>
  <c r="J105" i="18" s="1"/>
  <c r="I65" i="18"/>
  <c r="G72" i="18" s="1"/>
  <c r="Q50" i="18" s="1"/>
  <c r="J109" i="18" s="1"/>
  <c r="J64" i="18"/>
  <c r="H71" i="18" s="1"/>
  <c r="R49" i="18" s="1"/>
  <c r="J114" i="18" s="1"/>
  <c r="J60" i="18"/>
  <c r="H67" i="18" s="1"/>
  <c r="R45" i="18" s="1"/>
  <c r="J110" i="18" s="1"/>
  <c r="J65" i="18"/>
  <c r="H72" i="18" s="1"/>
  <c r="R50" i="18" s="1"/>
  <c r="J115" i="18" s="1"/>
  <c r="J61" i="18"/>
  <c r="H68" i="18" s="1"/>
  <c r="R46" i="18" s="1"/>
  <c r="J111" i="18" s="1"/>
  <c r="AT86" i="42"/>
  <c r="AT34" i="42"/>
  <c r="AT59" i="42"/>
  <c r="AT72" i="42"/>
  <c r="AT22" i="42"/>
  <c r="AT32" i="42"/>
  <c r="AT39" i="42"/>
  <c r="AT87" i="42"/>
  <c r="AT31" i="42"/>
  <c r="AT68" i="42"/>
  <c r="AT107" i="42"/>
  <c r="AT93" i="42"/>
  <c r="AT67" i="42"/>
  <c r="AT85" i="42"/>
  <c r="AT6" i="42"/>
  <c r="AT75" i="42"/>
  <c r="AT46" i="42"/>
  <c r="AT52" i="42"/>
  <c r="AT110" i="42"/>
  <c r="AT109" i="42"/>
  <c r="AT100" i="42"/>
  <c r="AT77" i="42"/>
  <c r="AT99" i="42"/>
  <c r="AT8" i="42"/>
  <c r="AT5" i="42"/>
  <c r="AT62" i="42"/>
  <c r="AT47" i="42"/>
  <c r="AT65" i="42"/>
  <c r="AT91" i="42"/>
  <c r="AT27" i="42"/>
  <c r="AT71" i="42"/>
  <c r="AT79" i="42"/>
  <c r="AT58" i="42"/>
  <c r="AT111" i="42"/>
  <c r="AT16" i="42"/>
  <c r="AT74" i="42"/>
  <c r="AT63" i="42"/>
  <c r="AT89" i="42"/>
  <c r="AT60" i="42"/>
  <c r="AT105" i="42"/>
  <c r="AT33" i="42"/>
  <c r="AT26" i="42"/>
  <c r="AT96" i="42"/>
  <c r="AT48" i="42"/>
  <c r="AT76" i="42"/>
  <c r="AT113" i="42"/>
  <c r="AT106" i="42"/>
  <c r="AT83" i="42"/>
  <c r="AT78" i="42"/>
  <c r="AT12" i="42"/>
  <c r="AT101" i="42"/>
  <c r="AT88" i="42"/>
  <c r="AT38" i="42"/>
  <c r="AT30" i="42"/>
  <c r="AT35" i="42"/>
  <c r="AT49" i="42"/>
  <c r="AT24" i="42"/>
  <c r="AT55" i="42"/>
  <c r="AT10" i="42"/>
  <c r="AT3" i="42"/>
  <c r="AT95" i="42"/>
  <c r="AT50" i="42"/>
  <c r="AT64" i="42"/>
  <c r="AT17" i="42"/>
  <c r="AT82" i="42"/>
  <c r="AT51" i="42"/>
  <c r="AT37" i="42"/>
  <c r="AT97" i="42"/>
  <c r="AT36" i="42"/>
  <c r="AT108" i="42"/>
  <c r="AT112" i="42"/>
  <c r="AT42" i="42"/>
  <c r="AT53" i="42"/>
  <c r="AT13" i="42"/>
  <c r="AT103" i="42"/>
  <c r="AT40" i="42"/>
  <c r="AT92" i="42"/>
  <c r="AT44" i="42"/>
  <c r="AT9" i="42"/>
  <c r="AT45" i="42"/>
  <c r="AT28" i="42"/>
  <c r="AT102" i="42"/>
  <c r="AT21" i="42"/>
  <c r="AT104" i="42"/>
  <c r="AT2" i="42"/>
  <c r="AT70" i="42"/>
  <c r="AT81" i="42"/>
  <c r="AT90" i="42"/>
  <c r="AT41" i="42"/>
  <c r="AT4" i="42"/>
  <c r="AT7" i="42"/>
  <c r="AT14" i="42"/>
  <c r="AT80" i="42"/>
  <c r="AT56" i="42"/>
  <c r="AT57" i="42"/>
  <c r="AT98" i="42"/>
  <c r="AT66" i="42"/>
  <c r="AT11" i="42"/>
  <c r="AT20" i="42"/>
  <c r="AT94" i="42"/>
  <c r="AT73" i="42"/>
  <c r="AT18" i="42"/>
  <c r="AT23" i="42"/>
  <c r="AT54" i="42"/>
  <c r="AT84" i="42"/>
  <c r="AT69" i="42"/>
  <c r="AT29" i="42"/>
  <c r="AT61" i="42"/>
  <c r="AT25" i="42"/>
  <c r="AT15" i="42"/>
  <c r="AT19" i="42"/>
  <c r="AT43" i="42"/>
  <c r="W50" i="37"/>
  <c r="S50" i="37"/>
  <c r="M50" i="37"/>
  <c r="L50" i="37"/>
  <c r="W107" i="37"/>
  <c r="T107" i="37"/>
  <c r="S107" i="37"/>
  <c r="Q107" i="37"/>
  <c r="M107" i="37"/>
  <c r="L107" i="37"/>
  <c r="W108" i="37"/>
  <c r="S108" i="37"/>
  <c r="W97" i="37"/>
  <c r="T97" i="37"/>
  <c r="S97" i="37"/>
  <c r="W82" i="37"/>
  <c r="S82" i="37"/>
  <c r="W109" i="37"/>
  <c r="T109" i="37"/>
  <c r="S109" i="37"/>
  <c r="J108" i="18" l="1"/>
  <c r="N6" i="18"/>
  <c r="J107" i="18"/>
  <c r="F110" i="18"/>
  <c r="F6" i="18"/>
  <c r="F106" i="18"/>
  <c r="F109" i="18"/>
  <c r="F105" i="18"/>
  <c r="W110" i="37"/>
  <c r="S110" i="37"/>
  <c r="Q110" i="37"/>
  <c r="M110" i="37"/>
  <c r="W2" i="37"/>
  <c r="T2" i="37"/>
  <c r="S2" i="37"/>
  <c r="M2" i="37"/>
  <c r="W111" i="37"/>
  <c r="S111" i="37"/>
  <c r="M111" i="37"/>
  <c r="W4" i="37"/>
  <c r="T4" i="37"/>
  <c r="S4" i="37"/>
  <c r="M4" i="37"/>
  <c r="L4" i="37"/>
  <c r="W39" i="37"/>
  <c r="S39" i="37"/>
  <c r="M39" i="37"/>
  <c r="L39" i="37"/>
  <c r="W112" i="37"/>
  <c r="T112" i="37"/>
  <c r="S112" i="37"/>
  <c r="M112" i="37"/>
  <c r="L112" i="37"/>
  <c r="W113" i="37"/>
  <c r="S113" i="37"/>
  <c r="T88" i="37"/>
  <c r="S88" i="37"/>
  <c r="I6" i="18" l="1"/>
  <c r="J26" i="18"/>
  <c r="M6" i="18"/>
  <c r="L27" i="18"/>
  <c r="J27" i="18"/>
  <c r="L18" i="18"/>
  <c r="I1" i="38"/>
  <c r="H1" i="38"/>
  <c r="T12" i="37"/>
  <c r="T10" i="37"/>
  <c r="L25" i="18" l="1"/>
  <c r="L20" i="18"/>
  <c r="T18" i="37"/>
  <c r="T23" i="37"/>
  <c r="T43" i="37"/>
  <c r="T50" i="37"/>
  <c r="T15" i="37" l="1"/>
  <c r="T34" i="37"/>
  <c r="T59" i="37"/>
  <c r="T30" i="37"/>
  <c r="T66" i="37"/>
  <c r="T58" i="37"/>
  <c r="T68" i="37" l="1"/>
  <c r="T84" i="37"/>
  <c r="T33" i="37" l="1"/>
  <c r="T75" i="37"/>
  <c r="T70" i="37"/>
  <c r="T85" i="37"/>
  <c r="T73" i="37"/>
  <c r="T49" i="37"/>
  <c r="T39" i="37" l="1"/>
  <c r="T87" i="37"/>
  <c r="T90" i="37"/>
  <c r="T67" i="37"/>
  <c r="T94" i="37"/>
  <c r="T41" i="37" l="1"/>
  <c r="T52" i="37" l="1"/>
  <c r="T19" i="37" l="1"/>
  <c r="T38" i="37"/>
  <c r="T44" i="37"/>
  <c r="T51" i="37"/>
  <c r="U94" i="37" l="1"/>
  <c r="U92" i="37"/>
  <c r="U86" i="37"/>
  <c r="U81" i="37"/>
  <c r="U64" i="37"/>
  <c r="U74" i="37"/>
  <c r="U113" i="37"/>
  <c r="U50" i="37"/>
  <c r="U63" i="37"/>
  <c r="U49" i="37"/>
  <c r="U90" i="37"/>
  <c r="U100" i="37"/>
  <c r="U61" i="37"/>
  <c r="U87" i="37"/>
  <c r="U103" i="37"/>
  <c r="U112" i="37"/>
  <c r="U82" i="37"/>
  <c r="U104" i="37"/>
  <c r="U111" i="37"/>
  <c r="U107" i="37"/>
  <c r="U110" i="37"/>
  <c r="U77" i="37"/>
  <c r="U88" i="37"/>
  <c r="U108" i="37"/>
  <c r="U85" i="37"/>
  <c r="U45" i="37"/>
  <c r="U75" i="37"/>
  <c r="U39" i="37"/>
  <c r="U84" i="37"/>
  <c r="U57" i="37"/>
  <c r="U73" i="37"/>
  <c r="U83" i="37"/>
  <c r="U62" i="37"/>
  <c r="U106" i="37"/>
  <c r="U80" i="37"/>
  <c r="U109" i="37"/>
  <c r="U96" i="37"/>
  <c r="U97" i="37"/>
  <c r="U105" i="37"/>
  <c r="U17" i="37"/>
  <c r="U68" i="37"/>
  <c r="U28" i="37"/>
  <c r="U58" i="37"/>
  <c r="U99" i="37"/>
  <c r="U98" i="37"/>
  <c r="U26" i="37"/>
  <c r="U25" i="37"/>
  <c r="U102" i="37"/>
  <c r="U101" i="37"/>
  <c r="U93" i="37"/>
  <c r="U89" i="37"/>
  <c r="U33" i="37"/>
  <c r="U95" i="37"/>
  <c r="U66" i="37"/>
  <c r="U76" i="37"/>
  <c r="U91" i="37"/>
  <c r="U67" i="37"/>
  <c r="U16" i="37"/>
  <c r="U59" i="37"/>
  <c r="U23" i="37"/>
  <c r="U79" i="37"/>
  <c r="U30" i="37"/>
  <c r="U55" i="37"/>
  <c r="U70" i="37"/>
  <c r="U31" i="37"/>
  <c r="U46" i="37"/>
  <c r="U40" i="37"/>
  <c r="U52" i="37"/>
  <c r="U78" i="37"/>
  <c r="U7" i="37"/>
  <c r="U32" i="37"/>
  <c r="U12" i="37"/>
  <c r="U44" i="37"/>
  <c r="U60" i="37"/>
  <c r="U51" i="37"/>
  <c r="U48" i="37"/>
  <c r="U9" i="37"/>
  <c r="U71" i="37"/>
  <c r="U22" i="37"/>
  <c r="U38" i="37"/>
  <c r="U41" i="37"/>
  <c r="U42" i="37"/>
  <c r="U29" i="37"/>
  <c r="U65" i="37"/>
  <c r="U35" i="37"/>
  <c r="U36" i="37"/>
  <c r="U14" i="37"/>
  <c r="U13" i="37"/>
  <c r="U47" i="37"/>
  <c r="U10" i="37"/>
  <c r="U21" i="37"/>
  <c r="U15" i="37"/>
  <c r="U56" i="37"/>
  <c r="U5" i="37"/>
  <c r="U37" i="37"/>
  <c r="U69" i="37"/>
  <c r="U72" i="37"/>
  <c r="U20" i="37"/>
  <c r="U4" i="37"/>
  <c r="U27" i="37"/>
  <c r="U43" i="37"/>
  <c r="U34" i="37"/>
  <c r="U11" i="37"/>
  <c r="U6" i="37"/>
  <c r="U54" i="37"/>
  <c r="U24" i="37"/>
  <c r="U53" i="37"/>
  <c r="U19" i="37"/>
  <c r="U3" i="37"/>
  <c r="U2" i="37"/>
  <c r="U18" i="37"/>
  <c r="U8" i="37"/>
  <c r="AJ63" i="37" l="1"/>
  <c r="AJ8" i="37"/>
  <c r="AJ94" i="37"/>
  <c r="AJ82" i="37"/>
  <c r="AJ31" i="37"/>
  <c r="AJ47" i="37"/>
  <c r="AJ54" i="37"/>
  <c r="AJ92" i="37"/>
  <c r="AJ49" i="37"/>
  <c r="AJ104" i="37"/>
  <c r="AJ45" i="37"/>
  <c r="AJ106" i="37"/>
  <c r="AJ28" i="37"/>
  <c r="AJ93" i="37"/>
  <c r="AJ16" i="37"/>
  <c r="AJ46" i="37"/>
  <c r="AJ60" i="37"/>
  <c r="AJ42" i="37"/>
  <c r="AJ10" i="37"/>
  <c r="AJ20" i="37"/>
  <c r="AJ24" i="37"/>
  <c r="AJ67" i="37"/>
  <c r="AJ72" i="37"/>
  <c r="AJ86" i="37"/>
  <c r="AJ90" i="37"/>
  <c r="AJ111" i="37"/>
  <c r="AJ75" i="37"/>
  <c r="AJ80" i="37"/>
  <c r="AJ58" i="37"/>
  <c r="AJ89" i="37"/>
  <c r="AJ59" i="37"/>
  <c r="AJ40" i="37"/>
  <c r="AJ51" i="37"/>
  <c r="AJ29" i="37"/>
  <c r="AJ21" i="37"/>
  <c r="AJ4" i="37"/>
  <c r="AJ53" i="37"/>
  <c r="AJ85" i="37"/>
  <c r="AJ44" i="37"/>
  <c r="AJ100" i="37"/>
  <c r="AJ109" i="37"/>
  <c r="AJ99" i="37"/>
  <c r="AJ33" i="37"/>
  <c r="AJ23" i="37"/>
  <c r="AJ52" i="37"/>
  <c r="AJ48" i="37"/>
  <c r="AJ65" i="37"/>
  <c r="AJ15" i="37"/>
  <c r="AJ27" i="37"/>
  <c r="AJ19" i="37"/>
  <c r="AJ68" i="37"/>
  <c r="AJ41" i="37"/>
  <c r="AJ107" i="37"/>
  <c r="AJ64" i="37"/>
  <c r="AJ61" i="37"/>
  <c r="AJ110" i="37"/>
  <c r="AJ84" i="37"/>
  <c r="AJ96" i="37"/>
  <c r="AJ98" i="37"/>
  <c r="AJ95" i="37"/>
  <c r="AJ79" i="37"/>
  <c r="AJ78" i="37"/>
  <c r="AJ9" i="37"/>
  <c r="AJ35" i="37"/>
  <c r="AJ56" i="37"/>
  <c r="AJ43" i="37"/>
  <c r="AJ3" i="37"/>
  <c r="AJ101" i="37"/>
  <c r="AJ81" i="37"/>
  <c r="AJ39" i="37"/>
  <c r="AJ74" i="37"/>
  <c r="AJ87" i="37"/>
  <c r="AJ77" i="37"/>
  <c r="AJ57" i="37"/>
  <c r="AJ97" i="37"/>
  <c r="AJ26" i="37"/>
  <c r="AJ66" i="37"/>
  <c r="AJ30" i="37"/>
  <c r="AJ7" i="37"/>
  <c r="AJ71" i="37"/>
  <c r="AJ36" i="37"/>
  <c r="AJ5" i="37"/>
  <c r="AJ34" i="37"/>
  <c r="AJ2" i="37"/>
  <c r="AJ113" i="37"/>
  <c r="AJ103" i="37"/>
  <c r="AJ73" i="37"/>
  <c r="AJ105" i="37"/>
  <c r="AJ25" i="37"/>
  <c r="AJ76" i="37"/>
  <c r="AJ55" i="37"/>
  <c r="AJ32" i="37"/>
  <c r="AJ22" i="37"/>
  <c r="AJ14" i="37"/>
  <c r="AJ37" i="37"/>
  <c r="AJ11" i="37"/>
  <c r="AJ18" i="37"/>
  <c r="AJ62" i="37"/>
  <c r="AJ88" i="37"/>
  <c r="AJ50" i="37"/>
  <c r="AJ112" i="37"/>
  <c r="AJ108" i="37"/>
  <c r="AJ83" i="37"/>
  <c r="AJ17" i="37"/>
  <c r="AJ102" i="37"/>
  <c r="AJ91" i="37"/>
  <c r="AJ70" i="37"/>
  <c r="AJ12" i="37"/>
  <c r="AJ38" i="37"/>
  <c r="AJ13" i="37"/>
  <c r="AJ69" i="37"/>
  <c r="AJ6" i="37"/>
  <c r="T62" i="37"/>
  <c r="T48" i="37"/>
  <c r="T82" i="37" l="1"/>
  <c r="T81" i="37" l="1"/>
  <c r="T86" i="37"/>
  <c r="X8" i="37" l="1"/>
  <c r="Y8" i="37" s="1"/>
  <c r="X27" i="37"/>
  <c r="Y27" i="37" s="1"/>
  <c r="X34" i="37"/>
  <c r="Y34" i="37" s="1"/>
  <c r="X94" i="37"/>
  <c r="Y94" i="37" s="1"/>
  <c r="X92" i="37"/>
  <c r="Y92" i="37" s="1"/>
  <c r="X86" i="37"/>
  <c r="Y86" i="37" s="1"/>
  <c r="X81" i="37"/>
  <c r="Y81" i="37" s="1"/>
  <c r="X64" i="37"/>
  <c r="Y64" i="37" s="1"/>
  <c r="X74" i="37"/>
  <c r="Y74" i="37" s="1"/>
  <c r="X113" i="37"/>
  <c r="Y113" i="37" s="1"/>
  <c r="X50" i="37"/>
  <c r="Y50" i="37" s="1"/>
  <c r="X63" i="37"/>
  <c r="Y63" i="37" s="1"/>
  <c r="X49" i="37"/>
  <c r="Y49" i="37" s="1"/>
  <c r="X90" i="37"/>
  <c r="Y90" i="37" s="1"/>
  <c r="X100" i="37"/>
  <c r="Y100" i="37" s="1"/>
  <c r="X61" i="37"/>
  <c r="Y61" i="37" s="1"/>
  <c r="X87" i="37"/>
  <c r="Y87" i="37" s="1"/>
  <c r="X103" i="37"/>
  <c r="Y103" i="37" s="1"/>
  <c r="X112" i="37"/>
  <c r="Y112" i="37" s="1"/>
  <c r="X82" i="37"/>
  <c r="Y82" i="37" s="1"/>
  <c r="X104" i="37"/>
  <c r="Y104" i="37" s="1"/>
  <c r="X111" i="37"/>
  <c r="Y111" i="37" s="1"/>
  <c r="X107" i="37"/>
  <c r="Y107" i="37" s="1"/>
  <c r="X110" i="37"/>
  <c r="Y110" i="37" s="1"/>
  <c r="X77" i="37"/>
  <c r="Y77" i="37" s="1"/>
  <c r="X88" i="37"/>
  <c r="Y88" i="37" s="1"/>
  <c r="X108" i="37"/>
  <c r="Y108" i="37" s="1"/>
  <c r="X85" i="37"/>
  <c r="Y85" i="37" s="1"/>
  <c r="X45" i="37"/>
  <c r="Y45" i="37" s="1"/>
  <c r="X75" i="37"/>
  <c r="Y75" i="37" s="1"/>
  <c r="X39" i="37"/>
  <c r="Y39" i="37" s="1"/>
  <c r="X84" i="37"/>
  <c r="Y84" i="37" s="1"/>
  <c r="X57" i="37"/>
  <c r="Y57" i="37" s="1"/>
  <c r="X73" i="37"/>
  <c r="Y73" i="37" s="1"/>
  <c r="X83" i="37"/>
  <c r="Y83" i="37" s="1"/>
  <c r="X62" i="37"/>
  <c r="Y62" i="37" s="1"/>
  <c r="X106" i="37"/>
  <c r="Y106" i="37" s="1"/>
  <c r="X80" i="37"/>
  <c r="Y80" i="37" s="1"/>
  <c r="X109" i="37"/>
  <c r="Y109" i="37" s="1"/>
  <c r="X96" i="37"/>
  <c r="Y96" i="37" s="1"/>
  <c r="X97" i="37"/>
  <c r="Y97" i="37" s="1"/>
  <c r="X105" i="37"/>
  <c r="Y105" i="37" s="1"/>
  <c r="X17" i="37"/>
  <c r="Y17" i="37" s="1"/>
  <c r="X68" i="37"/>
  <c r="Y68" i="37" s="1"/>
  <c r="X28" i="37"/>
  <c r="Y28" i="37" s="1"/>
  <c r="X58" i="37"/>
  <c r="Y58" i="37" s="1"/>
  <c r="X99" i="37"/>
  <c r="Y99" i="37" s="1"/>
  <c r="X98" i="37"/>
  <c r="Y98" i="37" s="1"/>
  <c r="X26" i="37"/>
  <c r="Y26" i="37" s="1"/>
  <c r="X25" i="37"/>
  <c r="Y25" i="37" s="1"/>
  <c r="X102" i="37"/>
  <c r="Y102" i="37" s="1"/>
  <c r="X101" i="37"/>
  <c r="Y101" i="37" s="1"/>
  <c r="X93" i="37"/>
  <c r="Y93" i="37" s="1"/>
  <c r="X89" i="37"/>
  <c r="Y89" i="37" s="1"/>
  <c r="X33" i="37"/>
  <c r="Y33" i="37" s="1"/>
  <c r="X95" i="37"/>
  <c r="Y95" i="37" s="1"/>
  <c r="X66" i="37"/>
  <c r="Y66" i="37" s="1"/>
  <c r="X76" i="37"/>
  <c r="Y76" i="37" s="1"/>
  <c r="X91" i="37"/>
  <c r="Y91" i="37" s="1"/>
  <c r="X67" i="37"/>
  <c r="Y67" i="37" s="1"/>
  <c r="X16" i="37"/>
  <c r="Y16" i="37" s="1"/>
  <c r="X59" i="37"/>
  <c r="Y59" i="37" s="1"/>
  <c r="X23" i="37"/>
  <c r="Y23" i="37" s="1"/>
  <c r="X79" i="37"/>
  <c r="Y79" i="37" s="1"/>
  <c r="X30" i="37"/>
  <c r="Y30" i="37" s="1"/>
  <c r="X55" i="37"/>
  <c r="Y55" i="37" s="1"/>
  <c r="X70" i="37"/>
  <c r="Y70" i="37" s="1"/>
  <c r="X31" i="37"/>
  <c r="Y31" i="37" s="1"/>
  <c r="X78" i="37"/>
  <c r="Y78" i="37" s="1"/>
  <c r="X52" i="37"/>
  <c r="Y52" i="37" s="1"/>
  <c r="X46" i="37"/>
  <c r="Y46" i="37" s="1"/>
  <c r="X40" i="37"/>
  <c r="Y40" i="37" s="1"/>
  <c r="X7" i="37"/>
  <c r="Y7" i="37" s="1"/>
  <c r="X32" i="37"/>
  <c r="Y32" i="37" s="1"/>
  <c r="X12" i="37"/>
  <c r="Y12" i="37" s="1"/>
  <c r="X44" i="37"/>
  <c r="Y44" i="37" s="1"/>
  <c r="X51" i="37"/>
  <c r="Y51" i="37" s="1"/>
  <c r="X60" i="37"/>
  <c r="Y60" i="37" s="1"/>
  <c r="X48" i="37"/>
  <c r="Y48" i="37" s="1"/>
  <c r="X9" i="37"/>
  <c r="Y9" i="37" s="1"/>
  <c r="X22" i="37"/>
  <c r="Y22" i="37" s="1"/>
  <c r="X38" i="37"/>
  <c r="Y38" i="37" s="1"/>
  <c r="X71" i="37"/>
  <c r="Y71" i="37" s="1"/>
  <c r="X29" i="37"/>
  <c r="Y29" i="37" s="1"/>
  <c r="X42" i="37"/>
  <c r="Y42" i="37" s="1"/>
  <c r="X41" i="37"/>
  <c r="Y41" i="37" s="1"/>
  <c r="X35" i="37"/>
  <c r="Y35" i="37" s="1"/>
  <c r="X36" i="37"/>
  <c r="Y36" i="37" s="1"/>
  <c r="X65" i="37"/>
  <c r="Y65" i="37" s="1"/>
  <c r="X47" i="37"/>
  <c r="Y47" i="37" s="1"/>
  <c r="X14" i="37"/>
  <c r="Y14" i="37" s="1"/>
  <c r="X13" i="37"/>
  <c r="Y13" i="37" s="1"/>
  <c r="X10" i="37"/>
  <c r="Y10" i="37" s="1"/>
  <c r="X15" i="37"/>
  <c r="Y15" i="37" s="1"/>
  <c r="X21" i="37"/>
  <c r="Y21" i="37" s="1"/>
  <c r="X56" i="37"/>
  <c r="Y56" i="37" s="1"/>
  <c r="X37" i="37"/>
  <c r="Y37" i="37" s="1"/>
  <c r="X5" i="37"/>
  <c r="Y5" i="37" s="1"/>
  <c r="X69" i="37"/>
  <c r="Y69" i="37" s="1"/>
  <c r="X72" i="37"/>
  <c r="Y72" i="37" s="1"/>
  <c r="X20" i="37"/>
  <c r="Y20" i="37" s="1"/>
  <c r="X4" i="37"/>
  <c r="Y4" i="37" s="1"/>
  <c r="X43" i="37"/>
  <c r="Y43" i="37" s="1"/>
  <c r="X6" i="37"/>
  <c r="Y6" i="37" s="1"/>
  <c r="X11" i="37"/>
  <c r="Y11" i="37" s="1"/>
  <c r="X54" i="37"/>
  <c r="Y54" i="37" s="1"/>
  <c r="X24" i="37"/>
  <c r="Y24" i="37" s="1"/>
  <c r="X53" i="37"/>
  <c r="Y53" i="37" s="1"/>
  <c r="X19" i="37"/>
  <c r="Y19" i="37" s="1"/>
  <c r="X3" i="37"/>
  <c r="Y3" i="37" s="1"/>
  <c r="X2" i="37"/>
  <c r="Y2" i="37" s="1"/>
  <c r="X18" i="37"/>
  <c r="Y18" i="37" s="1"/>
  <c r="AE50" i="37"/>
  <c r="AE94" i="37"/>
  <c r="AE63" i="37"/>
  <c r="AE23" i="37"/>
  <c r="AE61" i="37"/>
  <c r="AE49" i="37"/>
  <c r="AE87" i="37"/>
  <c r="AE110" i="37"/>
  <c r="AE30" i="37"/>
  <c r="AE16" i="37"/>
  <c r="AE112" i="37"/>
  <c r="AE64" i="37"/>
  <c r="AE81" i="37"/>
  <c r="AE46" i="37"/>
  <c r="AE77" i="37"/>
  <c r="AE79" i="37"/>
  <c r="AE86" i="37"/>
  <c r="AE82" i="37"/>
  <c r="AE100" i="37"/>
  <c r="AE59" i="37"/>
  <c r="AE111" i="37"/>
  <c r="AE103" i="37"/>
  <c r="AE60" i="37"/>
  <c r="AE113" i="37"/>
  <c r="AE85" i="37"/>
  <c r="AE55" i="37"/>
  <c r="AE52" i="37"/>
  <c r="AE65" i="37"/>
  <c r="AE73" i="37"/>
  <c r="AE51" i="37"/>
  <c r="AE92" i="37"/>
  <c r="AE57" i="37"/>
  <c r="AE22" i="37"/>
  <c r="AE67" i="37"/>
  <c r="AE45" i="37"/>
  <c r="AE44" i="37"/>
  <c r="AE107" i="37"/>
  <c r="AE80" i="37"/>
  <c r="AE13" i="37"/>
  <c r="AE109" i="37"/>
  <c r="AE83" i="37"/>
  <c r="AE14" i="37"/>
  <c r="AE74" i="37"/>
  <c r="AE104" i="37"/>
  <c r="AE70" i="37"/>
  <c r="AE15" i="37"/>
  <c r="AE98" i="37"/>
  <c r="AE34" i="37"/>
  <c r="AE29" i="37"/>
  <c r="AE108" i="37"/>
  <c r="AE75" i="37"/>
  <c r="AE96" i="37"/>
  <c r="AE11" i="37"/>
  <c r="AE66" i="37"/>
  <c r="AE90" i="37"/>
  <c r="AE43" i="37"/>
  <c r="AE106" i="37"/>
  <c r="AE12" i="37"/>
  <c r="AE10" i="37"/>
  <c r="AE38" i="37"/>
  <c r="AE78" i="37"/>
  <c r="AE102" i="37"/>
  <c r="AE72" i="37"/>
  <c r="AE35" i="37"/>
  <c r="AE105" i="37"/>
  <c r="AE27" i="37"/>
  <c r="AE4" i="37"/>
  <c r="AE88" i="37"/>
  <c r="AE62" i="37"/>
  <c r="AE32" i="37"/>
  <c r="AE40" i="37"/>
  <c r="AE47" i="37"/>
  <c r="AE84" i="37"/>
  <c r="AE25" i="37"/>
  <c r="AE58" i="37"/>
  <c r="AE31" i="37"/>
  <c r="AE9" i="37"/>
  <c r="AE28" i="37"/>
  <c r="AE68" i="37"/>
  <c r="AE99" i="37"/>
  <c r="AE42" i="37"/>
  <c r="AE36" i="37"/>
  <c r="AE17" i="37"/>
  <c r="AE39" i="37"/>
  <c r="AE37" i="37"/>
  <c r="AE95" i="37"/>
  <c r="AE76" i="37"/>
  <c r="AE3" i="37"/>
  <c r="AE48" i="37"/>
  <c r="AE33" i="37"/>
  <c r="AE19" i="37"/>
  <c r="AE101" i="37"/>
  <c r="AE97" i="37"/>
  <c r="AE26" i="37"/>
  <c r="AE7" i="37"/>
  <c r="AE21" i="37"/>
  <c r="AE41" i="37"/>
  <c r="AE56" i="37"/>
  <c r="AE93" i="37"/>
  <c r="AE54" i="37"/>
  <c r="AE69" i="37"/>
  <c r="AE8" i="37"/>
  <c r="AE91" i="37"/>
  <c r="AE71" i="37"/>
  <c r="AE2" i="37"/>
  <c r="AE5" i="37"/>
  <c r="AE53" i="37"/>
  <c r="AE89" i="37"/>
  <c r="AE20" i="37"/>
  <c r="AE18" i="37"/>
  <c r="AE6" i="37"/>
  <c r="AE24" i="37"/>
  <c r="AD37" i="37"/>
  <c r="O37" i="37"/>
  <c r="N37" i="37"/>
  <c r="AD95" i="37"/>
  <c r="O95" i="37"/>
  <c r="N95" i="37"/>
  <c r="AD76" i="37"/>
  <c r="O76" i="37"/>
  <c r="N76" i="37"/>
  <c r="AD3" i="37"/>
  <c r="O3" i="37"/>
  <c r="N3" i="37"/>
  <c r="AD48" i="37"/>
  <c r="O48" i="37"/>
  <c r="N48" i="37"/>
  <c r="AD33" i="37"/>
  <c r="O33" i="37"/>
  <c r="N33" i="37"/>
  <c r="AD19" i="37"/>
  <c r="O19" i="37"/>
  <c r="N19" i="37"/>
  <c r="AD101" i="37"/>
  <c r="O101" i="37"/>
  <c r="N101" i="37"/>
  <c r="AD97" i="37"/>
  <c r="O97" i="37"/>
  <c r="N97" i="37"/>
  <c r="AD26" i="37"/>
  <c r="O26" i="37"/>
  <c r="N26" i="37"/>
  <c r="AD24" i="37"/>
  <c r="O24" i="37"/>
  <c r="N24" i="37"/>
  <c r="AD50" i="37"/>
  <c r="AD94" i="37"/>
  <c r="AD63" i="37"/>
  <c r="AD23" i="37"/>
  <c r="AD61" i="37"/>
  <c r="AD49" i="37"/>
  <c r="AD87" i="37"/>
  <c r="AD110" i="37"/>
  <c r="AD30" i="37"/>
  <c r="AD16" i="37"/>
  <c r="AD112" i="37"/>
  <c r="AD64" i="37"/>
  <c r="AD81" i="37"/>
  <c r="AD46" i="37"/>
  <c r="AD77" i="37"/>
  <c r="AD79" i="37"/>
  <c r="AD86" i="37"/>
  <c r="AD82" i="37"/>
  <c r="AD100" i="37"/>
  <c r="AD59" i="37"/>
  <c r="AD111" i="37"/>
  <c r="AD103" i="37"/>
  <c r="AD60" i="37"/>
  <c r="AD113" i="37"/>
  <c r="AD85" i="37"/>
  <c r="AD55" i="37"/>
  <c r="AD52" i="37"/>
  <c r="AD65" i="37"/>
  <c r="AD73" i="37"/>
  <c r="AD51" i="37"/>
  <c r="AD92" i="37"/>
  <c r="AD57" i="37"/>
  <c r="AD22" i="37"/>
  <c r="AD67" i="37"/>
  <c r="AD45" i="37"/>
  <c r="AD44" i="37"/>
  <c r="AD107" i="37"/>
  <c r="AD80" i="37"/>
  <c r="AD13" i="37"/>
  <c r="AD109" i="37"/>
  <c r="AD83" i="37"/>
  <c r="AD14" i="37"/>
  <c r="AD74" i="37"/>
  <c r="AD104" i="37"/>
  <c r="AD70" i="37"/>
  <c r="AD15" i="37"/>
  <c r="AD98" i="37"/>
  <c r="AD34" i="37"/>
  <c r="AD29" i="37"/>
  <c r="AD108" i="37"/>
  <c r="AD75" i="37"/>
  <c r="AD96" i="37"/>
  <c r="AD11" i="37"/>
  <c r="AD66" i="37"/>
  <c r="AD90" i="37"/>
  <c r="AD43" i="37"/>
  <c r="AD106" i="37"/>
  <c r="AD12" i="37"/>
  <c r="AD10" i="37"/>
  <c r="AD38" i="37"/>
  <c r="AD78" i="37"/>
  <c r="AD102" i="37"/>
  <c r="AD72" i="37"/>
  <c r="AD35" i="37"/>
  <c r="AD105" i="37"/>
  <c r="AD27" i="37"/>
  <c r="AD4" i="37"/>
  <c r="AD88" i="37"/>
  <c r="AD62" i="37"/>
  <c r="AD32" i="37"/>
  <c r="AD40" i="37"/>
  <c r="AD47" i="37"/>
  <c r="AD84" i="37"/>
  <c r="AD25" i="37"/>
  <c r="AD58" i="37"/>
  <c r="AD31" i="37"/>
  <c r="AD9" i="37"/>
  <c r="AD28" i="37"/>
  <c r="AD68" i="37"/>
  <c r="AD99" i="37"/>
  <c r="AD42" i="37"/>
  <c r="AD36" i="37"/>
  <c r="AD17" i="37"/>
  <c r="AD39" i="37"/>
  <c r="AD7" i="37"/>
  <c r="AD21" i="37"/>
  <c r="AD41" i="37"/>
  <c r="AD56" i="37"/>
  <c r="AD93" i="37"/>
  <c r="AD54" i="37"/>
  <c r="AD69" i="37"/>
  <c r="AD8" i="37"/>
  <c r="AD91" i="37"/>
  <c r="AD71" i="37"/>
  <c r="AD2" i="37"/>
  <c r="AD5" i="37"/>
  <c r="AD53" i="37"/>
  <c r="AD89" i="37"/>
  <c r="AD20" i="37"/>
  <c r="AD18" i="37"/>
  <c r="AD6" i="37"/>
  <c r="T53" i="37"/>
  <c r="AI1" i="40" l="1"/>
  <c r="AF4" i="40"/>
  <c r="R9" i="40"/>
  <c r="R4" i="40"/>
  <c r="AA9" i="40"/>
  <c r="AF9" i="40"/>
  <c r="AJ4" i="40"/>
  <c r="W9" i="40"/>
  <c r="AA4" i="40"/>
  <c r="I4" i="40"/>
  <c r="W4" i="40"/>
  <c r="I9" i="40"/>
  <c r="AJ9" i="40"/>
  <c r="E9" i="40"/>
  <c r="N9" i="40"/>
  <c r="AF5" i="40"/>
  <c r="AF6" i="40"/>
  <c r="AF7" i="40"/>
  <c r="AF10" i="40"/>
  <c r="AF11" i="40"/>
  <c r="AF12" i="40"/>
  <c r="I17" i="40"/>
  <c r="I22" i="40"/>
  <c r="E16" i="40"/>
  <c r="N17" i="40"/>
  <c r="E21" i="40"/>
  <c r="N7" i="40"/>
  <c r="N11" i="40"/>
  <c r="E6" i="40"/>
  <c r="W18" i="40"/>
  <c r="N22" i="40"/>
  <c r="W23" i="40"/>
  <c r="I21" i="40"/>
  <c r="N6" i="40"/>
  <c r="R16" i="40"/>
  <c r="R21" i="40"/>
  <c r="AA16" i="40"/>
  <c r="AA21" i="40"/>
  <c r="E7" i="40"/>
  <c r="E10" i="40"/>
  <c r="E11" i="40"/>
  <c r="E12" i="40"/>
  <c r="I5" i="40"/>
  <c r="I6" i="40"/>
  <c r="I7" i="40"/>
  <c r="I10" i="40"/>
  <c r="I11" i="40"/>
  <c r="I12" i="40"/>
  <c r="I16" i="40"/>
  <c r="R17" i="40"/>
  <c r="AA18" i="40"/>
  <c r="R22" i="40"/>
  <c r="AA23" i="40"/>
  <c r="N10" i="40"/>
  <c r="E19" i="40"/>
  <c r="R5" i="40"/>
  <c r="R6" i="40"/>
  <c r="R7" i="40"/>
  <c r="R10" i="40"/>
  <c r="R11" i="40"/>
  <c r="R12" i="40"/>
  <c r="AA17" i="40"/>
  <c r="I19" i="40"/>
  <c r="AA22" i="40"/>
  <c r="I24" i="40"/>
  <c r="E5" i="40"/>
  <c r="N4" i="40"/>
  <c r="E24" i="40"/>
  <c r="W5" i="40"/>
  <c r="W6" i="40"/>
  <c r="W7" i="40"/>
  <c r="W10" i="40"/>
  <c r="W11" i="40"/>
  <c r="W12" i="40"/>
  <c r="W16" i="40"/>
  <c r="E18" i="40"/>
  <c r="N19" i="40"/>
  <c r="W21" i="40"/>
  <c r="E23" i="40"/>
  <c r="N24" i="40"/>
  <c r="N5" i="40"/>
  <c r="N12" i="40"/>
  <c r="N21" i="40"/>
  <c r="AA5" i="40"/>
  <c r="AA6" i="40"/>
  <c r="AA7" i="40"/>
  <c r="AA10" i="40"/>
  <c r="AA11" i="40"/>
  <c r="AA12" i="40"/>
  <c r="I18" i="40"/>
  <c r="R19" i="40"/>
  <c r="I23" i="40"/>
  <c r="R24" i="40"/>
  <c r="E4" i="40"/>
  <c r="W17" i="40"/>
  <c r="E17" i="40"/>
  <c r="N18" i="40"/>
  <c r="W19" i="40"/>
  <c r="E22" i="40"/>
  <c r="N23" i="40"/>
  <c r="W24" i="40"/>
  <c r="N16" i="40"/>
  <c r="W22" i="40"/>
  <c r="AJ5" i="40"/>
  <c r="AJ6" i="40"/>
  <c r="AJ7" i="40"/>
  <c r="AJ10" i="40"/>
  <c r="AJ11" i="40"/>
  <c r="AJ12" i="40"/>
  <c r="R18" i="40"/>
  <c r="AA19" i="40"/>
  <c r="R23" i="40"/>
  <c r="AA24" i="40"/>
  <c r="Z1" i="40"/>
  <c r="H13" i="40"/>
  <c r="H1" i="40"/>
  <c r="Q1" i="40"/>
  <c r="Q13" i="40"/>
  <c r="Z13" i="40"/>
  <c r="O50" i="37" l="1"/>
  <c r="N50" i="37"/>
  <c r="O94" i="37"/>
  <c r="N94" i="37"/>
  <c r="O63" i="37"/>
  <c r="N63" i="37"/>
  <c r="O23" i="37"/>
  <c r="N23" i="37"/>
  <c r="O61" i="37"/>
  <c r="N61" i="37"/>
  <c r="O49" i="37"/>
  <c r="N49" i="37"/>
  <c r="O87" i="37"/>
  <c r="N87" i="37"/>
  <c r="O110" i="37"/>
  <c r="N110" i="37"/>
  <c r="O30" i="37"/>
  <c r="N30" i="37"/>
  <c r="O16" i="37"/>
  <c r="N16" i="37"/>
  <c r="O112" i="37"/>
  <c r="N112" i="37"/>
  <c r="O64" i="37"/>
  <c r="N64" i="37"/>
  <c r="O81" i="37"/>
  <c r="N81" i="37"/>
  <c r="O46" i="37"/>
  <c r="N46" i="37"/>
  <c r="O77" i="37"/>
  <c r="N77" i="37"/>
  <c r="O79" i="37"/>
  <c r="N79" i="37"/>
  <c r="O86" i="37"/>
  <c r="N86" i="37"/>
  <c r="O82" i="37"/>
  <c r="N82" i="37"/>
  <c r="O100" i="37"/>
  <c r="N100" i="37"/>
  <c r="O59" i="37"/>
  <c r="N59" i="37"/>
  <c r="O111" i="37"/>
  <c r="N111" i="37"/>
  <c r="O103" i="37"/>
  <c r="N103" i="37"/>
  <c r="O60" i="37"/>
  <c r="N60" i="37"/>
  <c r="O113" i="37"/>
  <c r="N113" i="37"/>
  <c r="O85" i="37"/>
  <c r="N85" i="37"/>
  <c r="O55" i="37"/>
  <c r="N55" i="37"/>
  <c r="O52" i="37"/>
  <c r="N52" i="37"/>
  <c r="O65" i="37"/>
  <c r="N65" i="37"/>
  <c r="O73" i="37"/>
  <c r="N73" i="37"/>
  <c r="O51" i="37"/>
  <c r="N51" i="37"/>
  <c r="O92" i="37"/>
  <c r="N92" i="37"/>
  <c r="O57" i="37"/>
  <c r="N57" i="37"/>
  <c r="O22" i="37"/>
  <c r="N22" i="37"/>
  <c r="O67" i="37"/>
  <c r="N67" i="37"/>
  <c r="O45" i="37"/>
  <c r="N45" i="37"/>
  <c r="O44" i="37"/>
  <c r="N44" i="37"/>
  <c r="O107" i="37"/>
  <c r="N107" i="37"/>
  <c r="O80" i="37"/>
  <c r="N80" i="37"/>
  <c r="O13" i="37"/>
  <c r="N13" i="37"/>
  <c r="O109" i="37"/>
  <c r="N109" i="37"/>
  <c r="O83" i="37"/>
  <c r="N83" i="37"/>
  <c r="O14" i="37"/>
  <c r="N14" i="37"/>
  <c r="O74" i="37"/>
  <c r="N74" i="37"/>
  <c r="O104" i="37"/>
  <c r="N104" i="37"/>
  <c r="O70" i="37"/>
  <c r="N70" i="37"/>
  <c r="O15" i="37"/>
  <c r="N15" i="37"/>
  <c r="O98" i="37"/>
  <c r="N98" i="37"/>
  <c r="O34" i="37"/>
  <c r="N34" i="37"/>
  <c r="O29" i="37"/>
  <c r="N29" i="37"/>
  <c r="O108" i="37"/>
  <c r="N108" i="37"/>
  <c r="O75" i="37"/>
  <c r="N75" i="37"/>
  <c r="O96" i="37"/>
  <c r="N96" i="37"/>
  <c r="O11" i="37"/>
  <c r="N11" i="37"/>
  <c r="O66" i="37"/>
  <c r="N66" i="37"/>
  <c r="O90" i="37"/>
  <c r="N90" i="37"/>
  <c r="O43" i="37"/>
  <c r="N43" i="37"/>
  <c r="O106" i="37"/>
  <c r="N106" i="37"/>
  <c r="O12" i="37"/>
  <c r="N12" i="37"/>
  <c r="O10" i="37"/>
  <c r="N10" i="37"/>
  <c r="O38" i="37"/>
  <c r="N38" i="37"/>
  <c r="O78" i="37"/>
  <c r="N78" i="37"/>
  <c r="O102" i="37"/>
  <c r="N102" i="37"/>
  <c r="O72" i="37"/>
  <c r="N72" i="37"/>
  <c r="O35" i="37"/>
  <c r="N35" i="37"/>
  <c r="O105" i="37"/>
  <c r="N105" i="37"/>
  <c r="O27" i="37"/>
  <c r="N27" i="37"/>
  <c r="O4" i="37"/>
  <c r="N4" i="37"/>
  <c r="O88" i="37"/>
  <c r="N88" i="37"/>
  <c r="O62" i="37"/>
  <c r="N62" i="37"/>
  <c r="O32" i="37"/>
  <c r="N32" i="37"/>
  <c r="O40" i="37"/>
  <c r="N40" i="37"/>
  <c r="O47" i="37"/>
  <c r="N47" i="37"/>
  <c r="O84" i="37"/>
  <c r="N84" i="37"/>
  <c r="O25" i="37"/>
  <c r="N25" i="37"/>
  <c r="O58" i="37"/>
  <c r="N58" i="37"/>
  <c r="O31" i="37"/>
  <c r="N31" i="37"/>
  <c r="O9" i="37"/>
  <c r="N9" i="37"/>
  <c r="O28" i="37"/>
  <c r="N28" i="37"/>
  <c r="O68" i="37"/>
  <c r="N68" i="37"/>
  <c r="O99" i="37"/>
  <c r="N99" i="37"/>
  <c r="O42" i="37"/>
  <c r="N42" i="37"/>
  <c r="O36" i="37"/>
  <c r="N36" i="37"/>
  <c r="O17" i="37"/>
  <c r="N17" i="37"/>
  <c r="O39" i="37"/>
  <c r="N39" i="37"/>
  <c r="O7" i="37"/>
  <c r="N7" i="37"/>
  <c r="O21" i="37"/>
  <c r="N21" i="37"/>
  <c r="O41" i="37"/>
  <c r="N41" i="37"/>
  <c r="O56" i="37"/>
  <c r="N56" i="37"/>
  <c r="O93" i="37"/>
  <c r="N93" i="37"/>
  <c r="O54" i="37"/>
  <c r="N54" i="37"/>
  <c r="O69" i="37"/>
  <c r="N69" i="37"/>
  <c r="O8" i="37"/>
  <c r="N8" i="37"/>
  <c r="O91" i="37"/>
  <c r="N91" i="37"/>
  <c r="O71" i="37"/>
  <c r="N71" i="37"/>
  <c r="O2" i="37"/>
  <c r="N2" i="37"/>
  <c r="O5" i="37"/>
  <c r="N5" i="37"/>
  <c r="O53" i="37"/>
  <c r="N53" i="37"/>
  <c r="O89" i="37"/>
  <c r="N89" i="37"/>
  <c r="O20" i="37"/>
  <c r="N20" i="37"/>
  <c r="O18" i="37"/>
  <c r="N18" i="37"/>
  <c r="O6" i="37"/>
  <c r="N6" i="37"/>
  <c r="P10" i="37" l="1"/>
  <c r="R50" i="37" l="1"/>
  <c r="R94" i="37"/>
  <c r="R63" i="37"/>
  <c r="R23" i="37"/>
  <c r="R61" i="37"/>
  <c r="R49" i="37"/>
  <c r="R87" i="37"/>
  <c r="R110" i="37"/>
  <c r="R30" i="37"/>
  <c r="R16" i="37"/>
  <c r="R112" i="37"/>
  <c r="R64" i="37"/>
  <c r="R81" i="37"/>
  <c r="R46" i="37"/>
  <c r="R77" i="37"/>
  <c r="R79" i="37"/>
  <c r="R86" i="37"/>
  <c r="R82" i="37"/>
  <c r="R100" i="37"/>
  <c r="R59" i="37"/>
  <c r="R111" i="37"/>
  <c r="R103" i="37"/>
  <c r="R60" i="37"/>
  <c r="R113" i="37"/>
  <c r="R85" i="37"/>
  <c r="R55" i="37"/>
  <c r="R52" i="37"/>
  <c r="R65" i="37"/>
  <c r="R73" i="37"/>
  <c r="R51" i="37"/>
  <c r="R92" i="37"/>
  <c r="R57" i="37"/>
  <c r="R22" i="37"/>
  <c r="R67" i="37"/>
  <c r="R45" i="37"/>
  <c r="R44" i="37"/>
  <c r="R107" i="37"/>
  <c r="R80" i="37"/>
  <c r="R13" i="37"/>
  <c r="R109" i="37"/>
  <c r="R83" i="37"/>
  <c r="R14" i="37"/>
  <c r="R74" i="37"/>
  <c r="R104" i="37"/>
  <c r="R70" i="37"/>
  <c r="R15" i="37"/>
  <c r="R98" i="37"/>
  <c r="R34" i="37"/>
  <c r="R29" i="37"/>
  <c r="R108" i="37"/>
  <c r="R75" i="37"/>
  <c r="R96" i="37"/>
  <c r="R11" i="37"/>
  <c r="R66" i="37"/>
  <c r="R90" i="37"/>
  <c r="R43" i="37"/>
  <c r="R106" i="37"/>
  <c r="R12" i="37"/>
  <c r="R10" i="37"/>
  <c r="R38" i="37"/>
  <c r="R78" i="37"/>
  <c r="R102" i="37"/>
  <c r="R72" i="37"/>
  <c r="R35" i="37"/>
  <c r="R105" i="37"/>
  <c r="R27" i="37"/>
  <c r="R4" i="37"/>
  <c r="R88" i="37"/>
  <c r="R62" i="37"/>
  <c r="R32" i="37"/>
  <c r="R40" i="37"/>
  <c r="R47" i="37"/>
  <c r="R84" i="37"/>
  <c r="R25" i="37"/>
  <c r="R58" i="37"/>
  <c r="R31" i="37"/>
  <c r="R9" i="37"/>
  <c r="R28" i="37"/>
  <c r="R68" i="37"/>
  <c r="R99" i="37"/>
  <c r="R42" i="37"/>
  <c r="R36" i="37"/>
  <c r="R17" i="37"/>
  <c r="R39" i="37"/>
  <c r="R37" i="37"/>
  <c r="R95" i="37"/>
  <c r="R76" i="37"/>
  <c r="R3" i="37"/>
  <c r="R48" i="37"/>
  <c r="R33" i="37"/>
  <c r="R19" i="37"/>
  <c r="R101" i="37"/>
  <c r="R97" i="37"/>
  <c r="R26" i="37"/>
  <c r="R7" i="37"/>
  <c r="R21" i="37"/>
  <c r="R41" i="37"/>
  <c r="R56" i="37"/>
  <c r="R93" i="37"/>
  <c r="R54" i="37"/>
  <c r="R69" i="37"/>
  <c r="R8" i="37"/>
  <c r="R91" i="37"/>
  <c r="R71" i="37"/>
  <c r="R2" i="37"/>
  <c r="R5" i="37"/>
  <c r="R53" i="37"/>
  <c r="R89" i="37"/>
  <c r="R20" i="37"/>
  <c r="R18" i="37"/>
  <c r="R6" i="37"/>
  <c r="R24" i="37"/>
  <c r="T69" i="37" l="1"/>
  <c r="V68" i="37" l="1"/>
  <c r="V7" i="37"/>
  <c r="V99" i="37"/>
  <c r="V26" i="37"/>
  <c r="V85" i="37"/>
  <c r="V53" i="37"/>
  <c r="V82" i="37"/>
  <c r="V9" i="37"/>
  <c r="V63" i="37"/>
  <c r="V100" i="37"/>
  <c r="V113" i="37"/>
  <c r="V21" i="37"/>
  <c r="V60" i="37"/>
  <c r="V62" i="37"/>
  <c r="V111" i="37"/>
  <c r="V58" i="37"/>
  <c r="AK58" i="37" s="1"/>
  <c r="V76" i="37"/>
  <c r="V69" i="37"/>
  <c r="V88" i="37"/>
  <c r="V51" i="37"/>
  <c r="V101" i="37"/>
  <c r="V4" i="37"/>
  <c r="V93" i="37"/>
  <c r="V50" i="37"/>
  <c r="V61" i="37"/>
  <c r="V44" i="37"/>
  <c r="V71" i="37"/>
  <c r="V25" i="37"/>
  <c r="V106" i="37"/>
  <c r="V37" i="37"/>
  <c r="V35" i="37"/>
  <c r="V20" i="37"/>
  <c r="AK20" i="37" s="1"/>
  <c r="V12" i="37"/>
  <c r="V47" i="37"/>
  <c r="V49" i="37"/>
  <c r="V86" i="37"/>
  <c r="V64" i="37"/>
  <c r="V97" i="37"/>
  <c r="V80" i="37"/>
  <c r="V33" i="37"/>
  <c r="V41" i="37"/>
  <c r="V39" i="37"/>
  <c r="V110" i="37"/>
  <c r="V11" i="37"/>
  <c r="V40" i="37"/>
  <c r="V18" i="37"/>
  <c r="V15" i="37"/>
  <c r="V84" i="37"/>
  <c r="V29" i="37"/>
  <c r="V67" i="37"/>
  <c r="V8" i="37"/>
  <c r="V14" i="37"/>
  <c r="V34" i="37"/>
  <c r="V45" i="37"/>
  <c r="V13" i="37"/>
  <c r="V109" i="37"/>
  <c r="V56" i="37"/>
  <c r="V77" i="37"/>
  <c r="V55" i="37"/>
  <c r="V19" i="37"/>
  <c r="V108" i="37"/>
  <c r="V16" i="37"/>
  <c r="V103" i="37"/>
  <c r="V42" i="37"/>
  <c r="V89" i="37"/>
  <c r="V10" i="37"/>
  <c r="V73" i="37"/>
  <c r="V104" i="37"/>
  <c r="V43" i="37"/>
  <c r="V66" i="37"/>
  <c r="V98" i="37"/>
  <c r="V23" i="37"/>
  <c r="V112" i="37"/>
  <c r="V36" i="37"/>
  <c r="V72" i="37"/>
  <c r="V105" i="37"/>
  <c r="V79" i="37"/>
  <c r="V94" i="37"/>
  <c r="V95" i="37"/>
  <c r="V6" i="37"/>
  <c r="AK6" i="37" s="1"/>
  <c r="V102" i="37"/>
  <c r="V24" i="37"/>
  <c r="V30" i="37"/>
  <c r="V17" i="37"/>
  <c r="V31" i="37"/>
  <c r="V74" i="37"/>
  <c r="V78" i="37"/>
  <c r="V107" i="37"/>
  <c r="V48" i="37"/>
  <c r="V27" i="37"/>
  <c r="V96" i="37"/>
  <c r="V2" i="37"/>
  <c r="V70" i="37"/>
  <c r="AS117" i="37"/>
  <c r="AS118" i="37" s="1"/>
  <c r="V38" i="37"/>
  <c r="V28" i="37"/>
  <c r="V75" i="37"/>
  <c r="V87" i="37"/>
  <c r="V59" i="37"/>
  <c r="V65" i="37"/>
  <c r="V32" i="37"/>
  <c r="V46" i="37"/>
  <c r="V91" i="37"/>
  <c r="V5" i="37"/>
  <c r="V52" i="37"/>
  <c r="V92" i="37"/>
  <c r="V3" i="37"/>
  <c r="V81" i="37"/>
  <c r="V22" i="37"/>
  <c r="V57" i="37"/>
  <c r="V54" i="37"/>
  <c r="V83" i="37"/>
  <c r="V90" i="37"/>
  <c r="AK95" i="37" l="1"/>
  <c r="AK103" i="37"/>
  <c r="AK15" i="37"/>
  <c r="AK35" i="37"/>
  <c r="AK111" i="37"/>
  <c r="AK94" i="37"/>
  <c r="AK16" i="37"/>
  <c r="AK18" i="37"/>
  <c r="AK37" i="37"/>
  <c r="AK62" i="37"/>
  <c r="AK54" i="37"/>
  <c r="AK70" i="37"/>
  <c r="AK79" i="37"/>
  <c r="AK108" i="37"/>
  <c r="AK40" i="37"/>
  <c r="AK106" i="37"/>
  <c r="AK60" i="37"/>
  <c r="AK83" i="37"/>
  <c r="AK81" i="37"/>
  <c r="AK2" i="37"/>
  <c r="AK105" i="37"/>
  <c r="AK19" i="37"/>
  <c r="AK11" i="37"/>
  <c r="AK25" i="37"/>
  <c r="AK21" i="37"/>
  <c r="AK84" i="37"/>
  <c r="AK72" i="37"/>
  <c r="AK55" i="37"/>
  <c r="AK110" i="37"/>
  <c r="AK71" i="37"/>
  <c r="AK113" i="37"/>
  <c r="AK57" i="37"/>
  <c r="AK36" i="37"/>
  <c r="AK77" i="37"/>
  <c r="AK39" i="37"/>
  <c r="AK44" i="37"/>
  <c r="AK100" i="37"/>
  <c r="AK96" i="37"/>
  <c r="AK52" i="37"/>
  <c r="AK48" i="37"/>
  <c r="AK112" i="37"/>
  <c r="AK56" i="37"/>
  <c r="AK41" i="37"/>
  <c r="AK61" i="37"/>
  <c r="AK63" i="37"/>
  <c r="AK38" i="37"/>
  <c r="AK5" i="37"/>
  <c r="AK107" i="37"/>
  <c r="AK23" i="37"/>
  <c r="AK109" i="37"/>
  <c r="AK33" i="37"/>
  <c r="AK50" i="37"/>
  <c r="AK9" i="37"/>
  <c r="AK28" i="37"/>
  <c r="AK91" i="37"/>
  <c r="AK78" i="37"/>
  <c r="AK98" i="37"/>
  <c r="AK13" i="37"/>
  <c r="AK80" i="37"/>
  <c r="AK93" i="37"/>
  <c r="AK82" i="37"/>
  <c r="AK42" i="37"/>
  <c r="AK27" i="37"/>
  <c r="AK74" i="37"/>
  <c r="AK66" i="37"/>
  <c r="AK45" i="37"/>
  <c r="AK97" i="37"/>
  <c r="AK4" i="37"/>
  <c r="AK53" i="37"/>
  <c r="AK22" i="37"/>
  <c r="AK32" i="37"/>
  <c r="AK31" i="37"/>
  <c r="AK43" i="37"/>
  <c r="AK34" i="37"/>
  <c r="AK64" i="37"/>
  <c r="AK101" i="37"/>
  <c r="AK85" i="37"/>
  <c r="AK92" i="37"/>
  <c r="AK65" i="37"/>
  <c r="AK17" i="37"/>
  <c r="AK104" i="37"/>
  <c r="AK14" i="37"/>
  <c r="AK86" i="37"/>
  <c r="AK51" i="37"/>
  <c r="AK26" i="37"/>
  <c r="AK3" i="37"/>
  <c r="AK46" i="37"/>
  <c r="AK59" i="37"/>
  <c r="AK30" i="37"/>
  <c r="AK73" i="37"/>
  <c r="AK8" i="37"/>
  <c r="AK49" i="37"/>
  <c r="AK88" i="37"/>
  <c r="AK99" i="37"/>
  <c r="AK87" i="37"/>
  <c r="AK24" i="37"/>
  <c r="AK10" i="37"/>
  <c r="AK67" i="37"/>
  <c r="AK47" i="37"/>
  <c r="AK69" i="37"/>
  <c r="AK7" i="37"/>
  <c r="AK90" i="37"/>
  <c r="AK75" i="37"/>
  <c r="AK102" i="37"/>
  <c r="AK89" i="37"/>
  <c r="AK29" i="37"/>
  <c r="AK12" i="37"/>
  <c r="AK76" i="37"/>
  <c r="AK68" i="37"/>
  <c r="AK44" i="30"/>
  <c r="AK43" i="30"/>
  <c r="AK42" i="30"/>
  <c r="AK41" i="30"/>
  <c r="AK40" i="30"/>
  <c r="AK39" i="30"/>
  <c r="AK38" i="30"/>
  <c r="AK37" i="30"/>
  <c r="T63" i="40" l="1"/>
  <c r="T62" i="40"/>
  <c r="T61" i="40"/>
  <c r="T60" i="40"/>
  <c r="T59" i="40"/>
  <c r="T58" i="40"/>
  <c r="T57" i="40"/>
  <c r="T56" i="40"/>
  <c r="T55" i="40"/>
  <c r="T54" i="40"/>
  <c r="T53" i="40"/>
  <c r="T52" i="40"/>
  <c r="T51" i="40"/>
  <c r="T50" i="40"/>
  <c r="BP32" i="30"/>
  <c r="P111" i="37"/>
  <c r="P85" i="37"/>
  <c r="AO1" i="37"/>
  <c r="AG33" i="30"/>
  <c r="AF33" i="30"/>
  <c r="AG32" i="30"/>
  <c r="AF32" i="30"/>
  <c r="AG31" i="30"/>
  <c r="AF31" i="30"/>
  <c r="AG30" i="30"/>
  <c r="AF30" i="30"/>
  <c r="AG29" i="30"/>
  <c r="AF29" i="30"/>
  <c r="AG28" i="30"/>
  <c r="AF28" i="30"/>
  <c r="P51" i="37" l="1"/>
  <c r="P55" i="37"/>
  <c r="P27" i="37"/>
  <c r="P14" i="37"/>
  <c r="P112" i="37"/>
  <c r="P44" i="37"/>
  <c r="P11" i="37"/>
  <c r="P59" i="37"/>
  <c r="P30" i="37"/>
  <c r="P36" i="37"/>
  <c r="P13" i="37"/>
  <c r="P103" i="37"/>
  <c r="P104" i="37"/>
  <c r="P97" i="37"/>
  <c r="P33" i="37"/>
  <c r="P39" i="37"/>
  <c r="P37" i="37"/>
  <c r="P9" i="37"/>
  <c r="P105" i="37"/>
  <c r="P83" i="37"/>
  <c r="P22" i="37"/>
  <c r="P26" i="37"/>
  <c r="P95" i="37"/>
  <c r="P12" i="37"/>
  <c r="P108" i="37"/>
  <c r="P80" i="37"/>
  <c r="P67" i="37"/>
  <c r="P23" i="37"/>
  <c r="P81" i="37"/>
  <c r="P68" i="37"/>
  <c r="P57" i="37"/>
  <c r="P16" i="37"/>
  <c r="P50" i="37"/>
  <c r="P32" i="37"/>
  <c r="P49" i="37"/>
  <c r="P15" i="37"/>
  <c r="P107" i="37"/>
  <c r="P88" i="37"/>
  <c r="P74" i="37"/>
  <c r="P62" i="37"/>
  <c r="P61" i="37"/>
  <c r="P25" i="37"/>
  <c r="P78" i="37"/>
  <c r="P106" i="37"/>
  <c r="P73" i="37"/>
  <c r="P102" i="37"/>
  <c r="P29" i="37"/>
  <c r="P79" i="37"/>
  <c r="P64" i="37"/>
  <c r="P87" i="37"/>
  <c r="P94" i="37"/>
  <c r="P4" i="37"/>
  <c r="P66" i="37"/>
  <c r="P109" i="37"/>
  <c r="P45" i="37"/>
  <c r="P47" i="37"/>
  <c r="P52" i="37"/>
  <c r="P86" i="37"/>
  <c r="P19" i="37"/>
  <c r="P76" i="37"/>
  <c r="P84" i="37"/>
  <c r="P65" i="37"/>
  <c r="P60" i="37"/>
  <c r="P82" i="37"/>
  <c r="P46" i="37"/>
  <c r="P20" i="37"/>
  <c r="P69" i="37"/>
  <c r="P99" i="37"/>
  <c r="P35" i="37"/>
  <c r="P17" i="37"/>
  <c r="P38" i="37"/>
  <c r="P90" i="37"/>
  <c r="P113" i="37"/>
  <c r="P100" i="37"/>
  <c r="P110" i="37"/>
  <c r="P63" i="37"/>
  <c r="P18" i="37"/>
  <c r="P8" i="37"/>
  <c r="P28" i="37"/>
  <c r="P58" i="37"/>
  <c r="P75" i="37"/>
  <c r="P70" i="37"/>
  <c r="P40" i="37"/>
  <c r="P43" i="37"/>
  <c r="P92" i="37"/>
  <c r="P77" i="37"/>
  <c r="P31" i="37"/>
  <c r="P96" i="37"/>
  <c r="P98" i="37"/>
  <c r="P71" i="37"/>
  <c r="P42" i="37"/>
  <c r="P72" i="37"/>
  <c r="P34" i="37"/>
  <c r="P6" i="37"/>
  <c r="P89" i="37"/>
  <c r="P5" i="37"/>
  <c r="P7" i="37"/>
  <c r="P41" i="37"/>
  <c r="P54" i="37"/>
  <c r="P21" i="37"/>
  <c r="P2" i="37"/>
  <c r="P101" i="37"/>
  <c r="P3" i="37"/>
  <c r="P56" i="37"/>
  <c r="P93" i="37"/>
  <c r="P48" i="37"/>
  <c r="P53" i="37"/>
  <c r="AG24" i="37"/>
  <c r="AL24" i="37"/>
  <c r="P91" i="37"/>
  <c r="AL38" i="37"/>
  <c r="AL95" i="37"/>
  <c r="AL7" i="37"/>
  <c r="AL14" i="37"/>
  <c r="AL19" i="37"/>
  <c r="AL48" i="37"/>
  <c r="AL28" i="37"/>
  <c r="AL46" i="37"/>
  <c r="AG95" i="37"/>
  <c r="AG97" i="37"/>
  <c r="AG73" i="37"/>
  <c r="AL43" i="37"/>
  <c r="AL97" i="37"/>
  <c r="AL108" i="37"/>
  <c r="AL101" i="37"/>
  <c r="AG37" i="37"/>
  <c r="AG48" i="37"/>
  <c r="AG7" i="37"/>
  <c r="AG38" i="37"/>
  <c r="AG43" i="37"/>
  <c r="AL73" i="37"/>
  <c r="AG101" i="37"/>
  <c r="AG108" i="37"/>
  <c r="AG77" i="37"/>
  <c r="AL103" i="37"/>
  <c r="AG103" i="37"/>
  <c r="AG46" i="37"/>
  <c r="AL37" i="37"/>
  <c r="AL77" i="37"/>
  <c r="AG28" i="37"/>
  <c r="AG19" i="37"/>
  <c r="AG14" i="37"/>
  <c r="AG26" i="37"/>
  <c r="AG2" i="37"/>
  <c r="AL20" i="37"/>
  <c r="AL8" i="37"/>
  <c r="AL15" i="37"/>
  <c r="AL18" i="37"/>
  <c r="AL21" i="37"/>
  <c r="AL89" i="37"/>
  <c r="AL93" i="37"/>
  <c r="AG53" i="37"/>
  <c r="AG8" i="37"/>
  <c r="AG68" i="37"/>
  <c r="AG93" i="37"/>
  <c r="AG3" i="37"/>
  <c r="AG20" i="37"/>
  <c r="AG33" i="37"/>
  <c r="AG69" i="37"/>
  <c r="AG6" i="37"/>
  <c r="AG56" i="37"/>
  <c r="AG5" i="37"/>
  <c r="AG99" i="37"/>
  <c r="AG12" i="37"/>
  <c r="AG39" i="37"/>
  <c r="AG18" i="37"/>
  <c r="AG54" i="37"/>
  <c r="AL56" i="37"/>
  <c r="AL68" i="37"/>
  <c r="AL40" i="37"/>
  <c r="AG71" i="37"/>
  <c r="AG91" i="37"/>
  <c r="AL42" i="37"/>
  <c r="AG36" i="37"/>
  <c r="AL36" i="37"/>
  <c r="AG84" i="37"/>
  <c r="AG105" i="37"/>
  <c r="AL4" i="37"/>
  <c r="AG106" i="37"/>
  <c r="AL54" i="37"/>
  <c r="AL50" i="37"/>
  <c r="AL30" i="37"/>
  <c r="AL111" i="37"/>
  <c r="AL60" i="37"/>
  <c r="AL52" i="37"/>
  <c r="AL87" i="37"/>
  <c r="AL112" i="37"/>
  <c r="AL113" i="37"/>
  <c r="AL64" i="37"/>
  <c r="AL82" i="37"/>
  <c r="AL59" i="37"/>
  <c r="AL51" i="37"/>
  <c r="AL61" i="37"/>
  <c r="AL65" i="37"/>
  <c r="AL44" i="37"/>
  <c r="AL45" i="37"/>
  <c r="AL83" i="37"/>
  <c r="AL104" i="37"/>
  <c r="AL22" i="37"/>
  <c r="AL110" i="37"/>
  <c r="AL70" i="37"/>
  <c r="AL55" i="37"/>
  <c r="AL81" i="37"/>
  <c r="AL62" i="37"/>
  <c r="AL25" i="37"/>
  <c r="AL102" i="37"/>
  <c r="AL72" i="37"/>
  <c r="AL32" i="37"/>
  <c r="AL6" i="37"/>
  <c r="AL5" i="37"/>
  <c r="AL17" i="37"/>
  <c r="AL84" i="37"/>
  <c r="AG102" i="37"/>
  <c r="AG34" i="37"/>
  <c r="AG16" i="37"/>
  <c r="AG30" i="37"/>
  <c r="AG9" i="37"/>
  <c r="AG23" i="37"/>
  <c r="AG79" i="37"/>
  <c r="AG100" i="37"/>
  <c r="AG70" i="37"/>
  <c r="AG107" i="37"/>
  <c r="AG74" i="37"/>
  <c r="AG66" i="37"/>
  <c r="AG75" i="37"/>
  <c r="AG32" i="37"/>
  <c r="AG40" i="37"/>
  <c r="AG76" i="37"/>
  <c r="AG10" i="37"/>
  <c r="AG27" i="37"/>
  <c r="AG88" i="37"/>
  <c r="AL71" i="37"/>
  <c r="AL41" i="37"/>
  <c r="AL39" i="37"/>
  <c r="AG42" i="37"/>
  <c r="AL31" i="37"/>
  <c r="AG47" i="37"/>
  <c r="AG98" i="37"/>
  <c r="AG113" i="37"/>
  <c r="AG82" i="37"/>
  <c r="AL53" i="37"/>
  <c r="AL2" i="37"/>
  <c r="AL69" i="37"/>
  <c r="AL58" i="37"/>
  <c r="AL9" i="37"/>
  <c r="AG25" i="37"/>
  <c r="AG35" i="37"/>
  <c r="AL12" i="37"/>
  <c r="AG96" i="37"/>
  <c r="AG109" i="37"/>
  <c r="AG44" i="37"/>
  <c r="AG58" i="37"/>
  <c r="AL35" i="37"/>
  <c r="AL63" i="37"/>
  <c r="AL91" i="37"/>
  <c r="AG21" i="37"/>
  <c r="AL99" i="37"/>
  <c r="AL78" i="37"/>
  <c r="AL106" i="37"/>
  <c r="AL66" i="37"/>
  <c r="AL80" i="37"/>
  <c r="AG83" i="37"/>
  <c r="AG11" i="37"/>
  <c r="AG41" i="37"/>
  <c r="AL33" i="37"/>
  <c r="AL23" i="37"/>
  <c r="AG89" i="37"/>
  <c r="AL26" i="37"/>
  <c r="AL3" i="37"/>
  <c r="AG17" i="37"/>
  <c r="AL76" i="37"/>
  <c r="AG31" i="37"/>
  <c r="AG72" i="37"/>
  <c r="AL90" i="37"/>
  <c r="AG4" i="37"/>
  <c r="AL74" i="37"/>
  <c r="AG52" i="37"/>
  <c r="AL47" i="37"/>
  <c r="AL75" i="37"/>
  <c r="AG80" i="37"/>
  <c r="AL109" i="37"/>
  <c r="AL67" i="37"/>
  <c r="AL105" i="37"/>
  <c r="AL88" i="37"/>
  <c r="AG78" i="37"/>
  <c r="AL27" i="37"/>
  <c r="AL10" i="37"/>
  <c r="AL29" i="37"/>
  <c r="AG104" i="37"/>
  <c r="AL98" i="37"/>
  <c r="AL85" i="37"/>
  <c r="AG87" i="37"/>
  <c r="AG13" i="37"/>
  <c r="AG81" i="37"/>
  <c r="AL96" i="37"/>
  <c r="AL11" i="37"/>
  <c r="AG90" i="37"/>
  <c r="AG15" i="37"/>
  <c r="AG45" i="37"/>
  <c r="AL57" i="37"/>
  <c r="AG67" i="37"/>
  <c r="AG112" i="37"/>
  <c r="AG61" i="37"/>
  <c r="AG62" i="37"/>
  <c r="AG29" i="37"/>
  <c r="AL13" i="37"/>
  <c r="AG85" i="37"/>
  <c r="AG59" i="37"/>
  <c r="AG55" i="37"/>
  <c r="AL49" i="37"/>
  <c r="AL94" i="37"/>
  <c r="AL92" i="37"/>
  <c r="AG22" i="37"/>
  <c r="AG110" i="37"/>
  <c r="AL34" i="37"/>
  <c r="AG65" i="37"/>
  <c r="AG60" i="37"/>
  <c r="AL100" i="37"/>
  <c r="AG86" i="37"/>
  <c r="AL86" i="37"/>
  <c r="AL16" i="37"/>
  <c r="AG49" i="37"/>
  <c r="AG94" i="37"/>
  <c r="AG57" i="37"/>
  <c r="AG51" i="37"/>
  <c r="AG111" i="37"/>
  <c r="AL107" i="37"/>
  <c r="AG92" i="37"/>
  <c r="AL79" i="37"/>
  <c r="AG64" i="37"/>
  <c r="AG63" i="37"/>
  <c r="AG50" i="37"/>
  <c r="AI23" i="30"/>
  <c r="AI22" i="30"/>
  <c r="AI21" i="30"/>
  <c r="AI20" i="30"/>
  <c r="AI19" i="30"/>
  <c r="AI18" i="30"/>
  <c r="AI17" i="30"/>
  <c r="AI16" i="30"/>
  <c r="AI15" i="30"/>
  <c r="AI14" i="30"/>
  <c r="AI13" i="30"/>
  <c r="AI12" i="30"/>
  <c r="AI11" i="30"/>
  <c r="AI10" i="30"/>
  <c r="AO17" i="35"/>
  <c r="AO16" i="35"/>
  <c r="AO15" i="35"/>
  <c r="AO14" i="35"/>
  <c r="AO13" i="35"/>
  <c r="AO12" i="35"/>
  <c r="AO11" i="35"/>
  <c r="AO10" i="35"/>
  <c r="AO9" i="35"/>
  <c r="AO8" i="35"/>
  <c r="AO7" i="35"/>
  <c r="AO6" i="35"/>
  <c r="AO5" i="35"/>
  <c r="AO4" i="35"/>
  <c r="AO3" i="35"/>
  <c r="AO2" i="35"/>
  <c r="AR2" i="35"/>
  <c r="AR17" i="35"/>
  <c r="AR16" i="35"/>
  <c r="AR15" i="35"/>
  <c r="AR14" i="35"/>
  <c r="AR13" i="35"/>
  <c r="AR12" i="35"/>
  <c r="AR11" i="35"/>
  <c r="AR10" i="35"/>
  <c r="AR9" i="35"/>
  <c r="AR8" i="35"/>
  <c r="AR7" i="35"/>
  <c r="AR6" i="35"/>
  <c r="AR5" i="35"/>
  <c r="AR4" i="35"/>
  <c r="AR3" i="35"/>
  <c r="AN28" i="39" l="1"/>
  <c r="AN26" i="39"/>
  <c r="AN25" i="39"/>
  <c r="AN23" i="39"/>
  <c r="AN27" i="39"/>
  <c r="AN24" i="39"/>
  <c r="AF24" i="37"/>
  <c r="AI24" i="37"/>
  <c r="AF100" i="37"/>
  <c r="AI101" i="37"/>
  <c r="AF103" i="37"/>
  <c r="AF7" i="37"/>
  <c r="AF95" i="37"/>
  <c r="AF48" i="37"/>
  <c r="AI97" i="37"/>
  <c r="AI7" i="37"/>
  <c r="AI77" i="37"/>
  <c r="AI46" i="37"/>
  <c r="AF73" i="37"/>
  <c r="AI43" i="37"/>
  <c r="AI38" i="37"/>
  <c r="AI37" i="37"/>
  <c r="AF97" i="37"/>
  <c r="AF46" i="37"/>
  <c r="AI28" i="37"/>
  <c r="AI95" i="37"/>
  <c r="AF101" i="37"/>
  <c r="AF43" i="37"/>
  <c r="AF14" i="37"/>
  <c r="AF108" i="37"/>
  <c r="AF19" i="37"/>
  <c r="AI108" i="37"/>
  <c r="AF38" i="37"/>
  <c r="AI103" i="37"/>
  <c r="AI73" i="37"/>
  <c r="AF77" i="37"/>
  <c r="AF37" i="37"/>
  <c r="AI48" i="37"/>
  <c r="AI14" i="37"/>
  <c r="AI19" i="37"/>
  <c r="AF28" i="37"/>
  <c r="AI52" i="37"/>
  <c r="AF13" i="37"/>
  <c r="AI44" i="37"/>
  <c r="AI71" i="37"/>
  <c r="AF41" i="37"/>
  <c r="AF79" i="37"/>
  <c r="AI110" i="37"/>
  <c r="AI20" i="37"/>
  <c r="AI102" i="37"/>
  <c r="AF61" i="37"/>
  <c r="AF55" i="37"/>
  <c r="AI32" i="37"/>
  <c r="AI21" i="37"/>
  <c r="AF112" i="37"/>
  <c r="AF45" i="37"/>
  <c r="AF32" i="37"/>
  <c r="AF31" i="37"/>
  <c r="AI36" i="37"/>
  <c r="AF64" i="37"/>
  <c r="AF82" i="37"/>
  <c r="AF59" i="37"/>
  <c r="AF65" i="37"/>
  <c r="AF111" i="37"/>
  <c r="AF51" i="37"/>
  <c r="AF70" i="37"/>
  <c r="AF83" i="37"/>
  <c r="AF104" i="37"/>
  <c r="AF15" i="37"/>
  <c r="AF90" i="37"/>
  <c r="AF52" i="37"/>
  <c r="AF91" i="37"/>
  <c r="AF76" i="37"/>
  <c r="AF27" i="37"/>
  <c r="AF39" i="37"/>
  <c r="P24" i="37"/>
  <c r="AF106" i="37"/>
  <c r="AF36" i="37"/>
  <c r="AF11" i="37"/>
  <c r="AF88" i="37"/>
  <c r="AF47" i="37"/>
  <c r="AF71" i="37"/>
  <c r="AF69" i="37"/>
  <c r="AF2" i="37"/>
  <c r="AF89" i="37"/>
  <c r="AI40" i="37"/>
  <c r="AI107" i="37"/>
  <c r="AF30" i="37"/>
  <c r="AF35" i="37"/>
  <c r="AI109" i="37"/>
  <c r="AI50" i="37"/>
  <c r="AF113" i="37"/>
  <c r="AI22" i="37"/>
  <c r="AI49" i="37"/>
  <c r="AF60" i="37"/>
  <c r="AF75" i="37"/>
  <c r="AI83" i="37"/>
  <c r="AI15" i="37"/>
  <c r="AI111" i="37"/>
  <c r="AI10" i="37"/>
  <c r="AF72" i="37"/>
  <c r="AI17" i="37"/>
  <c r="AI78" i="37"/>
  <c r="AI18" i="37"/>
  <c r="AI2" i="37"/>
  <c r="AI39" i="37"/>
  <c r="AI23" i="37"/>
  <c r="AI5" i="37"/>
  <c r="AF53" i="37"/>
  <c r="AI16" i="37"/>
  <c r="AF16" i="37"/>
  <c r="AI81" i="37"/>
  <c r="AI59" i="37"/>
  <c r="AF63" i="37"/>
  <c r="AI80" i="37"/>
  <c r="AI63" i="37"/>
  <c r="AF12" i="37"/>
  <c r="AF58" i="37"/>
  <c r="AI56" i="37"/>
  <c r="AF4" i="37"/>
  <c r="AI90" i="37"/>
  <c r="AF107" i="37"/>
  <c r="AI53" i="37"/>
  <c r="AI69" i="37"/>
  <c r="AI105" i="37"/>
  <c r="AI86" i="37"/>
  <c r="AF6" i="37"/>
  <c r="AI70" i="37"/>
  <c r="AF40" i="37"/>
  <c r="AI6" i="37"/>
  <c r="AF26" i="37"/>
  <c r="AI33" i="37"/>
  <c r="AF44" i="37"/>
  <c r="AF23" i="37"/>
  <c r="AI64" i="37"/>
  <c r="AI99" i="37"/>
  <c r="AI94" i="37"/>
  <c r="AI113" i="37"/>
  <c r="AI87" i="37"/>
  <c r="AF85" i="37"/>
  <c r="AI30" i="37"/>
  <c r="AI57" i="37"/>
  <c r="AF102" i="37"/>
  <c r="AI104" i="37"/>
  <c r="AI72" i="37"/>
  <c r="AI34" i="37"/>
  <c r="AF34" i="37"/>
  <c r="AF49" i="37"/>
  <c r="AF56" i="37"/>
  <c r="AI31" i="37"/>
  <c r="AI66" i="37"/>
  <c r="AF96" i="37"/>
  <c r="AI91" i="37"/>
  <c r="AF84" i="37"/>
  <c r="AF54" i="37"/>
  <c r="AF3" i="37"/>
  <c r="AI58" i="37"/>
  <c r="AI3" i="37"/>
  <c r="AI88" i="37"/>
  <c r="AF8" i="37"/>
  <c r="AI12" i="37"/>
  <c r="AF18" i="37"/>
  <c r="AF57" i="37"/>
  <c r="AI67" i="37"/>
  <c r="AI112" i="37"/>
  <c r="AF10" i="37"/>
  <c r="AF9" i="37"/>
  <c r="AI84" i="37"/>
  <c r="AF5" i="37"/>
  <c r="AI92" i="37"/>
  <c r="AF87" i="37"/>
  <c r="AI60" i="37"/>
  <c r="AF50" i="37"/>
  <c r="AF110" i="37"/>
  <c r="AI82" i="37"/>
  <c r="AF80" i="37"/>
  <c r="AF109" i="37"/>
  <c r="AF29" i="37"/>
  <c r="AI100" i="37"/>
  <c r="AF78" i="37"/>
  <c r="AI65" i="37"/>
  <c r="AI79" i="37"/>
  <c r="AI4" i="37"/>
  <c r="AF68" i="37"/>
  <c r="AI54" i="37"/>
  <c r="AI62" i="37"/>
  <c r="AI8" i="37"/>
  <c r="AI26" i="37"/>
  <c r="AI9" i="37"/>
  <c r="AI75" i="37"/>
  <c r="AI27" i="37"/>
  <c r="AI25" i="37"/>
  <c r="AF42" i="37"/>
  <c r="AF98" i="37"/>
  <c r="AF86" i="37"/>
  <c r="AF66" i="37"/>
  <c r="AF105" i="37"/>
  <c r="AI29" i="37"/>
  <c r="AF25" i="37"/>
  <c r="AI68" i="37"/>
  <c r="AI41" i="37"/>
  <c r="AI13" i="37"/>
  <c r="AF62" i="37"/>
  <c r="AF93" i="37"/>
  <c r="AI106" i="37"/>
  <c r="AI93" i="37"/>
  <c r="AI96" i="37"/>
  <c r="AF20" i="37"/>
  <c r="AF17" i="37"/>
  <c r="AF99" i="37"/>
  <c r="AF21" i="37"/>
  <c r="AI35" i="37"/>
  <c r="AI61" i="37"/>
  <c r="AF92" i="37"/>
  <c r="AF94" i="37"/>
  <c r="AF81" i="37"/>
  <c r="AF67" i="37"/>
  <c r="AF74" i="37"/>
  <c r="AI55" i="37"/>
  <c r="AI98" i="37"/>
  <c r="AI45" i="37"/>
  <c r="AI85" i="37"/>
  <c r="AF22" i="37"/>
  <c r="AI51" i="37"/>
  <c r="AI76" i="37"/>
  <c r="AI89" i="37"/>
  <c r="AF33" i="37"/>
  <c r="AI11" i="37"/>
  <c r="AI42" i="37"/>
  <c r="AI47" i="37"/>
  <c r="AI74" i="37"/>
  <c r="V15" i="35"/>
  <c r="V10" i="35"/>
  <c r="V11" i="35"/>
  <c r="V12" i="35"/>
  <c r="V14" i="35"/>
  <c r="V16" i="35"/>
  <c r="V17" i="35"/>
  <c r="T2" i="35"/>
  <c r="V2" i="35" s="1"/>
  <c r="AH24" i="37" l="1"/>
  <c r="AC24" i="37" s="1"/>
  <c r="AH19" i="37"/>
  <c r="AC19" i="37" s="1"/>
  <c r="AH7" i="37"/>
  <c r="AC7" i="37" s="1"/>
  <c r="AH38" i="37"/>
  <c r="AC38" i="37" s="1"/>
  <c r="AH95" i="37"/>
  <c r="AC95" i="37" s="1"/>
  <c r="AH101" i="37"/>
  <c r="AC101" i="37" s="1"/>
  <c r="AH73" i="37"/>
  <c r="AC73" i="37" s="1"/>
  <c r="AH108" i="37"/>
  <c r="AC108" i="37" s="1"/>
  <c r="AH97" i="37"/>
  <c r="AC97" i="37" s="1"/>
  <c r="AH14" i="37"/>
  <c r="AC14" i="37" s="1"/>
  <c r="AH48" i="37"/>
  <c r="AC48" i="37" s="1"/>
  <c r="AH46" i="37"/>
  <c r="AC46" i="37" s="1"/>
  <c r="AH37" i="37"/>
  <c r="AC37" i="37" s="1"/>
  <c r="AH43" i="37"/>
  <c r="AC43" i="37" s="1"/>
  <c r="AH103" i="37"/>
  <c r="AC103" i="37" s="1"/>
  <c r="AH28" i="37"/>
  <c r="AC28" i="37" s="1"/>
  <c r="AH77" i="37"/>
  <c r="AC77" i="37" s="1"/>
  <c r="AH67" i="37"/>
  <c r="AC67" i="37" s="1"/>
  <c r="AH83" i="37"/>
  <c r="AC83" i="37" s="1"/>
  <c r="AH94" i="37"/>
  <c r="AC94" i="37" s="1"/>
  <c r="AH10" i="37"/>
  <c r="AC10" i="37" s="1"/>
  <c r="AH87" i="37"/>
  <c r="AC87" i="37" s="1"/>
  <c r="AH54" i="37"/>
  <c r="AC54" i="37" s="1"/>
  <c r="AH63" i="37"/>
  <c r="AC63" i="37" s="1"/>
  <c r="AH16" i="37"/>
  <c r="AC16" i="37" s="1"/>
  <c r="AH41" i="37"/>
  <c r="AC41" i="37" s="1"/>
  <c r="AH82" i="37"/>
  <c r="AC82" i="37" s="1"/>
  <c r="AH6" i="37"/>
  <c r="AC6" i="37" s="1"/>
  <c r="AH104" i="37"/>
  <c r="AC104" i="37" s="1"/>
  <c r="AH61" i="37"/>
  <c r="AC61" i="37" s="1"/>
  <c r="AH49" i="37"/>
  <c r="AC49" i="37" s="1"/>
  <c r="AH18" i="37"/>
  <c r="AC18" i="37" s="1"/>
  <c r="AH34" i="37"/>
  <c r="AC34" i="37" s="1"/>
  <c r="AH72" i="37"/>
  <c r="AC72" i="37" s="1"/>
  <c r="AH109" i="37"/>
  <c r="AC109" i="37" s="1"/>
  <c r="AH26" i="37"/>
  <c r="AC26" i="37" s="1"/>
  <c r="AH53" i="37"/>
  <c r="AC53" i="37" s="1"/>
  <c r="AH113" i="37"/>
  <c r="AC113" i="37" s="1"/>
  <c r="AH22" i="37"/>
  <c r="AC22" i="37" s="1"/>
  <c r="AH20" i="37"/>
  <c r="AC20" i="37" s="1"/>
  <c r="AH91" i="37"/>
  <c r="AC91" i="37" s="1"/>
  <c r="AH80" i="37"/>
  <c r="AC80" i="37" s="1"/>
  <c r="AH106" i="37"/>
  <c r="AC106" i="37" s="1"/>
  <c r="AH105" i="37"/>
  <c r="AC105" i="37" s="1"/>
  <c r="AH8" i="37"/>
  <c r="AC8" i="37" s="1"/>
  <c r="AH13" i="37"/>
  <c r="AC13" i="37" s="1"/>
  <c r="AH4" i="37"/>
  <c r="AC4" i="37" s="1"/>
  <c r="AH59" i="37"/>
  <c r="AC59" i="37" s="1"/>
  <c r="AH45" i="37"/>
  <c r="AC45" i="37" s="1"/>
  <c r="AH42" i="37"/>
  <c r="AC42" i="37" s="1"/>
  <c r="AH32" i="37"/>
  <c r="AC32" i="37" s="1"/>
  <c r="AH64" i="37"/>
  <c r="AC64" i="37" s="1"/>
  <c r="AH84" i="37"/>
  <c r="AC84" i="37" s="1"/>
  <c r="AH86" i="37"/>
  <c r="AC86" i="37" s="1"/>
  <c r="AH90" i="37"/>
  <c r="AC90" i="37" s="1"/>
  <c r="AH3" i="37"/>
  <c r="AC3" i="37" s="1"/>
  <c r="AH21" i="37"/>
  <c r="AC21" i="37" s="1"/>
  <c r="AH44" i="37"/>
  <c r="AC44" i="37" s="1"/>
  <c r="AH5" i="37"/>
  <c r="AC5" i="37" s="1"/>
  <c r="AH112" i="37"/>
  <c r="AC112" i="37" s="1"/>
  <c r="AH47" i="37"/>
  <c r="AC47" i="37" s="1"/>
  <c r="AH23" i="37"/>
  <c r="AC23" i="37" s="1"/>
  <c r="AH40" i="37"/>
  <c r="AC40" i="37" s="1"/>
  <c r="AH33" i="37"/>
  <c r="AC33" i="37" s="1"/>
  <c r="AH69" i="37"/>
  <c r="AC69" i="37" s="1"/>
  <c r="AH11" i="37"/>
  <c r="AC11" i="37" s="1"/>
  <c r="AH68" i="37"/>
  <c r="AC68" i="37" s="1"/>
  <c r="AH50" i="37"/>
  <c r="AC50" i="37" s="1"/>
  <c r="AH107" i="37"/>
  <c r="AC107" i="37" s="1"/>
  <c r="AH102" i="37"/>
  <c r="AC102" i="37" s="1"/>
  <c r="AH58" i="37"/>
  <c r="AC58" i="37" s="1"/>
  <c r="AH93" i="37"/>
  <c r="AC93" i="37" s="1"/>
  <c r="AH100" i="37"/>
  <c r="AC100" i="37" s="1"/>
  <c r="AH99" i="37"/>
  <c r="AC99" i="37" s="1"/>
  <c r="AH79" i="37"/>
  <c r="AC79" i="37" s="1"/>
  <c r="AH98" i="37"/>
  <c r="AC98" i="37" s="1"/>
  <c r="AH96" i="37"/>
  <c r="AC96" i="37" s="1"/>
  <c r="AH29" i="37"/>
  <c r="AC29" i="37" s="1"/>
  <c r="AH15" i="37"/>
  <c r="AC15" i="37" s="1"/>
  <c r="AH12" i="37"/>
  <c r="AC12" i="37" s="1"/>
  <c r="AH60" i="37"/>
  <c r="AC60" i="37" s="1"/>
  <c r="AH35" i="37"/>
  <c r="AC35" i="37" s="1"/>
  <c r="AH51" i="37"/>
  <c r="AC51" i="37" s="1"/>
  <c r="AH70" i="37"/>
  <c r="AC70" i="37" s="1"/>
  <c r="AH75" i="37"/>
  <c r="AC75" i="37" s="1"/>
  <c r="AH39" i="37"/>
  <c r="AC39" i="37" s="1"/>
  <c r="AH25" i="37"/>
  <c r="AC25" i="37" s="1"/>
  <c r="AH55" i="37"/>
  <c r="AC55" i="37" s="1"/>
  <c r="AH85" i="37"/>
  <c r="AC85" i="37" s="1"/>
  <c r="AH111" i="37"/>
  <c r="AC111" i="37" s="1"/>
  <c r="AH36" i="37"/>
  <c r="AC36" i="37" s="1"/>
  <c r="AH27" i="37"/>
  <c r="AC27" i="37" s="1"/>
  <c r="AH66" i="37"/>
  <c r="AC66" i="37" s="1"/>
  <c r="AH31" i="37"/>
  <c r="AC31" i="37" s="1"/>
  <c r="AH17" i="37"/>
  <c r="AC17" i="37" s="1"/>
  <c r="AH56" i="37"/>
  <c r="AC56" i="37" s="1"/>
  <c r="AH2" i="37"/>
  <c r="AC2" i="37" s="1"/>
  <c r="AH88" i="37"/>
  <c r="AC88" i="37" s="1"/>
  <c r="AH74" i="37"/>
  <c r="AC74" i="37" s="1"/>
  <c r="AH78" i="37"/>
  <c r="AC78" i="37" s="1"/>
  <c r="AH81" i="37"/>
  <c r="AC81" i="37" s="1"/>
  <c r="AH89" i="37"/>
  <c r="AC89" i="37" s="1"/>
  <c r="AH92" i="37"/>
  <c r="AC92" i="37" s="1"/>
  <c r="AH110" i="37"/>
  <c r="AC110" i="37" s="1"/>
  <c r="AH52" i="37"/>
  <c r="AC52" i="37" s="1"/>
  <c r="AH71" i="37"/>
  <c r="AC71" i="37" s="1"/>
  <c r="AH9" i="37"/>
  <c r="AC9" i="37" s="1"/>
  <c r="AH62" i="37"/>
  <c r="AC62" i="37" s="1"/>
  <c r="AH30" i="37"/>
  <c r="AC30" i="37" s="1"/>
  <c r="AH76" i="37"/>
  <c r="AC76" i="37" s="1"/>
  <c r="AH57" i="37"/>
  <c r="AC57" i="37" s="1"/>
  <c r="AH65" i="37"/>
  <c r="AC65" i="37" s="1"/>
  <c r="W16" i="35"/>
  <c r="S16" i="35"/>
  <c r="U16" i="35" s="1"/>
  <c r="W13" i="35"/>
  <c r="T13" i="35"/>
  <c r="V13" i="35" s="1"/>
  <c r="S13" i="35"/>
  <c r="U13" i="35" s="1"/>
  <c r="W9" i="35"/>
  <c r="S9" i="35"/>
  <c r="U9" i="35" s="1"/>
  <c r="W2" i="35"/>
  <c r="S2" i="35"/>
  <c r="U2" i="35" s="1"/>
  <c r="M2" i="35"/>
  <c r="W11" i="35"/>
  <c r="S11" i="35"/>
  <c r="U11" i="35" s="1"/>
  <c r="W8" i="35"/>
  <c r="T8" i="35"/>
  <c r="V8" i="35" s="1"/>
  <c r="S8" i="35"/>
  <c r="U8" i="35" s="1"/>
  <c r="W15" i="35"/>
  <c r="S15" i="35"/>
  <c r="U15" i="35" s="1"/>
  <c r="W3" i="35"/>
  <c r="T3" i="35"/>
  <c r="V3" i="35" s="1"/>
  <c r="S3" i="35"/>
  <c r="U3" i="35" s="1"/>
  <c r="W17" i="35"/>
  <c r="S17" i="35"/>
  <c r="U17" i="35" s="1"/>
  <c r="M17" i="35"/>
  <c r="W5" i="35"/>
  <c r="T5" i="35"/>
  <c r="V5" i="35" s="1"/>
  <c r="S5" i="35"/>
  <c r="U5" i="35" s="1"/>
  <c r="S12" i="35"/>
  <c r="U12" i="35" s="1"/>
  <c r="W4" i="35"/>
  <c r="T4" i="35"/>
  <c r="V4" i="35" s="1"/>
  <c r="S4" i="35"/>
  <c r="U4" i="35" s="1"/>
  <c r="Q4" i="35"/>
  <c r="M4" i="35"/>
  <c r="L4" i="35"/>
  <c r="C1" i="37" l="1"/>
  <c r="B1" i="37" s="1"/>
  <c r="AB28" i="37"/>
  <c r="AB108" i="37"/>
  <c r="AB7" i="37"/>
  <c r="AB43" i="37"/>
  <c r="AB73" i="37"/>
  <c r="AB37" i="37"/>
  <c r="AB101" i="37"/>
  <c r="AB95" i="37"/>
  <c r="AB46" i="37"/>
  <c r="AB48" i="37"/>
  <c r="AB77" i="37"/>
  <c r="AB14" i="37"/>
  <c r="AB38" i="37"/>
  <c r="AB97" i="37"/>
  <c r="AB19" i="37"/>
  <c r="AB103" i="37"/>
  <c r="AB76" i="37"/>
  <c r="AB89" i="37"/>
  <c r="AB31" i="37"/>
  <c r="AB39" i="37"/>
  <c r="AB68" i="37"/>
  <c r="AB66" i="37"/>
  <c r="AB24" i="37"/>
  <c r="AB11" i="37"/>
  <c r="AB84" i="37"/>
  <c r="AB80" i="37"/>
  <c r="AB45" i="37"/>
  <c r="AB27" i="37"/>
  <c r="AB75" i="37"/>
  <c r="AB15" i="37"/>
  <c r="AB93" i="37"/>
  <c r="AB69" i="37"/>
  <c r="AB21" i="37"/>
  <c r="AB91" i="37"/>
  <c r="AB78" i="37"/>
  <c r="AB9" i="37"/>
  <c r="AB74" i="37"/>
  <c r="AB70" i="37"/>
  <c r="AB99" i="37"/>
  <c r="AB58" i="37"/>
  <c r="AB33" i="37"/>
  <c r="AB34" i="37"/>
  <c r="AB71" i="37"/>
  <c r="AB111" i="37"/>
  <c r="AB51" i="37"/>
  <c r="AB40" i="37"/>
  <c r="AB32" i="37"/>
  <c r="AB81" i="37"/>
  <c r="AB52" i="37"/>
  <c r="AB29" i="37"/>
  <c r="AB102" i="37"/>
  <c r="AB23" i="37"/>
  <c r="AB3" i="37"/>
  <c r="AB42" i="37"/>
  <c r="AB22" i="37"/>
  <c r="AB62" i="37"/>
  <c r="AB2" i="37"/>
  <c r="AB56" i="37"/>
  <c r="AB96" i="37"/>
  <c r="AB107" i="37"/>
  <c r="AB5" i="37"/>
  <c r="AB90" i="37"/>
  <c r="AB8" i="37"/>
  <c r="AB30" i="37"/>
  <c r="AB88" i="37"/>
  <c r="AB110" i="37"/>
  <c r="AB60" i="37"/>
  <c r="AB92" i="37"/>
  <c r="AB12" i="37"/>
  <c r="AB50" i="37"/>
  <c r="AB47" i="37"/>
  <c r="AB105" i="37"/>
  <c r="AB113" i="37"/>
  <c r="AB35" i="37"/>
  <c r="AB17" i="37"/>
  <c r="AB26" i="37"/>
  <c r="AB4" i="37"/>
  <c r="AB67" i="37"/>
  <c r="AB83" i="37"/>
  <c r="AB53" i="37"/>
  <c r="AB100" i="37"/>
  <c r="AB85" i="37"/>
  <c r="AB6" i="37"/>
  <c r="AB18" i="37"/>
  <c r="AB16" i="37"/>
  <c r="AB61" i="37"/>
  <c r="AB36" i="37"/>
  <c r="AB57" i="37"/>
  <c r="AB25" i="37"/>
  <c r="AB98" i="37"/>
  <c r="AB109" i="37"/>
  <c r="AB72" i="37"/>
  <c r="AB49" i="37"/>
  <c r="AB112" i="37"/>
  <c r="AB44" i="37"/>
  <c r="AB63" i="37"/>
  <c r="AB13" i="37"/>
  <c r="AB65" i="37"/>
  <c r="AB64" i="37"/>
  <c r="AB94" i="37"/>
  <c r="AB82" i="37"/>
  <c r="AB20" i="37"/>
  <c r="AB41" i="37"/>
  <c r="AB87" i="37"/>
  <c r="AB55" i="37"/>
  <c r="AB54" i="37"/>
  <c r="AB79" i="37"/>
  <c r="AB59" i="37"/>
  <c r="AB86" i="37"/>
  <c r="AB104" i="37"/>
  <c r="AB10" i="37"/>
  <c r="AB106" i="37"/>
  <c r="W14" i="35"/>
  <c r="S14" i="35"/>
  <c r="U14" i="35" s="1"/>
  <c r="M14" i="35"/>
  <c r="L14" i="35"/>
  <c r="W7" i="35"/>
  <c r="T7" i="35"/>
  <c r="V7" i="35" s="1"/>
  <c r="S7" i="35"/>
  <c r="U7" i="35" s="1"/>
  <c r="M7" i="35"/>
  <c r="L7" i="35"/>
  <c r="W10" i="35"/>
  <c r="S10" i="35"/>
  <c r="U10" i="35" s="1"/>
  <c r="M10" i="35"/>
  <c r="L10" i="35"/>
  <c r="W6" i="35"/>
  <c r="T6" i="35"/>
  <c r="V6" i="35" s="1"/>
  <c r="AJ4" i="35" s="1"/>
  <c r="S6" i="35"/>
  <c r="U6" i="35" s="1"/>
  <c r="M6" i="35"/>
  <c r="L6" i="35"/>
  <c r="T9" i="35"/>
  <c r="V9" i="35" s="1"/>
  <c r="W12" i="35"/>
  <c r="AJ9" i="35" l="1"/>
  <c r="AJ3" i="35"/>
  <c r="AJ12" i="35"/>
  <c r="AJ5" i="35"/>
  <c r="AJ17" i="35"/>
  <c r="AJ16" i="35"/>
  <c r="AJ6" i="35"/>
  <c r="AJ13" i="35"/>
  <c r="AJ2" i="35"/>
  <c r="AJ14" i="35"/>
  <c r="AJ15" i="35"/>
  <c r="AJ7" i="35"/>
  <c r="AJ11" i="35"/>
  <c r="AJ10" i="35"/>
  <c r="AJ8" i="35"/>
  <c r="X7" i="35"/>
  <c r="X6" i="35"/>
  <c r="X10" i="35"/>
  <c r="X14" i="35"/>
  <c r="X4" i="35"/>
  <c r="X12" i="35"/>
  <c r="X17" i="35"/>
  <c r="X5" i="35"/>
  <c r="X15" i="35"/>
  <c r="X3" i="35"/>
  <c r="X11" i="35"/>
  <c r="X8" i="35"/>
  <c r="X2" i="35"/>
  <c r="X9" i="35"/>
  <c r="X13" i="35"/>
  <c r="X16" i="35"/>
  <c r="Q1" i="36"/>
  <c r="O1" i="36"/>
  <c r="N1" i="36"/>
  <c r="L1" i="36"/>
  <c r="R1" i="36" l="1"/>
  <c r="AD16" i="35"/>
  <c r="AC16" i="35"/>
  <c r="O16" i="35"/>
  <c r="R16" i="35"/>
  <c r="AD13" i="35"/>
  <c r="AC13" i="35"/>
  <c r="O13" i="35"/>
  <c r="N13" i="35"/>
  <c r="AD9" i="35"/>
  <c r="AC9" i="35"/>
  <c r="O9" i="35"/>
  <c r="AD2" i="35"/>
  <c r="AC2" i="35"/>
  <c r="R2" i="35"/>
  <c r="O2" i="35"/>
  <c r="N2" i="35"/>
  <c r="AD8" i="35"/>
  <c r="AC8" i="35"/>
  <c r="R8" i="35"/>
  <c r="O8" i="35"/>
  <c r="N8" i="35"/>
  <c r="AD11" i="35"/>
  <c r="AC11" i="35"/>
  <c r="R11" i="35"/>
  <c r="O11" i="35"/>
  <c r="N11" i="35"/>
  <c r="AD3" i="35"/>
  <c r="AC3" i="35"/>
  <c r="R3" i="35"/>
  <c r="O3" i="35"/>
  <c r="N3" i="35"/>
  <c r="AD15" i="35"/>
  <c r="AC15" i="35"/>
  <c r="O15" i="35"/>
  <c r="N15" i="35"/>
  <c r="R15" i="35"/>
  <c r="AD5" i="35"/>
  <c r="AC5" i="35"/>
  <c r="R5" i="35"/>
  <c r="O5" i="35"/>
  <c r="N5" i="35"/>
  <c r="AD17" i="35"/>
  <c r="AC17" i="35"/>
  <c r="R17" i="35"/>
  <c r="O17" i="35"/>
  <c r="N17" i="35"/>
  <c r="AD12" i="35"/>
  <c r="AC12" i="35"/>
  <c r="R12" i="35"/>
  <c r="N12" i="35"/>
  <c r="O12" i="35"/>
  <c r="AD4" i="35"/>
  <c r="AC4" i="35"/>
  <c r="R4" i="35"/>
  <c r="O4" i="35"/>
  <c r="N4" i="35"/>
  <c r="AD7" i="35"/>
  <c r="AC7" i="35"/>
  <c r="R7" i="35"/>
  <c r="N7" i="35"/>
  <c r="O7" i="35"/>
  <c r="AD14" i="35"/>
  <c r="AC14" i="35"/>
  <c r="R14" i="35"/>
  <c r="O14" i="35"/>
  <c r="N14" i="35"/>
  <c r="AD6" i="35"/>
  <c r="AC6" i="35"/>
  <c r="R6" i="35"/>
  <c r="O6" i="35"/>
  <c r="N6" i="35"/>
  <c r="AD10" i="35"/>
  <c r="AC10" i="35"/>
  <c r="N10" i="35"/>
  <c r="O10" i="35"/>
  <c r="R10" i="35"/>
  <c r="AN1" i="35"/>
  <c r="P13" i="35" l="1"/>
  <c r="P8" i="35"/>
  <c r="P14" i="35"/>
  <c r="P6" i="35"/>
  <c r="AK17" i="35"/>
  <c r="AK14" i="35"/>
  <c r="P4" i="35"/>
  <c r="AK5" i="35"/>
  <c r="AF12" i="35"/>
  <c r="AI4" i="35"/>
  <c r="AF3" i="35"/>
  <c r="AK16" i="35"/>
  <c r="AF9" i="35"/>
  <c r="AF5" i="35"/>
  <c r="AF4" i="35"/>
  <c r="AF10" i="35"/>
  <c r="AK4" i="35"/>
  <c r="AF13" i="35"/>
  <c r="AI15" i="35"/>
  <c r="P10" i="35"/>
  <c r="AF14" i="35"/>
  <c r="AI9" i="35"/>
  <c r="AK13" i="35"/>
  <c r="AK15" i="35"/>
  <c r="AI13" i="35"/>
  <c r="AF16" i="35"/>
  <c r="AF15" i="35"/>
  <c r="AI11" i="35"/>
  <c r="AK7" i="35"/>
  <c r="AI12" i="35"/>
  <c r="AI3" i="35"/>
  <c r="AK11" i="35"/>
  <c r="AF8" i="35"/>
  <c r="AK8" i="35"/>
  <c r="P12" i="35"/>
  <c r="AK6" i="35"/>
  <c r="AF6" i="35"/>
  <c r="AI14" i="35"/>
  <c r="AF7" i="35"/>
  <c r="P11" i="35"/>
  <c r="R9" i="35"/>
  <c r="N9" i="35"/>
  <c r="AI7" i="35"/>
  <c r="AI6" i="35"/>
  <c r="AI17" i="35"/>
  <c r="P7" i="35"/>
  <c r="AF17" i="35"/>
  <c r="AI5" i="35"/>
  <c r="AF11" i="35"/>
  <c r="AI16" i="35"/>
  <c r="AI10" i="35"/>
  <c r="P17" i="35"/>
  <c r="R13" i="35"/>
  <c r="AK10" i="35"/>
  <c r="AK12" i="35"/>
  <c r="P3" i="35"/>
  <c r="AK3" i="35"/>
  <c r="AK9" i="35"/>
  <c r="P5" i="35"/>
  <c r="AI2" i="35"/>
  <c r="N16" i="35"/>
  <c r="AF2" i="35"/>
  <c r="AK2" i="35"/>
  <c r="P15" i="35"/>
  <c r="AI8" i="35"/>
  <c r="P2" i="35"/>
  <c r="J18" i="18"/>
  <c r="AA26" i="34"/>
  <c r="AA24" i="34"/>
  <c r="AG12" i="34"/>
  <c r="AF12" i="34"/>
  <c r="AD12" i="34"/>
  <c r="AC12" i="34"/>
  <c r="T12" i="34"/>
  <c r="S12" i="34"/>
  <c r="Q12" i="34"/>
  <c r="P12" i="34"/>
  <c r="G12" i="34"/>
  <c r="F12" i="34"/>
  <c r="D12" i="34"/>
  <c r="C12" i="34"/>
  <c r="AG1" i="34"/>
  <c r="AF1" i="34"/>
  <c r="AD1" i="34"/>
  <c r="AC1" i="34"/>
  <c r="T1" i="34"/>
  <c r="S1" i="34"/>
  <c r="Q1" i="34"/>
  <c r="P1" i="34"/>
  <c r="G1" i="34"/>
  <c r="F1" i="34"/>
  <c r="D1" i="34"/>
  <c r="C1" i="34"/>
  <c r="AM97" i="33"/>
  <c r="AC97" i="33"/>
  <c r="AB97" i="33"/>
  <c r="W97" i="33"/>
  <c r="V97" i="33"/>
  <c r="T97" i="33"/>
  <c r="R97" i="33"/>
  <c r="M97" i="33"/>
  <c r="O97" i="33" s="1"/>
  <c r="L97" i="33"/>
  <c r="AM96" i="33"/>
  <c r="AC96" i="33"/>
  <c r="AB96" i="33"/>
  <c r="W96" i="33"/>
  <c r="T96" i="33"/>
  <c r="V96" i="33" s="1"/>
  <c r="R96" i="33"/>
  <c r="M96" i="33"/>
  <c r="O96" i="33" s="1"/>
  <c r="L96" i="33"/>
  <c r="N96" i="33" s="1"/>
  <c r="AM95" i="33"/>
  <c r="AC95" i="33"/>
  <c r="AB95" i="33"/>
  <c r="W95" i="33"/>
  <c r="U95" i="33"/>
  <c r="T95" i="33"/>
  <c r="V95" i="33" s="1"/>
  <c r="R95" i="33"/>
  <c r="S95" i="33" s="1"/>
  <c r="O95" i="33"/>
  <c r="M95" i="33"/>
  <c r="L95" i="33"/>
  <c r="N95" i="33" s="1"/>
  <c r="AM94" i="33"/>
  <c r="AC94" i="33"/>
  <c r="AB94" i="33"/>
  <c r="U94" i="33"/>
  <c r="W94" i="33" s="1"/>
  <c r="T94" i="33"/>
  <c r="V94" i="33" s="1"/>
  <c r="M94" i="33"/>
  <c r="O94" i="33" s="1"/>
  <c r="L94" i="33"/>
  <c r="AM93" i="33"/>
  <c r="AC93" i="33"/>
  <c r="AB93" i="33"/>
  <c r="U93" i="33"/>
  <c r="W93" i="33" s="1"/>
  <c r="T93" i="33"/>
  <c r="V93" i="33" s="1"/>
  <c r="M93" i="33"/>
  <c r="O93" i="33" s="1"/>
  <c r="L93" i="33"/>
  <c r="AM92" i="33"/>
  <c r="AC92" i="33"/>
  <c r="AB92" i="33"/>
  <c r="U92" i="33"/>
  <c r="W92" i="33" s="1"/>
  <c r="T92" i="33"/>
  <c r="V92" i="33" s="1"/>
  <c r="M92" i="33"/>
  <c r="O92" i="33" s="1"/>
  <c r="L92" i="33"/>
  <c r="N92" i="33" s="1"/>
  <c r="AM91" i="33"/>
  <c r="AC91" i="33"/>
  <c r="AB91" i="33"/>
  <c r="W91" i="33"/>
  <c r="U91" i="33"/>
  <c r="T91" i="33"/>
  <c r="V91" i="33" s="1"/>
  <c r="O91" i="33"/>
  <c r="N91" i="33"/>
  <c r="M91" i="33"/>
  <c r="L91" i="33"/>
  <c r="S91" i="33" s="1"/>
  <c r="AM90" i="33"/>
  <c r="AC90" i="33"/>
  <c r="AB90" i="33"/>
  <c r="U90" i="33"/>
  <c r="W90" i="33" s="1"/>
  <c r="T90" i="33"/>
  <c r="V90" i="33" s="1"/>
  <c r="M90" i="33"/>
  <c r="O90" i="33" s="1"/>
  <c r="L90" i="33"/>
  <c r="AM89" i="33"/>
  <c r="AC89" i="33"/>
  <c r="AB89" i="33"/>
  <c r="U89" i="33"/>
  <c r="W89" i="33" s="1"/>
  <c r="T89" i="33"/>
  <c r="V89" i="33" s="1"/>
  <c r="S89" i="33"/>
  <c r="M89" i="33"/>
  <c r="O89" i="33" s="1"/>
  <c r="L89" i="33"/>
  <c r="AM88" i="33"/>
  <c r="AC88" i="33"/>
  <c r="AB88" i="33"/>
  <c r="V88" i="33"/>
  <c r="U88" i="33"/>
  <c r="W88" i="33" s="1"/>
  <c r="T88" i="33"/>
  <c r="S88" i="33"/>
  <c r="M88" i="33"/>
  <c r="O88" i="33" s="1"/>
  <c r="L88" i="33"/>
  <c r="N88" i="33" s="1"/>
  <c r="AM87" i="33"/>
  <c r="AC87" i="33"/>
  <c r="AB87" i="33"/>
  <c r="U87" i="33"/>
  <c r="W87" i="33" s="1"/>
  <c r="T87" i="33"/>
  <c r="V87" i="33" s="1"/>
  <c r="M87" i="33"/>
  <c r="O87" i="33" s="1"/>
  <c r="L87" i="33"/>
  <c r="S87" i="33" s="1"/>
  <c r="AM86" i="33"/>
  <c r="AC86" i="33"/>
  <c r="AB86" i="33"/>
  <c r="V86" i="33"/>
  <c r="U86" i="33"/>
  <c r="W86" i="33" s="1"/>
  <c r="T86" i="33"/>
  <c r="N86" i="33"/>
  <c r="M86" i="33"/>
  <c r="O86" i="33" s="1"/>
  <c r="L86" i="33"/>
  <c r="AM85" i="33"/>
  <c r="AC85" i="33"/>
  <c r="AB85" i="33"/>
  <c r="U85" i="33"/>
  <c r="W85" i="33" s="1"/>
  <c r="T85" i="33"/>
  <c r="V85" i="33" s="1"/>
  <c r="M85" i="33"/>
  <c r="O85" i="33" s="1"/>
  <c r="L85" i="33"/>
  <c r="AM84" i="33"/>
  <c r="AC84" i="33"/>
  <c r="AB84" i="33"/>
  <c r="V84" i="33"/>
  <c r="U84" i="33"/>
  <c r="W84" i="33" s="1"/>
  <c r="T84" i="33"/>
  <c r="M84" i="33"/>
  <c r="O84" i="33" s="1"/>
  <c r="L84" i="33"/>
  <c r="N84" i="33" s="1"/>
  <c r="AM83" i="33"/>
  <c r="AC83" i="33"/>
  <c r="AB83" i="33"/>
  <c r="U83" i="33"/>
  <c r="W83" i="33" s="1"/>
  <c r="T83" i="33"/>
  <c r="V83" i="33" s="1"/>
  <c r="S83" i="33"/>
  <c r="N83" i="33"/>
  <c r="M83" i="33"/>
  <c r="P83" i="33" s="1"/>
  <c r="Q83" i="33" s="1"/>
  <c r="AM82" i="33"/>
  <c r="AC82" i="33"/>
  <c r="AB82" i="33"/>
  <c r="U82" i="33"/>
  <c r="W82" i="33" s="1"/>
  <c r="T82" i="33"/>
  <c r="V82" i="33" s="1"/>
  <c r="M82" i="33"/>
  <c r="O82" i="33" s="1"/>
  <c r="L82" i="33"/>
  <c r="AM81" i="33"/>
  <c r="AC81" i="33"/>
  <c r="AB81" i="33"/>
  <c r="U81" i="33"/>
  <c r="W81" i="33" s="1"/>
  <c r="T81" i="33"/>
  <c r="V81" i="33" s="1"/>
  <c r="S81" i="33"/>
  <c r="M81" i="33"/>
  <c r="O81" i="33" s="1"/>
  <c r="L81" i="33"/>
  <c r="AM80" i="33"/>
  <c r="AC80" i="33"/>
  <c r="AB80" i="33"/>
  <c r="U80" i="33"/>
  <c r="W80" i="33" s="1"/>
  <c r="T80" i="33"/>
  <c r="V80" i="33" s="1"/>
  <c r="M80" i="33"/>
  <c r="O80" i="33" s="1"/>
  <c r="L80" i="33"/>
  <c r="N80" i="33" s="1"/>
  <c r="AM79" i="33"/>
  <c r="AC79" i="33"/>
  <c r="AB79" i="33"/>
  <c r="W79" i="33"/>
  <c r="V79" i="33"/>
  <c r="U79" i="33"/>
  <c r="T79" i="33"/>
  <c r="S79" i="33"/>
  <c r="N79" i="33"/>
  <c r="M79" i="33"/>
  <c r="P79" i="33" s="1"/>
  <c r="Q79" i="33" s="1"/>
  <c r="AM78" i="33"/>
  <c r="AC78" i="33"/>
  <c r="AB78" i="33"/>
  <c r="U78" i="33"/>
  <c r="W78" i="33" s="1"/>
  <c r="T78" i="33"/>
  <c r="V78" i="33" s="1"/>
  <c r="R78" i="33"/>
  <c r="M78" i="33"/>
  <c r="O78" i="33" s="1"/>
  <c r="L78" i="33"/>
  <c r="AM77" i="33"/>
  <c r="AC77" i="33"/>
  <c r="AB77" i="33"/>
  <c r="U77" i="33"/>
  <c r="W77" i="33" s="1"/>
  <c r="T77" i="33"/>
  <c r="V77" i="33" s="1"/>
  <c r="M77" i="33"/>
  <c r="O77" i="33" s="1"/>
  <c r="L77" i="33"/>
  <c r="AM76" i="33"/>
  <c r="AC76" i="33"/>
  <c r="AB76" i="33"/>
  <c r="U76" i="33"/>
  <c r="W76" i="33" s="1"/>
  <c r="T76" i="33"/>
  <c r="V76" i="33" s="1"/>
  <c r="O76" i="33"/>
  <c r="M76" i="33"/>
  <c r="P76" i="33" s="1"/>
  <c r="Q76" i="33" s="1"/>
  <c r="L76" i="33"/>
  <c r="S76" i="33" s="1"/>
  <c r="AM75" i="33"/>
  <c r="AC75" i="33"/>
  <c r="AB75" i="33"/>
  <c r="W75" i="33"/>
  <c r="U75" i="33"/>
  <c r="T75" i="33"/>
  <c r="V75" i="33" s="1"/>
  <c r="S75" i="33"/>
  <c r="P75" i="33"/>
  <c r="Q75" i="33" s="1"/>
  <c r="O75" i="33"/>
  <c r="N75" i="33"/>
  <c r="AM74" i="33"/>
  <c r="AC74" i="33"/>
  <c r="AB74" i="33"/>
  <c r="U74" i="33"/>
  <c r="W74" i="33" s="1"/>
  <c r="T74" i="33"/>
  <c r="V74" i="33" s="1"/>
  <c r="S74" i="33"/>
  <c r="P74" i="33"/>
  <c r="Q74" i="33" s="1"/>
  <c r="O74" i="33"/>
  <c r="N74" i="33"/>
  <c r="AM73" i="33"/>
  <c r="AC73" i="33"/>
  <c r="AB73" i="33"/>
  <c r="V73" i="33"/>
  <c r="U73" i="33"/>
  <c r="W73" i="33" s="1"/>
  <c r="T73" i="33"/>
  <c r="S73" i="33"/>
  <c r="N73" i="33"/>
  <c r="M73" i="33"/>
  <c r="P73" i="33" s="1"/>
  <c r="Q73" i="33" s="1"/>
  <c r="AM72" i="33"/>
  <c r="AC72" i="33"/>
  <c r="AB72" i="33"/>
  <c r="U72" i="33"/>
  <c r="W72" i="33" s="1"/>
  <c r="T72" i="33"/>
  <c r="V72" i="33" s="1"/>
  <c r="S72" i="33"/>
  <c r="N72" i="33"/>
  <c r="M72" i="33"/>
  <c r="O72" i="33" s="1"/>
  <c r="AM71" i="33"/>
  <c r="AC71" i="33"/>
  <c r="AB71" i="33"/>
  <c r="W71" i="33"/>
  <c r="U71" i="33"/>
  <c r="T71" i="33"/>
  <c r="V71" i="33" s="1"/>
  <c r="M71" i="33"/>
  <c r="O71" i="33" s="1"/>
  <c r="L71" i="33"/>
  <c r="S71" i="33" s="1"/>
  <c r="AM70" i="33"/>
  <c r="AC70" i="33"/>
  <c r="AB70" i="33"/>
  <c r="U70" i="33"/>
  <c r="W70" i="33" s="1"/>
  <c r="T70" i="33"/>
  <c r="V70" i="33" s="1"/>
  <c r="O70" i="33"/>
  <c r="M70" i="33"/>
  <c r="L70" i="33"/>
  <c r="S70" i="33" s="1"/>
  <c r="AM69" i="33"/>
  <c r="AC69" i="33"/>
  <c r="AB69" i="33"/>
  <c r="U69" i="33"/>
  <c r="W69" i="33" s="1"/>
  <c r="T69" i="33"/>
  <c r="V69" i="33" s="1"/>
  <c r="M69" i="33"/>
  <c r="O69" i="33" s="1"/>
  <c r="L69" i="33"/>
  <c r="AM68" i="33"/>
  <c r="AC68" i="33"/>
  <c r="AB68" i="33"/>
  <c r="U68" i="33"/>
  <c r="W68" i="33" s="1"/>
  <c r="T68" i="33"/>
  <c r="V68" i="33" s="1"/>
  <c r="S68" i="33"/>
  <c r="M68" i="33"/>
  <c r="L68" i="33"/>
  <c r="N68" i="33" s="1"/>
  <c r="AM67" i="33"/>
  <c r="AC67" i="33"/>
  <c r="AB67" i="33"/>
  <c r="W67" i="33"/>
  <c r="U67" i="33"/>
  <c r="T67" i="33"/>
  <c r="V67" i="33" s="1"/>
  <c r="M67" i="33"/>
  <c r="L67" i="33"/>
  <c r="S67" i="33" s="1"/>
  <c r="AM66" i="33"/>
  <c r="AC66" i="33"/>
  <c r="AB66" i="33"/>
  <c r="U66" i="33"/>
  <c r="W66" i="33" s="1"/>
  <c r="T66" i="33"/>
  <c r="V66" i="33" s="1"/>
  <c r="O66" i="33"/>
  <c r="M66" i="33"/>
  <c r="L66" i="33"/>
  <c r="AM65" i="33"/>
  <c r="AC65" i="33"/>
  <c r="AB65" i="33"/>
  <c r="U65" i="33"/>
  <c r="W65" i="33" s="1"/>
  <c r="T65" i="33"/>
  <c r="V65" i="33" s="1"/>
  <c r="S65" i="33"/>
  <c r="N65" i="33"/>
  <c r="M65" i="33"/>
  <c r="P65" i="33" s="1"/>
  <c r="Q65" i="33" s="1"/>
  <c r="AM64" i="33"/>
  <c r="AC64" i="33"/>
  <c r="AB64" i="33"/>
  <c r="U64" i="33"/>
  <c r="W64" i="33" s="1"/>
  <c r="T64" i="33"/>
  <c r="V64" i="33" s="1"/>
  <c r="M64" i="33"/>
  <c r="O64" i="33" s="1"/>
  <c r="L64" i="33"/>
  <c r="N64" i="33" s="1"/>
  <c r="AM63" i="33"/>
  <c r="AC63" i="33"/>
  <c r="AB63" i="33"/>
  <c r="U63" i="33"/>
  <c r="W63" i="33" s="1"/>
  <c r="T63" i="33"/>
  <c r="V63" i="33" s="1"/>
  <c r="R63" i="33"/>
  <c r="M63" i="33"/>
  <c r="L63" i="33"/>
  <c r="N63" i="33" s="1"/>
  <c r="AM62" i="33"/>
  <c r="AC62" i="33"/>
  <c r="AB62" i="33"/>
  <c r="V62" i="33"/>
  <c r="U62" i="33"/>
  <c r="W62" i="33" s="1"/>
  <c r="T62" i="33"/>
  <c r="M62" i="33"/>
  <c r="O62" i="33" s="1"/>
  <c r="L62" i="33"/>
  <c r="AM61" i="33"/>
  <c r="AC61" i="33"/>
  <c r="AB61" i="33"/>
  <c r="U61" i="33"/>
  <c r="W61" i="33" s="1"/>
  <c r="T61" i="33"/>
  <c r="V61" i="33" s="1"/>
  <c r="M61" i="33"/>
  <c r="O61" i="33" s="1"/>
  <c r="L61" i="33"/>
  <c r="S61" i="33" s="1"/>
  <c r="AM60" i="33"/>
  <c r="AC60" i="33"/>
  <c r="AB60" i="33"/>
  <c r="U60" i="33"/>
  <c r="W60" i="33" s="1"/>
  <c r="T60" i="33"/>
  <c r="V60" i="33" s="1"/>
  <c r="S60" i="33"/>
  <c r="P60" i="33"/>
  <c r="Q60" i="33" s="1"/>
  <c r="O60" i="33"/>
  <c r="N60" i="33"/>
  <c r="AM59" i="33"/>
  <c r="AC59" i="33"/>
  <c r="AB59" i="33"/>
  <c r="U59" i="33"/>
  <c r="W59" i="33" s="1"/>
  <c r="T59" i="33"/>
  <c r="V59" i="33" s="1"/>
  <c r="S59" i="33"/>
  <c r="P59" i="33"/>
  <c r="Q59" i="33" s="1"/>
  <c r="O59" i="33"/>
  <c r="N59" i="33"/>
  <c r="AM58" i="33"/>
  <c r="AC58" i="33"/>
  <c r="AB58" i="33"/>
  <c r="U58" i="33"/>
  <c r="W58" i="33" s="1"/>
  <c r="T58" i="33"/>
  <c r="V58" i="33" s="1"/>
  <c r="S58" i="33"/>
  <c r="P58" i="33"/>
  <c r="Q58" i="33" s="1"/>
  <c r="O58" i="33"/>
  <c r="N58" i="33"/>
  <c r="AM57" i="33"/>
  <c r="AC57" i="33"/>
  <c r="AB57" i="33"/>
  <c r="U57" i="33"/>
  <c r="W57" i="33" s="1"/>
  <c r="T57" i="33"/>
  <c r="V57" i="33" s="1"/>
  <c r="N57" i="33"/>
  <c r="M57" i="33"/>
  <c r="O57" i="33" s="1"/>
  <c r="L57" i="33"/>
  <c r="AM56" i="33"/>
  <c r="AC56" i="33"/>
  <c r="AB56" i="33"/>
  <c r="U56" i="33"/>
  <c r="W56" i="33" s="1"/>
  <c r="T56" i="33"/>
  <c r="V56" i="33" s="1"/>
  <c r="M56" i="33"/>
  <c r="O56" i="33" s="1"/>
  <c r="L56" i="33"/>
  <c r="S56" i="33" s="1"/>
  <c r="AM55" i="33"/>
  <c r="AC55" i="33"/>
  <c r="AB55" i="33"/>
  <c r="U55" i="33"/>
  <c r="W55" i="33" s="1"/>
  <c r="T55" i="33"/>
  <c r="V55" i="33" s="1"/>
  <c r="S55" i="33"/>
  <c r="R55" i="33"/>
  <c r="M55" i="33"/>
  <c r="O55" i="33" s="1"/>
  <c r="L55" i="33"/>
  <c r="AM54" i="33"/>
  <c r="AC54" i="33"/>
  <c r="AB54" i="33"/>
  <c r="U54" i="33"/>
  <c r="W54" i="33" s="1"/>
  <c r="T54" i="33"/>
  <c r="V54" i="33" s="1"/>
  <c r="M54" i="33"/>
  <c r="O54" i="33" s="1"/>
  <c r="L54" i="33"/>
  <c r="N54" i="33" s="1"/>
  <c r="AM53" i="33"/>
  <c r="AC53" i="33"/>
  <c r="AB53" i="33"/>
  <c r="V53" i="33"/>
  <c r="U53" i="33"/>
  <c r="W53" i="33" s="1"/>
  <c r="T53" i="33"/>
  <c r="S53" i="33"/>
  <c r="P53" i="33"/>
  <c r="Q53" i="33" s="1"/>
  <c r="O53" i="33"/>
  <c r="N53" i="33"/>
  <c r="AM52" i="33"/>
  <c r="AC52" i="33"/>
  <c r="AB52" i="33"/>
  <c r="U52" i="33"/>
  <c r="W52" i="33" s="1"/>
  <c r="T52" i="33"/>
  <c r="V52" i="33" s="1"/>
  <c r="N52" i="33"/>
  <c r="M52" i="33"/>
  <c r="O52" i="33" s="1"/>
  <c r="L52" i="33"/>
  <c r="S52" i="33" s="1"/>
  <c r="AM51" i="33"/>
  <c r="AC51" i="33"/>
  <c r="AB51" i="33"/>
  <c r="U51" i="33"/>
  <c r="W51" i="33" s="1"/>
  <c r="T51" i="33"/>
  <c r="V51" i="33" s="1"/>
  <c r="M51" i="33"/>
  <c r="L51" i="33"/>
  <c r="S51" i="33" s="1"/>
  <c r="AM50" i="33"/>
  <c r="AC50" i="33"/>
  <c r="AB50" i="33"/>
  <c r="W50" i="33"/>
  <c r="U50" i="33"/>
  <c r="T50" i="33"/>
  <c r="V50" i="33" s="1"/>
  <c r="N50" i="33"/>
  <c r="M50" i="33"/>
  <c r="L50" i="33"/>
  <c r="S50" i="33" s="1"/>
  <c r="AM49" i="33"/>
  <c r="AC49" i="33"/>
  <c r="AB49" i="33"/>
  <c r="U49" i="33"/>
  <c r="W49" i="33" s="1"/>
  <c r="T49" i="33"/>
  <c r="V49" i="33" s="1"/>
  <c r="S49" i="33"/>
  <c r="P49" i="33"/>
  <c r="Q49" i="33" s="1"/>
  <c r="O49" i="33"/>
  <c r="N49" i="33"/>
  <c r="AM48" i="33"/>
  <c r="AC48" i="33"/>
  <c r="AB48" i="33"/>
  <c r="U48" i="33"/>
  <c r="W48" i="33" s="1"/>
  <c r="T48" i="33"/>
  <c r="V48" i="33" s="1"/>
  <c r="S48" i="33"/>
  <c r="P48" i="33"/>
  <c r="Q48" i="33" s="1"/>
  <c r="O48" i="33"/>
  <c r="N48" i="33"/>
  <c r="AM47" i="33"/>
  <c r="AC47" i="33"/>
  <c r="AB47" i="33"/>
  <c r="U47" i="33"/>
  <c r="W47" i="33" s="1"/>
  <c r="T47" i="33"/>
  <c r="V47" i="33" s="1"/>
  <c r="P47" i="33"/>
  <c r="Q47" i="33" s="1"/>
  <c r="O47" i="33"/>
  <c r="N47" i="33"/>
  <c r="L47" i="33"/>
  <c r="S47" i="33" s="1"/>
  <c r="AM46" i="33"/>
  <c r="AC46" i="33"/>
  <c r="AB46" i="33"/>
  <c r="W46" i="33"/>
  <c r="U46" i="33"/>
  <c r="T46" i="33"/>
  <c r="V46" i="33" s="1"/>
  <c r="M46" i="33"/>
  <c r="O46" i="33" s="1"/>
  <c r="L46" i="33"/>
  <c r="S46" i="33" s="1"/>
  <c r="AM45" i="33"/>
  <c r="AC45" i="33"/>
  <c r="AB45" i="33"/>
  <c r="U45" i="33"/>
  <c r="W45" i="33" s="1"/>
  <c r="T45" i="33"/>
  <c r="V45" i="33" s="1"/>
  <c r="O45" i="33"/>
  <c r="M45" i="33"/>
  <c r="L45" i="33"/>
  <c r="AM44" i="33"/>
  <c r="AC44" i="33"/>
  <c r="AB44" i="33"/>
  <c r="U44" i="33"/>
  <c r="W44" i="33" s="1"/>
  <c r="T44" i="33"/>
  <c r="V44" i="33" s="1"/>
  <c r="M44" i="33"/>
  <c r="O44" i="33" s="1"/>
  <c r="L44" i="33"/>
  <c r="N44" i="33" s="1"/>
  <c r="AM43" i="33"/>
  <c r="AC43" i="33"/>
  <c r="AB43" i="33"/>
  <c r="U43" i="33"/>
  <c r="W43" i="33" s="1"/>
  <c r="T43" i="33"/>
  <c r="V43" i="33" s="1"/>
  <c r="N43" i="33"/>
  <c r="M43" i="33"/>
  <c r="O43" i="33" s="1"/>
  <c r="L43" i="33"/>
  <c r="S43" i="33" s="1"/>
  <c r="AM42" i="33"/>
  <c r="AC42" i="33"/>
  <c r="AB42" i="33"/>
  <c r="U42" i="33"/>
  <c r="W42" i="33" s="1"/>
  <c r="T42" i="33"/>
  <c r="V42" i="33" s="1"/>
  <c r="M42" i="33"/>
  <c r="O42" i="33" s="1"/>
  <c r="L42" i="33"/>
  <c r="S42" i="33" s="1"/>
  <c r="AM41" i="33"/>
  <c r="AC41" i="33"/>
  <c r="AB41" i="33"/>
  <c r="U41" i="33"/>
  <c r="W41" i="33" s="1"/>
  <c r="T41" i="33"/>
  <c r="V41" i="33" s="1"/>
  <c r="O41" i="33"/>
  <c r="M41" i="33"/>
  <c r="L41" i="33"/>
  <c r="P41" i="33" s="1"/>
  <c r="Q41" i="33" s="1"/>
  <c r="AM40" i="33"/>
  <c r="AC40" i="33"/>
  <c r="AB40" i="33"/>
  <c r="U40" i="33"/>
  <c r="W40" i="33" s="1"/>
  <c r="T40" i="33"/>
  <c r="V40" i="33" s="1"/>
  <c r="S40" i="33"/>
  <c r="N40" i="33"/>
  <c r="M40" i="33"/>
  <c r="O40" i="33" s="1"/>
  <c r="AM39" i="33"/>
  <c r="AC39" i="33"/>
  <c r="AB39" i="33"/>
  <c r="U39" i="33"/>
  <c r="W39" i="33" s="1"/>
  <c r="T39" i="33"/>
  <c r="V39" i="33" s="1"/>
  <c r="R39" i="33"/>
  <c r="M39" i="33"/>
  <c r="O39" i="33" s="1"/>
  <c r="L39" i="33"/>
  <c r="S39" i="33" s="1"/>
  <c r="AM38" i="33"/>
  <c r="AC38" i="33"/>
  <c r="AB38" i="33"/>
  <c r="W38" i="33"/>
  <c r="U38" i="33"/>
  <c r="T38" i="33"/>
  <c r="V38" i="33" s="1"/>
  <c r="S38" i="33"/>
  <c r="N38" i="33"/>
  <c r="M38" i="33"/>
  <c r="O38" i="33" s="1"/>
  <c r="AM37" i="33"/>
  <c r="AC37" i="33"/>
  <c r="AB37" i="33"/>
  <c r="U37" i="33"/>
  <c r="W37" i="33" s="1"/>
  <c r="T37" i="33"/>
  <c r="V37" i="33" s="1"/>
  <c r="S37" i="33"/>
  <c r="N37" i="33"/>
  <c r="M37" i="33"/>
  <c r="AM36" i="33"/>
  <c r="AC36" i="33"/>
  <c r="AB36" i="33"/>
  <c r="U36" i="33"/>
  <c r="W36" i="33" s="1"/>
  <c r="T36" i="33"/>
  <c r="V36" i="33" s="1"/>
  <c r="S36" i="33"/>
  <c r="P36" i="33"/>
  <c r="Q36" i="33" s="1"/>
  <c r="O36" i="33"/>
  <c r="N36" i="33"/>
  <c r="AM35" i="33"/>
  <c r="AC35" i="33"/>
  <c r="AB35" i="33"/>
  <c r="U35" i="33"/>
  <c r="W35" i="33" s="1"/>
  <c r="T35" i="33"/>
  <c r="V35" i="33" s="1"/>
  <c r="S35" i="33"/>
  <c r="P35" i="33"/>
  <c r="Q35" i="33" s="1"/>
  <c r="O35" i="33"/>
  <c r="N35" i="33"/>
  <c r="AM34" i="33"/>
  <c r="AC34" i="33"/>
  <c r="AB34" i="33"/>
  <c r="U34" i="33"/>
  <c r="W34" i="33" s="1"/>
  <c r="T34" i="33"/>
  <c r="V34" i="33" s="1"/>
  <c r="O34" i="33"/>
  <c r="M34" i="33"/>
  <c r="L34" i="33"/>
  <c r="S34" i="33" s="1"/>
  <c r="AM33" i="33"/>
  <c r="AC33" i="33"/>
  <c r="AB33" i="33"/>
  <c r="V33" i="33"/>
  <c r="U33" i="33"/>
  <c r="W33" i="33" s="1"/>
  <c r="T33" i="33"/>
  <c r="N33" i="33"/>
  <c r="M33" i="33"/>
  <c r="O33" i="33" s="1"/>
  <c r="L33" i="33"/>
  <c r="S33" i="33" s="1"/>
  <c r="AM32" i="33"/>
  <c r="AC32" i="33"/>
  <c r="AB32" i="33"/>
  <c r="W32" i="33"/>
  <c r="U32" i="33"/>
  <c r="T32" i="33"/>
  <c r="V32" i="33" s="1"/>
  <c r="S32" i="33"/>
  <c r="P32" i="33"/>
  <c r="Q32" i="33" s="1"/>
  <c r="O32" i="33"/>
  <c r="N32" i="33"/>
  <c r="AM31" i="33"/>
  <c r="AC31" i="33"/>
  <c r="AB31" i="33"/>
  <c r="U31" i="33"/>
  <c r="W31" i="33" s="1"/>
  <c r="T31" i="33"/>
  <c r="V31" i="33" s="1"/>
  <c r="M31" i="33"/>
  <c r="O31" i="33" s="1"/>
  <c r="L31" i="33"/>
  <c r="N31" i="33" s="1"/>
  <c r="AM30" i="33"/>
  <c r="AC30" i="33"/>
  <c r="AB30" i="33"/>
  <c r="V30" i="33"/>
  <c r="U30" i="33"/>
  <c r="W30" i="33" s="1"/>
  <c r="T30" i="33"/>
  <c r="S30" i="33"/>
  <c r="N30" i="33"/>
  <c r="M30" i="33"/>
  <c r="O30" i="33" s="1"/>
  <c r="L30" i="33"/>
  <c r="AM29" i="33"/>
  <c r="AC29" i="33"/>
  <c r="AB29" i="33"/>
  <c r="U29" i="33"/>
  <c r="W29" i="33" s="1"/>
  <c r="T29" i="33"/>
  <c r="V29" i="33" s="1"/>
  <c r="M29" i="33"/>
  <c r="O29" i="33" s="1"/>
  <c r="L29" i="33"/>
  <c r="AM28" i="33"/>
  <c r="AC28" i="33"/>
  <c r="AB28" i="33"/>
  <c r="U28" i="33"/>
  <c r="W28" i="33" s="1"/>
  <c r="T28" i="33"/>
  <c r="V28" i="33" s="1"/>
  <c r="M28" i="33"/>
  <c r="O28" i="33" s="1"/>
  <c r="L28" i="33"/>
  <c r="S28" i="33" s="1"/>
  <c r="AM27" i="33"/>
  <c r="AC27" i="33"/>
  <c r="AB27" i="33"/>
  <c r="U27" i="33"/>
  <c r="W27" i="33" s="1"/>
  <c r="T27" i="33"/>
  <c r="V27" i="33" s="1"/>
  <c r="S27" i="33"/>
  <c r="N27" i="33"/>
  <c r="M27" i="33"/>
  <c r="P27" i="33" s="1"/>
  <c r="Q27" i="33" s="1"/>
  <c r="AM26" i="33"/>
  <c r="AC26" i="33"/>
  <c r="AB26" i="33"/>
  <c r="U26" i="33"/>
  <c r="W26" i="33" s="1"/>
  <c r="T26" i="33"/>
  <c r="V26" i="33" s="1"/>
  <c r="S26" i="33"/>
  <c r="P26" i="33"/>
  <c r="Q26" i="33" s="1"/>
  <c r="O26" i="33"/>
  <c r="N26" i="33"/>
  <c r="AM25" i="33"/>
  <c r="AC25" i="33"/>
  <c r="AB25" i="33"/>
  <c r="U25" i="33"/>
  <c r="W25" i="33" s="1"/>
  <c r="T25" i="33"/>
  <c r="V25" i="33" s="1"/>
  <c r="M25" i="33"/>
  <c r="O25" i="33" s="1"/>
  <c r="L25" i="33"/>
  <c r="S25" i="33" s="1"/>
  <c r="AM24" i="33"/>
  <c r="AC24" i="33"/>
  <c r="AB24" i="33"/>
  <c r="U24" i="33"/>
  <c r="W24" i="33" s="1"/>
  <c r="T24" i="33"/>
  <c r="V24" i="33" s="1"/>
  <c r="O24" i="33"/>
  <c r="M24" i="33"/>
  <c r="L24" i="33"/>
  <c r="P24" i="33" s="1"/>
  <c r="Q24" i="33" s="1"/>
  <c r="AM23" i="33"/>
  <c r="AC23" i="33"/>
  <c r="AB23" i="33"/>
  <c r="V23" i="33"/>
  <c r="U23" i="33"/>
  <c r="W23" i="33" s="1"/>
  <c r="T23" i="33"/>
  <c r="S23" i="33"/>
  <c r="P23" i="33"/>
  <c r="Q23" i="33" s="1"/>
  <c r="O23" i="33"/>
  <c r="N23" i="33"/>
  <c r="AM22" i="33"/>
  <c r="AC22" i="33"/>
  <c r="AB22" i="33"/>
  <c r="U22" i="33"/>
  <c r="W22" i="33" s="1"/>
  <c r="T22" i="33"/>
  <c r="V22" i="33" s="1"/>
  <c r="S22" i="33"/>
  <c r="P22" i="33"/>
  <c r="Q22" i="33" s="1"/>
  <c r="O22" i="33"/>
  <c r="N22" i="33"/>
  <c r="AM21" i="33"/>
  <c r="AC21" i="33"/>
  <c r="AB21" i="33"/>
  <c r="U21" i="33"/>
  <c r="W21" i="33" s="1"/>
  <c r="T21" i="33"/>
  <c r="V21" i="33" s="1"/>
  <c r="M21" i="33"/>
  <c r="O21" i="33" s="1"/>
  <c r="L21" i="33"/>
  <c r="P21" i="33" s="1"/>
  <c r="Q21" i="33" s="1"/>
  <c r="AM20" i="33"/>
  <c r="AC20" i="33"/>
  <c r="AB20" i="33"/>
  <c r="V20" i="33"/>
  <c r="U20" i="33"/>
  <c r="W20" i="33" s="1"/>
  <c r="T20" i="33"/>
  <c r="M20" i="33"/>
  <c r="O20" i="33" s="1"/>
  <c r="L20" i="33"/>
  <c r="N20" i="33" s="1"/>
  <c r="AM19" i="33"/>
  <c r="AC19" i="33"/>
  <c r="AB19" i="33"/>
  <c r="U19" i="33"/>
  <c r="W19" i="33" s="1"/>
  <c r="T19" i="33"/>
  <c r="V19" i="33" s="1"/>
  <c r="M19" i="33"/>
  <c r="O19" i="33" s="1"/>
  <c r="L19" i="33"/>
  <c r="AM18" i="33"/>
  <c r="AC18" i="33"/>
  <c r="AB18" i="33"/>
  <c r="U18" i="33"/>
  <c r="W18" i="33" s="1"/>
  <c r="T18" i="33"/>
  <c r="V18" i="33" s="1"/>
  <c r="M18" i="33"/>
  <c r="O18" i="33" s="1"/>
  <c r="L18" i="33"/>
  <c r="S18" i="33" s="1"/>
  <c r="AM17" i="33"/>
  <c r="AC17" i="33"/>
  <c r="AB17" i="33"/>
  <c r="U17" i="33"/>
  <c r="W17" i="33" s="1"/>
  <c r="T17" i="33"/>
  <c r="V17" i="33" s="1"/>
  <c r="M17" i="33"/>
  <c r="O17" i="33" s="1"/>
  <c r="L17" i="33"/>
  <c r="AM16" i="33"/>
  <c r="AC16" i="33"/>
  <c r="AB16" i="33"/>
  <c r="U16" i="33"/>
  <c r="W16" i="33" s="1"/>
  <c r="T16" i="33"/>
  <c r="V16" i="33" s="1"/>
  <c r="S16" i="33"/>
  <c r="M16" i="33"/>
  <c r="O16" i="33" s="1"/>
  <c r="L16" i="33"/>
  <c r="N16" i="33" s="1"/>
  <c r="AM15" i="33"/>
  <c r="AC15" i="33"/>
  <c r="AB15" i="33"/>
  <c r="V15" i="33"/>
  <c r="U15" i="33"/>
  <c r="W15" i="33" s="1"/>
  <c r="T15" i="33"/>
  <c r="M15" i="33"/>
  <c r="O15" i="33" s="1"/>
  <c r="L15" i="33"/>
  <c r="P15" i="33" s="1"/>
  <c r="Q15" i="33" s="1"/>
  <c r="AM14" i="33"/>
  <c r="AC14" i="33"/>
  <c r="AB14" i="33"/>
  <c r="U14" i="33"/>
  <c r="W14" i="33" s="1"/>
  <c r="T14" i="33"/>
  <c r="V14" i="33" s="1"/>
  <c r="M14" i="33"/>
  <c r="O14" i="33" s="1"/>
  <c r="L14" i="33"/>
  <c r="S14" i="33" s="1"/>
  <c r="AM13" i="33"/>
  <c r="AC13" i="33"/>
  <c r="AB13" i="33"/>
  <c r="V13" i="33"/>
  <c r="U13" i="33"/>
  <c r="W13" i="33" s="1"/>
  <c r="T13" i="33"/>
  <c r="R13" i="33"/>
  <c r="M13" i="33"/>
  <c r="O13" i="33" s="1"/>
  <c r="L13" i="33"/>
  <c r="AM12" i="33"/>
  <c r="AC12" i="33"/>
  <c r="AB12" i="33"/>
  <c r="U12" i="33"/>
  <c r="W12" i="33" s="1"/>
  <c r="T12" i="33"/>
  <c r="V12" i="33" s="1"/>
  <c r="R12" i="33"/>
  <c r="M12" i="33"/>
  <c r="O12" i="33" s="1"/>
  <c r="L12" i="33"/>
  <c r="N12" i="33" s="1"/>
  <c r="AM11" i="33"/>
  <c r="AC11" i="33"/>
  <c r="AB11" i="33"/>
  <c r="U11" i="33"/>
  <c r="W11" i="33" s="1"/>
  <c r="T11" i="33"/>
  <c r="V11" i="33" s="1"/>
  <c r="S11" i="33"/>
  <c r="P11" i="33"/>
  <c r="Q11" i="33" s="1"/>
  <c r="O11" i="33"/>
  <c r="N11" i="33"/>
  <c r="AM10" i="33"/>
  <c r="AC10" i="33"/>
  <c r="AB10" i="33"/>
  <c r="W10" i="33"/>
  <c r="U10" i="33"/>
  <c r="T10" i="33"/>
  <c r="V10" i="33" s="1"/>
  <c r="N10" i="33"/>
  <c r="M10" i="33"/>
  <c r="O10" i="33" s="1"/>
  <c r="L10" i="33"/>
  <c r="S10" i="33" s="1"/>
  <c r="AM9" i="33"/>
  <c r="AC9" i="33"/>
  <c r="AB9" i="33"/>
  <c r="U9" i="33"/>
  <c r="W9" i="33" s="1"/>
  <c r="T9" i="33"/>
  <c r="V9" i="33" s="1"/>
  <c r="S9" i="33"/>
  <c r="P9" i="33"/>
  <c r="Q9" i="33" s="1"/>
  <c r="O9" i="33"/>
  <c r="N9" i="33"/>
  <c r="AM8" i="33"/>
  <c r="AC8" i="33"/>
  <c r="AB8" i="33"/>
  <c r="V8" i="33"/>
  <c r="U8" i="33"/>
  <c r="W8" i="33" s="1"/>
  <c r="T8" i="33"/>
  <c r="M8" i="33"/>
  <c r="O8" i="33" s="1"/>
  <c r="L8" i="33"/>
  <c r="S8" i="33" s="1"/>
  <c r="AM7" i="33"/>
  <c r="AC7" i="33"/>
  <c r="AB7" i="33"/>
  <c r="W7" i="33"/>
  <c r="U7" i="33"/>
  <c r="T7" i="33"/>
  <c r="V7" i="33" s="1"/>
  <c r="R7" i="33"/>
  <c r="M7" i="33"/>
  <c r="O7" i="33" s="1"/>
  <c r="L7" i="33"/>
  <c r="N7" i="33" s="1"/>
  <c r="AM6" i="33"/>
  <c r="AC6" i="33"/>
  <c r="AB6" i="33"/>
  <c r="W6" i="33"/>
  <c r="U6" i="33"/>
  <c r="T6" i="33"/>
  <c r="V6" i="33" s="1"/>
  <c r="S6" i="33"/>
  <c r="P6" i="33"/>
  <c r="Q6" i="33" s="1"/>
  <c r="O6" i="33"/>
  <c r="N6" i="33"/>
  <c r="AM5" i="33"/>
  <c r="AC5" i="33"/>
  <c r="AB5" i="33"/>
  <c r="U5" i="33"/>
  <c r="W5" i="33" s="1"/>
  <c r="T5" i="33"/>
  <c r="V5" i="33" s="1"/>
  <c r="M5" i="33"/>
  <c r="O5" i="33" s="1"/>
  <c r="L5" i="33"/>
  <c r="S5" i="33" s="1"/>
  <c r="AM4" i="33"/>
  <c r="AC4" i="33"/>
  <c r="AB4" i="33"/>
  <c r="U4" i="33"/>
  <c r="W4" i="33" s="1"/>
  <c r="T4" i="33"/>
  <c r="V4" i="33" s="1"/>
  <c r="S4" i="33"/>
  <c r="P4" i="33"/>
  <c r="Q4" i="33" s="1"/>
  <c r="O4" i="33"/>
  <c r="N4" i="33"/>
  <c r="AM3" i="33"/>
  <c r="AC3" i="33"/>
  <c r="AB3" i="33"/>
  <c r="U3" i="33"/>
  <c r="W3" i="33" s="1"/>
  <c r="T3" i="33"/>
  <c r="V3" i="33" s="1"/>
  <c r="S3" i="33"/>
  <c r="N3" i="33"/>
  <c r="M3" i="33"/>
  <c r="P3" i="33" s="1"/>
  <c r="Q3" i="33" s="1"/>
  <c r="AC2" i="33"/>
  <c r="AB2" i="33"/>
  <c r="X2" i="33"/>
  <c r="AM2" i="33" s="1"/>
  <c r="U2" i="33"/>
  <c r="W2" i="33" s="1"/>
  <c r="T2" i="33"/>
  <c r="V2" i="33" s="1"/>
  <c r="R2" i="33"/>
  <c r="N2" i="33"/>
  <c r="M2" i="33"/>
  <c r="O2" i="33" s="1"/>
  <c r="L2" i="33"/>
  <c r="AL1" i="33"/>
  <c r="A601" i="32"/>
  <c r="A600" i="32"/>
  <c r="A599" i="32"/>
  <c r="A598" i="32"/>
  <c r="A597" i="32"/>
  <c r="A596" i="32"/>
  <c r="A595" i="32"/>
  <c r="A594" i="32"/>
  <c r="A593" i="32"/>
  <c r="A592" i="32"/>
  <c r="A591" i="32"/>
  <c r="A590" i="32"/>
  <c r="A589" i="32"/>
  <c r="A588" i="32"/>
  <c r="A587" i="32"/>
  <c r="A586" i="32"/>
  <c r="A585" i="32"/>
  <c r="A584" i="32"/>
  <c r="A583" i="32"/>
  <c r="A582" i="32"/>
  <c r="A581" i="32"/>
  <c r="A580" i="32"/>
  <c r="A579" i="32"/>
  <c r="A578" i="32"/>
  <c r="A577" i="32"/>
  <c r="A576" i="32"/>
  <c r="A575" i="32"/>
  <c r="A574" i="32"/>
  <c r="A573" i="32"/>
  <c r="A572" i="32"/>
  <c r="A571" i="32"/>
  <c r="A570" i="32"/>
  <c r="A569" i="32"/>
  <c r="A568" i="32"/>
  <c r="A567" i="32"/>
  <c r="A566" i="32"/>
  <c r="A565" i="32"/>
  <c r="A564" i="32"/>
  <c r="A563" i="32"/>
  <c r="A562" i="32"/>
  <c r="A561" i="32"/>
  <c r="A560" i="32"/>
  <c r="A559" i="32"/>
  <c r="A558" i="32"/>
  <c r="A557" i="32"/>
  <c r="A556" i="32"/>
  <c r="A555" i="32"/>
  <c r="A554" i="32"/>
  <c r="A553" i="32"/>
  <c r="A552" i="32"/>
  <c r="A551" i="32"/>
  <c r="A550" i="32"/>
  <c r="A549" i="32"/>
  <c r="A548" i="32"/>
  <c r="A547" i="32"/>
  <c r="A546" i="32"/>
  <c r="A545" i="32"/>
  <c r="A544" i="32"/>
  <c r="A543" i="32"/>
  <c r="A542" i="32"/>
  <c r="A541" i="32"/>
  <c r="A540" i="32"/>
  <c r="A539" i="32"/>
  <c r="A538" i="32"/>
  <c r="A537" i="32"/>
  <c r="A536" i="32"/>
  <c r="A535" i="32"/>
  <c r="A534" i="32"/>
  <c r="A533" i="32"/>
  <c r="A532" i="32"/>
  <c r="A531" i="32"/>
  <c r="A530" i="32"/>
  <c r="A529" i="32"/>
  <c r="A528" i="32"/>
  <c r="A527" i="32"/>
  <c r="A526" i="32"/>
  <c r="A525" i="32"/>
  <c r="A524" i="32"/>
  <c r="A523" i="32"/>
  <c r="A522" i="32"/>
  <c r="A521" i="32"/>
  <c r="A520" i="32"/>
  <c r="A519" i="32"/>
  <c r="A518" i="32"/>
  <c r="A517" i="32"/>
  <c r="A516" i="32"/>
  <c r="A515" i="32"/>
  <c r="A514" i="32"/>
  <c r="A513" i="32"/>
  <c r="A512" i="32"/>
  <c r="A511" i="32"/>
  <c r="A510" i="32"/>
  <c r="A509" i="32"/>
  <c r="A508" i="32"/>
  <c r="A507" i="32"/>
  <c r="A506" i="32"/>
  <c r="A505" i="32"/>
  <c r="A504" i="32"/>
  <c r="A503" i="32"/>
  <c r="A502" i="32"/>
  <c r="A501" i="32"/>
  <c r="A500" i="32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86" i="32"/>
  <c r="A385" i="32"/>
  <c r="A384" i="32"/>
  <c r="A383" i="32"/>
  <c r="A382" i="32"/>
  <c r="A381" i="32"/>
  <c r="A380" i="32"/>
  <c r="A379" i="32"/>
  <c r="A378" i="32"/>
  <c r="A377" i="32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A3" i="32"/>
  <c r="A2" i="32"/>
  <c r="Q1" i="32"/>
  <c r="O1" i="32"/>
  <c r="N1" i="32"/>
  <c r="L1" i="32"/>
  <c r="BL15" i="30"/>
  <c r="BL14" i="30"/>
  <c r="BL13" i="30"/>
  <c r="BL12" i="30"/>
  <c r="BL11" i="30"/>
  <c r="BL10" i="30"/>
  <c r="BL9" i="30"/>
  <c r="BL8" i="30"/>
  <c r="BL7" i="30"/>
  <c r="BM15" i="30"/>
  <c r="BM14" i="30"/>
  <c r="BM13" i="30"/>
  <c r="BM12" i="30"/>
  <c r="BM11" i="30"/>
  <c r="BM10" i="30"/>
  <c r="BM9" i="30"/>
  <c r="BM8" i="30"/>
  <c r="BM7" i="30"/>
  <c r="P30" i="33" l="1"/>
  <c r="Q30" i="33" s="1"/>
  <c r="S64" i="33"/>
  <c r="O83" i="33"/>
  <c r="S92" i="33"/>
  <c r="P63" i="33"/>
  <c r="Q63" i="33" s="1"/>
  <c r="N42" i="33"/>
  <c r="S78" i="33"/>
  <c r="N87" i="33"/>
  <c r="O63" i="33"/>
  <c r="S63" i="33"/>
  <c r="N39" i="33"/>
  <c r="O65" i="33"/>
  <c r="P80" i="33"/>
  <c r="Q80" i="33" s="1"/>
  <c r="O27" i="33"/>
  <c r="P39" i="33"/>
  <c r="Q39" i="33" s="1"/>
  <c r="P54" i="33"/>
  <c r="Q54" i="33" s="1"/>
  <c r="P67" i="33"/>
  <c r="Q67" i="33" s="1"/>
  <c r="N71" i="33"/>
  <c r="S80" i="33"/>
  <c r="S97" i="33"/>
  <c r="P45" i="33"/>
  <c r="Q45" i="33" s="1"/>
  <c r="N18" i="33"/>
  <c r="P33" i="33"/>
  <c r="Q33" i="33" s="1"/>
  <c r="P38" i="33"/>
  <c r="Q38" i="33" s="1"/>
  <c r="J1" i="18"/>
  <c r="L1" i="38"/>
  <c r="J22" i="18"/>
  <c r="L22" i="18"/>
  <c r="L21" i="18"/>
  <c r="L26" i="18"/>
  <c r="K1" i="38"/>
  <c r="J1" i="38"/>
  <c r="G1" i="38"/>
  <c r="E1" i="38" s="1"/>
  <c r="F1" i="38"/>
  <c r="O3" i="33"/>
  <c r="N14" i="33"/>
  <c r="P20" i="33"/>
  <c r="Q20" i="33" s="1"/>
  <c r="N67" i="33"/>
  <c r="P77" i="33"/>
  <c r="Q77" i="33" s="1"/>
  <c r="P95" i="33"/>
  <c r="Q95" i="33" s="1"/>
  <c r="P7" i="33"/>
  <c r="Q7" i="33" s="1"/>
  <c r="N34" i="33"/>
  <c r="P43" i="33"/>
  <c r="Q43" i="33" s="1"/>
  <c r="O67" i="33"/>
  <c r="P71" i="33"/>
  <c r="Q71" i="33" s="1"/>
  <c r="P87" i="33"/>
  <c r="Q87" i="33" s="1"/>
  <c r="P91" i="33"/>
  <c r="Q91" i="33" s="1"/>
  <c r="P31" i="33"/>
  <c r="Q31" i="33" s="1"/>
  <c r="S2" i="33"/>
  <c r="S20" i="33"/>
  <c r="S31" i="33"/>
  <c r="P34" i="33"/>
  <c r="Q34" i="33" s="1"/>
  <c r="P44" i="33"/>
  <c r="Q44" i="33" s="1"/>
  <c r="P72" i="33"/>
  <c r="Q72" i="33" s="1"/>
  <c r="S77" i="33"/>
  <c r="P84" i="33"/>
  <c r="Q84" i="33" s="1"/>
  <c r="P88" i="33"/>
  <c r="Q88" i="33" s="1"/>
  <c r="P92" i="33"/>
  <c r="Q92" i="33" s="1"/>
  <c r="S7" i="33"/>
  <c r="N24" i="33"/>
  <c r="N41" i="33"/>
  <c r="N45" i="33"/>
  <c r="P55" i="33"/>
  <c r="Q55" i="33" s="1"/>
  <c r="N70" i="33"/>
  <c r="S84" i="33"/>
  <c r="P96" i="33"/>
  <c r="Q96" i="33" s="1"/>
  <c r="P97" i="33"/>
  <c r="Q97" i="33" s="1"/>
  <c r="S13" i="33"/>
  <c r="AI4" i="33"/>
  <c r="AH5" i="33"/>
  <c r="AH11" i="33"/>
  <c r="AH15" i="33"/>
  <c r="AH16" i="33"/>
  <c r="P17" i="33"/>
  <c r="Q17" i="33" s="1"/>
  <c r="S24" i="33"/>
  <c r="S45" i="33"/>
  <c r="P46" i="33"/>
  <c r="Q46" i="33" s="1"/>
  <c r="S54" i="33"/>
  <c r="N55" i="33"/>
  <c r="N76" i="33"/>
  <c r="P81" i="33"/>
  <c r="Q81" i="33" s="1"/>
  <c r="S96" i="33"/>
  <c r="AH7" i="35"/>
  <c r="AE2" i="35"/>
  <c r="AE4" i="35"/>
  <c r="AE3" i="35"/>
  <c r="AH14" i="35"/>
  <c r="AE6" i="35"/>
  <c r="AH10" i="35"/>
  <c r="AE5" i="35"/>
  <c r="AE7" i="35"/>
  <c r="AH17" i="35"/>
  <c r="AE17" i="35"/>
  <c r="AH8" i="35"/>
  <c r="AE15" i="35"/>
  <c r="AE8" i="35"/>
  <c r="AE11" i="35"/>
  <c r="AH5" i="35"/>
  <c r="AH11" i="35"/>
  <c r="AE14" i="35"/>
  <c r="AE9" i="35"/>
  <c r="P9" i="35"/>
  <c r="AE12" i="35"/>
  <c r="AH13" i="35"/>
  <c r="AH2" i="35"/>
  <c r="AH9" i="35"/>
  <c r="AH6" i="35"/>
  <c r="AH4" i="35"/>
  <c r="AH15" i="35"/>
  <c r="AE16" i="35"/>
  <c r="P16" i="35"/>
  <c r="AH16" i="35"/>
  <c r="AE10" i="35"/>
  <c r="AE13" i="35"/>
  <c r="AH3" i="35"/>
  <c r="AH12" i="35"/>
  <c r="R1" i="32"/>
  <c r="AH20" i="33"/>
  <c r="AH23" i="33"/>
  <c r="AI7" i="33"/>
  <c r="AH8" i="33"/>
  <c r="AH24" i="33"/>
  <c r="AI29" i="33"/>
  <c r="AI8" i="33"/>
  <c r="AH9" i="33"/>
  <c r="AH12" i="33"/>
  <c r="AH21" i="33"/>
  <c r="AI25" i="33"/>
  <c r="AI71" i="33"/>
  <c r="AI91" i="33"/>
  <c r="AI55" i="33"/>
  <c r="AI54" i="33"/>
  <c r="AI96" i="33"/>
  <c r="AI88" i="33"/>
  <c r="AI80" i="33"/>
  <c r="AI60" i="33"/>
  <c r="AI58" i="33"/>
  <c r="AI76" i="33"/>
  <c r="AI40" i="33"/>
  <c r="AI38" i="33"/>
  <c r="AI92" i="33"/>
  <c r="AI44" i="33"/>
  <c r="AI6" i="33"/>
  <c r="AI22" i="33"/>
  <c r="AI17" i="33"/>
  <c r="AI13" i="33"/>
  <c r="AI2" i="33"/>
  <c r="AI27" i="33"/>
  <c r="AI30" i="33"/>
  <c r="AI33" i="33"/>
  <c r="AH67" i="33"/>
  <c r="AH6" i="33"/>
  <c r="AI9" i="33"/>
  <c r="AI12" i="33"/>
  <c r="AH17" i="33"/>
  <c r="AH3" i="33"/>
  <c r="AH13" i="33"/>
  <c r="AH18" i="33"/>
  <c r="AI19" i="33"/>
  <c r="AI3" i="33"/>
  <c r="AH10" i="33"/>
  <c r="AH14" i="33"/>
  <c r="AH26" i="33"/>
  <c r="AH31" i="33"/>
  <c r="AH4" i="33"/>
  <c r="AI5" i="33"/>
  <c r="AH7" i="33"/>
  <c r="AI15" i="33"/>
  <c r="AI31" i="33"/>
  <c r="AI18" i="33"/>
  <c r="AH22" i="33"/>
  <c r="AH28" i="33"/>
  <c r="AI41" i="33"/>
  <c r="AH48" i="33"/>
  <c r="AI66" i="33"/>
  <c r="N5" i="33"/>
  <c r="S15" i="33"/>
  <c r="N15" i="33"/>
  <c r="S19" i="33"/>
  <c r="N19" i="33"/>
  <c r="N21" i="33"/>
  <c r="S21" i="33"/>
  <c r="P25" i="33"/>
  <c r="Q25" i="33" s="1"/>
  <c r="AH29" i="33"/>
  <c r="AH30" i="33"/>
  <c r="AI36" i="33"/>
  <c r="AH93" i="33"/>
  <c r="AI14" i="33"/>
  <c r="AI20" i="33"/>
  <c r="AH34" i="33"/>
  <c r="P2" i="33"/>
  <c r="Q2" i="33" s="1"/>
  <c r="N8" i="33"/>
  <c r="P28" i="33"/>
  <c r="Q28" i="33" s="1"/>
  <c r="N28" i="33"/>
  <c r="AI34" i="33"/>
  <c r="AI42" i="33"/>
  <c r="AI45" i="33"/>
  <c r="AH79" i="33"/>
  <c r="AH70" i="33"/>
  <c r="AH56" i="33"/>
  <c r="AH54" i="33"/>
  <c r="AH96" i="33"/>
  <c r="AH65" i="33"/>
  <c r="AH76" i="33"/>
  <c r="AH36" i="33"/>
  <c r="AH64" i="33"/>
  <c r="AH2" i="33"/>
  <c r="P5" i="33"/>
  <c r="Q5" i="33" s="1"/>
  <c r="P12" i="33"/>
  <c r="Q12" i="33" s="1"/>
  <c r="P16" i="33"/>
  <c r="Q16" i="33" s="1"/>
  <c r="P19" i="33"/>
  <c r="Q19" i="33" s="1"/>
  <c r="AI26" i="33"/>
  <c r="AH49" i="33"/>
  <c r="AH53" i="33"/>
  <c r="P8" i="33"/>
  <c r="Q8" i="33" s="1"/>
  <c r="AI16" i="33"/>
  <c r="AH32" i="33"/>
  <c r="AH33" i="33"/>
  <c r="AH35" i="33"/>
  <c r="AH39" i="33"/>
  <c r="AH46" i="33"/>
  <c r="AH63" i="33"/>
  <c r="P10" i="33"/>
  <c r="Q10" i="33" s="1"/>
  <c r="N17" i="33"/>
  <c r="S17" i="33"/>
  <c r="AH25" i="33"/>
  <c r="S29" i="33"/>
  <c r="P29" i="33"/>
  <c r="Q29" i="33" s="1"/>
  <c r="AI35" i="33"/>
  <c r="AI46" i="33"/>
  <c r="AI51" i="33"/>
  <c r="AH58" i="33"/>
  <c r="AH83" i="33"/>
  <c r="AH87" i="33"/>
  <c r="AI10" i="33"/>
  <c r="S12" i="33"/>
  <c r="N13" i="33"/>
  <c r="AI23" i="33"/>
  <c r="AI32" i="33"/>
  <c r="P37" i="33"/>
  <c r="Q37" i="33" s="1"/>
  <c r="O37" i="33"/>
  <c r="AI43" i="33"/>
  <c r="AH47" i="33"/>
  <c r="AI50" i="33"/>
  <c r="AI64" i="33"/>
  <c r="AI11" i="33"/>
  <c r="P13" i="33"/>
  <c r="Q13" i="33" s="1"/>
  <c r="P14" i="33"/>
  <c r="Q14" i="33" s="1"/>
  <c r="P18" i="33"/>
  <c r="Q18" i="33" s="1"/>
  <c r="AH19" i="33"/>
  <c r="AI21" i="33"/>
  <c r="AI24" i="33"/>
  <c r="AH27" i="33"/>
  <c r="AI28" i="33"/>
  <c r="N29" i="33"/>
  <c r="AH41" i="33"/>
  <c r="AI72" i="33"/>
  <c r="AI83" i="33"/>
  <c r="AI39" i="33"/>
  <c r="P42" i="33"/>
  <c r="Q42" i="33" s="1"/>
  <c r="S44" i="33"/>
  <c r="AH45" i="33"/>
  <c r="AH51" i="33"/>
  <c r="AI53" i="33"/>
  <c r="AH61" i="33"/>
  <c r="S66" i="33"/>
  <c r="P66" i="33"/>
  <c r="Q66" i="33" s="1"/>
  <c r="N66" i="33"/>
  <c r="S82" i="33"/>
  <c r="P82" i="33"/>
  <c r="Q82" i="33" s="1"/>
  <c r="N82" i="33"/>
  <c r="AH94" i="33"/>
  <c r="AI49" i="33"/>
  <c r="P50" i="33"/>
  <c r="Q50" i="33" s="1"/>
  <c r="O50" i="33"/>
  <c r="AI65" i="33"/>
  <c r="AH80" i="33"/>
  <c r="AI84" i="33"/>
  <c r="AI87" i="33"/>
  <c r="AH91" i="33"/>
  <c r="N25" i="33"/>
  <c r="P40" i="33"/>
  <c r="Q40" i="33" s="1"/>
  <c r="S41" i="33"/>
  <c r="AI48" i="33"/>
  <c r="AH73" i="33"/>
  <c r="O79" i="33"/>
  <c r="AH82" i="33"/>
  <c r="AH84" i="33"/>
  <c r="AH43" i="33"/>
  <c r="AH44" i="33"/>
  <c r="N46" i="33"/>
  <c r="AI52" i="33"/>
  <c r="AI59" i="33"/>
  <c r="AH69" i="33"/>
  <c r="AH71" i="33"/>
  <c r="AH75" i="33"/>
  <c r="AI77" i="33"/>
  <c r="AH81" i="33"/>
  <c r="AH38" i="33"/>
  <c r="AH42" i="33"/>
  <c r="AI57" i="33"/>
  <c r="AH59" i="33"/>
  <c r="AH62" i="33"/>
  <c r="AI63" i="33"/>
  <c r="AI67" i="33"/>
  <c r="AH68" i="33"/>
  <c r="AI78" i="33"/>
  <c r="AH86" i="33"/>
  <c r="AH95" i="33"/>
  <c r="AH37" i="33"/>
  <c r="AH50" i="33"/>
  <c r="P51" i="33"/>
  <c r="Q51" i="33" s="1"/>
  <c r="O51" i="33"/>
  <c r="AH57" i="33"/>
  <c r="AH66" i="33"/>
  <c r="AI68" i="33"/>
  <c r="AH74" i="33"/>
  <c r="AH88" i="33"/>
  <c r="AH89" i="33"/>
  <c r="AI90" i="33"/>
  <c r="AI37" i="33"/>
  <c r="AH40" i="33"/>
  <c r="AI47" i="33"/>
  <c r="AH55" i="33"/>
  <c r="AH60" i="33"/>
  <c r="P85" i="33"/>
  <c r="Q85" i="33" s="1"/>
  <c r="N85" i="33"/>
  <c r="S85" i="33"/>
  <c r="S69" i="33"/>
  <c r="P69" i="33"/>
  <c r="Q69" i="33" s="1"/>
  <c r="N69" i="33"/>
  <c r="AH78" i="33"/>
  <c r="AI86" i="33"/>
  <c r="S90" i="33"/>
  <c r="P90" i="33"/>
  <c r="Q90" i="33" s="1"/>
  <c r="AI93" i="33"/>
  <c r="AI94" i="33"/>
  <c r="AI95" i="33"/>
  <c r="N51" i="33"/>
  <c r="AI61" i="33"/>
  <c r="AI75" i="33"/>
  <c r="AI81" i="33"/>
  <c r="AI82" i="33"/>
  <c r="S86" i="33"/>
  <c r="P86" i="33"/>
  <c r="Q86" i="33" s="1"/>
  <c r="AI89" i="33"/>
  <c r="N90" i="33"/>
  <c r="AH97" i="33"/>
  <c r="AI56" i="33"/>
  <c r="AH72" i="33"/>
  <c r="AH85" i="33"/>
  <c r="P93" i="33"/>
  <c r="Q93" i="33" s="1"/>
  <c r="N93" i="33"/>
  <c r="AI97" i="33"/>
  <c r="AH52" i="33"/>
  <c r="S62" i="33"/>
  <c r="P62" i="33"/>
  <c r="Q62" i="33" s="1"/>
  <c r="AI62" i="33"/>
  <c r="AI69" i="33"/>
  <c r="AI73" i="33"/>
  <c r="AI74" i="33"/>
  <c r="P78" i="33"/>
  <c r="Q78" i="33" s="1"/>
  <c r="N78" i="33"/>
  <c r="AI85" i="33"/>
  <c r="P52" i="33"/>
  <c r="Q52" i="33" s="1"/>
  <c r="S57" i="33"/>
  <c r="P57" i="33"/>
  <c r="Q57" i="33" s="1"/>
  <c r="P61" i="33"/>
  <c r="Q61" i="33" s="1"/>
  <c r="N61" i="33"/>
  <c r="P64" i="33"/>
  <c r="Q64" i="33" s="1"/>
  <c r="P68" i="33"/>
  <c r="Q68" i="33" s="1"/>
  <c r="O68" i="33"/>
  <c r="P89" i="33"/>
  <c r="Q89" i="33" s="1"/>
  <c r="N89" i="33"/>
  <c r="AH90" i="33"/>
  <c r="AH92" i="33"/>
  <c r="S94" i="33"/>
  <c r="P94" i="33"/>
  <c r="Q94" i="33" s="1"/>
  <c r="N94" i="33"/>
  <c r="P56" i="33"/>
  <c r="Q56" i="33" s="1"/>
  <c r="N56" i="33"/>
  <c r="N62" i="33"/>
  <c r="AI70" i="33"/>
  <c r="O73" i="33"/>
  <c r="AH77" i="33"/>
  <c r="AI79" i="33"/>
  <c r="S93" i="33"/>
  <c r="P70" i="33"/>
  <c r="Q70" i="33" s="1"/>
  <c r="N77" i="33"/>
  <c r="N81" i="33"/>
  <c r="N97" i="33"/>
  <c r="BN16" i="30"/>
  <c r="AE64" i="33" l="1"/>
  <c r="AE27" i="33"/>
  <c r="AE46" i="33"/>
  <c r="AF77" i="33"/>
  <c r="AF15" i="33"/>
  <c r="AE74" i="33"/>
  <c r="AE73" i="33"/>
  <c r="AD61" i="33"/>
  <c r="AE49" i="33"/>
  <c r="AE69" i="33"/>
  <c r="AF9" i="33"/>
  <c r="AE19" i="33"/>
  <c r="AE43" i="33"/>
  <c r="AE54" i="33"/>
  <c r="AE84" i="33"/>
  <c r="AF90" i="33"/>
  <c r="AF85" i="33"/>
  <c r="AE39" i="33"/>
  <c r="AF34" i="33"/>
  <c r="AE23" i="33"/>
  <c r="AG88" i="33"/>
  <c r="AF35" i="33"/>
  <c r="AG13" i="35"/>
  <c r="AB13" i="35" s="1"/>
  <c r="AG8" i="35"/>
  <c r="AB8" i="35" s="1"/>
  <c r="AG16" i="35"/>
  <c r="AB16" i="35" s="1"/>
  <c r="AG10" i="35"/>
  <c r="AB10" i="35" s="1"/>
  <c r="AG9" i="35"/>
  <c r="AB9" i="35" s="1"/>
  <c r="AG6" i="35"/>
  <c r="AB6" i="35" s="1"/>
  <c r="AG17" i="35"/>
  <c r="AB17" i="35" s="1"/>
  <c r="AG2" i="35"/>
  <c r="AB2" i="35" s="1"/>
  <c r="AG15" i="35"/>
  <c r="AB15" i="35" s="1"/>
  <c r="AG12" i="35"/>
  <c r="AB12" i="35" s="1"/>
  <c r="AG4" i="35"/>
  <c r="AB4" i="35" s="1"/>
  <c r="AG7" i="35"/>
  <c r="AB7" i="35" s="1"/>
  <c r="AG14" i="35"/>
  <c r="AB14" i="35" s="1"/>
  <c r="AG5" i="35"/>
  <c r="AB5" i="35" s="1"/>
  <c r="AG11" i="35"/>
  <c r="AB11" i="35" s="1"/>
  <c r="AG3" i="35"/>
  <c r="AB3" i="35" s="1"/>
  <c r="AD45" i="33"/>
  <c r="AD56" i="33"/>
  <c r="AD38" i="33"/>
  <c r="AD79" i="33"/>
  <c r="AG93" i="33"/>
  <c r="AG72" i="33"/>
  <c r="AG58" i="33"/>
  <c r="AD90" i="33"/>
  <c r="AD35" i="33"/>
  <c r="AE66" i="33"/>
  <c r="AF36" i="33"/>
  <c r="AE33" i="33"/>
  <c r="AG12" i="33"/>
  <c r="AG51" i="33"/>
  <c r="AF28" i="33"/>
  <c r="AG27" i="33"/>
  <c r="AD60" i="33"/>
  <c r="AD65" i="33"/>
  <c r="AE35" i="33"/>
  <c r="AD5" i="33"/>
  <c r="AE59" i="33"/>
  <c r="AE56" i="33"/>
  <c r="AG35" i="33"/>
  <c r="AG34" i="33"/>
  <c r="AG91" i="33"/>
  <c r="AG67" i="33"/>
  <c r="AD32" i="33"/>
  <c r="AF3" i="33"/>
  <c r="AD28" i="33"/>
  <c r="AD7" i="33"/>
  <c r="AG76" i="33"/>
  <c r="AG90" i="33"/>
  <c r="AF84" i="33"/>
  <c r="AG56" i="33"/>
  <c r="AE51" i="33"/>
  <c r="AF47" i="33"/>
  <c r="AE55" i="33"/>
  <c r="AF82" i="33"/>
  <c r="AG66" i="33"/>
  <c r="AD52" i="33"/>
  <c r="AF14" i="33"/>
  <c r="AF48" i="33"/>
  <c r="AD17" i="33"/>
  <c r="AD22" i="33"/>
  <c r="AF91" i="33"/>
  <c r="AF19" i="33"/>
  <c r="AF33" i="33"/>
  <c r="AD97" i="33"/>
  <c r="AD54" i="33"/>
  <c r="AD89" i="33"/>
  <c r="AE68" i="33"/>
  <c r="AD59" i="33"/>
  <c r="AD86" i="33"/>
  <c r="AG96" i="33"/>
  <c r="AE87" i="33"/>
  <c r="AG97" i="33"/>
  <c r="AG89" i="33"/>
  <c r="AG61" i="33"/>
  <c r="AF76" i="33"/>
  <c r="AE94" i="33"/>
  <c r="AF51" i="33"/>
  <c r="AD63" i="33"/>
  <c r="AF46" i="33"/>
  <c r="AE58" i="33"/>
  <c r="AG40" i="33"/>
  <c r="AE60" i="33"/>
  <c r="AG52" i="33"/>
  <c r="AG82" i="33"/>
  <c r="AG63" i="33"/>
  <c r="AF42" i="33"/>
  <c r="AF13" i="33"/>
  <c r="AF31" i="33"/>
  <c r="AF10" i="33"/>
  <c r="AD20" i="33"/>
  <c r="AF16" i="33"/>
  <c r="AE25" i="33"/>
  <c r="AE24" i="33"/>
  <c r="AD74" i="33"/>
  <c r="AD76" i="33"/>
  <c r="AG33" i="33"/>
  <c r="AG21" i="33"/>
  <c r="AF97" i="33"/>
  <c r="AF6" i="33"/>
  <c r="AE21" i="33"/>
  <c r="AE26" i="33"/>
  <c r="AE12" i="33"/>
  <c r="AE82" i="33"/>
  <c r="AE16" i="33"/>
  <c r="AG2" i="33"/>
  <c r="AG3" i="33"/>
  <c r="AG59" i="33"/>
  <c r="AF24" i="33"/>
  <c r="AE20" i="33"/>
  <c r="AE4" i="33"/>
  <c r="AE18" i="33"/>
  <c r="AD82" i="33"/>
  <c r="AD29" i="33"/>
  <c r="AD50" i="33"/>
  <c r="AD71" i="33"/>
  <c r="AD41" i="33"/>
  <c r="AF53" i="33"/>
  <c r="AF27" i="33"/>
  <c r="AG31" i="33"/>
  <c r="AF29" i="33"/>
  <c r="AE88" i="33"/>
  <c r="AD34" i="33"/>
  <c r="AD18" i="33"/>
  <c r="AF12" i="33"/>
  <c r="AD16" i="33"/>
  <c r="AD23" i="33"/>
  <c r="AD21" i="33"/>
  <c r="AE11" i="33"/>
  <c r="AE2" i="33"/>
  <c r="AE29" i="33"/>
  <c r="AE85" i="33"/>
  <c r="AG32" i="33"/>
  <c r="AG30" i="33"/>
  <c r="AG70" i="33"/>
  <c r="AE15" i="33"/>
  <c r="AF26" i="33"/>
  <c r="AE7" i="33"/>
  <c r="AF40" i="33"/>
  <c r="AG44" i="33"/>
  <c r="AF4" i="33"/>
  <c r="AG11" i="33"/>
  <c r="AG73" i="33"/>
  <c r="AG83" i="33"/>
  <c r="AG84" i="33"/>
  <c r="AD55" i="33"/>
  <c r="AE34" i="33"/>
  <c r="AE81" i="33"/>
  <c r="AD95" i="33"/>
  <c r="AE65" i="33"/>
  <c r="AE48" i="33"/>
  <c r="AE70" i="33"/>
  <c r="AF60" i="33"/>
  <c r="AF74" i="33"/>
  <c r="AD25" i="33"/>
  <c r="AF50" i="33"/>
  <c r="AF95" i="33"/>
  <c r="AE78" i="33"/>
  <c r="AG48" i="33"/>
  <c r="AE45" i="33"/>
  <c r="AG25" i="33"/>
  <c r="AD9" i="33"/>
  <c r="AD42" i="33"/>
  <c r="AG29" i="33"/>
  <c r="AG43" i="33"/>
  <c r="AF5" i="33"/>
  <c r="AG8" i="33"/>
  <c r="AF38" i="33"/>
  <c r="AD26" i="33"/>
  <c r="AF80" i="33"/>
  <c r="AD19" i="33"/>
  <c r="AD12" i="33"/>
  <c r="AE32" i="33"/>
  <c r="AE22" i="33"/>
  <c r="AE89" i="33"/>
  <c r="AG10" i="33"/>
  <c r="AG36" i="33"/>
  <c r="AG79" i="33"/>
  <c r="AG14" i="33"/>
  <c r="AE3" i="33"/>
  <c r="AG45" i="33"/>
  <c r="AF66" i="33"/>
  <c r="AF18" i="33"/>
  <c r="AD13" i="33"/>
  <c r="AG42" i="33"/>
  <c r="AD3" i="33"/>
  <c r="AG4" i="33"/>
  <c r="AD73" i="33"/>
  <c r="AD83" i="33"/>
  <c r="AD51" i="33"/>
  <c r="AF55" i="33"/>
  <c r="AE50" i="33"/>
  <c r="AF79" i="33"/>
  <c r="AD77" i="33"/>
  <c r="AF83" i="33"/>
  <c r="AD70" i="33"/>
  <c r="AF63" i="33"/>
  <c r="AG64" i="33"/>
  <c r="AD44" i="33"/>
  <c r="AD72" i="33"/>
  <c r="AE79" i="33"/>
  <c r="AG95" i="33"/>
  <c r="AD68" i="33"/>
  <c r="AE71" i="33"/>
  <c r="AF59" i="33"/>
  <c r="AD39" i="33"/>
  <c r="AG9" i="33"/>
  <c r="AE41" i="33"/>
  <c r="AG28" i="33"/>
  <c r="AD48" i="33"/>
  <c r="AD14" i="33"/>
  <c r="AD4" i="33"/>
  <c r="AE10" i="33"/>
  <c r="AD58" i="33"/>
  <c r="AG19" i="33"/>
  <c r="AF21" i="33"/>
  <c r="AE44" i="33"/>
  <c r="AE57" i="33"/>
  <c r="AE93" i="33"/>
  <c r="AG24" i="33"/>
  <c r="AG37" i="33"/>
  <c r="AG50" i="33"/>
  <c r="AF7" i="33"/>
  <c r="AF17" i="33"/>
  <c r="AF22" i="33"/>
  <c r="AG69" i="33"/>
  <c r="AG68" i="33"/>
  <c r="AG17" i="33"/>
  <c r="AD92" i="33"/>
  <c r="AF56" i="33"/>
  <c r="AF61" i="33"/>
  <c r="AD81" i="33"/>
  <c r="AG71" i="33"/>
  <c r="AE53" i="33"/>
  <c r="AF89" i="33"/>
  <c r="AF68" i="33"/>
  <c r="AF57" i="33"/>
  <c r="AD93" i="33"/>
  <c r="AG80" i="33"/>
  <c r="AG55" i="33"/>
  <c r="AF86" i="33"/>
  <c r="AD75" i="33"/>
  <c r="AD88" i="33"/>
  <c r="AE67" i="33"/>
  <c r="AG57" i="33"/>
  <c r="AE83" i="33"/>
  <c r="AE77" i="33"/>
  <c r="AG86" i="33"/>
  <c r="AD80" i="33"/>
  <c r="AG77" i="33"/>
  <c r="AG65" i="33"/>
  <c r="AD53" i="33"/>
  <c r="AF88" i="33"/>
  <c r="AE75" i="33"/>
  <c r="AE76" i="33"/>
  <c r="AF64" i="33"/>
  <c r="AF52" i="33"/>
  <c r="AD78" i="33"/>
  <c r="AF62" i="33"/>
  <c r="AF87" i="33"/>
  <c r="AE80" i="33"/>
  <c r="AD69" i="33"/>
  <c r="AG85" i="33"/>
  <c r="AE61" i="33"/>
  <c r="AF41" i="33"/>
  <c r="AF92" i="33"/>
  <c r="AD46" i="33"/>
  <c r="AG78" i="33"/>
  <c r="AE47" i="33"/>
  <c r="AF43" i="33"/>
  <c r="AF67" i="33"/>
  <c r="AD57" i="33"/>
  <c r="AG47" i="33"/>
  <c r="AE36" i="33"/>
  <c r="AD37" i="33"/>
  <c r="AD2" i="33"/>
  <c r="AE37" i="33"/>
  <c r="AE31" i="33"/>
  <c r="AG13" i="33"/>
  <c r="AD36" i="33"/>
  <c r="AD43" i="33"/>
  <c r="AF32" i="33"/>
  <c r="AD8" i="33"/>
  <c r="AD27" i="33"/>
  <c r="AA27" i="33" s="1"/>
  <c r="AD49" i="33"/>
  <c r="AE40" i="33"/>
  <c r="AG26" i="33"/>
  <c r="AD15" i="33"/>
  <c r="AE17" i="33"/>
  <c r="AE8" i="33"/>
  <c r="AE9" i="33"/>
  <c r="AE42" i="33"/>
  <c r="AE28" i="33"/>
  <c r="AE6" i="33"/>
  <c r="AG75" i="33"/>
  <c r="AG38" i="33"/>
  <c r="AG87" i="33"/>
  <c r="AD6" i="33"/>
  <c r="AD11" i="33"/>
  <c r="AE14" i="33"/>
  <c r="AG23" i="33"/>
  <c r="AD24" i="33"/>
  <c r="AG18" i="33"/>
  <c r="AE63" i="33"/>
  <c r="AE96" i="33"/>
  <c r="AG74" i="33"/>
  <c r="AF73" i="33"/>
  <c r="AF49" i="33"/>
  <c r="AD91" i="33"/>
  <c r="AF72" i="33"/>
  <c r="AF81" i="33"/>
  <c r="AF93" i="33"/>
  <c r="AG54" i="33"/>
  <c r="AF70" i="33"/>
  <c r="AD94" i="33"/>
  <c r="AD84" i="33"/>
  <c r="AA84" i="33" s="1"/>
  <c r="AD64" i="33"/>
  <c r="AG81" i="33"/>
  <c r="AE97" i="33"/>
  <c r="AD62" i="33"/>
  <c r="AF94" i="33"/>
  <c r="AE95" i="33"/>
  <c r="AD96" i="33"/>
  <c r="AG94" i="33"/>
  <c r="AF78" i="33"/>
  <c r="AG62" i="33"/>
  <c r="AF71" i="33"/>
  <c r="AG92" i="33"/>
  <c r="AG60" i="33"/>
  <c r="AE91" i="33"/>
  <c r="AF69" i="33"/>
  <c r="AD85" i="33"/>
  <c r="AA85" i="33" s="1"/>
  <c r="AF58" i="33"/>
  <c r="AF96" i="33"/>
  <c r="AF65" i="33"/>
  <c r="AG53" i="33"/>
  <c r="AD87" i="33"/>
  <c r="AF45" i="33"/>
  <c r="AG41" i="33"/>
  <c r="AE92" i="33"/>
  <c r="AE62" i="33"/>
  <c r="AD40" i="33"/>
  <c r="AE86" i="33"/>
  <c r="AD66" i="33"/>
  <c r="AF54" i="33"/>
  <c r="AD33" i="33"/>
  <c r="AF37" i="33"/>
  <c r="AG22" i="33"/>
  <c r="AF44" i="33"/>
  <c r="AD30" i="33"/>
  <c r="AF8" i="33"/>
  <c r="AE30" i="33"/>
  <c r="AE72" i="33"/>
  <c r="AD31" i="33"/>
  <c r="AF75" i="33"/>
  <c r="AF39" i="33"/>
  <c r="AF30" i="33"/>
  <c r="AF23" i="33"/>
  <c r="AF11" i="33"/>
  <c r="AF2" i="33"/>
  <c r="AD47" i="33"/>
  <c r="AD67" i="33"/>
  <c r="AG39" i="33"/>
  <c r="AF25" i="33"/>
  <c r="AG15" i="33"/>
  <c r="AE38" i="33"/>
  <c r="AG16" i="33"/>
  <c r="AG7" i="33"/>
  <c r="AE52" i="33"/>
  <c r="AE90" i="33"/>
  <c r="AG20" i="33"/>
  <c r="AE5" i="33"/>
  <c r="AG6" i="33"/>
  <c r="AG46" i="33"/>
  <c r="AG49" i="33"/>
  <c r="AG5" i="33"/>
  <c r="AF20" i="33"/>
  <c r="AD10" i="33"/>
  <c r="AE13" i="33"/>
  <c r="BT17" i="30"/>
  <c r="AA67" i="33" l="1"/>
  <c r="AA40" i="33"/>
  <c r="AA51" i="33"/>
  <c r="AA91" i="33"/>
  <c r="AA87" i="33"/>
  <c r="AA36" i="33"/>
  <c r="AA61" i="33"/>
  <c r="AA66" i="33"/>
  <c r="AA4" i="33"/>
  <c r="AA12" i="33"/>
  <c r="AA33" i="33"/>
  <c r="AA47" i="33"/>
  <c r="AA43" i="33"/>
  <c r="AA80" i="33"/>
  <c r="AA62" i="33"/>
  <c r="AA57" i="33"/>
  <c r="AA81" i="33"/>
  <c r="AA72" i="33"/>
  <c r="AA13" i="33"/>
  <c r="AA21" i="33"/>
  <c r="AA76" i="33"/>
  <c r="AA44" i="33"/>
  <c r="AA23" i="33"/>
  <c r="AA74" i="33"/>
  <c r="AA63" i="33"/>
  <c r="AA7" i="33"/>
  <c r="AA30" i="33"/>
  <c r="AA24" i="33"/>
  <c r="AA69" i="33"/>
  <c r="AA93" i="33"/>
  <c r="AA58" i="33"/>
  <c r="AA39" i="33"/>
  <c r="AA16" i="33"/>
  <c r="AA86" i="33"/>
  <c r="AA28" i="33"/>
  <c r="AA15" i="33"/>
  <c r="AA64" i="33"/>
  <c r="AA49" i="33"/>
  <c r="AA92" i="33"/>
  <c r="AA83" i="33"/>
  <c r="AA95" i="33"/>
  <c r="AA41" i="33"/>
  <c r="AA59" i="33"/>
  <c r="AA22" i="33"/>
  <c r="AA5" i="33"/>
  <c r="AA79" i="33"/>
  <c r="AA2" i="33"/>
  <c r="AA53" i="33"/>
  <c r="AA70" i="33"/>
  <c r="AA73" i="33"/>
  <c r="AA18" i="33"/>
  <c r="AA71" i="33"/>
  <c r="AA17" i="33"/>
  <c r="AA32" i="33"/>
  <c r="AA38" i="33"/>
  <c r="AA96" i="33"/>
  <c r="AA94" i="33"/>
  <c r="AA11" i="33"/>
  <c r="AA8" i="33"/>
  <c r="AA37" i="33"/>
  <c r="AA46" i="33"/>
  <c r="AA88" i="33"/>
  <c r="AA14" i="33"/>
  <c r="AA68" i="33"/>
  <c r="AA19" i="33"/>
  <c r="AA42" i="33"/>
  <c r="AA25" i="33"/>
  <c r="AA34" i="33"/>
  <c r="AA50" i="33"/>
  <c r="AA20" i="33"/>
  <c r="AA89" i="33"/>
  <c r="AA65" i="33"/>
  <c r="AA56" i="33"/>
  <c r="AA10" i="33"/>
  <c r="AA31" i="33"/>
  <c r="AA6" i="33"/>
  <c r="AA78" i="33"/>
  <c r="AA75" i="33"/>
  <c r="AA48" i="33"/>
  <c r="AA77" i="33"/>
  <c r="AA3" i="33"/>
  <c r="AA9" i="33"/>
  <c r="AA55" i="33"/>
  <c r="AA29" i="33"/>
  <c r="AA54" i="33"/>
  <c r="AA60" i="33"/>
  <c r="AA35" i="33"/>
  <c r="AA26" i="33"/>
  <c r="AA82" i="33"/>
  <c r="AA97" i="33"/>
  <c r="AA52" i="33"/>
  <c r="AA90" i="33"/>
  <c r="AA45" i="33"/>
  <c r="Z47" i="33" l="1"/>
  <c r="Z66" i="33"/>
  <c r="Z45" i="33"/>
  <c r="Z12" i="33"/>
  <c r="Z9" i="33"/>
  <c r="Z88" i="33"/>
  <c r="Z13" i="33"/>
  <c r="Z59" i="33"/>
  <c r="Z7" i="33"/>
  <c r="Z90" i="33"/>
  <c r="Z3" i="33"/>
  <c r="Z67" i="33"/>
  <c r="Z50" i="33"/>
  <c r="Z46" i="33"/>
  <c r="Z38" i="33"/>
  <c r="Z4" i="33"/>
  <c r="Z41" i="33"/>
  <c r="Z15" i="33"/>
  <c r="Z93" i="33"/>
  <c r="Z63" i="33"/>
  <c r="Z20" i="33"/>
  <c r="Z58" i="33"/>
  <c r="Z52" i="33"/>
  <c r="Z62" i="33"/>
  <c r="Z77" i="33"/>
  <c r="Z10" i="33"/>
  <c r="Z34" i="33"/>
  <c r="Z37" i="33"/>
  <c r="Z32" i="33"/>
  <c r="Z53" i="33"/>
  <c r="Z95" i="33"/>
  <c r="Z69" i="33"/>
  <c r="Z74" i="33"/>
  <c r="Z31" i="33"/>
  <c r="Z70" i="33"/>
  <c r="Z72" i="33"/>
  <c r="Z97" i="33"/>
  <c r="Z35" i="33"/>
  <c r="Z48" i="33"/>
  <c r="Z84" i="33"/>
  <c r="Z25" i="33"/>
  <c r="Z8" i="33"/>
  <c r="Z17" i="33"/>
  <c r="D1" i="33"/>
  <c r="C1" i="33" s="1"/>
  <c r="Z2" i="33"/>
  <c r="Z83" i="33"/>
  <c r="Z28" i="33"/>
  <c r="Z24" i="33"/>
  <c r="Z23" i="33"/>
  <c r="Z82" i="33"/>
  <c r="Z75" i="33"/>
  <c r="Z42" i="33"/>
  <c r="Z11" i="33"/>
  <c r="Z71" i="33"/>
  <c r="Z27" i="33"/>
  <c r="Z92" i="33"/>
  <c r="Z86" i="33"/>
  <c r="Z40" i="33"/>
  <c r="Z44" i="33"/>
  <c r="Z60" i="33"/>
  <c r="Z57" i="33"/>
  <c r="Z26" i="33"/>
  <c r="Z54" i="33"/>
  <c r="Z78" i="33"/>
  <c r="Z56" i="33"/>
  <c r="Z19" i="33"/>
  <c r="Z94" i="33"/>
  <c r="Z18" i="33"/>
  <c r="Z79" i="33"/>
  <c r="Z49" i="33"/>
  <c r="Z16" i="33"/>
  <c r="Z30" i="33"/>
  <c r="Z76" i="33"/>
  <c r="Z80" i="33"/>
  <c r="Z29" i="33"/>
  <c r="Z65" i="33"/>
  <c r="Z68" i="33"/>
  <c r="Z96" i="33"/>
  <c r="Z5" i="33"/>
  <c r="Z91" i="33"/>
  <c r="Z51" i="33"/>
  <c r="Z81" i="33"/>
  <c r="Z21" i="33"/>
  <c r="Z87" i="33"/>
  <c r="Z6" i="33"/>
  <c r="Z43" i="33"/>
  <c r="Z55" i="33"/>
  <c r="Z33" i="33"/>
  <c r="Z89" i="33"/>
  <c r="Z14" i="33"/>
  <c r="Z85" i="33"/>
  <c r="Z73" i="33"/>
  <c r="Z22" i="33"/>
  <c r="Z64" i="33"/>
  <c r="Z39" i="33"/>
  <c r="Z36" i="33"/>
  <c r="Z61" i="33"/>
  <c r="AB26" i="34" l="1"/>
  <c r="P1" i="32"/>
  <c r="BT20" i="30" l="1"/>
  <c r="BT19" i="30"/>
  <c r="BT18" i="30"/>
  <c r="BP30" i="30"/>
  <c r="BP29" i="30"/>
  <c r="BP28" i="30"/>
  <c r="BP27" i="30"/>
  <c r="BP26" i="30"/>
  <c r="BP25" i="30"/>
  <c r="BP24" i="30"/>
  <c r="BP23" i="30"/>
  <c r="BP22" i="30"/>
  <c r="BP21" i="30"/>
  <c r="BP20" i="30"/>
  <c r="J17" i="18" l="1"/>
  <c r="D1" i="38" l="1"/>
  <c r="J25" i="18"/>
  <c r="J20" i="18"/>
  <c r="C1" i="38"/>
  <c r="J19" i="18"/>
  <c r="L19" i="18"/>
  <c r="M1" i="36"/>
  <c r="P1" i="36"/>
  <c r="AB24" i="34" l="1"/>
  <c r="M1" i="32"/>
  <c r="AG1" i="16" l="1"/>
  <c r="AF1" i="16"/>
  <c r="AD1" i="16"/>
  <c r="AC1" i="16"/>
  <c r="T1" i="16"/>
  <c r="S1" i="16"/>
  <c r="Q1" i="16"/>
  <c r="P1" i="16"/>
  <c r="T12" i="16"/>
  <c r="S12" i="16"/>
  <c r="Q12" i="16"/>
  <c r="P12" i="16"/>
  <c r="G12" i="16"/>
  <c r="F12" i="16"/>
  <c r="D12" i="16"/>
  <c r="C12" i="16"/>
  <c r="G1" i="16"/>
  <c r="F1" i="16"/>
  <c r="D1" i="16"/>
  <c r="C1" i="16"/>
  <c r="X81" i="23" l="1"/>
  <c r="W81" i="23"/>
  <c r="P81" i="23"/>
  <c r="N81" i="23"/>
  <c r="X80" i="23"/>
  <c r="W80" i="23"/>
  <c r="P80" i="23"/>
  <c r="N80" i="23"/>
  <c r="X79" i="23"/>
  <c r="W79" i="23"/>
  <c r="P79" i="23"/>
  <c r="N79" i="23"/>
  <c r="X78" i="23"/>
  <c r="W78" i="23"/>
  <c r="P78" i="23"/>
  <c r="N78" i="23"/>
  <c r="X77" i="23"/>
  <c r="W77" i="23"/>
  <c r="P77" i="23"/>
  <c r="N77" i="23"/>
  <c r="X76" i="23"/>
  <c r="W76" i="23"/>
  <c r="P76" i="23"/>
  <c r="N76" i="23"/>
  <c r="X75" i="23"/>
  <c r="W75" i="23"/>
  <c r="P75" i="23"/>
  <c r="N75" i="23"/>
  <c r="X74" i="23"/>
  <c r="W74" i="23"/>
  <c r="P74" i="23"/>
  <c r="N74" i="23"/>
  <c r="X73" i="23"/>
  <c r="W73" i="23"/>
  <c r="P73" i="23"/>
  <c r="N73" i="23"/>
  <c r="X72" i="23"/>
  <c r="W72" i="23"/>
  <c r="P72" i="23"/>
  <c r="N72" i="23"/>
  <c r="X71" i="23"/>
  <c r="W71" i="23"/>
  <c r="P71" i="23"/>
  <c r="N71" i="23"/>
  <c r="X70" i="23"/>
  <c r="W70" i="23"/>
  <c r="P70" i="23"/>
  <c r="N70" i="23"/>
  <c r="X69" i="23"/>
  <c r="W69" i="23"/>
  <c r="P69" i="23"/>
  <c r="N69" i="23"/>
  <c r="X68" i="23"/>
  <c r="W68" i="23"/>
  <c r="P68" i="23"/>
  <c r="N68" i="23"/>
  <c r="X67" i="23"/>
  <c r="W67" i="23"/>
  <c r="P67" i="23"/>
  <c r="N67" i="23"/>
  <c r="X66" i="23"/>
  <c r="W66" i="23"/>
  <c r="P66" i="23"/>
  <c r="N66" i="23"/>
  <c r="X65" i="23"/>
  <c r="W65" i="23"/>
  <c r="P65" i="23"/>
  <c r="N65" i="23"/>
  <c r="X64" i="23"/>
  <c r="W64" i="23"/>
  <c r="P64" i="23"/>
  <c r="N64" i="23"/>
  <c r="X63" i="23"/>
  <c r="W63" i="23"/>
  <c r="P63" i="23"/>
  <c r="N63" i="23"/>
  <c r="X62" i="23"/>
  <c r="W62" i="23"/>
  <c r="P62" i="23"/>
  <c r="N62" i="23"/>
  <c r="X61" i="23"/>
  <c r="W61" i="23"/>
  <c r="P61" i="23"/>
  <c r="N61" i="23"/>
  <c r="X60" i="23"/>
  <c r="W60" i="23"/>
  <c r="P60" i="23"/>
  <c r="N60" i="23"/>
  <c r="X59" i="23"/>
  <c r="W59" i="23"/>
  <c r="P59" i="23"/>
  <c r="N59" i="23"/>
  <c r="X58" i="23"/>
  <c r="W58" i="23"/>
  <c r="P58" i="23"/>
  <c r="N58" i="23"/>
  <c r="X57" i="23"/>
  <c r="W57" i="23"/>
  <c r="P57" i="23"/>
  <c r="N57" i="23"/>
  <c r="X56" i="23"/>
  <c r="W56" i="23"/>
  <c r="L56" i="23"/>
  <c r="X55" i="23"/>
  <c r="W55" i="23"/>
  <c r="L55" i="23"/>
  <c r="P55" i="23" s="1"/>
  <c r="X54" i="23"/>
  <c r="W54" i="23"/>
  <c r="P54" i="23"/>
  <c r="N54" i="23"/>
  <c r="X53" i="23"/>
  <c r="W53" i="23"/>
  <c r="P53" i="23"/>
  <c r="N53" i="23"/>
  <c r="X52" i="23"/>
  <c r="W52" i="23"/>
  <c r="P52" i="23"/>
  <c r="N52" i="23"/>
  <c r="X51" i="23"/>
  <c r="W51" i="23"/>
  <c r="P51" i="23"/>
  <c r="N51" i="23"/>
  <c r="X50" i="23"/>
  <c r="W50" i="23"/>
  <c r="P50" i="23"/>
  <c r="N50" i="23"/>
  <c r="X49" i="23"/>
  <c r="W49" i="23"/>
  <c r="P49" i="23"/>
  <c r="N49" i="23"/>
  <c r="X48" i="23"/>
  <c r="W48" i="23"/>
  <c r="P48" i="23"/>
  <c r="N48" i="23"/>
  <c r="X47" i="23"/>
  <c r="W47" i="23"/>
  <c r="P47" i="23"/>
  <c r="N47" i="23"/>
  <c r="X46" i="23"/>
  <c r="W46" i="23"/>
  <c r="P46" i="23"/>
  <c r="N46" i="23"/>
  <c r="X45" i="23"/>
  <c r="W45" i="23"/>
  <c r="P45" i="23"/>
  <c r="N45" i="23"/>
  <c r="X44" i="23"/>
  <c r="W44" i="23"/>
  <c r="P44" i="23"/>
  <c r="N44" i="23"/>
  <c r="X43" i="23"/>
  <c r="W43" i="23"/>
  <c r="P43" i="23"/>
  <c r="N43" i="23"/>
  <c r="X42" i="23"/>
  <c r="W42" i="23"/>
  <c r="P42" i="23"/>
  <c r="N42" i="23"/>
  <c r="X41" i="23"/>
  <c r="W41" i="23"/>
  <c r="P41" i="23"/>
  <c r="N41" i="23"/>
  <c r="X40" i="23"/>
  <c r="W40" i="23"/>
  <c r="P40" i="23"/>
  <c r="N40" i="23"/>
  <c r="X39" i="23"/>
  <c r="W39" i="23"/>
  <c r="P39" i="23"/>
  <c r="N39" i="23"/>
  <c r="X38" i="23"/>
  <c r="W38" i="23"/>
  <c r="P38" i="23"/>
  <c r="N38" i="23"/>
  <c r="X37" i="23"/>
  <c r="W37" i="23"/>
  <c r="P37" i="23"/>
  <c r="N37" i="23"/>
  <c r="X36" i="23"/>
  <c r="W36" i="23"/>
  <c r="P36" i="23"/>
  <c r="N36" i="23"/>
  <c r="X35" i="23"/>
  <c r="W35" i="23"/>
  <c r="P35" i="23"/>
  <c r="N35" i="23"/>
  <c r="X34" i="23"/>
  <c r="W34" i="23"/>
  <c r="P34" i="23"/>
  <c r="N34" i="23"/>
  <c r="X33" i="23"/>
  <c r="W33" i="23"/>
  <c r="P33" i="23"/>
  <c r="N33" i="23"/>
  <c r="X32" i="23"/>
  <c r="W32" i="23"/>
  <c r="P32" i="23"/>
  <c r="N32" i="23"/>
  <c r="X31" i="23"/>
  <c r="W31" i="23"/>
  <c r="P31" i="23"/>
  <c r="N31" i="23"/>
  <c r="X30" i="23"/>
  <c r="W30" i="23"/>
  <c r="P30" i="23"/>
  <c r="N30" i="23"/>
  <c r="X29" i="23"/>
  <c r="W29" i="23"/>
  <c r="P29" i="23"/>
  <c r="N29" i="23"/>
  <c r="X28" i="23"/>
  <c r="W28" i="23"/>
  <c r="P28" i="23"/>
  <c r="N28" i="23"/>
  <c r="X27" i="23"/>
  <c r="W27" i="23"/>
  <c r="P27" i="23"/>
  <c r="N27" i="23"/>
  <c r="X26" i="23"/>
  <c r="W26" i="23"/>
  <c r="P26" i="23"/>
  <c r="N26" i="23"/>
  <c r="X25" i="23"/>
  <c r="W25" i="23"/>
  <c r="P25" i="23"/>
  <c r="N25" i="23"/>
  <c r="X24" i="23"/>
  <c r="W24" i="23"/>
  <c r="P24" i="23"/>
  <c r="N24" i="23"/>
  <c r="X23" i="23"/>
  <c r="W23" i="23"/>
  <c r="P23" i="23"/>
  <c r="N23" i="23"/>
  <c r="X22" i="23"/>
  <c r="W22" i="23"/>
  <c r="P22" i="23"/>
  <c r="N22" i="23"/>
  <c r="X21" i="23"/>
  <c r="W21" i="23"/>
  <c r="P21" i="23"/>
  <c r="N21" i="23"/>
  <c r="X20" i="23"/>
  <c r="W20" i="23"/>
  <c r="P20" i="23"/>
  <c r="N20" i="23"/>
  <c r="X19" i="23"/>
  <c r="W19" i="23"/>
  <c r="P19" i="23"/>
  <c r="N19" i="23"/>
  <c r="X18" i="23"/>
  <c r="W18" i="23"/>
  <c r="P18" i="23"/>
  <c r="N18" i="23"/>
  <c r="X17" i="23"/>
  <c r="W17" i="23"/>
  <c r="P17" i="23"/>
  <c r="N17" i="23"/>
  <c r="X16" i="23"/>
  <c r="W16" i="23"/>
  <c r="P16" i="23"/>
  <c r="N16" i="23"/>
  <c r="X15" i="23"/>
  <c r="W15" i="23"/>
  <c r="P15" i="23"/>
  <c r="N15" i="23"/>
  <c r="X14" i="23"/>
  <c r="W14" i="23"/>
  <c r="P14" i="23"/>
  <c r="N14" i="23"/>
  <c r="X13" i="23"/>
  <c r="W13" i="23"/>
  <c r="P13" i="23"/>
  <c r="N13" i="23"/>
  <c r="X12" i="23"/>
  <c r="W12" i="23"/>
  <c r="P12" i="23"/>
  <c r="N12" i="23"/>
  <c r="X11" i="23"/>
  <c r="W11" i="23"/>
  <c r="P11" i="23"/>
  <c r="N11" i="23"/>
  <c r="X10" i="23"/>
  <c r="W10" i="23"/>
  <c r="Q10" i="23"/>
  <c r="P10" i="23"/>
  <c r="M10" i="23"/>
  <c r="X9" i="23"/>
  <c r="W9" i="23"/>
  <c r="R9" i="23"/>
  <c r="Q9" i="23"/>
  <c r="P9" i="23"/>
  <c r="N9" i="23"/>
  <c r="X8" i="23"/>
  <c r="W8" i="23"/>
  <c r="P8" i="23"/>
  <c r="N8" i="23"/>
  <c r="X7" i="23"/>
  <c r="W7" i="23"/>
  <c r="Q7" i="23"/>
  <c r="L7" i="23"/>
  <c r="P7" i="23" s="1"/>
  <c r="AC6" i="23"/>
  <c r="X6" i="23"/>
  <c r="W6" i="23"/>
  <c r="P6" i="23"/>
  <c r="N6" i="23"/>
  <c r="X5" i="23"/>
  <c r="W5" i="23"/>
  <c r="O5" i="23"/>
  <c r="P5" i="23" s="1"/>
  <c r="M5" i="23"/>
  <c r="X4" i="23"/>
  <c r="W4" i="23"/>
  <c r="R4" i="23"/>
  <c r="AC7" i="23" s="1"/>
  <c r="Q4" i="23"/>
  <c r="M4" i="23"/>
  <c r="L4" i="23"/>
  <c r="Y6" i="23" s="1"/>
  <c r="X3" i="23"/>
  <c r="W3" i="23"/>
  <c r="Q3" i="23"/>
  <c r="AD4" i="23" s="1"/>
  <c r="P3" i="23"/>
  <c r="N3" i="23"/>
  <c r="AC2" i="23"/>
  <c r="X2" i="23"/>
  <c r="W2" i="23"/>
  <c r="M2" i="23"/>
  <c r="L2" i="23"/>
  <c r="AC5" i="23" l="1"/>
  <c r="AD7" i="23"/>
  <c r="AC4" i="23"/>
  <c r="AD3" i="23"/>
  <c r="AC3" i="23"/>
  <c r="AD79" i="23"/>
  <c r="Z76" i="23"/>
  <c r="AC9" i="23"/>
  <c r="N55" i="23"/>
  <c r="P4" i="23"/>
  <c r="Y3" i="23"/>
  <c r="AD2" i="23"/>
  <c r="Y7" i="23"/>
  <c r="P2" i="23"/>
  <c r="N7" i="23"/>
  <c r="AD65" i="23"/>
  <c r="AD10" i="23"/>
  <c r="Y4" i="23"/>
  <c r="Z5" i="23"/>
  <c r="Y9" i="23"/>
  <c r="Z58" i="23"/>
  <c r="AD71" i="23"/>
  <c r="Z74" i="23"/>
  <c r="Z68" i="23"/>
  <c r="Y5" i="23"/>
  <c r="N5" i="23"/>
  <c r="Z9" i="23"/>
  <c r="AD61" i="23"/>
  <c r="Z64" i="23"/>
  <c r="AD77" i="23"/>
  <c r="Z80" i="23"/>
  <c r="N2" i="23"/>
  <c r="AA39" i="23" s="1"/>
  <c r="AD6" i="23"/>
  <c r="N4" i="23"/>
  <c r="Y56" i="23"/>
  <c r="P56" i="23"/>
  <c r="N56" i="23"/>
  <c r="AD67" i="23"/>
  <c r="Z70" i="23"/>
  <c r="Z3" i="23"/>
  <c r="Z7" i="23"/>
  <c r="AD57" i="23"/>
  <c r="Z60" i="23"/>
  <c r="AD73" i="23"/>
  <c r="Z54" i="23"/>
  <c r="Z52" i="23"/>
  <c r="Z50" i="23"/>
  <c r="Z48" i="23"/>
  <c r="Z46" i="23"/>
  <c r="Z44" i="23"/>
  <c r="Z42" i="23"/>
  <c r="Z40" i="23"/>
  <c r="Z38" i="23"/>
  <c r="Z36" i="23"/>
  <c r="Z34" i="23"/>
  <c r="Z32" i="23"/>
  <c r="Z30" i="23"/>
  <c r="Z28" i="23"/>
  <c r="Z26" i="23"/>
  <c r="Z24" i="23"/>
  <c r="Z22" i="23"/>
  <c r="Z20" i="23"/>
  <c r="Z18" i="23"/>
  <c r="Z16" i="23"/>
  <c r="Z14" i="23"/>
  <c r="Z12" i="23"/>
  <c r="Z81" i="23"/>
  <c r="Z79" i="23"/>
  <c r="Z77" i="23"/>
  <c r="Z75" i="23"/>
  <c r="Z73" i="23"/>
  <c r="Z71" i="23"/>
  <c r="Z69" i="23"/>
  <c r="Z67" i="23"/>
  <c r="Z65" i="23"/>
  <c r="Z63" i="23"/>
  <c r="Z61" i="23"/>
  <c r="Z59" i="23"/>
  <c r="Z57" i="23"/>
  <c r="Z55" i="23"/>
  <c r="Z53" i="23"/>
  <c r="Z51" i="23"/>
  <c r="Z49" i="23"/>
  <c r="Z47" i="23"/>
  <c r="Z45" i="23"/>
  <c r="Z43" i="23"/>
  <c r="Z41" i="23"/>
  <c r="Z39" i="23"/>
  <c r="Z37" i="23"/>
  <c r="Z35" i="23"/>
  <c r="Z33" i="23"/>
  <c r="Z31" i="23"/>
  <c r="Z29" i="23"/>
  <c r="Z27" i="23"/>
  <c r="Z25" i="23"/>
  <c r="Z23" i="23"/>
  <c r="Z21" i="23"/>
  <c r="Z19" i="23"/>
  <c r="Z17" i="23"/>
  <c r="Z15" i="23"/>
  <c r="Z13" i="23"/>
  <c r="Z11" i="23"/>
  <c r="Z8" i="23"/>
  <c r="Z2" i="23"/>
  <c r="AB57" i="23"/>
  <c r="Z4" i="23"/>
  <c r="AD9" i="23"/>
  <c r="Z10" i="23"/>
  <c r="AB13" i="23"/>
  <c r="AB21" i="23"/>
  <c r="AB49" i="23"/>
  <c r="AD63" i="23"/>
  <c r="Z66" i="23"/>
  <c r="AB71" i="23"/>
  <c r="Y80" i="23"/>
  <c r="Y78" i="23"/>
  <c r="Y76" i="23"/>
  <c r="Y74" i="23"/>
  <c r="Y72" i="23"/>
  <c r="Y70" i="23"/>
  <c r="Y68" i="23"/>
  <c r="Y66" i="23"/>
  <c r="Y64" i="23"/>
  <c r="Y62" i="23"/>
  <c r="Y60" i="23"/>
  <c r="Y58" i="23"/>
  <c r="Y54" i="23"/>
  <c r="Y52" i="23"/>
  <c r="Y50" i="23"/>
  <c r="Y48" i="23"/>
  <c r="Y46" i="23"/>
  <c r="Y44" i="23"/>
  <c r="Y42" i="23"/>
  <c r="Y40" i="23"/>
  <c r="Y38" i="23"/>
  <c r="Y36" i="23"/>
  <c r="Y34" i="23"/>
  <c r="Y32" i="23"/>
  <c r="Y30" i="23"/>
  <c r="Y28" i="23"/>
  <c r="Y26" i="23"/>
  <c r="Y24" i="23"/>
  <c r="Y22" i="23"/>
  <c r="Y20" i="23"/>
  <c r="Y18" i="23"/>
  <c r="Y16" i="23"/>
  <c r="Y14" i="23"/>
  <c r="Y12" i="23"/>
  <c r="Y10" i="23"/>
  <c r="Y81" i="23"/>
  <c r="Y79" i="23"/>
  <c r="Y77" i="23"/>
  <c r="Y75" i="23"/>
  <c r="Y73" i="23"/>
  <c r="Y71" i="23"/>
  <c r="Y69" i="23"/>
  <c r="Y67" i="23"/>
  <c r="Y65" i="23"/>
  <c r="Y63" i="23"/>
  <c r="Y61" i="23"/>
  <c r="Y59" i="23"/>
  <c r="Y57" i="23"/>
  <c r="Y53" i="23"/>
  <c r="Y51" i="23"/>
  <c r="Y49" i="23"/>
  <c r="Y47" i="23"/>
  <c r="Y45" i="23"/>
  <c r="Y43" i="23"/>
  <c r="Y41" i="23"/>
  <c r="Y39" i="23"/>
  <c r="Y37" i="23"/>
  <c r="Y35" i="23"/>
  <c r="Y33" i="23"/>
  <c r="Y31" i="23"/>
  <c r="Y29" i="23"/>
  <c r="Y27" i="23"/>
  <c r="Y25" i="23"/>
  <c r="Y23" i="23"/>
  <c r="Y21" i="23"/>
  <c r="Y19" i="23"/>
  <c r="Y17" i="23"/>
  <c r="Y15" i="23"/>
  <c r="Y13" i="23"/>
  <c r="Y11" i="23"/>
  <c r="Y8" i="23"/>
  <c r="Y2" i="23"/>
  <c r="AD81" i="23"/>
  <c r="AD55" i="23"/>
  <c r="AD53" i="23"/>
  <c r="AD51" i="23"/>
  <c r="AD49" i="23"/>
  <c r="AD47" i="23"/>
  <c r="AD45" i="23"/>
  <c r="AD43" i="23"/>
  <c r="AD41" i="23"/>
  <c r="AD39" i="23"/>
  <c r="AD37" i="23"/>
  <c r="AD35" i="23"/>
  <c r="AD33" i="23"/>
  <c r="AD31" i="23"/>
  <c r="AD29" i="23"/>
  <c r="AD27" i="23"/>
  <c r="AD25" i="23"/>
  <c r="AD23" i="23"/>
  <c r="AD21" i="23"/>
  <c r="AD19" i="23"/>
  <c r="AD17" i="23"/>
  <c r="AD15" i="23"/>
  <c r="AD13" i="23"/>
  <c r="AD11" i="23"/>
  <c r="AD8" i="23"/>
  <c r="AD80" i="23"/>
  <c r="AD78" i="23"/>
  <c r="AD76" i="23"/>
  <c r="AD74" i="23"/>
  <c r="AD72" i="23"/>
  <c r="AD70" i="23"/>
  <c r="AD68" i="23"/>
  <c r="AD66" i="23"/>
  <c r="AD64" i="23"/>
  <c r="AD62" i="23"/>
  <c r="AD60" i="23"/>
  <c r="AD58" i="23"/>
  <c r="AD56" i="23"/>
  <c r="AD54" i="23"/>
  <c r="AD52" i="23"/>
  <c r="AD50" i="23"/>
  <c r="AD48" i="23"/>
  <c r="AD46" i="23"/>
  <c r="AD44" i="23"/>
  <c r="AD42" i="23"/>
  <c r="AD40" i="23"/>
  <c r="AD38" i="23"/>
  <c r="AD36" i="23"/>
  <c r="AD34" i="23"/>
  <c r="AD32" i="23"/>
  <c r="AD30" i="23"/>
  <c r="AD28" i="23"/>
  <c r="AD26" i="23"/>
  <c r="AD24" i="23"/>
  <c r="AD22" i="23"/>
  <c r="AD20" i="23"/>
  <c r="AD18" i="23"/>
  <c r="AD16" i="23"/>
  <c r="AD14" i="23"/>
  <c r="AD12" i="23"/>
  <c r="AC81" i="23"/>
  <c r="AC79" i="23"/>
  <c r="AC77" i="23"/>
  <c r="AC75" i="23"/>
  <c r="AC73" i="23"/>
  <c r="AC71" i="23"/>
  <c r="AC69" i="23"/>
  <c r="AC67" i="23"/>
  <c r="AC65" i="23"/>
  <c r="AC63" i="23"/>
  <c r="AC61" i="23"/>
  <c r="AC59" i="23"/>
  <c r="AC57" i="23"/>
  <c r="AC55" i="23"/>
  <c r="AC53" i="23"/>
  <c r="AC51" i="23"/>
  <c r="AC49" i="23"/>
  <c r="AC47" i="23"/>
  <c r="AC45" i="23"/>
  <c r="AC43" i="23"/>
  <c r="AC41" i="23"/>
  <c r="AC39" i="23"/>
  <c r="AC37" i="23"/>
  <c r="AC35" i="23"/>
  <c r="AC33" i="23"/>
  <c r="AC31" i="23"/>
  <c r="AC29" i="23"/>
  <c r="AC27" i="23"/>
  <c r="AC25" i="23"/>
  <c r="AC23" i="23"/>
  <c r="AC21" i="23"/>
  <c r="AC19" i="23"/>
  <c r="AC17" i="23"/>
  <c r="AC15" i="23"/>
  <c r="AC13" i="23"/>
  <c r="AC11" i="23"/>
  <c r="AC8" i="23"/>
  <c r="AC80" i="23"/>
  <c r="AC78" i="23"/>
  <c r="AC76" i="23"/>
  <c r="AC74" i="23"/>
  <c r="AC72" i="23"/>
  <c r="AC70" i="23"/>
  <c r="AC68" i="23"/>
  <c r="AC66" i="23"/>
  <c r="AC64" i="23"/>
  <c r="AC62" i="23"/>
  <c r="AC60" i="23"/>
  <c r="AC58" i="23"/>
  <c r="AC56" i="23"/>
  <c r="AC54" i="23"/>
  <c r="AC52" i="23"/>
  <c r="AC50" i="23"/>
  <c r="AC48" i="23"/>
  <c r="AC46" i="23"/>
  <c r="AC44" i="23"/>
  <c r="AC42" i="23"/>
  <c r="AC40" i="23"/>
  <c r="AC38" i="23"/>
  <c r="AC36" i="23"/>
  <c r="AC34" i="23"/>
  <c r="AC32" i="23"/>
  <c r="AC30" i="23"/>
  <c r="AC28" i="23"/>
  <c r="AC26" i="23"/>
  <c r="AC24" i="23"/>
  <c r="AC22" i="23"/>
  <c r="AC20" i="23"/>
  <c r="AC18" i="23"/>
  <c r="AC16" i="23"/>
  <c r="AC14" i="23"/>
  <c r="AC12" i="23"/>
  <c r="AC10" i="23"/>
  <c r="AB4" i="23"/>
  <c r="AD5" i="23"/>
  <c r="Z6" i="23"/>
  <c r="AB35" i="23"/>
  <c r="AB51" i="23"/>
  <c r="Z56" i="23"/>
  <c r="AB58" i="23"/>
  <c r="AB61" i="23"/>
  <c r="AD69" i="23"/>
  <c r="Z72" i="23"/>
  <c r="AB74" i="23"/>
  <c r="AB77" i="23"/>
  <c r="AB16" i="23"/>
  <c r="AB23" i="23"/>
  <c r="AB37" i="23"/>
  <c r="AB53" i="23"/>
  <c r="AB55" i="23"/>
  <c r="AD59" i="23"/>
  <c r="Z62" i="23"/>
  <c r="AB64" i="23"/>
  <c r="AB67" i="23"/>
  <c r="AD75" i="23"/>
  <c r="Z78" i="23"/>
  <c r="AB80" i="23"/>
  <c r="Y55" i="23"/>
  <c r="N10" i="23"/>
  <c r="AA10" i="23" l="1"/>
  <c r="AA32" i="23"/>
  <c r="AB54" i="23"/>
  <c r="AA23" i="23"/>
  <c r="V23" i="23" s="1"/>
  <c r="AA70" i="23"/>
  <c r="AA48" i="23"/>
  <c r="AA57" i="23"/>
  <c r="V57" i="23" s="1"/>
  <c r="AA73" i="23"/>
  <c r="AB45" i="23"/>
  <c r="AA64" i="23"/>
  <c r="AB68" i="23"/>
  <c r="AB81" i="23"/>
  <c r="AB73" i="23"/>
  <c r="V73" i="23" s="1"/>
  <c r="AB78" i="23"/>
  <c r="V78" i="23" s="1"/>
  <c r="AB75" i="23"/>
  <c r="AA3" i="23"/>
  <c r="AB39" i="23"/>
  <c r="V39" i="23" s="1"/>
  <c r="AB62" i="23"/>
  <c r="AB33" i="23"/>
  <c r="AA61" i="23"/>
  <c r="V61" i="23" s="1"/>
  <c r="AA42" i="23"/>
  <c r="AA78" i="23"/>
  <c r="AA56" i="23"/>
  <c r="AA38" i="23"/>
  <c r="AB70" i="23"/>
  <c r="V70" i="23" s="1"/>
  <c r="AA66" i="23"/>
  <c r="AA43" i="23"/>
  <c r="AB17" i="23"/>
  <c r="AB10" i="23"/>
  <c r="V10" i="23" s="1"/>
  <c r="AA12" i="23"/>
  <c r="AA53" i="23"/>
  <c r="V53" i="23" s="1"/>
  <c r="AA30" i="23"/>
  <c r="AA58" i="23"/>
  <c r="AA63" i="23"/>
  <c r="AA50" i="23"/>
  <c r="AB56" i="23"/>
  <c r="AB8" i="23"/>
  <c r="AA31" i="23"/>
  <c r="AA8" i="23"/>
  <c r="AA11" i="23"/>
  <c r="AA2" i="23"/>
  <c r="AA15" i="23"/>
  <c r="AA18" i="23"/>
  <c r="AA20" i="23"/>
  <c r="AA14" i="23"/>
  <c r="AB63" i="23"/>
  <c r="V63" i="23" s="1"/>
  <c r="AB41" i="23"/>
  <c r="AA7" i="23"/>
  <c r="AA13" i="23"/>
  <c r="V13" i="23" s="1"/>
  <c r="AB46" i="23"/>
  <c r="AB52" i="23"/>
  <c r="AA77" i="23"/>
  <c r="V77" i="23" s="1"/>
  <c r="AA51" i="23"/>
  <c r="V51" i="23" s="1"/>
  <c r="AA28" i="23"/>
  <c r="AB34" i="23"/>
  <c r="AB72" i="23"/>
  <c r="AB29" i="23"/>
  <c r="AA59" i="23"/>
  <c r="AA29" i="23"/>
  <c r="AB9" i="23"/>
  <c r="AB60" i="23"/>
  <c r="AA9" i="23"/>
  <c r="AB24" i="23"/>
  <c r="AB5" i="23"/>
  <c r="AB38" i="23"/>
  <c r="AB48" i="23"/>
  <c r="V48" i="23" s="1"/>
  <c r="AA74" i="23"/>
  <c r="V74" i="23" s="1"/>
  <c r="AA41" i="23"/>
  <c r="AA33" i="23"/>
  <c r="V33" i="23" s="1"/>
  <c r="AA54" i="23"/>
  <c r="V54" i="23" s="1"/>
  <c r="AB27" i="23"/>
  <c r="AA5" i="23"/>
  <c r="AB79" i="23"/>
  <c r="AA36" i="23"/>
  <c r="AA34" i="23"/>
  <c r="V34" i="23" s="1"/>
  <c r="AB18" i="23"/>
  <c r="AB32" i="23"/>
  <c r="V32" i="23" s="1"/>
  <c r="AB40" i="23"/>
  <c r="AA67" i="23"/>
  <c r="V67" i="23" s="1"/>
  <c r="AA46" i="23"/>
  <c r="V46" i="23" s="1"/>
  <c r="V58" i="23"/>
  <c r="AB50" i="23"/>
  <c r="AB31" i="23"/>
  <c r="AB26" i="23"/>
  <c r="AA47" i="23"/>
  <c r="AB19" i="23"/>
  <c r="AA75" i="23"/>
  <c r="AB76" i="23"/>
  <c r="AA6" i="23"/>
  <c r="AA16" i="23"/>
  <c r="V16" i="23" s="1"/>
  <c r="AB20" i="23"/>
  <c r="AB36" i="23"/>
  <c r="AA44" i="23"/>
  <c r="AA25" i="23"/>
  <c r="AA71" i="23"/>
  <c r="AA49" i="23"/>
  <c r="V49" i="23" s="1"/>
  <c r="AA17" i="23"/>
  <c r="AA65" i="23"/>
  <c r="AA72" i="23"/>
  <c r="V72" i="23" s="1"/>
  <c r="AA45" i="23"/>
  <c r="V45" i="23" s="1"/>
  <c r="AB2" i="23"/>
  <c r="AA52" i="23"/>
  <c r="V52" i="23" s="1"/>
  <c r="AB28" i="23"/>
  <c r="AB7" i="23"/>
  <c r="AB15" i="23"/>
  <c r="AB30" i="23"/>
  <c r="AB22" i="23"/>
  <c r="AA37" i="23"/>
  <c r="V37" i="23" s="1"/>
  <c r="AA68" i="23"/>
  <c r="V68" i="23" s="1"/>
  <c r="AB47" i="23"/>
  <c r="AA26" i="23"/>
  <c r="V26" i="23" s="1"/>
  <c r="AA60" i="23"/>
  <c r="V60" i="23" s="1"/>
  <c r="AB6" i="23"/>
  <c r="AA62" i="23"/>
  <c r="V62" i="23" s="1"/>
  <c r="AA4" i="23"/>
  <c r="V4" i="23" s="1"/>
  <c r="AB69" i="23"/>
  <c r="AB43" i="23"/>
  <c r="AA19" i="23"/>
  <c r="AA79" i="23"/>
  <c r="V79" i="23" s="1"/>
  <c r="AA27" i="23"/>
  <c r="AB11" i="23"/>
  <c r="AB12" i="23"/>
  <c r="AB42" i="23"/>
  <c r="AB14" i="23"/>
  <c r="AA80" i="23"/>
  <c r="V80" i="23" s="1"/>
  <c r="V71" i="23"/>
  <c r="V64" i="23"/>
  <c r="AA35" i="23"/>
  <c r="V35" i="23" s="1"/>
  <c r="AB65" i="23"/>
  <c r="AA21" i="23"/>
  <c r="V21" i="23" s="1"/>
  <c r="AA55" i="23"/>
  <c r="V55" i="23" s="1"/>
  <c r="AA81" i="23"/>
  <c r="V81" i="23" s="1"/>
  <c r="AB59" i="23"/>
  <c r="AA40" i="23"/>
  <c r="AB66" i="23"/>
  <c r="AA76" i="23"/>
  <c r="V76" i="23" s="1"/>
  <c r="AA69" i="23"/>
  <c r="AB44" i="23"/>
  <c r="AB25" i="23"/>
  <c r="AB3" i="23"/>
  <c r="V3" i="23" s="1"/>
  <c r="AA24" i="23"/>
  <c r="AA22" i="23"/>
  <c r="V22" i="23" s="1"/>
  <c r="V24" i="23" l="1"/>
  <c r="V75" i="23"/>
  <c r="V40" i="23"/>
  <c r="V8" i="23"/>
  <c r="V41" i="23"/>
  <c r="V20" i="23"/>
  <c r="V56" i="23"/>
  <c r="V50" i="23"/>
  <c r="V5" i="23"/>
  <c r="V25" i="23"/>
  <c r="V47" i="23"/>
  <c r="V66" i="23"/>
  <c r="V9" i="23"/>
  <c r="V2" i="23"/>
  <c r="V69" i="23"/>
  <c r="V65" i="23"/>
  <c r="V7" i="23"/>
  <c r="V38" i="23"/>
  <c r="V17" i="23"/>
  <c r="V43" i="23"/>
  <c r="V27" i="23"/>
  <c r="V6" i="23"/>
  <c r="V36" i="23"/>
  <c r="V29" i="23"/>
  <c r="V31" i="23"/>
  <c r="V12" i="23"/>
  <c r="V19" i="23"/>
  <c r="V59" i="23"/>
  <c r="V14" i="23"/>
  <c r="V30" i="23"/>
  <c r="V44" i="23"/>
  <c r="V18" i="23"/>
  <c r="V28" i="23"/>
  <c r="V15" i="23"/>
  <c r="V42" i="23"/>
  <c r="V11" i="23"/>
  <c r="U11" i="23" l="1"/>
  <c r="U44" i="23"/>
  <c r="U26" i="23"/>
  <c r="U49" i="23"/>
  <c r="U29" i="23"/>
  <c r="U70" i="23"/>
  <c r="U64" i="23"/>
  <c r="U74" i="23"/>
  <c r="U78" i="23"/>
  <c r="U25" i="23"/>
  <c r="U48" i="23"/>
  <c r="U36" i="23"/>
  <c r="U60" i="23"/>
  <c r="U39" i="23"/>
  <c r="U66" i="23"/>
  <c r="U15" i="23"/>
  <c r="U57" i="23"/>
  <c r="U43" i="23"/>
  <c r="U52" i="23"/>
  <c r="U19" i="23"/>
  <c r="U6" i="23"/>
  <c r="U27" i="23"/>
  <c r="U23" i="23"/>
  <c r="U54" i="23"/>
  <c r="U63" i="23"/>
  <c r="U28" i="23"/>
  <c r="U61" i="23"/>
  <c r="U50" i="23"/>
  <c r="U68" i="23"/>
  <c r="U40" i="23"/>
  <c r="U79" i="23"/>
  <c r="U76" i="23"/>
  <c r="U2" i="23"/>
  <c r="U47" i="23"/>
  <c r="U67" i="23"/>
  <c r="U56" i="23"/>
  <c r="U46" i="23"/>
  <c r="U53" i="23"/>
  <c r="U7" i="23"/>
  <c r="U13" i="23"/>
  <c r="U45" i="23"/>
  <c r="U18" i="23"/>
  <c r="U81" i="23"/>
  <c r="U22" i="23"/>
  <c r="U71" i="23"/>
  <c r="U58" i="23"/>
  <c r="U33" i="23"/>
  <c r="U3" i="23"/>
  <c r="U80" i="23"/>
  <c r="U12" i="23"/>
  <c r="U8" i="23"/>
  <c r="U41" i="23"/>
  <c r="U9" i="23"/>
  <c r="U37" i="23"/>
  <c r="U42" i="23"/>
  <c r="U21" i="23"/>
  <c r="U20" i="23"/>
  <c r="U10" i="23"/>
  <c r="U31" i="23"/>
  <c r="U34" i="23"/>
  <c r="U69" i="23"/>
  <c r="U32" i="23"/>
  <c r="U4" i="23"/>
  <c r="U51" i="23"/>
  <c r="U35" i="23"/>
  <c r="U73" i="23"/>
  <c r="U5" i="23"/>
  <c r="U14" i="23"/>
  <c r="U77" i="23"/>
  <c r="U16" i="23"/>
  <c r="U38" i="23"/>
  <c r="U72" i="23"/>
  <c r="U55" i="23"/>
  <c r="U30" i="23"/>
  <c r="U75" i="23"/>
  <c r="U59" i="23"/>
  <c r="U17" i="23"/>
  <c r="U65" i="23"/>
  <c r="U62" i="23"/>
  <c r="U24" i="23"/>
  <c r="AG17" i="16" l="1"/>
  <c r="AF17" i="16"/>
  <c r="AG15" i="16"/>
  <c r="AF15" i="16"/>
  <c r="AG16" i="16"/>
  <c r="AF16" i="16"/>
  <c r="AG14" i="16"/>
  <c r="AF14" i="16"/>
  <c r="AG13" i="16"/>
  <c r="AF13" i="16"/>
  <c r="AH17" i="16" l="1"/>
  <c r="AH14" i="16"/>
  <c r="AH13" i="16"/>
  <c r="AH15" i="16"/>
  <c r="AH16" i="16"/>
  <c r="O1" i="19" l="1"/>
  <c r="J1" i="19"/>
  <c r="K1" i="19" l="1"/>
  <c r="N1" i="19"/>
  <c r="M1" i="19"/>
  <c r="L1" i="19"/>
  <c r="AI17" i="16" l="1"/>
  <c r="AL17" i="16" s="1"/>
  <c r="AI14" i="16"/>
  <c r="AL14" i="16" s="1"/>
  <c r="AI16" i="16"/>
  <c r="AL16" i="16" s="1"/>
  <c r="AI13" i="16"/>
  <c r="AL13" i="16" s="1"/>
  <c r="AI15" i="16"/>
  <c r="AL15" i="16" s="1"/>
  <c r="AA6" i="35" l="1"/>
  <c r="AA11" i="35"/>
  <c r="AA2" i="35"/>
  <c r="AA16" i="35"/>
  <c r="AA8" i="35"/>
  <c r="AA3" i="35"/>
  <c r="AA10" i="35"/>
  <c r="AA17" i="35"/>
  <c r="D1" i="35"/>
  <c r="B1" i="35" s="1"/>
  <c r="AA15" i="35"/>
  <c r="AA5" i="35"/>
  <c r="AA12" i="35"/>
  <c r="AA4" i="35"/>
  <c r="AA13" i="35"/>
  <c r="AA7" i="35"/>
  <c r="AA14" i="35"/>
  <c r="AA9" i="35"/>
  <c r="E104" i="18"/>
  <c r="D104" i="18" s="1"/>
  <c r="E120" i="18"/>
  <c r="D120" i="18" s="1"/>
  <c r="C120" i="18" s="1"/>
  <c r="E112" i="18"/>
  <c r="D112" i="18" s="1"/>
  <c r="E107" i="18"/>
  <c r="D107" i="18" s="1"/>
  <c r="E113" i="18"/>
  <c r="D113" i="18" s="1"/>
  <c r="E109" i="18"/>
  <c r="D109" i="18" s="1"/>
  <c r="E121" i="18"/>
  <c r="D121" i="18" s="1"/>
  <c r="C121" i="18" s="1"/>
  <c r="E108" i="18"/>
  <c r="D108" i="18" s="1"/>
  <c r="E110" i="18"/>
  <c r="D110" i="18" s="1"/>
  <c r="E111" i="18"/>
  <c r="D111" i="18" s="1"/>
  <c r="E106" i="18"/>
  <c r="D106" i="18" s="1"/>
  <c r="E116" i="18"/>
  <c r="D116" i="18" s="1"/>
  <c r="E118" i="18"/>
  <c r="D118" i="18" s="1"/>
  <c r="E114" i="18"/>
  <c r="D114" i="18" s="1"/>
  <c r="E117" i="18"/>
  <c r="D117" i="18" s="1"/>
  <c r="E119" i="18"/>
  <c r="D119" i="18" s="1"/>
  <c r="E115" i="18"/>
  <c r="D115" i="18" s="1"/>
  <c r="E105" i="18"/>
  <c r="D105" i="18" s="1"/>
  <c r="G120" i="18" l="1"/>
  <c r="G119" i="18"/>
  <c r="C119" i="18"/>
  <c r="C118" i="18"/>
  <c r="C117" i="18"/>
  <c r="G118" i="18"/>
  <c r="C116" i="18"/>
  <c r="C115" i="18"/>
  <c r="C114" i="18"/>
  <c r="C113" i="18"/>
  <c r="G117" i="18"/>
  <c r="C112" i="18"/>
  <c r="C111" i="18"/>
  <c r="C110" i="18"/>
  <c r="C109" i="18"/>
  <c r="C108" i="18"/>
  <c r="C107" i="18"/>
  <c r="C106" i="18"/>
  <c r="G112" i="18"/>
  <c r="G116" i="18"/>
  <c r="G110" i="18"/>
  <c r="G104" i="18"/>
  <c r="C105" i="18"/>
  <c r="G107" i="18"/>
  <c r="G108" i="18"/>
  <c r="G109" i="18"/>
  <c r="G113" i="18"/>
  <c r="G115" i="18"/>
  <c r="G105" i="18"/>
  <c r="C104" i="18"/>
  <c r="G111" i="18"/>
  <c r="G114" i="18"/>
  <c r="G106" i="18"/>
  <c r="O105" i="18" l="1"/>
  <c r="O106" i="18" l="1"/>
  <c r="P106" i="18" s="1"/>
  <c r="Q106" i="18" s="1"/>
  <c r="P105" i="18"/>
  <c r="N105" i="18"/>
  <c r="T105" i="18"/>
  <c r="T106" i="18" l="1"/>
  <c r="N106" i="18"/>
  <c r="O107" i="18"/>
  <c r="W105" i="18"/>
  <c r="U105" i="18"/>
  <c r="M105" i="18"/>
  <c r="Q105" i="18"/>
  <c r="N107" i="18" l="1"/>
  <c r="W106" i="18"/>
  <c r="U106" i="18"/>
  <c r="M106" i="18"/>
  <c r="T107" i="18"/>
  <c r="P107" i="18"/>
  <c r="O108" i="18"/>
  <c r="O109" i="18" s="1"/>
  <c r="Q107" i="18" l="1"/>
  <c r="U107" i="18"/>
  <c r="M107" i="18"/>
  <c r="W107" i="18"/>
  <c r="N108" i="18"/>
  <c r="N109" i="18" s="1"/>
  <c r="T108" i="18"/>
  <c r="T109" i="18" s="1"/>
  <c r="P108" i="18"/>
  <c r="Q108" i="18" s="1"/>
  <c r="P109" i="18"/>
  <c r="Q109" i="18" s="1"/>
  <c r="O110" i="18"/>
  <c r="W108" i="18" l="1"/>
  <c r="U108" i="18"/>
  <c r="M108" i="18"/>
  <c r="W109" i="18"/>
  <c r="U109" i="18"/>
  <c r="M109" i="18"/>
  <c r="P110" i="18"/>
  <c r="T110" i="18"/>
  <c r="N110" i="18"/>
  <c r="O111" i="18"/>
  <c r="W110" i="18" l="1"/>
  <c r="M110" i="18"/>
  <c r="U110" i="18"/>
  <c r="Q110" i="18"/>
  <c r="T111" i="18"/>
  <c r="N111" i="18"/>
  <c r="P111" i="18"/>
  <c r="O112" i="18"/>
  <c r="W111" i="18" l="1"/>
  <c r="M111" i="18"/>
  <c r="U111" i="18"/>
  <c r="Q111" i="18"/>
  <c r="T112" i="18"/>
  <c r="N112" i="18"/>
  <c r="P112" i="18"/>
  <c r="O113" i="18"/>
  <c r="W112" i="18" l="1"/>
  <c r="M112" i="18"/>
  <c r="U112" i="18"/>
  <c r="Q112" i="18"/>
  <c r="P113" i="18"/>
  <c r="Q113" i="18" s="1"/>
  <c r="N113" i="18"/>
  <c r="T113" i="18"/>
  <c r="O114" i="18"/>
  <c r="W113" i="18" l="1"/>
  <c r="U113" i="18"/>
  <c r="M113" i="18"/>
  <c r="T114" i="18"/>
  <c r="P114" i="18"/>
  <c r="N114" i="18"/>
  <c r="O115" i="18"/>
  <c r="W114" i="18" l="1"/>
  <c r="U114" i="18"/>
  <c r="M114" i="18"/>
  <c r="Q114" i="18"/>
  <c r="P115" i="18"/>
  <c r="Q115" i="18" s="1"/>
  <c r="N115" i="18"/>
  <c r="T115" i="18"/>
  <c r="O116" i="18"/>
  <c r="W115" i="18" l="1"/>
  <c r="M115" i="18"/>
  <c r="U115" i="18"/>
  <c r="N116" i="18"/>
  <c r="T116" i="18"/>
  <c r="P116" i="18"/>
  <c r="Q116" i="18" s="1"/>
  <c r="O117" i="18"/>
  <c r="W116" i="18" l="1"/>
  <c r="M116" i="18"/>
  <c r="U116" i="18"/>
  <c r="P117" i="18"/>
  <c r="Q117" i="18" s="1"/>
  <c r="N117" i="18"/>
  <c r="T117" i="18"/>
  <c r="O118" i="18"/>
  <c r="W117" i="18" l="1"/>
  <c r="U117" i="18"/>
  <c r="M117" i="18"/>
  <c r="N118" i="18"/>
  <c r="T118" i="18"/>
  <c r="P118" i="18"/>
  <c r="Q118" i="18" s="1"/>
  <c r="O119" i="18"/>
  <c r="W118" i="18" l="1"/>
  <c r="M118" i="18"/>
  <c r="N119" i="18"/>
  <c r="P119" i="18"/>
  <c r="Q119" i="18" s="1"/>
  <c r="T119" i="18"/>
  <c r="O120" i="18"/>
  <c r="U118" i="18"/>
  <c r="U119" i="18" l="1"/>
  <c r="W119" i="18"/>
  <c r="M119" i="18"/>
  <c r="T120" i="18"/>
  <c r="P120" i="18"/>
  <c r="Q120" i="18" s="1"/>
  <c r="N120" i="18"/>
  <c r="O121" i="18"/>
  <c r="M120" i="18" l="1"/>
  <c r="W120" i="18"/>
  <c r="U120" i="18"/>
  <c r="T121" i="18"/>
  <c r="P121" i="18"/>
  <c r="Q121" i="18" s="1"/>
  <c r="N121" i="18"/>
  <c r="O122" i="18"/>
  <c r="M121" i="18" l="1"/>
  <c r="W121" i="18"/>
  <c r="U121" i="18"/>
  <c r="N122" i="18"/>
  <c r="T122" i="18"/>
  <c r="P122" i="18"/>
  <c r="Q122" i="18" s="1"/>
  <c r="O123" i="18"/>
  <c r="W122" i="18" l="1"/>
  <c r="U122" i="18"/>
  <c r="M122" i="18"/>
  <c r="N123" i="18"/>
  <c r="T123" i="18"/>
  <c r="P123" i="18"/>
  <c r="Q123" i="18" s="1"/>
  <c r="O124" i="18"/>
  <c r="W123" i="18" l="1"/>
  <c r="M123" i="18"/>
  <c r="U123" i="18"/>
  <c r="T124" i="18"/>
  <c r="P124" i="18"/>
  <c r="Q124" i="18" s="1"/>
  <c r="N124" i="18"/>
  <c r="O125" i="18"/>
  <c r="W124" i="18" l="1"/>
  <c r="U124" i="18"/>
  <c r="M124" i="18"/>
  <c r="P125" i="18"/>
  <c r="Q125" i="18" s="1"/>
  <c r="N125" i="18"/>
  <c r="T125" i="18"/>
  <c r="O126" i="18"/>
  <c r="W125" i="18" l="1"/>
  <c r="M125" i="18"/>
  <c r="U125" i="18"/>
  <c r="T126" i="18"/>
  <c r="P126" i="18"/>
  <c r="Q126" i="18" s="1"/>
  <c r="N126" i="18"/>
  <c r="O127" i="18"/>
  <c r="M126" i="18" l="1"/>
  <c r="W126" i="18"/>
  <c r="U126" i="18"/>
  <c r="N127" i="18"/>
  <c r="T127" i="18"/>
  <c r="P127" i="18"/>
  <c r="Q127" i="18" s="1"/>
  <c r="O128" i="18"/>
  <c r="M127" i="18" l="1"/>
  <c r="W127" i="18"/>
  <c r="U127" i="18"/>
  <c r="O129" i="18"/>
  <c r="N128" i="18"/>
  <c r="P128" i="18"/>
  <c r="K106" i="18" s="1"/>
  <c r="T128" i="18"/>
  <c r="U128" i="18" l="1"/>
  <c r="M128" i="18"/>
  <c r="W128" i="18"/>
  <c r="P129" i="18"/>
  <c r="Q129" i="18" s="1"/>
  <c r="O130" i="18"/>
  <c r="T129" i="18"/>
  <c r="N129" i="18"/>
  <c r="Q128" i="18"/>
  <c r="K105" i="18" s="1"/>
  <c r="M129" i="18" l="1"/>
  <c r="W129" i="18"/>
  <c r="U129" i="18"/>
  <c r="T130" i="18"/>
  <c r="N130" i="18"/>
  <c r="P130" i="18"/>
  <c r="Q130" i="18" s="1"/>
  <c r="O131" i="18"/>
  <c r="W130" i="18" l="1"/>
  <c r="M130" i="18"/>
  <c r="U130" i="18"/>
  <c r="K108" i="18"/>
  <c r="N131" i="18"/>
  <c r="O132" i="18"/>
  <c r="P131" i="18"/>
  <c r="Q131" i="18" s="1"/>
  <c r="T131" i="18"/>
  <c r="K109" i="18"/>
  <c r="R105" i="18" l="1"/>
  <c r="S104" i="18" s="1"/>
  <c r="R122" i="18"/>
  <c r="M131" i="18"/>
  <c r="W131" i="18"/>
  <c r="U131" i="18"/>
  <c r="R123" i="18"/>
  <c r="R113" i="18"/>
  <c r="K112" i="18"/>
  <c r="P132" i="18"/>
  <c r="Q132" i="18" s="1"/>
  <c r="O133" i="18"/>
  <c r="T132" i="18"/>
  <c r="N132" i="18"/>
  <c r="K111" i="18"/>
  <c r="R114" i="18" s="1"/>
  <c r="R107" i="18" l="1"/>
  <c r="R110" i="18"/>
  <c r="R108" i="18"/>
  <c r="R106" i="18"/>
  <c r="W132" i="18"/>
  <c r="U132" i="18"/>
  <c r="M132" i="18"/>
  <c r="R109" i="18"/>
  <c r="R112" i="18"/>
  <c r="R111" i="18"/>
  <c r="R115" i="18"/>
  <c r="R116" i="18"/>
  <c r="R126" i="18"/>
  <c r="R128" i="18"/>
  <c r="R127" i="18"/>
  <c r="R124" i="18"/>
  <c r="R125" i="18"/>
  <c r="K115" i="18"/>
  <c r="P133" i="18"/>
  <c r="Q133" i="18" s="1"/>
  <c r="N133" i="18"/>
  <c r="O134" i="18"/>
  <c r="T133" i="18"/>
  <c r="M133" i="18" s="1"/>
  <c r="K114" i="18"/>
  <c r="R118" i="18" s="1"/>
  <c r="R117" i="18" l="1"/>
  <c r="R129" i="18"/>
  <c r="R130" i="18"/>
  <c r="U133" i="18"/>
  <c r="W133" i="18"/>
  <c r="K118" i="18"/>
  <c r="O135" i="18"/>
  <c r="T134" i="18"/>
  <c r="N134" i="18"/>
  <c r="M134" i="18" s="1"/>
  <c r="P134" i="18"/>
  <c r="Q134" i="18" s="1"/>
  <c r="K117" i="18"/>
  <c r="R131" i="18" l="1"/>
  <c r="R121" i="18"/>
  <c r="R120" i="18"/>
  <c r="R119" i="18"/>
  <c r="W134" i="18"/>
  <c r="U134" i="18"/>
  <c r="R133" i="18"/>
  <c r="R132" i="18"/>
  <c r="R134" i="18"/>
  <c r="K121" i="18"/>
  <c r="P135" i="18"/>
  <c r="Q135" i="18" s="1"/>
  <c r="O136" i="18"/>
  <c r="N135" i="18"/>
  <c r="T135" i="18"/>
  <c r="W135" i="18" s="1"/>
  <c r="K120" i="18"/>
  <c r="M135" i="18" l="1"/>
  <c r="U135" i="18"/>
  <c r="R135" i="18"/>
  <c r="K124" i="18"/>
  <c r="N136" i="18"/>
  <c r="O137" i="18"/>
  <c r="P136" i="18"/>
  <c r="Q136" i="18" s="1"/>
  <c r="T136" i="18"/>
  <c r="W136" i="18" s="1"/>
  <c r="K123" i="18"/>
  <c r="M136" i="18" l="1"/>
  <c r="U136" i="18"/>
  <c r="R136" i="18"/>
  <c r="K127" i="18"/>
  <c r="K126" i="18"/>
  <c r="T137" i="18"/>
  <c r="W137" i="18" s="1"/>
  <c r="O138" i="18"/>
  <c r="W138" i="18" s="1"/>
  <c r="P137" i="18"/>
  <c r="Q137" i="18" s="1"/>
  <c r="R137" i="18" s="1"/>
  <c r="N137" i="18"/>
  <c r="M137" i="18" s="1"/>
  <c r="U137" i="18" l="1"/>
  <c r="K130" i="18"/>
  <c r="S136" i="18"/>
  <c r="V136" i="18" s="1"/>
  <c r="K129" i="18"/>
  <c r="M138" i="18"/>
  <c r="P138" i="18"/>
  <c r="Q138" i="18" s="1"/>
  <c r="T138" i="18"/>
  <c r="O139" i="18"/>
  <c r="W139" i="18" s="1"/>
  <c r="U138" i="18"/>
  <c r="N138" i="18"/>
  <c r="R138" i="18" l="1"/>
  <c r="S137" i="18" s="1"/>
  <c r="L137" i="18" s="1"/>
  <c r="K133" i="18"/>
  <c r="K132" i="18"/>
  <c r="X136" i="18"/>
  <c r="L136" i="18"/>
  <c r="O140" i="18"/>
  <c r="W140" i="18" s="1"/>
  <c r="T139" i="18"/>
  <c r="N139" i="18"/>
  <c r="U139" i="18"/>
  <c r="M139" i="18"/>
  <c r="P139" i="18"/>
  <c r="Q139" i="18" s="1"/>
  <c r="R139" i="18" l="1"/>
  <c r="S138" i="18" s="1"/>
  <c r="X138" i="18" s="1"/>
  <c r="K136" i="18"/>
  <c r="K135" i="18"/>
  <c r="V137" i="18"/>
  <c r="P140" i="18"/>
  <c r="Q140" i="18" s="1"/>
  <c r="X137" i="18"/>
  <c r="O141" i="18"/>
  <c r="W141" i="18" s="1"/>
  <c r="T140" i="18"/>
  <c r="N140" i="18"/>
  <c r="M140" i="18"/>
  <c r="U140" i="18"/>
  <c r="R140" i="18" l="1"/>
  <c r="S139" i="18" s="1"/>
  <c r="X139" i="18" s="1"/>
  <c r="K139" i="18"/>
  <c r="K138" i="18"/>
  <c r="O142" i="18"/>
  <c r="W142" i="18" s="1"/>
  <c r="P141" i="18"/>
  <c r="Q141" i="18" s="1"/>
  <c r="R141" i="18" s="1"/>
  <c r="T141" i="18"/>
  <c r="M141" i="18"/>
  <c r="V138" i="18"/>
  <c r="U141" i="18"/>
  <c r="N141" i="18"/>
  <c r="L138" i="18"/>
  <c r="L139" i="18" l="1"/>
  <c r="V139" i="18"/>
  <c r="S140" i="18"/>
  <c r="L140" i="18" s="1"/>
  <c r="P142" i="18"/>
  <c r="Q142" i="18" s="1"/>
  <c r="R142" i="18" s="1"/>
  <c r="U142" i="18"/>
  <c r="O143" i="18"/>
  <c r="W143" i="18" s="1"/>
  <c r="M142" i="18"/>
  <c r="N142" i="18"/>
  <c r="T142" i="18"/>
  <c r="S141" i="18" l="1"/>
  <c r="X140" i="18"/>
  <c r="V140" i="18"/>
  <c r="T143" i="18"/>
  <c r="O144" i="18"/>
  <c r="W144" i="18" s="1"/>
  <c r="N143" i="18"/>
  <c r="U143" i="18"/>
  <c r="P143" i="18"/>
  <c r="Q143" i="18" s="1"/>
  <c r="R143" i="18" s="1"/>
  <c r="M143" i="18"/>
  <c r="L141" i="18" l="1"/>
  <c r="V141" i="18"/>
  <c r="X141" i="18"/>
  <c r="S142" i="18"/>
  <c r="L142" i="18" s="1"/>
  <c r="P144" i="18"/>
  <c r="Q144" i="18" s="1"/>
  <c r="R144" i="18" s="1"/>
  <c r="U144" i="18"/>
  <c r="O145" i="18"/>
  <c r="W145" i="18" s="1"/>
  <c r="T144" i="18"/>
  <c r="M144" i="18"/>
  <c r="N144" i="18"/>
  <c r="S143" i="18" l="1"/>
  <c r="X142" i="18"/>
  <c r="V142" i="18"/>
  <c r="T145" i="18"/>
  <c r="N145" i="18"/>
  <c r="M145" i="18"/>
  <c r="U145" i="18"/>
  <c r="P145" i="18"/>
  <c r="Q145" i="18" s="1"/>
  <c r="R145" i="18" s="1"/>
  <c r="O146" i="18"/>
  <c r="W146" i="18" s="1"/>
  <c r="V143" i="18" l="1"/>
  <c r="L143" i="18"/>
  <c r="X143" i="18"/>
  <c r="S144" i="18"/>
  <c r="V144" i="18" s="1"/>
  <c r="O147" i="18"/>
  <c r="W147" i="18" s="1"/>
  <c r="T146" i="18"/>
  <c r="U146" i="18"/>
  <c r="M146" i="18"/>
  <c r="N146" i="18"/>
  <c r="P146" i="18"/>
  <c r="Q146" i="18" s="1"/>
  <c r="R146" i="18" s="1"/>
  <c r="L144" i="18" l="1"/>
  <c r="X144" i="18"/>
  <c r="S145" i="18"/>
  <c r="X145" i="18" s="1"/>
  <c r="U147" i="18"/>
  <c r="T147" i="18"/>
  <c r="N147" i="18"/>
  <c r="O148" i="18"/>
  <c r="W148" i="18" s="1"/>
  <c r="P147" i="18"/>
  <c r="Q147" i="18" s="1"/>
  <c r="R147" i="18" s="1"/>
  <c r="M147" i="18"/>
  <c r="L145" i="18" l="1"/>
  <c r="V145" i="18"/>
  <c r="S146" i="18"/>
  <c r="V146" i="18" s="1"/>
  <c r="M148" i="18"/>
  <c r="U148" i="18"/>
  <c r="O149" i="18"/>
  <c r="W149" i="18" s="1"/>
  <c r="T148" i="18"/>
  <c r="P148" i="18"/>
  <c r="Q148" i="18" s="1"/>
  <c r="R148" i="18" s="1"/>
  <c r="N148" i="18"/>
  <c r="X146" i="18" l="1"/>
  <c r="L146" i="18"/>
  <c r="S147" i="18"/>
  <c r="L147" i="18" s="1"/>
  <c r="P149" i="18"/>
  <c r="Q149" i="18" s="1"/>
  <c r="R149" i="18" s="1"/>
  <c r="T149" i="18"/>
  <c r="U149" i="18"/>
  <c r="O150" i="18"/>
  <c r="W150" i="18" s="1"/>
  <c r="M149" i="18"/>
  <c r="N149" i="18"/>
  <c r="S148" i="18" l="1"/>
  <c r="V147" i="18"/>
  <c r="X147" i="18"/>
  <c r="T150" i="18"/>
  <c r="U150" i="18"/>
  <c r="N150" i="18"/>
  <c r="P150" i="18"/>
  <c r="Q150" i="18" s="1"/>
  <c r="R150" i="18" s="1"/>
  <c r="M150" i="18"/>
  <c r="O151" i="18"/>
  <c r="W151" i="18" s="1"/>
  <c r="X148" i="18" l="1"/>
  <c r="L148" i="18"/>
  <c r="V148" i="18"/>
  <c r="S149" i="18"/>
  <c r="V149" i="18" s="1"/>
  <c r="O152" i="18"/>
  <c r="U151" i="18"/>
  <c r="P151" i="18"/>
  <c r="Q151" i="18" s="1"/>
  <c r="R151" i="18" s="1"/>
  <c r="N151" i="18"/>
  <c r="T151" i="18"/>
  <c r="M151" i="18"/>
  <c r="W152" i="18" l="1"/>
  <c r="S150" i="18"/>
  <c r="X150" i="18" s="1"/>
  <c r="L149" i="18"/>
  <c r="X149" i="18"/>
  <c r="M152" i="18"/>
  <c r="P152" i="18"/>
  <c r="M101" i="18" s="1"/>
  <c r="J8" i="18" s="1"/>
  <c r="T152" i="18"/>
  <c r="U152" i="18"/>
  <c r="N152" i="18"/>
  <c r="Q152" i="18" l="1"/>
  <c r="S135" i="18" s="1"/>
  <c r="V150" i="18"/>
  <c r="L150" i="18"/>
  <c r="V135" i="18" l="1"/>
  <c r="X135" i="18"/>
  <c r="L135" i="18"/>
  <c r="S133" i="18"/>
  <c r="L133" i="18" s="1"/>
  <c r="S134" i="18"/>
  <c r="S121" i="18"/>
  <c r="X121" i="18" s="1"/>
  <c r="S130" i="18"/>
  <c r="S122" i="18"/>
  <c r="X122" i="18" s="1"/>
  <c r="S120" i="18"/>
  <c r="V120" i="18" s="1"/>
  <c r="S131" i="18"/>
  <c r="L131" i="18" s="1"/>
  <c r="S132" i="18"/>
  <c r="S113" i="18"/>
  <c r="S128" i="18"/>
  <c r="S114" i="18"/>
  <c r="X114" i="18" s="1"/>
  <c r="S123" i="18"/>
  <c r="S124" i="18"/>
  <c r="V124" i="18" s="1"/>
  <c r="S125" i="18"/>
  <c r="R152" i="18"/>
  <c r="S151" i="18" s="1"/>
  <c r="X151" i="18" s="1"/>
  <c r="S129" i="18"/>
  <c r="V129" i="18" s="1"/>
  <c r="S126" i="18"/>
  <c r="L126" i="18" s="1"/>
  <c r="S127" i="18"/>
  <c r="S119" i="18"/>
  <c r="V119" i="18" s="1"/>
  <c r="S112" i="18"/>
  <c r="L104" i="18"/>
  <c r="S105" i="18"/>
  <c r="V105" i="18" s="1"/>
  <c r="S117" i="18"/>
  <c r="X117" i="18" s="1"/>
  <c r="S118" i="18"/>
  <c r="S107" i="18"/>
  <c r="X107" i="18" s="1"/>
  <c r="S111" i="18"/>
  <c r="X111" i="18" s="1"/>
  <c r="S115" i="18"/>
  <c r="X115" i="18" s="1"/>
  <c r="S116" i="18"/>
  <c r="S109" i="18"/>
  <c r="X109" i="18" s="1"/>
  <c r="S110" i="18"/>
  <c r="X110" i="18" s="1"/>
  <c r="L15" i="18"/>
  <c r="S106" i="18"/>
  <c r="L106" i="18" s="1"/>
  <c r="S108" i="18"/>
  <c r="J15" i="18"/>
  <c r="X133" i="18" l="1"/>
  <c r="V133" i="18"/>
  <c r="V121" i="18"/>
  <c r="V134" i="18"/>
  <c r="X134" i="18"/>
  <c r="L134" i="18"/>
  <c r="L121" i="18"/>
  <c r="L130" i="18"/>
  <c r="X130" i="18"/>
  <c r="V130" i="18"/>
  <c r="X120" i="18"/>
  <c r="L120" i="18"/>
  <c r="V122" i="18"/>
  <c r="L122" i="18"/>
  <c r="X131" i="18"/>
  <c r="V131" i="18"/>
  <c r="V132" i="18"/>
  <c r="X132" i="18"/>
  <c r="L132" i="18"/>
  <c r="X128" i="18"/>
  <c r="L128" i="18"/>
  <c r="V128" i="18"/>
  <c r="V114" i="18"/>
  <c r="L114" i="18"/>
  <c r="V123" i="18"/>
  <c r="X123" i="18"/>
  <c r="L123" i="18"/>
  <c r="L124" i="18"/>
  <c r="X124" i="18"/>
  <c r="L125" i="18"/>
  <c r="V125" i="18"/>
  <c r="X125" i="18"/>
  <c r="L113" i="18"/>
  <c r="V113" i="18"/>
  <c r="X113" i="18"/>
  <c r="L129" i="18"/>
  <c r="X129" i="18"/>
  <c r="V126" i="18"/>
  <c r="X126" i="18"/>
  <c r="X127" i="18"/>
  <c r="L127" i="18"/>
  <c r="V127" i="18"/>
  <c r="X119" i="18"/>
  <c r="L119" i="18"/>
  <c r="X112" i="18"/>
  <c r="V112" i="18"/>
  <c r="L112" i="18"/>
  <c r="V104" i="18"/>
  <c r="X104" i="18"/>
  <c r="L105" i="18"/>
  <c r="V117" i="18"/>
  <c r="X105" i="18"/>
  <c r="L117" i="18"/>
  <c r="V118" i="18"/>
  <c r="L118" i="18"/>
  <c r="X118" i="18"/>
  <c r="V111" i="18"/>
  <c r="L111" i="18"/>
  <c r="L107" i="18"/>
  <c r="V107" i="18"/>
  <c r="L115" i="18"/>
  <c r="V115" i="18"/>
  <c r="V116" i="18"/>
  <c r="L116" i="18"/>
  <c r="X116" i="18"/>
  <c r="L109" i="18"/>
  <c r="V109" i="18"/>
  <c r="V106" i="18"/>
  <c r="V110" i="18"/>
  <c r="X106" i="18"/>
  <c r="L110" i="18"/>
  <c r="V108" i="18"/>
  <c r="L108" i="18"/>
  <c r="X108" i="18"/>
  <c r="S152" i="18"/>
  <c r="V152" i="18" s="1"/>
  <c r="L151" i="18"/>
  <c r="V151" i="18"/>
  <c r="R102" i="18" l="1"/>
  <c r="X152" i="18"/>
  <c r="X102" i="18" s="1"/>
  <c r="J24" i="18" s="1"/>
  <c r="L152" i="18"/>
  <c r="O102" i="18" s="1"/>
  <c r="O101" i="18" l="1"/>
  <c r="J23" i="18" s="1"/>
  <c r="J4" i="18" s="1"/>
  <c r="R101" i="18"/>
  <c r="L23" i="18" s="1"/>
  <c r="Q101" i="18"/>
  <c r="L24" i="18"/>
  <c r="G17" i="18" l="1"/>
  <c r="G16" i="18"/>
  <c r="L4" i="18"/>
  <c r="I27" i="18"/>
  <c r="M27" i="18"/>
  <c r="H17" i="18" l="1"/>
  <c r="H18" i="18" s="1"/>
  <c r="H16" i="18"/>
  <c r="I16" i="18" s="1"/>
  <c r="I17" i="18" s="1"/>
  <c r="G18" i="18"/>
  <c r="H19" i="18"/>
  <c r="G19" i="18"/>
  <c r="M1" i="38"/>
  <c r="C1" i="51" s="1"/>
  <c r="S1" i="36"/>
  <c r="H20" i="18" l="1"/>
  <c r="G20" i="18"/>
  <c r="N1" i="38"/>
  <c r="D1" i="37"/>
  <c r="C1" i="42"/>
  <c r="AM28" i="42" l="1"/>
  <c r="AM100" i="42"/>
  <c r="AM5" i="42"/>
  <c r="AM20" i="42"/>
  <c r="AM108" i="42"/>
  <c r="AM54" i="42"/>
  <c r="AM97" i="42"/>
  <c r="AM94" i="42"/>
  <c r="AM31" i="42"/>
  <c r="AM32" i="42"/>
  <c r="AM21" i="42"/>
  <c r="AM91" i="42"/>
  <c r="AM64" i="42"/>
  <c r="AM98" i="42"/>
  <c r="AM113" i="42"/>
  <c r="AM62" i="42"/>
  <c r="AM112" i="42"/>
  <c r="AM36" i="42"/>
  <c r="AM77" i="42"/>
  <c r="AM2" i="42"/>
  <c r="AM57" i="42"/>
  <c r="AM49" i="42"/>
  <c r="AM74" i="42"/>
  <c r="AM38" i="42"/>
  <c r="AM90" i="42"/>
  <c r="AM86" i="42"/>
  <c r="AM72" i="42"/>
  <c r="AM102" i="42"/>
  <c r="AM13" i="42"/>
  <c r="AM9" i="42"/>
  <c r="AM105" i="42"/>
  <c r="AM18" i="42"/>
  <c r="AM3" i="42"/>
  <c r="AM101" i="42"/>
  <c r="AM10" i="42"/>
  <c r="AM27" i="42"/>
  <c r="AM82" i="42"/>
  <c r="AM30" i="42"/>
  <c r="AM111" i="42"/>
  <c r="AM33" i="42" l="1"/>
  <c r="AM23" i="42"/>
  <c r="AM75" i="42"/>
  <c r="AM52" i="42"/>
  <c r="AM12" i="42"/>
  <c r="AM46" i="42"/>
  <c r="AM43" i="42"/>
  <c r="AM56" i="42"/>
  <c r="AM92" i="42"/>
  <c r="AM73" i="42"/>
  <c r="AM89" i="42"/>
  <c r="AM85" i="42"/>
  <c r="AM59" i="42"/>
  <c r="AM60" i="42"/>
  <c r="AM6" i="42"/>
  <c r="AM106" i="42"/>
  <c r="AM14" i="42"/>
  <c r="AM69" i="42"/>
  <c r="AM79" i="42"/>
  <c r="AM99" i="42"/>
  <c r="AM61" i="42"/>
  <c r="AM17" i="42"/>
  <c r="AM71" i="42"/>
  <c r="AM48" i="42"/>
  <c r="AM34" i="42"/>
  <c r="AM22" i="42"/>
  <c r="AM66" i="42"/>
  <c r="AM55" i="42"/>
  <c r="AM107" i="42"/>
  <c r="AM65" i="42"/>
  <c r="AM84" i="42"/>
  <c r="AM81" i="42"/>
  <c r="AM63" i="42"/>
  <c r="AM88" i="42"/>
  <c r="AM78" i="42"/>
  <c r="AM39" i="42"/>
  <c r="AM103" i="42"/>
  <c r="AM35" i="42"/>
  <c r="AM40" i="42"/>
  <c r="AM83" i="42"/>
  <c r="AM19" i="42"/>
  <c r="AM104" i="42"/>
  <c r="AM76" i="42"/>
  <c r="AM87" i="42"/>
  <c r="AM53" i="42"/>
  <c r="AM47" i="42"/>
  <c r="AM29" i="42"/>
  <c r="AM45" i="42"/>
  <c r="AM70" i="42"/>
  <c r="AM109" i="42"/>
  <c r="AM37" i="42"/>
  <c r="AM44" i="42"/>
  <c r="AM67" i="42"/>
  <c r="AM25" i="42"/>
  <c r="AM80" i="42"/>
  <c r="AM16" i="42"/>
  <c r="AM11" i="42"/>
  <c r="AM93" i="42"/>
  <c r="AM51" i="42"/>
  <c r="AM96" i="42"/>
  <c r="AM26" i="42"/>
  <c r="AM4" i="42"/>
  <c r="AM41" i="42"/>
  <c r="AM8" i="42"/>
  <c r="AM58" i="42"/>
  <c r="AM24" i="42"/>
  <c r="AM15" i="42"/>
  <c r="AM50" i="42"/>
  <c r="AM42" i="42"/>
  <c r="AM7" i="42"/>
  <c r="AM68" i="42"/>
  <c r="AM110" i="42"/>
  <c r="AM95" i="42"/>
  <c r="AL37" i="42" l="1"/>
  <c r="AL95" i="42"/>
  <c r="BC95" i="42" s="1"/>
  <c r="AL8" i="42"/>
  <c r="AL16" i="42"/>
  <c r="BC16" i="42" s="1"/>
  <c r="AL45" i="42"/>
  <c r="BC45" i="42" s="1"/>
  <c r="AL85" i="42"/>
  <c r="BC85" i="42" s="1"/>
  <c r="AL11" i="42"/>
  <c r="BC11" i="42" s="1"/>
  <c r="AL96" i="42"/>
  <c r="BC96" i="42" s="1"/>
  <c r="AL44" i="42"/>
  <c r="AL81" i="42"/>
  <c r="AL110" i="42"/>
  <c r="AL67" i="42"/>
  <c r="BC67" i="42" s="1"/>
  <c r="AL68" i="42"/>
  <c r="AL26" i="42"/>
  <c r="BC26" i="42" s="1"/>
  <c r="AL54" i="42"/>
  <c r="BC54" i="42" s="1"/>
  <c r="AL47" i="42"/>
  <c r="BC47" i="42" s="1"/>
  <c r="AL65" i="42"/>
  <c r="BC65" i="42" s="1"/>
  <c r="AL73" i="42"/>
  <c r="BC73" i="42" s="1"/>
  <c r="AL61" i="42"/>
  <c r="AL46" i="42"/>
  <c r="AL58" i="42"/>
  <c r="BC58" i="42" s="1"/>
  <c r="AL19" i="42"/>
  <c r="AL103" i="42"/>
  <c r="AL34" i="42"/>
  <c r="BC34" i="42" s="1"/>
  <c r="AL14" i="42"/>
  <c r="BC14" i="42" s="1"/>
  <c r="AL92" i="42"/>
  <c r="BC92" i="42" s="1"/>
  <c r="AL52" i="42"/>
  <c r="AL7" i="42"/>
  <c r="BC7" i="42" s="1"/>
  <c r="AL18" i="42"/>
  <c r="BC18" i="42" s="1"/>
  <c r="AL53" i="42"/>
  <c r="BC53" i="42" s="1"/>
  <c r="AL83" i="42"/>
  <c r="AL55" i="42"/>
  <c r="AL89" i="42"/>
  <c r="AL43" i="42"/>
  <c r="BC43" i="42" s="1"/>
  <c r="AL48" i="42"/>
  <c r="AL23" i="42"/>
  <c r="BC23" i="42" s="1"/>
  <c r="AL87" i="42"/>
  <c r="AL107" i="42"/>
  <c r="BC107" i="42" s="1"/>
  <c r="AL104" i="42"/>
  <c r="BC104" i="42" s="1"/>
  <c r="AL38" i="42"/>
  <c r="BC38" i="42" s="1"/>
  <c r="AL101" i="42"/>
  <c r="AL13" i="42"/>
  <c r="AL62" i="42"/>
  <c r="BC62" i="42" s="1"/>
  <c r="AL71" i="42"/>
  <c r="AL66" i="42"/>
  <c r="BC66" i="42" s="1"/>
  <c r="AL91" i="42"/>
  <c r="AL6" i="42"/>
  <c r="BC6" i="42" s="1"/>
  <c r="AL112" i="42"/>
  <c r="BC112" i="42" s="1"/>
  <c r="AL42" i="42"/>
  <c r="AL72" i="42"/>
  <c r="BC72" i="42" s="1"/>
  <c r="AL102" i="42"/>
  <c r="AL74" i="42"/>
  <c r="AL70" i="42"/>
  <c r="AL78" i="42"/>
  <c r="AL51" i="42"/>
  <c r="BC51" i="42" s="1"/>
  <c r="AL108" i="42"/>
  <c r="AL97" i="42"/>
  <c r="AL17" i="42"/>
  <c r="BC17" i="42" s="1"/>
  <c r="AL64" i="42"/>
  <c r="BC64" i="42" s="1"/>
  <c r="AL86" i="42"/>
  <c r="AL75" i="42"/>
  <c r="BC75" i="42" s="1"/>
  <c r="BM1" i="42"/>
  <c r="AL3" i="42"/>
  <c r="BC3" i="42" s="1"/>
  <c r="AL98" i="42"/>
  <c r="AL4" i="42"/>
  <c r="BC4" i="42" s="1"/>
  <c r="AL2" i="42"/>
  <c r="AL31" i="42"/>
  <c r="BC31" i="42" s="1"/>
  <c r="AL35" i="42"/>
  <c r="AL39" i="42"/>
  <c r="BC39" i="42" s="1"/>
  <c r="AL77" i="42"/>
  <c r="BC77" i="42" s="1"/>
  <c r="AL69" i="42"/>
  <c r="BC69" i="42" s="1"/>
  <c r="AL15" i="42"/>
  <c r="BC15" i="42" s="1"/>
  <c r="AL82" i="42"/>
  <c r="BC82" i="42" s="1"/>
  <c r="AL113" i="42"/>
  <c r="BC113" i="42" s="1"/>
  <c r="AL94" i="42"/>
  <c r="BC94" i="42" s="1"/>
  <c r="AL56" i="42"/>
  <c r="BC56" i="42" s="1"/>
  <c r="AL10" i="42"/>
  <c r="BC10" i="42" s="1"/>
  <c r="AL24" i="42"/>
  <c r="BC24" i="42" s="1"/>
  <c r="AL36" i="42"/>
  <c r="AL76" i="42"/>
  <c r="AL79" i="42"/>
  <c r="BC79" i="42" s="1"/>
  <c r="AL32" i="42"/>
  <c r="AL80" i="42"/>
  <c r="AL93" i="42"/>
  <c r="AL20" i="42"/>
  <c r="BC20" i="42" s="1"/>
  <c r="AL90" i="42"/>
  <c r="BC90" i="42" s="1"/>
  <c r="AL21" i="42"/>
  <c r="BC21" i="42" s="1"/>
  <c r="AL109" i="42"/>
  <c r="AL106" i="42"/>
  <c r="BC106" i="42" s="1"/>
  <c r="AL25" i="42"/>
  <c r="AL50" i="42"/>
  <c r="BC50" i="42" s="1"/>
  <c r="AL5" i="42"/>
  <c r="AL41" i="42"/>
  <c r="BC41" i="42" s="1"/>
  <c r="AL88" i="42"/>
  <c r="BC88" i="42" s="1"/>
  <c r="AL12" i="42"/>
  <c r="AL27" i="42"/>
  <c r="AL105" i="42"/>
  <c r="AL63" i="42"/>
  <c r="AL22" i="42"/>
  <c r="BC22" i="42" s="1"/>
  <c r="AL49" i="42"/>
  <c r="BC49" i="42" s="1"/>
  <c r="AL99" i="42"/>
  <c r="BC99" i="42" s="1"/>
  <c r="AL40" i="42"/>
  <c r="AL33" i="42"/>
  <c r="AL100" i="42"/>
  <c r="AL29" i="42"/>
  <c r="BC29" i="42" s="1"/>
  <c r="AL30" i="42"/>
  <c r="BC30" i="42" s="1"/>
  <c r="AL84" i="42"/>
  <c r="AL111" i="42"/>
  <c r="BC111" i="42" s="1"/>
  <c r="AL60" i="42"/>
  <c r="AL57" i="42"/>
  <c r="AL9" i="42"/>
  <c r="BC9" i="42" s="1"/>
  <c r="AL28" i="42"/>
  <c r="BC28" i="42" s="1"/>
  <c r="AL59" i="42"/>
  <c r="BC59" i="42" s="1"/>
  <c r="BC8" i="42"/>
  <c r="BC61" i="42"/>
  <c r="BC52" i="42"/>
  <c r="BC102" i="42"/>
  <c r="BC48" i="42"/>
  <c r="BC110" i="42"/>
  <c r="BC32" i="42" l="1"/>
  <c r="BC2" i="42"/>
  <c r="BC80" i="42"/>
  <c r="BC37" i="42"/>
  <c r="BC97" i="42"/>
  <c r="BC101" i="42"/>
  <c r="BC42" i="42"/>
  <c r="BC89" i="42"/>
  <c r="BC63" i="42"/>
  <c r="BC86" i="42"/>
  <c r="BC105" i="42"/>
  <c r="BC70" i="42"/>
  <c r="BC13" i="42"/>
  <c r="BC87" i="42"/>
  <c r="BC35" i="42"/>
  <c r="BC84" i="42"/>
  <c r="BC68" i="42"/>
  <c r="BC74" i="42"/>
  <c r="BC19" i="42"/>
  <c r="BC71" i="42"/>
  <c r="BC46" i="42"/>
  <c r="BC5" i="42"/>
  <c r="BC60" i="42"/>
  <c r="BC103" i="42"/>
  <c r="BC57" i="42"/>
  <c r="BC40" i="42"/>
  <c r="BC33" i="42"/>
  <c r="BC83" i="42"/>
  <c r="BC12" i="42"/>
  <c r="BC36" i="42"/>
  <c r="BC81" i="42"/>
  <c r="BC25" i="42"/>
  <c r="BC44" i="42"/>
  <c r="BC55" i="42"/>
  <c r="BC91" i="42"/>
  <c r="BC109" i="42"/>
  <c r="BC98" i="42"/>
  <c r="BC93" i="42"/>
  <c r="BC100" i="42"/>
  <c r="BC27" i="42"/>
  <c r="BC108" i="42"/>
  <c r="BC78" i="42"/>
  <c r="BC76" i="42"/>
  <c r="AZ40" i="50" l="1"/>
  <c r="AZ32" i="50"/>
  <c r="BA32" i="50" s="1"/>
  <c r="T32" i="50"/>
  <c r="U32" i="50" s="1"/>
  <c r="L32" i="50"/>
  <c r="M32" i="50" s="1"/>
  <c r="AJ32" i="50"/>
  <c r="AK32" i="50" s="1"/>
  <c r="AB32" i="50"/>
  <c r="AC32" i="50" s="1"/>
  <c r="AR32" i="50"/>
  <c r="AS32" i="50" s="1"/>
  <c r="D40" i="50"/>
  <c r="AJ40" i="50"/>
  <c r="AR40" i="50"/>
  <c r="L40" i="50"/>
  <c r="D32" i="50"/>
  <c r="E32" i="50" s="1"/>
  <c r="AB40" i="50"/>
  <c r="T40" i="50"/>
  <c r="E40" i="50" l="1"/>
  <c r="AB41" i="50"/>
  <c r="AC41" i="50" s="1"/>
  <c r="L41" i="50"/>
  <c r="M41" i="50" s="1"/>
  <c r="AR41" i="50"/>
  <c r="AS41" i="50" s="1"/>
  <c r="AJ41" i="50"/>
  <c r="AK41" i="50" s="1"/>
  <c r="AZ41" i="50"/>
  <c r="BA41" i="50" s="1"/>
  <c r="BA40" i="50"/>
  <c r="D41" i="50"/>
  <c r="E41" i="50" s="1"/>
  <c r="AK40" i="50"/>
  <c r="AS40" i="50"/>
  <c r="M40" i="50"/>
  <c r="T41" i="50"/>
  <c r="T50" i="50" s="1"/>
  <c r="AC40" i="50"/>
  <c r="U40" i="50"/>
  <c r="L42" i="50" l="1"/>
  <c r="M42" i="50" s="1"/>
  <c r="AJ42" i="50"/>
  <c r="AK42" i="50" s="1"/>
  <c r="AZ42" i="50"/>
  <c r="BA42" i="50" s="1"/>
  <c r="AB42" i="50"/>
  <c r="AB43" i="50" s="1"/>
  <c r="AB51" i="50" s="1"/>
  <c r="L50" i="50"/>
  <c r="AZ50" i="50"/>
  <c r="AB50" i="50"/>
  <c r="AJ50" i="50"/>
  <c r="AR42" i="50"/>
  <c r="AR43" i="50" s="1"/>
  <c r="AS43" i="50" s="1"/>
  <c r="D50" i="50"/>
  <c r="AR50" i="50"/>
  <c r="D42" i="50"/>
  <c r="U41" i="50"/>
  <c r="T42" i="50"/>
  <c r="L43" i="50" l="1"/>
  <c r="M43" i="50" s="1"/>
  <c r="AZ43" i="50"/>
  <c r="BA43" i="50" s="1"/>
  <c r="AJ43" i="50"/>
  <c r="AK43" i="50" s="1"/>
  <c r="AC42" i="50"/>
  <c r="U42" i="50"/>
  <c r="AS42" i="50"/>
  <c r="AR51" i="50"/>
  <c r="AS51" i="50" s="1"/>
  <c r="AC51" i="50"/>
  <c r="E42" i="50"/>
  <c r="D43" i="50"/>
  <c r="E43" i="50" s="1"/>
  <c r="AR44" i="50"/>
  <c r="T43" i="50"/>
  <c r="U43" i="50" s="1"/>
  <c r="AC43" i="50"/>
  <c r="AB44" i="50"/>
  <c r="L51" i="50" l="1"/>
  <c r="M51" i="50" s="1"/>
  <c r="L44" i="50"/>
  <c r="M44" i="50" s="1"/>
  <c r="AZ51" i="50"/>
  <c r="BA51" i="50" s="1"/>
  <c r="AZ44" i="50"/>
  <c r="AZ45" i="50" s="1"/>
  <c r="BA45" i="50" s="1"/>
  <c r="AJ44" i="50"/>
  <c r="AK44" i="50" s="1"/>
  <c r="AJ51" i="50"/>
  <c r="AK51" i="50" s="1"/>
  <c r="D51" i="50"/>
  <c r="E51" i="50" s="1"/>
  <c r="AC44" i="50"/>
  <c r="AR45" i="50"/>
  <c r="AS45" i="50" s="1"/>
  <c r="T51" i="50"/>
  <c r="U51" i="50" s="1"/>
  <c r="D44" i="50"/>
  <c r="AS44" i="50"/>
  <c r="T44" i="50"/>
  <c r="AB45" i="50"/>
  <c r="AC45" i="50" s="1"/>
  <c r="L45" i="50" l="1"/>
  <c r="M45" i="50" s="1"/>
  <c r="BA44" i="50"/>
  <c r="AJ45" i="50"/>
  <c r="AK45" i="50" s="1"/>
  <c r="AR46" i="50"/>
  <c r="AR47" i="50" s="1"/>
  <c r="AS47" i="50" s="1"/>
  <c r="AR52" i="50"/>
  <c r="E44" i="50"/>
  <c r="AZ52" i="50"/>
  <c r="AB52" i="50"/>
  <c r="U44" i="50"/>
  <c r="D45" i="50"/>
  <c r="E45" i="50" s="1"/>
  <c r="AZ46" i="50"/>
  <c r="T45" i="50"/>
  <c r="U45" i="50" s="1"/>
  <c r="AB46" i="50"/>
  <c r="L52" i="50" l="1"/>
  <c r="L46" i="50"/>
  <c r="M46" i="50" s="1"/>
  <c r="AJ52" i="50"/>
  <c r="AJ46" i="50"/>
  <c r="AK46" i="50" s="1"/>
  <c r="BA46" i="50"/>
  <c r="D52" i="50"/>
  <c r="T52" i="50"/>
  <c r="AC46" i="50"/>
  <c r="AS46" i="50"/>
  <c r="AS33" i="50" s="1"/>
  <c r="AS38" i="50" s="1"/>
  <c r="L8" i="50" s="1"/>
  <c r="AR53" i="50"/>
  <c r="AS52" i="50" s="1"/>
  <c r="D46" i="50"/>
  <c r="AZ47" i="50"/>
  <c r="BA47" i="50" s="1"/>
  <c r="T46" i="50"/>
  <c r="AB47" i="50"/>
  <c r="AC47" i="50" s="1"/>
  <c r="L47" i="50" l="1"/>
  <c r="M47" i="50" s="1"/>
  <c r="M33" i="50" s="1"/>
  <c r="M38" i="50" s="1"/>
  <c r="L4" i="50" s="1"/>
  <c r="AC33" i="50"/>
  <c r="AC38" i="50" s="1"/>
  <c r="L6" i="50" s="1"/>
  <c r="BA33" i="50"/>
  <c r="BA38" i="50" s="1"/>
  <c r="L9" i="50" s="1"/>
  <c r="AJ47" i="50"/>
  <c r="AK47" i="50" s="1"/>
  <c r="AK48" i="50" s="1"/>
  <c r="AS48" i="50"/>
  <c r="E46" i="50"/>
  <c r="AZ53" i="50"/>
  <c r="BA52" i="50" s="1"/>
  <c r="U46" i="50"/>
  <c r="AB53" i="50"/>
  <c r="AC52" i="50" s="1"/>
  <c r="D47" i="50"/>
  <c r="E47" i="50" s="1"/>
  <c r="BA48" i="50"/>
  <c r="AC48" i="50"/>
  <c r="T47" i="50"/>
  <c r="U47" i="50" s="1"/>
  <c r="M48" i="50" l="1"/>
  <c r="L53" i="50"/>
  <c r="M52" i="50" s="1"/>
  <c r="U33" i="50"/>
  <c r="U38" i="50" s="1"/>
  <c r="L5" i="50" s="1"/>
  <c r="AK33" i="50"/>
  <c r="AK38" i="50" s="1"/>
  <c r="L7" i="50" s="1"/>
  <c r="AJ53" i="50"/>
  <c r="AK52" i="50" s="1"/>
  <c r="T53" i="50"/>
  <c r="U52" i="50" s="1"/>
  <c r="E33" i="50"/>
  <c r="E38" i="50" s="1"/>
  <c r="L3" i="50" s="1"/>
  <c r="D53" i="50"/>
  <c r="E52" i="50" s="1"/>
  <c r="E48" i="50"/>
  <c r="U48" i="50"/>
  <c r="AJ3" i="50" l="1"/>
  <c r="AK3" i="50" s="1"/>
  <c r="L11" i="50"/>
  <c r="M9" i="50" s="1"/>
  <c r="N9" i="50" s="1"/>
  <c r="P9" i="50" s="1"/>
  <c r="AL3" i="50" l="1"/>
  <c r="AK8" i="50"/>
  <c r="AL8" i="50" s="1"/>
  <c r="AK9" i="50"/>
  <c r="AL9" i="50" s="1"/>
  <c r="AK6" i="50"/>
  <c r="AL6" i="50" s="1"/>
  <c r="AK4" i="50"/>
  <c r="AL4" i="50" s="1"/>
  <c r="AK5" i="50"/>
  <c r="AL5" i="50" s="1"/>
  <c r="AK7" i="50"/>
  <c r="AL7" i="50" s="1"/>
  <c r="M7" i="50"/>
  <c r="N7" i="50" s="1"/>
  <c r="P7" i="50" s="1"/>
  <c r="M5" i="50"/>
  <c r="N5" i="50" s="1"/>
  <c r="P5" i="50" s="1"/>
  <c r="M8" i="50"/>
  <c r="N8" i="50" s="1"/>
  <c r="P8" i="50" s="1"/>
  <c r="M3" i="50"/>
  <c r="N3" i="50" s="1"/>
  <c r="P3" i="50" s="1"/>
  <c r="M4" i="50"/>
  <c r="N4" i="50" s="1"/>
  <c r="M6" i="50"/>
  <c r="N6" i="50" s="1"/>
  <c r="P6" i="50" s="1"/>
  <c r="Q4" i="50" l="1"/>
  <c r="R4" i="50" s="1"/>
  <c r="Q3" i="50"/>
  <c r="R3" i="50" s="1"/>
  <c r="Q5" i="50"/>
  <c r="R5" i="50" s="1"/>
  <c r="Q9" i="50"/>
  <c r="R9" i="50" s="1"/>
  <c r="P4" i="50"/>
  <c r="Q8" i="50"/>
  <c r="R8" i="50" s="1"/>
  <c r="Q7" i="50"/>
  <c r="R7" i="50" s="1"/>
  <c r="Q6" i="50"/>
  <c r="R6" i="50" s="1"/>
  <c r="CA25" i="51" l="1"/>
  <c r="CA32" i="51"/>
  <c r="CA22" i="51"/>
  <c r="CA104" i="51"/>
  <c r="CA8" i="51"/>
  <c r="CA15" i="51"/>
  <c r="CA95" i="51"/>
  <c r="CA109" i="51"/>
  <c r="CA39" i="51"/>
  <c r="CA64" i="51"/>
  <c r="CA11" i="51"/>
  <c r="CA55" i="51"/>
  <c r="CA5" i="51"/>
  <c r="CA38" i="51"/>
  <c r="CA45" i="51"/>
  <c r="CA80" i="51"/>
  <c r="CA110" i="51"/>
  <c r="CA43" i="51"/>
  <c r="CA35" i="51"/>
  <c r="CA89" i="51"/>
  <c r="CA65" i="51"/>
  <c r="CA10" i="51"/>
  <c r="CA36" i="51"/>
  <c r="CA44" i="51"/>
  <c r="CA17" i="51"/>
  <c r="CA79" i="51"/>
  <c r="CA58" i="51"/>
  <c r="CA18" i="51"/>
  <c r="CA9" i="51"/>
  <c r="CA99" i="51"/>
  <c r="CA48" i="51"/>
  <c r="CA93" i="51"/>
  <c r="CA103" i="51"/>
  <c r="CA26" i="51"/>
  <c r="CA49" i="51"/>
  <c r="CA21" i="51"/>
  <c r="CA3" i="51"/>
  <c r="CA13" i="51"/>
  <c r="CA102" i="51"/>
  <c r="CA33" i="51"/>
  <c r="CA108" i="51"/>
  <c r="CA46" i="51"/>
  <c r="CA2" i="51"/>
  <c r="CA41" i="51"/>
  <c r="CA87" i="51"/>
  <c r="CA83" i="51"/>
  <c r="CA19" i="51"/>
  <c r="CA84" i="51"/>
  <c r="CA86" i="51"/>
  <c r="CA69" i="51"/>
  <c r="CA105" i="51"/>
  <c r="CA56" i="51"/>
  <c r="CA101" i="51"/>
  <c r="CA4" i="51"/>
  <c r="CA59" i="51"/>
  <c r="CA31" i="51"/>
  <c r="CA97" i="51"/>
  <c r="CA70" i="51"/>
  <c r="CA6" i="51"/>
  <c r="CA66" i="51"/>
  <c r="CA27" i="51"/>
  <c r="CA106" i="51"/>
  <c r="CA112" i="51"/>
  <c r="CA91" i="51"/>
  <c r="CA75" i="51"/>
  <c r="CA60" i="51"/>
  <c r="CA63" i="51"/>
  <c r="CA90" i="51"/>
  <c r="CA111" i="51"/>
  <c r="CA7" i="51"/>
  <c r="CA78" i="51"/>
  <c r="CA98" i="51"/>
  <c r="CA92" i="51"/>
  <c r="CA88" i="51"/>
  <c r="CA71" i="51"/>
  <c r="CA16" i="51"/>
  <c r="CA77" i="51"/>
  <c r="CA12" i="51"/>
  <c r="CA74" i="51"/>
  <c r="CA67" i="51"/>
  <c r="CA50" i="51"/>
  <c r="CA34" i="51"/>
  <c r="CA107" i="51"/>
  <c r="CA29" i="51"/>
  <c r="CA81" i="51"/>
  <c r="CA61" i="51"/>
  <c r="CA94" i="51"/>
  <c r="CA62" i="51"/>
  <c r="CA54" i="51"/>
  <c r="CA47" i="51"/>
  <c r="CA53" i="51"/>
  <c r="CA24" i="51"/>
  <c r="CA30" i="51"/>
  <c r="CA23" i="51"/>
  <c r="CA82" i="51"/>
  <c r="CA37" i="51"/>
  <c r="CA52" i="51"/>
  <c r="CA72" i="51"/>
  <c r="CA68" i="51"/>
  <c r="CA20" i="51"/>
  <c r="CA51" i="51"/>
  <c r="CA40" i="51"/>
  <c r="CA85" i="51"/>
  <c r="CA42" i="51"/>
  <c r="CA100" i="51"/>
  <c r="CA28" i="51"/>
  <c r="CA113" i="51"/>
  <c r="CA57" i="51"/>
  <c r="CA96" i="51"/>
  <c r="CA73" i="51"/>
  <c r="CA14" i="51"/>
  <c r="CA76" i="51"/>
</calcChain>
</file>

<file path=xl/sharedStrings.xml><?xml version="1.0" encoding="utf-8"?>
<sst xmlns="http://schemas.openxmlformats.org/spreadsheetml/2006/main" count="27640" uniqueCount="5284">
  <si>
    <t>GOAL</t>
  </si>
  <si>
    <t>-</t>
  </si>
  <si>
    <t>X</t>
  </si>
  <si>
    <t>*</t>
  </si>
  <si>
    <t>1st</t>
  </si>
  <si>
    <t>W</t>
  </si>
  <si>
    <t>L</t>
  </si>
  <si>
    <t>Score</t>
  </si>
  <si>
    <t>Indigo Conference</t>
  </si>
  <si>
    <t>Johto Division</t>
  </si>
  <si>
    <t>Kanto Division</t>
  </si>
  <si>
    <t>Omega Division</t>
  </si>
  <si>
    <t>Alpha Division</t>
  </si>
  <si>
    <t>Lily Valley Conference</t>
  </si>
  <si>
    <t>Vertress Conference</t>
  </si>
  <si>
    <t>Kalosite Conference</t>
  </si>
  <si>
    <t>Diamond Division</t>
  </si>
  <si>
    <t>Pearl Division</t>
  </si>
  <si>
    <t>Dark Division</t>
  </si>
  <si>
    <t>Light Division</t>
  </si>
  <si>
    <t>Costal Division</t>
  </si>
  <si>
    <t>Mountain Division</t>
  </si>
  <si>
    <t>Camphrier Town</t>
  </si>
  <si>
    <t>Ambrette Town</t>
  </si>
  <si>
    <t>Cyllage City</t>
  </si>
  <si>
    <t>Shalour City</t>
  </si>
  <si>
    <t>Lumiose City</t>
  </si>
  <si>
    <t>Dendemille Town</t>
  </si>
  <si>
    <t>Anistar City</t>
  </si>
  <si>
    <t>Couriway Town</t>
  </si>
  <si>
    <t>Snowbelle City</t>
  </si>
  <si>
    <t>Santalune City</t>
  </si>
  <si>
    <t>Aquacorde Town</t>
  </si>
  <si>
    <t>Laverre City</t>
  </si>
  <si>
    <t>Geosenge Town</t>
  </si>
  <si>
    <t>Aspertia City</t>
  </si>
  <si>
    <t>Virbank City</t>
  </si>
  <si>
    <t>Nimbasa City</t>
  </si>
  <si>
    <t>Driftveil City</t>
  </si>
  <si>
    <t>Icirrus City</t>
  </si>
  <si>
    <t>Anville Town</t>
  </si>
  <si>
    <t>Castelia City</t>
  </si>
  <si>
    <t>Undella Town</t>
  </si>
  <si>
    <t>Striaton City</t>
  </si>
  <si>
    <t>Accumula Town</t>
  </si>
  <si>
    <t>Nacrene City</t>
  </si>
  <si>
    <t>Humilau City</t>
  </si>
  <si>
    <t>Jubilife City</t>
  </si>
  <si>
    <t>Canalave City</t>
  </si>
  <si>
    <t>Oreburgh City</t>
  </si>
  <si>
    <t>Floaroma City</t>
  </si>
  <si>
    <t>Snowpoint City</t>
  </si>
  <si>
    <t>Eterna City</t>
  </si>
  <si>
    <t>Celestic Town</t>
  </si>
  <si>
    <t>Hearthome City</t>
  </si>
  <si>
    <t>Pastoria City</t>
  </si>
  <si>
    <t>Sunyshore City</t>
  </si>
  <si>
    <t>Sandgem Town</t>
  </si>
  <si>
    <t>Twinleaf Town</t>
  </si>
  <si>
    <t>Dewford Town</t>
  </si>
  <si>
    <t>Slateport City</t>
  </si>
  <si>
    <t>Petalburg City</t>
  </si>
  <si>
    <t>Lilycove City</t>
  </si>
  <si>
    <t>Mossdeep City</t>
  </si>
  <si>
    <t>Sootopolis City</t>
  </si>
  <si>
    <t>Pacifidlog Town</t>
  </si>
  <si>
    <t>Fortree City</t>
  </si>
  <si>
    <t>Fallarbor Town</t>
  </si>
  <si>
    <t>Lavaridge Town</t>
  </si>
  <si>
    <t>Rustboro City</t>
  </si>
  <si>
    <t>Verdanturf Town</t>
  </si>
  <si>
    <t>Mauville City</t>
  </si>
  <si>
    <t>Littleroot Town</t>
  </si>
  <si>
    <t>Violet City</t>
  </si>
  <si>
    <t>Azalea Town</t>
  </si>
  <si>
    <t>Goldenrod City</t>
  </si>
  <si>
    <t>Ecruteak City</t>
  </si>
  <si>
    <t>Olivine City</t>
  </si>
  <si>
    <t>Cianwood City</t>
  </si>
  <si>
    <t>Mahogany Town</t>
  </si>
  <si>
    <t>Blackthorn City</t>
  </si>
  <si>
    <t>Pewter City</t>
  </si>
  <si>
    <t>Cerulean City</t>
  </si>
  <si>
    <t>Vermilion City</t>
  </si>
  <si>
    <t>Celadon City</t>
  </si>
  <si>
    <t>Fuchsia City</t>
  </si>
  <si>
    <t>Saffron City</t>
  </si>
  <si>
    <t>Cinnabar Island</t>
  </si>
  <si>
    <t>Viridian City</t>
  </si>
  <si>
    <t>Week 2</t>
  </si>
  <si>
    <t>Week 1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</si>
  <si>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</si>
  <si>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</si>
  <si>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</si>
  <si>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</si>
  <si>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</si>
  <si>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</si>
  <si>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</si>
  <si>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</si>
  <si>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</si>
  <si>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</si>
  <si>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</si>
  <si>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</si>
  <si>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Division 7</t>
  </si>
  <si>
    <t>Division 6</t>
  </si>
  <si>
    <t>Division 5</t>
  </si>
  <si>
    <t>Division 1</t>
  </si>
  <si>
    <t>Division 2</t>
  </si>
  <si>
    <t>Division 3</t>
  </si>
  <si>
    <t>Division 4</t>
  </si>
  <si>
    <t>Interconf 3</t>
  </si>
  <si>
    <t>Interconf 2</t>
  </si>
  <si>
    <t>Interconf 1</t>
  </si>
  <si>
    <t>Interconf 4</t>
  </si>
  <si>
    <t>Oldale Town</t>
  </si>
  <si>
    <t>Ever Grande City</t>
  </si>
  <si>
    <t>Delta Conference</t>
  </si>
  <si>
    <t>Fight Area</t>
  </si>
  <si>
    <t>Resort Area</t>
  </si>
  <si>
    <t>Vaniville Town</t>
  </si>
  <si>
    <t>1=2</t>
  </si>
  <si>
    <t>3=4</t>
  </si>
  <si>
    <t>5=6</t>
  </si>
  <si>
    <t>7=8</t>
  </si>
  <si>
    <t>1=3</t>
  </si>
  <si>
    <t>2=4</t>
  </si>
  <si>
    <t>5=7</t>
  </si>
  <si>
    <t>6=8</t>
  </si>
  <si>
    <t>1=7</t>
  </si>
  <si>
    <t>3=5</t>
  </si>
  <si>
    <t>2=8</t>
  </si>
  <si>
    <t>4=6</t>
  </si>
  <si>
    <t>1=8</t>
  </si>
  <si>
    <t>2=7</t>
  </si>
  <si>
    <t>3=6</t>
  </si>
  <si>
    <t>4=5</t>
  </si>
  <si>
    <t>1-A</t>
  </si>
  <si>
    <t>2-C</t>
  </si>
  <si>
    <t>3-B</t>
  </si>
  <si>
    <t>4-X</t>
  </si>
  <si>
    <t>5-B</t>
  </si>
  <si>
    <t>Interconference Schedule</t>
  </si>
  <si>
    <t>Johto</t>
  </si>
  <si>
    <t>Indigo</t>
  </si>
  <si>
    <t>Delta</t>
  </si>
  <si>
    <t>Veilstone City</t>
  </si>
  <si>
    <t>1 through 8</t>
  </si>
  <si>
    <t>9 through 16</t>
  </si>
  <si>
    <t>17 through 24</t>
  </si>
  <si>
    <t>25 through 32</t>
  </si>
  <si>
    <t>33 through 40</t>
  </si>
  <si>
    <t>Week 15</t>
  </si>
  <si>
    <t>Week 16</t>
  </si>
  <si>
    <t>Conf. Final</t>
  </si>
  <si>
    <t>Championship</t>
  </si>
  <si>
    <t>Week 17</t>
  </si>
  <si>
    <t>Semifinals</t>
  </si>
  <si>
    <t>SF1 vs. SF2</t>
  </si>
  <si>
    <t>Quarterfinals</t>
  </si>
  <si>
    <t>Kanto</t>
  </si>
  <si>
    <t>Omega</t>
  </si>
  <si>
    <t>Alpha</t>
  </si>
  <si>
    <t>Pearl</t>
  </si>
  <si>
    <t>Diamond</t>
  </si>
  <si>
    <t>Light</t>
  </si>
  <si>
    <t>Dark</t>
  </si>
  <si>
    <t>Coastal</t>
  </si>
  <si>
    <t>Mountain</t>
  </si>
  <si>
    <t>Wins</t>
  </si>
  <si>
    <t>Losses</t>
  </si>
  <si>
    <t>Pts For</t>
  </si>
  <si>
    <t>Lily Valley</t>
  </si>
  <si>
    <t>Vertress</t>
  </si>
  <si>
    <t>Kalosite</t>
  </si>
  <si>
    <t>Winning Team</t>
  </si>
  <si>
    <t>Losing Team</t>
  </si>
  <si>
    <t>[Note]</t>
  </si>
  <si>
    <t>Goals</t>
  </si>
  <si>
    <t>[11-7]</t>
  </si>
  <si>
    <t>[8-8]</t>
  </si>
  <si>
    <t>TOTAL</t>
  </si>
  <si>
    <t>[6-6]</t>
  </si>
  <si>
    <t>Hearthome trailed 5-12</t>
  </si>
  <si>
    <t>[6-10]</t>
  </si>
  <si>
    <t>[11-9]</t>
  </si>
  <si>
    <t>[9-9]</t>
  </si>
  <si>
    <t>[8-7]</t>
  </si>
  <si>
    <t>[7-5]</t>
  </si>
  <si>
    <t>Pacifidlog trailed 7-13</t>
  </si>
  <si>
    <t>Accumula trailed 0-8</t>
  </si>
  <si>
    <t>[8-6]</t>
  </si>
  <si>
    <t>[10-6]</t>
  </si>
  <si>
    <t>Ever Grande scores 3pt at 55:40</t>
  </si>
  <si>
    <t>Lavaridge scores 1pt at 57:40</t>
  </si>
  <si>
    <t>[8-9]</t>
  </si>
  <si>
    <t>Littleroot scores 2pt at 58:80</t>
  </si>
  <si>
    <t>[6-4]</t>
  </si>
  <si>
    <t>Latest goal, Pastoria at 61:70</t>
  </si>
  <si>
    <t>Late goal, Cinnabar at 61:40</t>
  </si>
  <si>
    <t>[13-10]</t>
  </si>
  <si>
    <t>[10-3]</t>
  </si>
  <si>
    <t>[11-5]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</si>
  <si>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</si>
  <si>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</si>
  <si>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</si>
  <si>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</si>
  <si>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</si>
  <si>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</si>
  <si>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</si>
  <si>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</si>
  <si>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</si>
  <si>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</si>
  <si>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</si>
  <si>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</si>
  <si>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</si>
  <si>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</si>
  <si>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</si>
  <si>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</si>
  <si>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</si>
  <si>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</si>
  <si>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</si>
  <si>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</si>
  <si>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</si>
  <si>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</si>
  <si>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</si>
  <si>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</si>
  <si>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</si>
  <si>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</si>
  <si>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</si>
  <si>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</si>
  <si>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</si>
  <si>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</si>
  <si>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</si>
  <si>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</si>
  <si>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</si>
  <si>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</si>
  <si>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</si>
  <si>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</si>
  <si>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</si>
  <si>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</si>
  <si>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</si>
  <si>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</si>
  <si>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</si>
  <si>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</si>
  <si>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</si>
  <si>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</si>
  <si>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</si>
  <si>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</si>
  <si>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</si>
  <si>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</si>
  <si>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</si>
  <si>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</si>
  <si>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</si>
  <si>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</si>
  <si>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</si>
  <si>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</si>
  <si>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</si>
  <si>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</si>
  <si>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CG</t>
  </si>
  <si>
    <t>CF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</si>
  <si>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</si>
  <si>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</si>
  <si>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</si>
  <si>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</si>
  <si>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</si>
  <si>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</si>
  <si>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</si>
  <si>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</si>
  <si>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</si>
  <si>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</si>
  <si>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</si>
  <si>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</si>
  <si>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</si>
  <si>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</si>
  <si>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</si>
  <si>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</si>
  <si>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</si>
  <si>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</si>
  <si>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</si>
  <si>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</si>
  <si>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</si>
  <si>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[8-5]</t>
  </si>
  <si>
    <t>K</t>
  </si>
  <si>
    <t>Q</t>
  </si>
  <si>
    <t>J</t>
  </si>
  <si>
    <t>[12-8]</t>
  </si>
  <si>
    <t>[10-5]</t>
  </si>
  <si>
    <t>Dewford opened with two 4pt goals</t>
  </si>
  <si>
    <t>[9-3]</t>
  </si>
  <si>
    <t>[13-9]</t>
  </si>
  <si>
    <t>[12-7]</t>
  </si>
  <si>
    <t>[7-4]</t>
  </si>
  <si>
    <t>Kiloude City</t>
  </si>
  <si>
    <t>[10-1]</t>
  </si>
  <si>
    <t>[7-8]</t>
  </si>
  <si>
    <t>[7-6]</t>
  </si>
  <si>
    <t>[9-7]</t>
  </si>
  <si>
    <t>[10-4]</t>
  </si>
  <si>
    <t>Nacrene scores 1pt at 56:10</t>
  </si>
  <si>
    <t>[9-8]</t>
  </si>
  <si>
    <t>Solaceon Town</t>
  </si>
  <si>
    <t>[10-9]</t>
  </si>
  <si>
    <t>#1</t>
  </si>
  <si>
    <t>#2</t>
  </si>
  <si>
    <t>#3</t>
  </si>
  <si>
    <t>#4</t>
  </si>
  <si>
    <t>#5</t>
  </si>
  <si>
    <t>#6</t>
  </si>
  <si>
    <t>#7</t>
  </si>
  <si>
    <t>#9</t>
  </si>
  <si>
    <t>#10</t>
  </si>
  <si>
    <t>#11</t>
  </si>
  <si>
    <t>#12</t>
  </si>
  <si>
    <t>#13</t>
  </si>
  <si>
    <t>#15</t>
  </si>
  <si>
    <t>#16</t>
  </si>
  <si>
    <t>#18</t>
  </si>
  <si>
    <t>#19</t>
  </si>
  <si>
    <t>#20</t>
  </si>
  <si>
    <t>#22</t>
  </si>
  <si>
    <t>#23</t>
  </si>
  <si>
    <t>#24</t>
  </si>
  <si>
    <t>#25</t>
  </si>
  <si>
    <t>Week One (Home)</t>
  </si>
  <si>
    <t>Week Two (Away)</t>
  </si>
  <si>
    <t>Week Seven (Home)</t>
  </si>
  <si>
    <t>Week Eleven (Away)</t>
  </si>
  <si>
    <t>[1-0]</t>
  </si>
  <si>
    <t>WEEK ONE</t>
  </si>
  <si>
    <t>#25 v. #15</t>
  </si>
  <si>
    <t>#19 v. NR</t>
  </si>
  <si>
    <t>[9-6]</t>
  </si>
  <si>
    <t>[12-6]</t>
  </si>
  <si>
    <t>#11 v. NR</t>
  </si>
  <si>
    <t>[11-6]</t>
  </si>
  <si>
    <t>18pts [9]  in 1st Half by Couriway</t>
  </si>
  <si>
    <t>[15-4]</t>
  </si>
  <si>
    <t>[10-7]</t>
  </si>
  <si>
    <t>#20 v. NR</t>
  </si>
  <si>
    <t>[11-4]</t>
  </si>
  <si>
    <t>NR. v. #6</t>
  </si>
  <si>
    <t>[8-2]</t>
  </si>
  <si>
    <t>#3 v. NR</t>
  </si>
  <si>
    <t>[7-1]</t>
  </si>
  <si>
    <t>NR v. #10</t>
  </si>
  <si>
    <t>NR v. #13</t>
  </si>
  <si>
    <t>NR v. #23</t>
  </si>
  <si>
    <t>[11-8]</t>
  </si>
  <si>
    <t>[15-12]</t>
  </si>
  <si>
    <t>#2 v. NR</t>
  </si>
  <si>
    <t>NR v. #20</t>
  </si>
  <si>
    <t>#22 v. #18</t>
  </si>
  <si>
    <t>#4 v. NR</t>
  </si>
  <si>
    <t>[5-6]</t>
  </si>
  <si>
    <t>#1 v. NR</t>
  </si>
  <si>
    <t>#7 v. NR</t>
  </si>
  <si>
    <t>#24 v. NR</t>
  </si>
  <si>
    <t>#6 v. NR</t>
  </si>
  <si>
    <t>[12-10]</t>
  </si>
  <si>
    <t>[13-6]</t>
  </si>
  <si>
    <t>[9-5]</t>
  </si>
  <si>
    <t>[13-7]</t>
  </si>
  <si>
    <t>NR v. #16</t>
  </si>
  <si>
    <t>NR v. #9</t>
  </si>
  <si>
    <t>GW 1pt at 57:10</t>
  </si>
  <si>
    <t>[6-7]</t>
  </si>
  <si>
    <t>#12 v. NR</t>
  </si>
  <si>
    <t>Geosenge: Only 2pt at 46:90</t>
  </si>
  <si>
    <t>#13 v. NR</t>
  </si>
  <si>
    <t>[8-10]</t>
  </si>
  <si>
    <t>NR v. #25</t>
  </si>
  <si>
    <t>[5-4]</t>
  </si>
  <si>
    <t>[15-9]</t>
  </si>
  <si>
    <t>#16 v. #5</t>
  </si>
  <si>
    <t>AS</t>
  </si>
  <si>
    <t>#8</t>
  </si>
  <si>
    <t>#14</t>
  </si>
  <si>
    <t>#21</t>
  </si>
  <si>
    <t>[2-0]</t>
  </si>
  <si>
    <t>[1-1]</t>
  </si>
  <si>
    <t>WEEK TWO</t>
  </si>
  <si>
    <t>▲1</t>
  </si>
  <si>
    <t>▲12</t>
  </si>
  <si>
    <t>▼2</t>
  </si>
  <si>
    <t>▲3</t>
  </si>
  <si>
    <t>▲6</t>
  </si>
  <si>
    <t>▼1</t>
  </si>
  <si>
    <t>▼6</t>
  </si>
  <si>
    <t>▲13</t>
  </si>
  <si>
    <t>▲9</t>
  </si>
  <si>
    <t>New</t>
  </si>
  <si>
    <t>▲10</t>
  </si>
  <si>
    <t>▼9</t>
  </si>
  <si>
    <t>▲4</t>
  </si>
  <si>
    <t>▼18</t>
  </si>
  <si>
    <t>H</t>
  </si>
  <si>
    <t>A</t>
  </si>
  <si>
    <t>[12-4]</t>
  </si>
  <si>
    <t>[8-3]</t>
  </si>
  <si>
    <t>#23 v. NR</t>
  </si>
  <si>
    <t>[7-7]</t>
  </si>
  <si>
    <t>#9 v. #24</t>
  </si>
  <si>
    <t>#22 v. NR</t>
  </si>
  <si>
    <t>[6-5]</t>
  </si>
  <si>
    <t>[12-5]</t>
  </si>
  <si>
    <t>NR v. #2</t>
  </si>
  <si>
    <t>CF W</t>
  </si>
  <si>
    <t>CF L</t>
  </si>
  <si>
    <t>Pt. Dif.</t>
  </si>
  <si>
    <t>G. Avg.</t>
  </si>
  <si>
    <t>SOS</t>
  </si>
  <si>
    <t>Pts Ag.</t>
  </si>
  <si>
    <t>NR v. #21</t>
  </si>
  <si>
    <t>[15-8]</t>
  </si>
  <si>
    <t>#6 v. #18</t>
  </si>
  <si>
    <t>#16 v. NR</t>
  </si>
  <si>
    <t>[11-11]</t>
  </si>
  <si>
    <t>#10 v. NR</t>
  </si>
  <si>
    <t>[9-2]</t>
  </si>
  <si>
    <t>NR v. #8</t>
  </si>
  <si>
    <t>#7 v. #3</t>
  </si>
  <si>
    <t>21pts (20) [9] in 1st by [#14] Humilau</t>
  </si>
  <si>
    <t>#14 v. NR</t>
  </si>
  <si>
    <t>[6-8]</t>
  </si>
  <si>
    <t>NR v. #11</t>
  </si>
  <si>
    <t>[14-7]</t>
  </si>
  <si>
    <t>#14 v. #4</t>
  </si>
  <si>
    <t>WEEK THREE</t>
  </si>
  <si>
    <t>#17</t>
  </si>
  <si>
    <t>[3-0]</t>
  </si>
  <si>
    <t>[2-1]</t>
  </si>
  <si>
    <t>▲8</t>
  </si>
  <si>
    <t>▲2</t>
  </si>
  <si>
    <t>▲14</t>
  </si>
  <si>
    <t>▲7</t>
  </si>
  <si>
    <t>▼13</t>
  </si>
  <si>
    <t>▼20</t>
  </si>
  <si>
    <t>Crossover 1 (A)</t>
  </si>
  <si>
    <t>Crossover 2 (A)</t>
  </si>
  <si>
    <t>#19 v. #21</t>
  </si>
  <si>
    <t>#9 v. #14</t>
  </si>
  <si>
    <t>#25 v. NR</t>
  </si>
  <si>
    <t>[4-6]</t>
  </si>
  <si>
    <t>[9-10]</t>
  </si>
  <si>
    <t>#21 v. NR</t>
  </si>
  <si>
    <t>#15 v. NR</t>
  </si>
  <si>
    <t>[5-10]</t>
  </si>
  <si>
    <t>[8-4]</t>
  </si>
  <si>
    <t>NR v. #12</t>
  </si>
  <si>
    <t>#18 v. NR</t>
  </si>
  <si>
    <t>[9-4]</t>
  </si>
  <si>
    <t>[12-2]</t>
  </si>
  <si>
    <t>#1 v. #6</t>
  </si>
  <si>
    <t>[6-9]</t>
  </si>
  <si>
    <t>#5 v. NR</t>
  </si>
  <si>
    <t>#17 v. #11</t>
  </si>
  <si>
    <t>#8 v. NR</t>
  </si>
  <si>
    <t>WEEK FOUR</t>
  </si>
  <si>
    <t>[4-0]</t>
  </si>
  <si>
    <t>[3-1]</t>
  </si>
  <si>
    <t>[2-2]</t>
  </si>
  <si>
    <t>▼4</t>
  </si>
  <si>
    <t>▲5</t>
  </si>
  <si>
    <t>▼5</t>
  </si>
  <si>
    <t>▼11</t>
  </si>
  <si>
    <t>[14-6]</t>
  </si>
  <si>
    <t>NR v. #7</t>
  </si>
  <si>
    <t>#24 v. #15</t>
  </si>
  <si>
    <t>#17 v. NR</t>
  </si>
  <si>
    <t>First meeting between two T-5 teams</t>
  </si>
  <si>
    <t>#1 v. #5</t>
  </si>
  <si>
    <t>[12-12]</t>
  </si>
  <si>
    <t>[7-11]</t>
  </si>
  <si>
    <t>OT - 13[10-7], GW 2pt, 61:60</t>
  </si>
  <si>
    <t>OT - 18[12-10]</t>
  </si>
  <si>
    <t>OT - 21[13-9]</t>
  </si>
  <si>
    <t>OT - 14[10-4], GW 2pt @ 60+2'</t>
  </si>
  <si>
    <t>OT - 12[4-10]; GW 1pt @ 60+1'</t>
  </si>
  <si>
    <t>OT - 13[8-6]</t>
  </si>
  <si>
    <t>2OT - 16[9-9], 17[10-10], 2@70+3</t>
  </si>
  <si>
    <t>2OT - 18[9-11], 20[10-12], 2@70+2</t>
  </si>
  <si>
    <t>[12-14]</t>
  </si>
  <si>
    <t>[16-6]</t>
  </si>
  <si>
    <t>#9 v. #4</t>
  </si>
  <si>
    <t>2OT - 14[7-8], 14[7-8]</t>
  </si>
  <si>
    <t>#3 v. #6</t>
  </si>
  <si>
    <t>OT - 11[8-8]</t>
  </si>
  <si>
    <t>[14-2]</t>
  </si>
  <si>
    <t>[7-9]</t>
  </si>
  <si>
    <t>[11-2]</t>
  </si>
  <si>
    <t>OT - 10[5-6]</t>
  </si>
  <si>
    <t>GW 4pt at 54:60</t>
  </si>
  <si>
    <t>Virbank: Fastest Goal possible (1pt/:40)</t>
  </si>
  <si>
    <t>[5-9]</t>
  </si>
  <si>
    <t>#10 v. #8</t>
  </si>
  <si>
    <t>[11-3]</t>
  </si>
  <si>
    <t>#2 v. #21</t>
  </si>
  <si>
    <t>[5-0]</t>
  </si>
  <si>
    <t>[4-1]</t>
  </si>
  <si>
    <t>[3-2]</t>
  </si>
  <si>
    <t>▼3</t>
  </si>
  <si>
    <t>▼7</t>
  </si>
  <si>
    <t>▼12</t>
  </si>
  <si>
    <t>Lily</t>
  </si>
  <si>
    <t>[12-9]</t>
  </si>
  <si>
    <t>NR v. #14</t>
  </si>
  <si>
    <t>WEEK FIVE</t>
  </si>
  <si>
    <t>[10-8]</t>
  </si>
  <si>
    <t>#5 v. #25</t>
  </si>
  <si>
    <t>#21 v. #24</t>
  </si>
  <si>
    <t>OT - 12[5-8]</t>
  </si>
  <si>
    <t>#9 v. #23</t>
  </si>
  <si>
    <t>[11-12]</t>
  </si>
  <si>
    <t>#4 v. #22</t>
  </si>
  <si>
    <t>#18 v. #6</t>
  </si>
  <si>
    <t>#17 v. #8</t>
  </si>
  <si>
    <t>WEEK SIX</t>
  </si>
  <si>
    <t>[6-0]</t>
  </si>
  <si>
    <t>[5-1]</t>
  </si>
  <si>
    <t>[3-3]</t>
  </si>
  <si>
    <t>[4-2]</t>
  </si>
  <si>
    <t>▲</t>
  </si>
  <si>
    <t>▼</t>
  </si>
  <si>
    <t>▼10</t>
  </si>
  <si>
    <t>NR v. #18</t>
  </si>
  <si>
    <t>[15-3]</t>
  </si>
  <si>
    <t>[13-8]</t>
  </si>
  <si>
    <t>NR v. #3</t>
  </si>
  <si>
    <t>#10 v NR</t>
  </si>
  <si>
    <t>NR v. #6</t>
  </si>
  <si>
    <t>[6-3]</t>
  </si>
  <si>
    <t>OT - 19[9-11]</t>
  </si>
  <si>
    <t>OT - 14[9-7]</t>
  </si>
  <si>
    <t>[7-10]</t>
  </si>
  <si>
    <t>#25 v. #8</t>
  </si>
  <si>
    <t>#12 v. #22</t>
  </si>
  <si>
    <t>[14-8]</t>
  </si>
  <si>
    <t>#17 v. #4</t>
  </si>
  <si>
    <t>#11 v. #16</t>
  </si>
  <si>
    <t>[7-0]</t>
  </si>
  <si>
    <t>[6-1]</t>
  </si>
  <si>
    <t>[4-3]</t>
  </si>
  <si>
    <t>[5-2]</t>
  </si>
  <si>
    <t>WEEK SEVEN</t>
  </si>
  <si>
    <t>9*9</t>
  </si>
  <si>
    <t>[7-3]</t>
  </si>
  <si>
    <t>[13-5]</t>
  </si>
  <si>
    <t>[13-4]</t>
  </si>
  <si>
    <t>NR v. #17</t>
  </si>
  <si>
    <t>Most points scored by winner (32)</t>
  </si>
  <si>
    <t>Fallarbor - 3 4pt scores off of 6-Ace</t>
  </si>
  <si>
    <t>Oreburgh - 2pt at 62:10 (latest recorded)</t>
  </si>
  <si>
    <t>NR v. #24</t>
  </si>
  <si>
    <t>#11 v NR</t>
  </si>
  <si>
    <t>#16 v. #19</t>
  </si>
  <si>
    <t>#15 v. #12</t>
  </si>
  <si>
    <t>#1 v. #14</t>
  </si>
  <si>
    <t>2OT - 13[6-7], 17[8-9]</t>
  </si>
  <si>
    <t>#3 v. #9</t>
  </si>
  <si>
    <t>WEEK EIGHT</t>
  </si>
  <si>
    <t>[8-0]</t>
  </si>
  <si>
    <t>[5-3]</t>
  </si>
  <si>
    <t>[6-2]</t>
  </si>
  <si>
    <t>▲ 1</t>
  </si>
  <si>
    <t>▼ 1</t>
  </si>
  <si>
    <t>▼8</t>
  </si>
  <si>
    <t>6-C</t>
  </si>
  <si>
    <t>7-A</t>
  </si>
  <si>
    <t>Oreburgh - 4 3pt* plays and a 4pt play</t>
  </si>
  <si>
    <t>OT - 11[7-8]</t>
  </si>
  <si>
    <t>For (.5)</t>
  </si>
  <si>
    <t>Agst (.5)</t>
  </si>
  <si>
    <t>Diff (.5)</t>
  </si>
  <si>
    <t>GW 4pt at 61:80</t>
  </si>
  <si>
    <t>[8-12]</t>
  </si>
  <si>
    <t>OT - 10[5-7], GW 4pt @ 61:80</t>
  </si>
  <si>
    <t>1pt at F-66:60 and C-67:80 in added time</t>
  </si>
  <si>
    <t>[10-10]</t>
  </si>
  <si>
    <t>[5-7]</t>
  </si>
  <si>
    <t>#9 v. NR</t>
  </si>
  <si>
    <t>NR v. #22</t>
  </si>
  <si>
    <t>OT - 12[9-8]</t>
  </si>
  <si>
    <t>2OT - 14[7-6], 15[8-7]</t>
  </si>
  <si>
    <t xml:space="preserve"> </t>
  </si>
  <si>
    <t>#6 v. #23</t>
  </si>
  <si>
    <t>#5 v. #20</t>
  </si>
  <si>
    <t>OT - 17[9-8]</t>
  </si>
  <si>
    <t>#16 v. #15</t>
  </si>
  <si>
    <t>#10 v. #1</t>
  </si>
  <si>
    <t>Win(1.25)</t>
  </si>
  <si>
    <t>CoW(.75)</t>
  </si>
  <si>
    <t>Gavg (.5)</t>
  </si>
  <si>
    <t>SOS (.75)</t>
  </si>
  <si>
    <t>CoSt (.25)</t>
  </si>
  <si>
    <t>Conf</t>
  </si>
  <si>
    <t>WEEK NINE</t>
  </si>
  <si>
    <t>Crossover 1 (B)</t>
  </si>
  <si>
    <t>INTERFCONFERENCE</t>
  </si>
  <si>
    <t>FOR WEEK</t>
  </si>
  <si>
    <t>Crossover 2 (B)</t>
  </si>
  <si>
    <t>2OT - 16[10-11], 18[11-13]</t>
  </si>
  <si>
    <t>[13-13]</t>
  </si>
  <si>
    <t>[16-3]</t>
  </si>
  <si>
    <t>[7-2]</t>
  </si>
  <si>
    <t>OT - 17[8-8]</t>
  </si>
  <si>
    <t>OT - 12[5-9]</t>
  </si>
  <si>
    <t>[10-11]</t>
  </si>
  <si>
    <t>Azalea - 4pts@60:00</t>
  </si>
  <si>
    <t>[5-8]</t>
  </si>
  <si>
    <t>[13-11]</t>
  </si>
  <si>
    <t>OT - 14[8-8]</t>
  </si>
  <si>
    <t>#25 v. #21</t>
  </si>
  <si>
    <t>#1 v. #24</t>
  </si>
  <si>
    <t>#12 v. #18</t>
  </si>
  <si>
    <t>#5 v. #16</t>
  </si>
  <si>
    <t>Nacrene: 1pt@50+9, Humilau: 2pts@50+11</t>
  </si>
  <si>
    <t>#15 v. #7</t>
  </si>
  <si>
    <t>#11 v. #2</t>
  </si>
  <si>
    <t>#6 v. #8</t>
  </si>
  <si>
    <t>WEEK TEN</t>
  </si>
  <si>
    <t>[13-3]</t>
  </si>
  <si>
    <t>[11-10]</t>
  </si>
  <si>
    <t>Lavaridge scores 4pt at 61:50</t>
  </si>
  <si>
    <t>[8-11]</t>
  </si>
  <si>
    <t>OT - 18[10-8]</t>
  </si>
  <si>
    <t>[12-11]</t>
  </si>
  <si>
    <t>Lumiose scores 2pt at 62:50</t>
  </si>
  <si>
    <t>NR v. #1</t>
  </si>
  <si>
    <t>#14 v. #23</t>
  </si>
  <si>
    <t>#22 v. #21</t>
  </si>
  <si>
    <t>#20 v. #5</t>
  </si>
  <si>
    <t>#9 v. #19</t>
  </si>
  <si>
    <t>#10 v. #17</t>
  </si>
  <si>
    <t>[10-12]</t>
  </si>
  <si>
    <t>#16 v. #6</t>
  </si>
  <si>
    <t>#12 v. #3</t>
  </si>
  <si>
    <t>WEEK ELEVEN</t>
  </si>
  <si>
    <t>NEW</t>
  </si>
  <si>
    <t>OT - 17[6-11]</t>
  </si>
  <si>
    <t>[5-5]</t>
  </si>
  <si>
    <t>[7-12]</t>
  </si>
  <si>
    <t>Nacrene: GW 3pt @ 59:60</t>
  </si>
  <si>
    <t>[14-4]</t>
  </si>
  <si>
    <t>2OT - 18[9-12], 20[10-13]</t>
  </si>
  <si>
    <t>[12-13]</t>
  </si>
  <si>
    <t>VC: 1pt @ 58:60, Icirrus: GW 2pt @ 61:20</t>
  </si>
  <si>
    <t>OT - 12[7-8]</t>
  </si>
  <si>
    <t>[13-12]</t>
  </si>
  <si>
    <t>#21 v. #20</t>
  </si>
  <si>
    <t>#5 v. #15</t>
  </si>
  <si>
    <t>#11 v. #7</t>
  </si>
  <si>
    <t>WEEK TWELVE</t>
  </si>
  <si>
    <t>Saffron: Kanto Division Title</t>
  </si>
  <si>
    <t>Mahogany: Johto Division Title</t>
  </si>
  <si>
    <t>(Vaniville: Mountain Division Title)</t>
  </si>
  <si>
    <t>Vaniville: Mountain Division Title</t>
  </si>
  <si>
    <t>[13-1]</t>
  </si>
  <si>
    <t>Petalburg: Alpha Division Title</t>
  </si>
  <si>
    <t>Celestic Town: Pearl Division Title</t>
  </si>
  <si>
    <t>NR v. #19</t>
  </si>
  <si>
    <t>[9-12]</t>
  </si>
  <si>
    <t>Rustboro: Omega Division Title</t>
  </si>
  <si>
    <t>#12 v. #23</t>
  </si>
  <si>
    <t>Sandgem: Diamond Division Title</t>
  </si>
  <si>
    <t>#16 v. #22</t>
  </si>
  <si>
    <t>#17 v. #14</t>
  </si>
  <si>
    <t>Castelia: Light Division Title</t>
  </si>
  <si>
    <t>#10 v. #15</t>
  </si>
  <si>
    <t>#5 v. #13</t>
  </si>
  <si>
    <r>
      <rPr>
        <i/>
        <sz val="11"/>
        <color theme="1"/>
        <rFont val="Calibri"/>
        <family val="2"/>
        <scheme val="minor"/>
      </rPr>
      <t>de facto</t>
    </r>
    <r>
      <rPr>
        <sz val="11"/>
        <color theme="1"/>
        <rFont val="Calibri"/>
        <family val="2"/>
        <scheme val="minor"/>
      </rPr>
      <t xml:space="preserve"> Costal Division Championship</t>
    </r>
  </si>
  <si>
    <t>#1 v. #3</t>
  </si>
  <si>
    <t>WEEK THIRTEEN</t>
  </si>
  <si>
    <t>GROUP A</t>
  </si>
  <si>
    <t>GROUP B</t>
  </si>
  <si>
    <t>Delta Conference Championship</t>
  </si>
  <si>
    <t>Lily Valley Conference Championship</t>
  </si>
  <si>
    <t>Kalosite Conference Championship</t>
  </si>
  <si>
    <t>Vertress Conference Championship</t>
  </si>
  <si>
    <t>#10 v. #9</t>
  </si>
  <si>
    <t>#8 v. #4</t>
  </si>
  <si>
    <t>#7 v. #1</t>
  </si>
  <si>
    <t>#22 v. #35</t>
  </si>
  <si>
    <t>#2 v. #26</t>
  </si>
  <si>
    <t>2OT - 12[4-7], 14[6-8], Indigo Championship</t>
  </si>
  <si>
    <t>WEEK FOURTEEN</t>
  </si>
  <si>
    <t>Winners A</t>
  </si>
  <si>
    <t>Winners B</t>
  </si>
  <si>
    <t>Losers B</t>
  </si>
  <si>
    <t>Tiebreak A</t>
  </si>
  <si>
    <t>Tiebreak B</t>
  </si>
  <si>
    <t>Group Stage</t>
  </si>
  <si>
    <t>Winners vs. Runners-Up</t>
  </si>
  <si>
    <t>Saffron v. Celestic (+1)</t>
  </si>
  <si>
    <t>Cyllage v. Rustboro (+7)</t>
  </si>
  <si>
    <t>Driftveil v. Vaniville (+5)</t>
  </si>
  <si>
    <t>#5 v. #4</t>
  </si>
  <si>
    <t>#1 v. #8</t>
  </si>
  <si>
    <t>#5 v. #1</t>
  </si>
  <si>
    <t>Semifinal One (Winner A v. Runner-up B)</t>
  </si>
  <si>
    <t>Semifinal Two (Winner B v. Runner-up A)</t>
  </si>
  <si>
    <t>#6 v. #3</t>
  </si>
  <si>
    <t>#2 v. #7</t>
  </si>
  <si>
    <t>OT - 14[8-7], Losers A</t>
  </si>
  <si>
    <t>[0-2]</t>
  </si>
  <si>
    <t>#4 v. #8</t>
  </si>
  <si>
    <t>8th</t>
  </si>
  <si>
    <t>6th</t>
  </si>
  <si>
    <t>7th</t>
  </si>
  <si>
    <t>#2 v. #6</t>
  </si>
  <si>
    <t>Cyllage City (#8)</t>
  </si>
  <si>
    <t>Castelia City (#3)</t>
  </si>
  <si>
    <t>Driftveil City (#7)</t>
  </si>
  <si>
    <t>[1-2]</t>
  </si>
  <si>
    <t>#5 v. #2</t>
  </si>
  <si>
    <t>5th</t>
  </si>
  <si>
    <t>Celestic Town (#4)</t>
  </si>
  <si>
    <t>#6 v. #7</t>
  </si>
  <si>
    <t>4th</t>
  </si>
  <si>
    <t>Rustboro City*</t>
  </si>
  <si>
    <t>3rd</t>
  </si>
  <si>
    <t>Vaniville Town (#2)</t>
  </si>
  <si>
    <t>OT - 19[13-9], WORLD CHAMPIONSHIP</t>
  </si>
  <si>
    <t>[15-10]</t>
  </si>
  <si>
    <t>2nd</t>
  </si>
  <si>
    <t>Saffron City*%</t>
  </si>
  <si>
    <t>Rustboro City (#1)</t>
  </si>
  <si>
    <t>Saffron City (#5)</t>
  </si>
  <si>
    <t>FINAL RANKINGS</t>
  </si>
  <si>
    <t>▲16</t>
  </si>
  <si>
    <t>Saffron City***</t>
  </si>
  <si>
    <t>Rnk</t>
  </si>
  <si>
    <t>SOV</t>
  </si>
  <si>
    <t>Gavg (.4)</t>
  </si>
  <si>
    <t>Diff (.4)</t>
  </si>
  <si>
    <t>CoW(.65)</t>
  </si>
  <si>
    <t>SOS (.65)</t>
  </si>
  <si>
    <t>SOV (.65)</t>
  </si>
  <si>
    <t>EX</t>
  </si>
  <si>
    <t>W2</t>
  </si>
  <si>
    <t>W5</t>
  </si>
  <si>
    <t>W7</t>
  </si>
  <si>
    <t>StrAvg</t>
  </si>
  <si>
    <t>VicAvg</t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</si>
  <si>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- 10[7-4],13[9-6],18[11-9] 3pt@75:40</t>
    </r>
  </si>
  <si>
    <t>[12-3]</t>
  </si>
  <si>
    <t>[17-7]</t>
  </si>
  <si>
    <t>20-0 [14-0] in 1st, most goals scored [17]</t>
  </si>
  <si>
    <t>[17-10]</t>
  </si>
  <si>
    <t>most goals scored [17] (tied)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</si>
  <si>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- 16[9-12]</t>
    </r>
  </si>
  <si>
    <t>[11-13]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</si>
  <si>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- 17[9-10], Cyllage 3pt @ 65:20</t>
    </r>
  </si>
  <si>
    <t>Nimbasa 3pt @ 61:80</t>
  </si>
  <si>
    <t>Vaniville: 21pts in 1st</t>
  </si>
  <si>
    <t>Conference Championships</t>
  </si>
  <si>
    <t>new ranks</t>
  </si>
  <si>
    <t>EX ranks</t>
  </si>
  <si>
    <t>▲18</t>
  </si>
  <si>
    <t>▲19</t>
  </si>
  <si>
    <t>▼16</t>
  </si>
  <si>
    <t>Same Side</t>
  </si>
  <si>
    <t>Opposite Side</t>
  </si>
  <si>
    <t>6=1</t>
  </si>
  <si>
    <t>5=2</t>
  </si>
  <si>
    <t>8=3</t>
  </si>
  <si>
    <t>7=4</t>
  </si>
  <si>
    <t>5=1</t>
  </si>
  <si>
    <t>6=2</t>
  </si>
  <si>
    <t>7=3</t>
  </si>
  <si>
    <t>8=4</t>
  </si>
  <si>
    <t>4=1</t>
  </si>
  <si>
    <t>3=2</t>
  </si>
  <si>
    <t>8=5</t>
  </si>
  <si>
    <t>7=6</t>
  </si>
  <si>
    <t>Celestic: 2pt @ 59:70 (+10)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</si>
  <si>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- 12[6-7]</t>
    </r>
  </si>
  <si>
    <t>Oreburgh: 22pts in 1st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</si>
  <si>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- 11[5-8]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</si>
  <si>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- 16[11-9]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</si>
  <si>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- 9[6-4]</t>
    </r>
  </si>
  <si>
    <t>[15-5]</t>
  </si>
  <si>
    <t>▼19</t>
  </si>
  <si>
    <t>Lanakila Conference</t>
  </si>
  <si>
    <t>Seafolk Village</t>
  </si>
  <si>
    <t>Exeggutor Island</t>
  </si>
  <si>
    <t>Iki Town</t>
  </si>
  <si>
    <t>Hau'oli City</t>
  </si>
  <si>
    <t>Heahea City</t>
  </si>
  <si>
    <t>Paniola Town</t>
  </si>
  <si>
    <t>Konikoni City</t>
  </si>
  <si>
    <t>Malie City</t>
  </si>
  <si>
    <t>Tapu Village</t>
  </si>
  <si>
    <t>Po Town</t>
  </si>
  <si>
    <t>Poni Meadow</t>
  </si>
  <si>
    <t>Mount Hokulani</t>
  </si>
  <si>
    <t>Kala'e Bay</t>
  </si>
  <si>
    <t>Vast Poni Canyon</t>
  </si>
  <si>
    <t>Sun Division</t>
  </si>
  <si>
    <t>Moon Division</t>
  </si>
  <si>
    <t>Lanakila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</si>
  <si>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</si>
  <si>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</si>
  <si>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</si>
  <si>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</si>
  <si>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</si>
  <si>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</si>
  <si>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</si>
  <si>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</si>
  <si>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</si>
  <si>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</si>
  <si>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</si>
  <si>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</si>
  <si>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</si>
  <si>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</si>
  <si>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</si>
  <si>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</si>
  <si>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Sun</t>
  </si>
  <si>
    <t>Moon</t>
  </si>
  <si>
    <t>1v3</t>
  </si>
  <si>
    <t>2v4</t>
  </si>
  <si>
    <t>1v6</t>
  </si>
  <si>
    <t>2v3</t>
  </si>
  <si>
    <t>1v5</t>
  </si>
  <si>
    <t>2v6</t>
  </si>
  <si>
    <t>1v4</t>
  </si>
  <si>
    <t>5v6</t>
  </si>
  <si>
    <t>3v4</t>
  </si>
  <si>
    <t>3v5</t>
  </si>
  <si>
    <t>4v6</t>
  </si>
  <si>
    <t>2v5</t>
  </si>
  <si>
    <t>3v6</t>
  </si>
  <si>
    <t>1v2</t>
  </si>
  <si>
    <t>4v5</t>
  </si>
  <si>
    <t>3*6</t>
  </si>
  <si>
    <t>2*5</t>
  </si>
  <si>
    <t>1*4</t>
  </si>
  <si>
    <t>B</t>
  </si>
  <si>
    <t>C</t>
  </si>
  <si>
    <t>Indigo/Kalosite</t>
  </si>
  <si>
    <t>Indigo/Lily Valley</t>
  </si>
  <si>
    <t>Kalosite/Lily Valley</t>
  </si>
  <si>
    <t>Delta/Vertress</t>
  </si>
  <si>
    <t>Vertress/Lanakila</t>
  </si>
  <si>
    <t>Delta/Lanakila</t>
  </si>
  <si>
    <t>Indigo/Vertress</t>
  </si>
  <si>
    <t>Kalosite/Lanakila</t>
  </si>
  <si>
    <t>Lily Valley/Delta</t>
  </si>
  <si>
    <t>Adjusted Order</t>
  </si>
  <si>
    <t>Ranking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</si>
  <si>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- 16[8-8]</t>
    </r>
  </si>
  <si>
    <t>[1]</t>
  </si>
  <si>
    <t>[15-11]</t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</si>
  <si>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- 12[9-7], 16[11-9], 20[13-11]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</si>
  <si>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- 13[8-8]</t>
    </r>
  </si>
  <si>
    <t>WEEK TWO-A</t>
  </si>
  <si>
    <t>WEEK TWO-B</t>
  </si>
  <si>
    <t>Next highest team</t>
  </si>
  <si>
    <t>Conf. Champion or next highest team</t>
  </si>
  <si>
    <t>Hi</t>
  </si>
  <si>
    <t>Lo</t>
  </si>
  <si>
    <t>v</t>
  </si>
  <si>
    <t>winner advances to GS</t>
  </si>
  <si>
    <t>Conf. Champion 1</t>
  </si>
  <si>
    <t>Conf. Champion 2</t>
  </si>
  <si>
    <t>Conf. Champion 3</t>
  </si>
  <si>
    <t>Conf. Champion 4</t>
  </si>
  <si>
    <t>Hearthome: 4pt @ 58:40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</si>
  <si>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- 11[9-6]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</si>
  <si>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- 10[8-6]</t>
    </r>
  </si>
  <si>
    <t>Vaniville: 23(17)pts in 1st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</si>
  <si>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- 15[9-9]</t>
    </r>
  </si>
  <si>
    <t>[15-6]</t>
  </si>
  <si>
    <t>[10-2]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</si>
  <si>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- 15[10-8]</t>
    </r>
  </si>
  <si>
    <t>[14-11]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</si>
  <si>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- 19[10-12], Cerulean 1pt @ 66:10 in reg</t>
    </r>
  </si>
  <si>
    <t>[15-7]</t>
  </si>
  <si>
    <t>▼17</t>
  </si>
  <si>
    <t>Laverre: 3pts# @ 65:90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</si>
  <si>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- 14[9-8]</t>
    </r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</si>
  <si>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- 14[5-6], 19[7-9], 23[9-12]</t>
    </r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</si>
  <si>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- 15[7-11], 17[8-13]</t>
    </r>
  </si>
  <si>
    <t>Solaceon: 4pt @ 61:80 (+12)</t>
  </si>
  <si>
    <t>INTERCO.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</si>
  <si>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- 16[9-9]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</si>
  <si>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- 11[6-7]</t>
    </r>
  </si>
  <si>
    <t>[14-9]</t>
  </si>
  <si>
    <t>Solaceon: Scoring Record (34 pts)</t>
  </si>
  <si>
    <t>Jubilife: No goals until 49:10 (1pt)</t>
  </si>
  <si>
    <t>Heahea: 4pt @ 60:10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</si>
  <si>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- 14[8-9], Lumiose: 4pt @ 65:00</t>
    </r>
  </si>
  <si>
    <t>Match between two Top-5 teams</t>
  </si>
  <si>
    <t>Shalour: 4pt @ 57:10</t>
  </si>
  <si>
    <t>[4-8]</t>
  </si>
  <si>
    <t>Saffron: 4pt @ 58:90</t>
  </si>
  <si>
    <t>Snowbelle: 2pt @ 58:10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</si>
  <si>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- 16[10-7]</t>
    </r>
  </si>
  <si>
    <t>Cinnabar: 4pt @ 63:30</t>
  </si>
  <si>
    <t>Rustboro: 2pt @ 58:70</t>
  </si>
  <si>
    <t>Vaniville: First goal @ 54:60</t>
  </si>
  <si>
    <t>Mistralton City</t>
  </si>
  <si>
    <t>21pts(17) [11] in 1st by [#6] Mistralton</t>
  </si>
  <si>
    <t>OT - 13[10-8], Mistralton - 4 1pt in 50+time</t>
  </si>
  <si>
    <t>Mistralton: Dark Division Title</t>
  </si>
  <si>
    <t>Mistralton v. Castelia (+3)</t>
  </si>
  <si>
    <t>Mistralton City (#6)</t>
  </si>
  <si>
    <t>w10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</si>
  <si>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- 15[8-8]</t>
    </r>
  </si>
  <si>
    <t>Ultra Megalopolis</t>
  </si>
  <si>
    <t>Aether Paradise</t>
  </si>
  <si>
    <t>[14-3]</t>
  </si>
  <si>
    <t>Floaroma: 3pt @ 64:80</t>
  </si>
  <si>
    <t>[18-9]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</si>
  <si>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- 14[5-6]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</si>
  <si>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- 15[9-10]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</si>
  <si>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- 10[7-7]</t>
    </r>
  </si>
  <si>
    <t>[16-7]</t>
  </si>
  <si>
    <t>Solaceon: First goal @ 51:00 (4pt)</t>
  </si>
  <si>
    <t>Scotland</t>
  </si>
  <si>
    <t>First</t>
  </si>
  <si>
    <t>Second</t>
  </si>
  <si>
    <t>D</t>
  </si>
  <si>
    <t>Finalist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</si>
  <si>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- 19[10-9], UM: Tied @ 67:40 (3pt)</t>
    </r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</si>
  <si>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- 13[7-7], 13[7-7]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</si>
  <si>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- 17[8-8]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</si>
  <si>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- 19[9-11]</t>
    </r>
  </si>
  <si>
    <t>[11-14]</t>
  </si>
  <si>
    <t>Olivine: GW 2pt @ 61:20</t>
  </si>
  <si>
    <t>[10-13]</t>
  </si>
  <si>
    <t>Hokulani: GW 4pt @ 57:90</t>
  </si>
  <si>
    <t>Oreburgh: 20 pts in 1st</t>
  </si>
  <si>
    <t>OT - 21[8-12], Most Points Combined (48)</t>
  </si>
  <si>
    <t>most goals scored [17] (tied), total pts (49)</t>
  </si>
  <si>
    <t>Tied combined points record (49)</t>
  </si>
  <si>
    <t>M: GW 2pt @ 61:10, total pts record (51)</t>
  </si>
  <si>
    <t>Total combined points record (55)</t>
  </si>
  <si>
    <t>[17-5]</t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</si>
  <si>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- 17[11-7], 21[14-10], 21[14-10], [17](tied)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</si>
  <si>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- 17[7-11]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</si>
  <si>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- 13[7-8]</t>
    </r>
  </si>
  <si>
    <t>Rustboro: clinches Omega Division title</t>
  </si>
  <si>
    <t>[9-11]</t>
  </si>
  <si>
    <t>Geosenge: clinches Costal Division title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</si>
  <si>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- 15[7-7]</t>
    </r>
  </si>
  <si>
    <t>Santalune: clinches Mountain Division title</t>
  </si>
  <si>
    <t>Vaniville: 4pt @ 54:80</t>
  </si>
  <si>
    <t>UPSET of the SEASON (Ecruteak: 0-9, 96th)</t>
  </si>
  <si>
    <t>UPSET (Rustboro: third loss all-time, 25-3)</t>
  </si>
  <si>
    <t>Fuchsia: 2pt @ 61:80</t>
  </si>
  <si>
    <t>[14-5]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</si>
  <si>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- 14[8-10]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</si>
  <si>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- 16[9-11], Cyllage: 18-0 run to win</t>
    </r>
  </si>
  <si>
    <t>Olivine: GW 3pt @ 57:90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</si>
  <si>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- 10[6-5], Saffton: GW 1pt @ 65:90</t>
    </r>
  </si>
  <si>
    <t>Seafolk: GW 4pt @ 62:80</t>
  </si>
  <si>
    <t>Sword Division</t>
  </si>
  <si>
    <t>Shield Division</t>
  </si>
  <si>
    <t>Ballonlea</t>
  </si>
  <si>
    <t>Stow-on-Side</t>
  </si>
  <si>
    <t>Hammerlocke</t>
  </si>
  <si>
    <t>Spikemuth</t>
  </si>
  <si>
    <t>Hulbury</t>
  </si>
  <si>
    <t>Turffield</t>
  </si>
  <si>
    <t>Motostoke</t>
  </si>
  <si>
    <t>Wedgehurst</t>
  </si>
  <si>
    <t>Postwick</t>
  </si>
  <si>
    <t>Motostoke Outskirts</t>
  </si>
  <si>
    <t>Lake Miloch</t>
  </si>
  <si>
    <t>Lake Axewell</t>
  </si>
  <si>
    <t>London Pod</t>
  </si>
  <si>
    <t>Scotland Pod</t>
  </si>
  <si>
    <t>Melemele Pod</t>
  </si>
  <si>
    <t>Poni Pod</t>
  </si>
  <si>
    <t>Akala Pad</t>
  </si>
  <si>
    <t>Ula'ula Pod</t>
  </si>
  <si>
    <t>Coastal Pod</t>
  </si>
  <si>
    <t>Central Pod</t>
  </si>
  <si>
    <t>Mountain Pod</t>
  </si>
  <si>
    <t>Nor. Central Pod</t>
  </si>
  <si>
    <t>Sou. Central Pod</t>
  </si>
  <si>
    <t>Southwest Pod</t>
  </si>
  <si>
    <t>Southeast Pod</t>
  </si>
  <si>
    <t>Northwest Pod</t>
  </si>
  <si>
    <t>Northeast Pod</t>
  </si>
  <si>
    <t>West Pod</t>
  </si>
  <si>
    <t>West Johto Pod</t>
  </si>
  <si>
    <t>East Johto Pod</t>
  </si>
  <si>
    <t>Central Kanto Pod</t>
  </si>
  <si>
    <t>Outer Kanto Pod</t>
  </si>
  <si>
    <t>Pod Game 1</t>
  </si>
  <si>
    <t>1v4, 2v3</t>
  </si>
  <si>
    <t>Pod Game 2</t>
  </si>
  <si>
    <t>1v3, 2v4</t>
  </si>
  <si>
    <t>Pod Game 3</t>
  </si>
  <si>
    <t>Same Side 1</t>
  </si>
  <si>
    <t>Same Side 2</t>
  </si>
  <si>
    <t>1v1, 2v2, 3v3, 4v4</t>
  </si>
  <si>
    <t>1v2, 2v1, 3v4, 4v3</t>
  </si>
  <si>
    <t>Diagonal 1</t>
  </si>
  <si>
    <t>Diagonal 2</t>
  </si>
  <si>
    <t>Across 1</t>
  </si>
  <si>
    <t>Across 2</t>
  </si>
  <si>
    <t>Odd Seasons</t>
  </si>
  <si>
    <t>Even Seasons</t>
  </si>
  <si>
    <t>1A</t>
  </si>
  <si>
    <t>1B</t>
  </si>
  <si>
    <t>2A</t>
  </si>
  <si>
    <t>2B</t>
  </si>
  <si>
    <t>3A</t>
  </si>
  <si>
    <t>3B</t>
  </si>
  <si>
    <t>4A</t>
  </si>
  <si>
    <t>4B</t>
  </si>
  <si>
    <t>1C</t>
  </si>
  <si>
    <t>2C</t>
  </si>
  <si>
    <t>3C</t>
  </si>
  <si>
    <t>4C</t>
  </si>
  <si>
    <t>1D</t>
  </si>
  <si>
    <t>2D</t>
  </si>
  <si>
    <t>3D</t>
  </si>
  <si>
    <t>4D</t>
  </si>
  <si>
    <t>North Wild Pod</t>
  </si>
  <si>
    <t>South Wild Pod</t>
  </si>
  <si>
    <t>Dynamax Conference</t>
  </si>
  <si>
    <t>Tentative S3 Schedule</t>
  </si>
  <si>
    <t>Interconference 3</t>
  </si>
  <si>
    <t>Interconference 2</t>
  </si>
  <si>
    <t>Interconference 1</t>
  </si>
  <si>
    <t>Conference Championship Games</t>
  </si>
  <si>
    <t>Head to head record determines home-field advantage</t>
  </si>
  <si>
    <t>If no head to head was played</t>
  </si>
  <si>
    <t>Best Overall Record</t>
  </si>
  <si>
    <t>If more than 2 teams tied for 1st place</t>
  </si>
  <si>
    <t>If two teams tied for 1st place</t>
  </si>
  <si>
    <t>If 2 or more teams tied for 2nd place</t>
  </si>
  <si>
    <t>Preseason - Dynamax Pod Round Robin for starting ranking/pod order</t>
  </si>
  <si>
    <t>Conference Champion 1</t>
  </si>
  <si>
    <t>Conference Champion 2</t>
  </si>
  <si>
    <t>Conference Champion 3</t>
  </si>
  <si>
    <t>Conference Champion 4</t>
  </si>
  <si>
    <t>Next Highest-Ranked Team 1</t>
  </si>
  <si>
    <t>Next Highest-Ranked Team 2</t>
  </si>
  <si>
    <t>Next Highest-Ranked Team 3</t>
  </si>
  <si>
    <t>Next Highest-Ranked Team 4</t>
  </si>
  <si>
    <t>Play-In  Round</t>
  </si>
  <si>
    <t>#11 at #6</t>
  </si>
  <si>
    <t>#10 at #7</t>
  </si>
  <si>
    <t>#9 at #8</t>
  </si>
  <si>
    <t>#6 at #11</t>
  </si>
  <si>
    <t>#7 at #10</t>
  </si>
  <si>
    <t>#8 at #9</t>
  </si>
  <si>
    <t>#3 at WC</t>
  </si>
  <si>
    <t>#2 at WC</t>
  </si>
  <si>
    <t>#1 at WC</t>
  </si>
  <si>
    <t>WC at #3</t>
  </si>
  <si>
    <t>WC at #2</t>
  </si>
  <si>
    <t>WC at #1</t>
  </si>
  <si>
    <t>SF</t>
  </si>
  <si>
    <t>SF1 at SF4</t>
  </si>
  <si>
    <t>SF2 at SF3</t>
  </si>
  <si>
    <t>SF4 at SF1</t>
  </si>
  <si>
    <t>SF3 at SF2</t>
  </si>
  <si>
    <t>F1 at F2</t>
  </si>
  <si>
    <t>F2 at F1</t>
  </si>
  <si>
    <t>Finals</t>
  </si>
  <si>
    <t>Playoff Rankings</t>
  </si>
  <si>
    <t>First to 2 wins, ignoring score</t>
  </si>
  <si>
    <t>Two-Game Aggregate</t>
  </si>
  <si>
    <t>Conf W</t>
  </si>
  <si>
    <t>Non-W</t>
  </si>
  <si>
    <t>RegSeas</t>
  </si>
  <si>
    <t>Champ</t>
  </si>
  <si>
    <t>Play-In</t>
  </si>
  <si>
    <t>QF</t>
  </si>
  <si>
    <t>F</t>
  </si>
  <si>
    <t>13 or 14</t>
  </si>
  <si>
    <t>15 or 16</t>
  </si>
  <si>
    <t>Conf L</t>
  </si>
  <si>
    <t>XXXXXXX</t>
  </si>
  <si>
    <t>14 or 15</t>
  </si>
  <si>
    <t>up to 18</t>
  </si>
  <si>
    <t>up to 19</t>
  </si>
  <si>
    <t>Outer Kanto</t>
  </si>
  <si>
    <t>Central Kanto</t>
  </si>
  <si>
    <t>East Johto</t>
  </si>
  <si>
    <t>West Johto</t>
  </si>
  <si>
    <t>Southwest</t>
  </si>
  <si>
    <t>Northwest</t>
  </si>
  <si>
    <t>Central</t>
  </si>
  <si>
    <t>East</t>
  </si>
  <si>
    <t>West</t>
  </si>
  <si>
    <t>Verity Pod</t>
  </si>
  <si>
    <t>Coronet Pod</t>
  </si>
  <si>
    <t>Marsh Pod</t>
  </si>
  <si>
    <t>Valour Pod</t>
  </si>
  <si>
    <t>Verity</t>
  </si>
  <si>
    <t>Coronet</t>
  </si>
  <si>
    <t>Marsh</t>
  </si>
  <si>
    <t>Valour</t>
  </si>
  <si>
    <t>Southeast</t>
  </si>
  <si>
    <t>Northeast</t>
  </si>
  <si>
    <t>North Cental</t>
  </si>
  <si>
    <t>South Central</t>
  </si>
  <si>
    <t>Poni</t>
  </si>
  <si>
    <t>Melemele</t>
  </si>
  <si>
    <t>Akala</t>
  </si>
  <si>
    <t>Ula'ula</t>
  </si>
  <si>
    <t>London</t>
  </si>
  <si>
    <t>North Wild</t>
  </si>
  <si>
    <t>South Wild</t>
  </si>
  <si>
    <t>at Higher</t>
  </si>
  <si>
    <t>at Lower</t>
  </si>
  <si>
    <t>x</t>
  </si>
  <si>
    <t>Across 1 (R)</t>
  </si>
  <si>
    <t>Diagonal 1 (L)</t>
  </si>
  <si>
    <t>Across 2 (L)</t>
  </si>
  <si>
    <t>Diagonal 2 (R)</t>
  </si>
  <si>
    <t>4 at 1, 3 at 2</t>
  </si>
  <si>
    <t>1 at 3, 2 at 4</t>
  </si>
  <si>
    <t>2 at 1, 4 at 3</t>
  </si>
  <si>
    <t>1 at 4, 2 at 3</t>
  </si>
  <si>
    <t>3 at 1, 4 at 2</t>
  </si>
  <si>
    <t>1 at 2, 3 at 4</t>
  </si>
  <si>
    <t>Eterna: 1pt @ 60:30</t>
  </si>
  <si>
    <t>Can order the pods to create rivalries on week 12, which would be permanent</t>
  </si>
  <si>
    <t>Rustboro: second consecutive loss, 25-4</t>
  </si>
  <si>
    <t>Cianwood: 3pt @ 63/Pewter: 1pt @ 62:20</t>
  </si>
  <si>
    <t>Overall Wins</t>
  </si>
  <si>
    <t>Conference Wins</t>
  </si>
  <si>
    <t>Points For</t>
  </si>
  <si>
    <t>Points Against</t>
  </si>
  <si>
    <t>Points/Goal</t>
  </si>
  <si>
    <t>Strength of Schedule</t>
  </si>
  <si>
    <t>Strength of Victory</t>
  </si>
  <si>
    <t>Point Differential</t>
  </si>
  <si>
    <t>After Week 1</t>
  </si>
  <si>
    <t>After Week 2</t>
  </si>
  <si>
    <t>After Week 3</t>
  </si>
  <si>
    <t>After Week 4</t>
  </si>
  <si>
    <t>After Week 5</t>
  </si>
  <si>
    <t>After Week 6</t>
  </si>
  <si>
    <t>After Week 7</t>
  </si>
  <si>
    <t>After Week 8</t>
  </si>
  <si>
    <t>After Week 9</t>
  </si>
  <si>
    <t>After Week 10</t>
  </si>
  <si>
    <t>After Week 11</t>
  </si>
  <si>
    <t>After Week 12</t>
  </si>
  <si>
    <t>Before Season</t>
  </si>
  <si>
    <t>New SOS/SOV formulae</t>
  </si>
  <si>
    <t>New column for Average</t>
  </si>
  <si>
    <t>New minimum divisor of 3</t>
  </si>
  <si>
    <t>Extra Point Schedule</t>
  </si>
  <si>
    <t>Slateport City (def. Lilycove W8)</t>
  </si>
  <si>
    <t>Solaceon: 1pt @ 55:80, clinches Pearl Division title</t>
  </si>
  <si>
    <t>Indigo Conference Championship</t>
  </si>
  <si>
    <t>Lanakila Conference Championship</t>
  </si>
  <si>
    <t>Ultra Megalopolis: 3pt @55:80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</si>
  <si>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- 14[9-5], Eterna: 3pt# @ 64:20 in OT</t>
    </r>
  </si>
  <si>
    <t>Seafolk: clinches Sun Division title</t>
  </si>
  <si>
    <t>(Castelia: clinches Dark Division title)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</si>
  <si>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- 17[11-8], Iki: 2pt @ 63:70 in OT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</si>
  <si>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- 13[10-7]</t>
    </r>
  </si>
  <si>
    <t>Viridian: clinches Kanto Division title</t>
  </si>
  <si>
    <t>Viridian City (def. Cinnabar W8)</t>
  </si>
  <si>
    <t>Rustboro: third consecutive loss, 25-5</t>
  </si>
  <si>
    <t>Rustboro City (def. Verdanturf W6)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</si>
  <si>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- 16[9-9], (Slateport: clinches Alpha Division title)</t>
    </r>
  </si>
  <si>
    <t>Goldenrod City (def. Cianwood W8)</t>
  </si>
  <si>
    <t>Goldenrod: clinches Johto Division title</t>
  </si>
  <si>
    <r>
      <rPr>
        <i/>
        <sz val="11"/>
        <color theme="1"/>
        <rFont val="Calibri"/>
        <family val="2"/>
        <scheme val="minor"/>
      </rPr>
      <t>de facto</t>
    </r>
    <r>
      <rPr>
        <sz val="11"/>
        <color theme="1"/>
        <rFont val="Calibri"/>
        <family val="2"/>
        <scheme val="minor"/>
      </rPr>
      <t xml:space="preserve"> Moon Division Championship</t>
    </r>
  </si>
  <si>
    <r>
      <rPr>
        <i/>
        <sz val="11"/>
        <color theme="1"/>
        <rFont val="Calibri"/>
        <family val="2"/>
        <scheme val="minor"/>
      </rPr>
      <t>de facto</t>
    </r>
    <r>
      <rPr>
        <sz val="11"/>
        <color theme="1"/>
        <rFont val="Calibri"/>
        <family val="2"/>
        <scheme val="minor"/>
      </rPr>
      <t xml:space="preserve"> Dark Division Championship</t>
    </r>
  </si>
  <si>
    <t>PtsF/G</t>
  </si>
  <si>
    <t>PtsA/G</t>
  </si>
  <si>
    <t>PtDf/G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</si>
  <si>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- 23[11-13], Vertress Championship, Castelia: 9pts in 50+, most regulation pts in a tied game</t>
    </r>
  </si>
  <si>
    <t>[14-14]</t>
  </si>
  <si>
    <t>Conference Champion</t>
  </si>
  <si>
    <t>Conference Runner-up</t>
  </si>
  <si>
    <t>Playoffs (new)</t>
  </si>
  <si>
    <t>Viridian City*</t>
  </si>
  <si>
    <t>Solaceon Town*</t>
  </si>
  <si>
    <t>Castelia City*</t>
  </si>
  <si>
    <t>Geosenge Town*</t>
  </si>
  <si>
    <t>Paniola Town*</t>
  </si>
  <si>
    <t>Given after the week is over</t>
  </si>
  <si>
    <t>#8 Virbank at #12 Viridian</t>
  </si>
  <si>
    <t>#7 Lumiose at #15 Paniola</t>
  </si>
  <si>
    <t>TBD at #1 Castelia</t>
  </si>
  <si>
    <t>TBD at #2 Geosenge</t>
  </si>
  <si>
    <t>#5 Oreburgh at #3 Rustboro</t>
  </si>
  <si>
    <t>#4 Santalune at #6 Solaceon</t>
  </si>
  <si>
    <t>#7/#10</t>
  </si>
  <si>
    <t>#8/#9</t>
  </si>
  <si>
    <t>#3/#6</t>
  </si>
  <si>
    <t>#4/#5</t>
  </si>
  <si>
    <t>Final 1</t>
  </si>
  <si>
    <t>Final 2</t>
  </si>
  <si>
    <t>SFA1</t>
  </si>
  <si>
    <t>SFA2</t>
  </si>
  <si>
    <t>SFB1</t>
  </si>
  <si>
    <t>SFB2</t>
  </si>
  <si>
    <t>in addition to</t>
  </si>
  <si>
    <t>Round One - Halve the low seed/double the high seed</t>
  </si>
  <si>
    <t>Quarterfinalist (add 5)</t>
  </si>
  <si>
    <t>Semifinalist (add 6)</t>
  </si>
  <si>
    <t>Finalist (add 7)</t>
  </si>
  <si>
    <t>7-seed Viridian wins 37-15 on aggregate</t>
  </si>
  <si>
    <t>8-seed Paniola wins 43-34 on aggregate</t>
  </si>
  <si>
    <t>(B) #7 Viridian at #2 Geosenge</t>
  </si>
  <si>
    <t>(A) #8 Paniola at #1 Castelia</t>
  </si>
  <si>
    <t>AFTER ROUND ONE</t>
  </si>
  <si>
    <t>Oreburgh City+</t>
  </si>
  <si>
    <t>Santalune City+</t>
  </si>
  <si>
    <t>*conference champion</t>
  </si>
  <si>
    <t>+wildcard quarterfinalist</t>
  </si>
  <si>
    <t>Play-in Round (and auto-QFs)</t>
  </si>
  <si>
    <t>(B) #6 Oreburgh at #3 Rustboro</t>
  </si>
  <si>
    <t>(A) #5 Santalune at #4 Solaceon</t>
  </si>
  <si>
    <t>Paniola/Castelia vs Santalune/Solaceon</t>
  </si>
  <si>
    <t>Viridian/Geosenge vs Oreburgh/Rustboro</t>
  </si>
  <si>
    <t>7-seed Viridian vs 10-seed Virbank</t>
  </si>
  <si>
    <t>8-seed Paniola vs 9-seed Lumiose</t>
  </si>
  <si>
    <t>1-seed Castelia vs 8-seed Paniola</t>
  </si>
  <si>
    <t>2-seed Geosenge vs 7-seed Viridian</t>
  </si>
  <si>
    <t>3-seed Rustboro vs 6-seed Oreburgh</t>
  </si>
  <si>
    <t>4-seed Solaceon vs 5-seed Santalune</t>
  </si>
  <si>
    <t>#1/#8</t>
  </si>
  <si>
    <t>#2/#7</t>
  </si>
  <si>
    <t>1-seed Castelia wins 41-29 on aggregate</t>
  </si>
  <si>
    <t>2-seed Geosenge wins 28-27 on aggregate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</si>
  <si>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- 30[18-18], 3-seed Rustboro wins 35-34[3-3] on aggregate</t>
    </r>
  </si>
  <si>
    <t>4-seed Solaceon wins 27-11 on aggregate</t>
  </si>
  <si>
    <t>AFTER QUARTERFINALS</t>
  </si>
  <si>
    <t>$semifinalist</t>
  </si>
  <si>
    <t>Castelia City$</t>
  </si>
  <si>
    <t>Geosenge Town$</t>
  </si>
  <si>
    <t>Solaceon Town$</t>
  </si>
  <si>
    <t>Rustboro City$</t>
  </si>
  <si>
    <t>1-seed Castelia vs 4-seed Solaceon</t>
  </si>
  <si>
    <t>2-seed Geosenge vs 3-seed Rustboro</t>
  </si>
  <si>
    <t>1-seed Castelia wins 29-25 on aggregate</t>
  </si>
  <si>
    <t>2-seed Geosenge wins 36-20 on aggregate</t>
  </si>
  <si>
    <t>AFTER SEMIFINALS</t>
  </si>
  <si>
    <t>Castelia City#</t>
  </si>
  <si>
    <t>Geosenge Town#</t>
  </si>
  <si>
    <t>#finalist</t>
  </si>
  <si>
    <t>QF - .4x the low seed/2.5x the high seed</t>
  </si>
  <si>
    <t>SF &amp; F - .33 the low seed/3x the high seed</t>
  </si>
  <si>
    <t>Champion (add 17)</t>
  </si>
  <si>
    <t>1-seed Castelia vs 2-seed Geosenge</t>
  </si>
  <si>
    <t>2-seed Geosenge wins, 2-0</t>
  </si>
  <si>
    <t>GEOSENGE: WORLD CHAMPIONS</t>
  </si>
  <si>
    <t>FINAL STANDINGS</t>
  </si>
  <si>
    <t>&amp;champion</t>
  </si>
  <si>
    <t>Geosenge Town&amp;</t>
  </si>
  <si>
    <t>Dominance Score</t>
  </si>
  <si>
    <t>Overtime as an underdog</t>
  </si>
  <si>
    <t>POSITIVES</t>
  </si>
  <si>
    <t>NEGATIVES</t>
  </si>
  <si>
    <t>Overtime as a Favorite</t>
  </si>
  <si>
    <t>Winning as an Underdog</t>
  </si>
  <si>
    <t>Covering as an Underdog</t>
  </si>
  <si>
    <t>Not covering as a Favorite</t>
  </si>
  <si>
    <t>Doubling the spread as a favorite</t>
  </si>
  <si>
    <t>MULTIPLIERS</t>
  </si>
  <si>
    <t>#s on kickoff</t>
  </si>
  <si>
    <t>$s on kickoff</t>
  </si>
  <si>
    <t>Winner</t>
  </si>
  <si>
    <t>Loser</t>
  </si>
  <si>
    <t>Lead at Halftime</t>
  </si>
  <si>
    <t>Losing as a Favorite</t>
  </si>
  <si>
    <t>Favorite</t>
  </si>
  <si>
    <t>Stoppage</t>
  </si>
  <si>
    <t>Difference</t>
  </si>
  <si>
    <t>Overtime?</t>
  </si>
  <si>
    <t>Multiplier</t>
  </si>
  <si>
    <t>ATS</t>
  </si>
  <si>
    <t>Tripling the spread as a favorite</t>
  </si>
  <si>
    <t>D-SCORE</t>
  </si>
  <si>
    <t>Losing</t>
  </si>
  <si>
    <t>Not Covering</t>
  </si>
  <si>
    <t>Covering</t>
  </si>
  <si>
    <t>Doubling</t>
  </si>
  <si>
    <t>Tripling</t>
  </si>
  <si>
    <t>Favorites on the spread</t>
  </si>
  <si>
    <t>!s to score anytime</t>
  </si>
  <si>
    <t>stoppage time goals</t>
  </si>
  <si>
    <t>times Winner over Loser</t>
  </si>
  <si>
    <t>divided by winner over loser</t>
  </si>
  <si>
    <t>D-Score</t>
  </si>
  <si>
    <t>D-Avg</t>
  </si>
  <si>
    <t>CW(.8)</t>
  </si>
  <si>
    <t>PF(.6)</t>
  </si>
  <si>
    <t>PA(.6)</t>
  </si>
  <si>
    <t>PDif(.5)</t>
  </si>
  <si>
    <t>DSCR(.5)</t>
  </si>
  <si>
    <t>Dynamax</t>
  </si>
  <si>
    <t xml:space="preserve">A - </t>
  </si>
  <si>
    <t xml:space="preserve">B - </t>
  </si>
  <si>
    <t xml:space="preserve">C - </t>
  </si>
  <si>
    <t xml:space="preserve">D - </t>
  </si>
  <si>
    <t>Wyndon North</t>
  </si>
  <si>
    <t>Wyndon South</t>
  </si>
  <si>
    <t>Win</t>
  </si>
  <si>
    <t>Loss</t>
  </si>
  <si>
    <t>PtsFr</t>
  </si>
  <si>
    <t>PtsAg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</si>
  <si>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- 10[7-6]</t>
    </r>
  </si>
  <si>
    <t>Circhester Bay</t>
  </si>
  <si>
    <t>Spikemouth</t>
  </si>
  <si>
    <t>Spread</t>
  </si>
  <si>
    <t>Goal Diff.</t>
  </si>
  <si>
    <t>{43.1-21.2}</t>
  </si>
  <si>
    <t>{63.3-3.6}</t>
  </si>
  <si>
    <t>{36.5-23.1}</t>
  </si>
  <si>
    <t>{18.5-15.2}</t>
  </si>
  <si>
    <t>{18.7-3.5}</t>
  </si>
  <si>
    <t>{10.4-8.9}</t>
  </si>
  <si>
    <t>{68.7-2.3}</t>
  </si>
  <si>
    <t>{140.8-0.8}</t>
  </si>
  <si>
    <t>Max D-Score, D-Score Record (140.771)</t>
  </si>
  <si>
    <t>Match Notes</t>
  </si>
  <si>
    <t>Zero D-Score</t>
  </si>
  <si>
    <t>{35.2-0}</t>
  </si>
  <si>
    <t>{47.7-7.3}</t>
  </si>
  <si>
    <t>{56.7-2.5}</t>
  </si>
  <si>
    <t>{55.8-0.7}</t>
  </si>
  <si>
    <t>{19.9-8.2}</t>
  </si>
  <si>
    <t>{38.6-14.0}</t>
  </si>
  <si>
    <t>{53.3-11.7}</t>
  </si>
  <si>
    <t>{9.3-24.7}</t>
  </si>
  <si>
    <t>{10.2-20.1}</t>
  </si>
  <si>
    <t>{66.2-10.8}</t>
  </si>
  <si>
    <t>{36.1-9.5}</t>
  </si>
  <si>
    <t>{66.2-1.4}</t>
  </si>
  <si>
    <t>{29.4-6.8}</t>
  </si>
  <si>
    <t>{41.8-12.6}</t>
  </si>
  <si>
    <t>{32.0-18.5}</t>
  </si>
  <si>
    <t>{36.7-4.6}</t>
  </si>
  <si>
    <t>W(1.3)</t>
  </si>
  <si>
    <t>SOS(.6)</t>
  </si>
  <si>
    <t>SOV(.6)</t>
  </si>
  <si>
    <t>Isle of Armor</t>
  </si>
  <si>
    <t>Crown Tundra</t>
  </si>
  <si>
    <t>South Lakes</t>
  </si>
  <si>
    <t>{54.8-2.8}</t>
  </si>
  <si>
    <t>Axewell/Miloch, to determine rename</t>
  </si>
  <si>
    <t>Inverted D-Score</t>
  </si>
  <si>
    <t>1L</t>
  </si>
  <si>
    <t>1R</t>
  </si>
  <si>
    <t>2L</t>
  </si>
  <si>
    <t>2R</t>
  </si>
  <si>
    <t>3L</t>
  </si>
  <si>
    <t>3R</t>
  </si>
  <si>
    <t>4L</t>
  </si>
  <si>
    <t>4R</t>
  </si>
  <si>
    <t>5L</t>
  </si>
  <si>
    <t>5R</t>
  </si>
  <si>
    <t>6L</t>
  </si>
  <si>
    <t>6R</t>
  </si>
  <si>
    <t>7L</t>
  </si>
  <si>
    <t>7R</t>
  </si>
  <si>
    <t>P For</t>
  </si>
  <si>
    <t>P Agt</t>
  </si>
  <si>
    <t>Gav (.5)</t>
  </si>
  <si>
    <t>DSc(.5)</t>
  </si>
  <si>
    <t>Islands</t>
  </si>
  <si>
    <t>Islands Pod</t>
  </si>
  <si>
    <t>North Central</t>
  </si>
  <si>
    <t>Seaside</t>
  </si>
  <si>
    <t>Seaside Pod</t>
  </si>
  <si>
    <t>Ranked (LW)</t>
  </si>
  <si>
    <t>Rk</t>
  </si>
  <si>
    <t>Indigo Left</t>
  </si>
  <si>
    <t>Delta Left</t>
  </si>
  <si>
    <t>Lily Valley Left</t>
  </si>
  <si>
    <t>Vertress Left</t>
  </si>
  <si>
    <t>Kalosite Left</t>
  </si>
  <si>
    <t>Lanakila Left</t>
  </si>
  <si>
    <t>Dynamax Left</t>
  </si>
  <si>
    <t>Kalosite Right</t>
  </si>
  <si>
    <t>Vertress Right</t>
  </si>
  <si>
    <t>Lily Valley Right</t>
  </si>
  <si>
    <t>Dynamax Right</t>
  </si>
  <si>
    <t>Delta Right</t>
  </si>
  <si>
    <t>Indigo Right</t>
  </si>
  <si>
    <t>Lanakila Right</t>
  </si>
  <si>
    <t>Left</t>
  </si>
  <si>
    <t>Right</t>
  </si>
  <si>
    <t>Week 3 - at Higher</t>
  </si>
  <si>
    <t>Week 6 - at Lower</t>
  </si>
  <si>
    <t>Week 10 - at Higher</t>
  </si>
  <si>
    <t>Wk</t>
  </si>
  <si>
    <t>P</t>
  </si>
  <si>
    <t>Playoffs - First Round</t>
  </si>
  <si>
    <t>Playoffs - Quarterfinals</t>
  </si>
  <si>
    <t>Preseason</t>
  </si>
  <si>
    <t>at L</t>
  </si>
  <si>
    <t>at R</t>
  </si>
  <si>
    <t>Season Start - 5/8/2020</t>
  </si>
  <si>
    <t>Intrapod 1</t>
  </si>
  <si>
    <t>Intrapod 3</t>
  </si>
  <si>
    <t>Intrapod 2</t>
  </si>
  <si>
    <t>{13.2-9.2}</t>
  </si>
  <si>
    <t>{18.3-12.8}</t>
  </si>
  <si>
    <t>If unclear</t>
  </si>
  <si>
    <t>If clear, compare head to head record</t>
  </si>
  <si>
    <t>Goal Avg.</t>
  </si>
  <si>
    <t>{37.4-7.7}</t>
  </si>
  <si>
    <t>{18.7-17.4}</t>
  </si>
  <si>
    <t>{23.8-11.2}</t>
  </si>
  <si>
    <t>{22.5-19.5}</t>
  </si>
  <si>
    <t>{41.9-14.2}</t>
  </si>
  <si>
    <t>{26.7-3.3}</t>
  </si>
  <si>
    <t>{29.9-25.5}</t>
  </si>
  <si>
    <t>Dynamax Conference debut</t>
  </si>
  <si>
    <t>{39.5-4.6}</t>
  </si>
  <si>
    <t>{12.9-12.2}</t>
  </si>
  <si>
    <t>Ambrette: 3pt# @ 60:20</t>
  </si>
  <si>
    <t>{51.3-1.6}</t>
  </si>
  <si>
    <t>Resort: 22(20) pts In 1st</t>
  </si>
  <si>
    <t>{80.3-4.9}</t>
  </si>
  <si>
    <t>{15.5-12.7}</t>
  </si>
  <si>
    <t>{41.8-17.0}</t>
  </si>
  <si>
    <t>{52.9-15.7}</t>
  </si>
  <si>
    <t>{38.1-3.1}</t>
  </si>
  <si>
    <t>{36.0-17.1}</t>
  </si>
  <si>
    <t>Tapu: 4pt @ 59:30</t>
  </si>
  <si>
    <t>{43.3-9.9}</t>
  </si>
  <si>
    <t>{79.3-3.7}</t>
  </si>
  <si>
    <t>{13.8-24.7}</t>
  </si>
  <si>
    <t>{43.4-7.6}</t>
  </si>
  <si>
    <t>[11-0]</t>
  </si>
  <si>
    <t>{26.2-15.8}</t>
  </si>
  <si>
    <t>{565.499-0}</t>
  </si>
  <si>
    <t>{62.3-8.9}</t>
  </si>
  <si>
    <t>{24.0-11.5}</t>
  </si>
  <si>
    <t>{31.9-4.9}</t>
  </si>
  <si>
    <t>{29.7-27.0}</t>
  </si>
  <si>
    <t>{71.4-1.6}</t>
  </si>
  <si>
    <t>{32.2-21.3}</t>
  </si>
  <si>
    <t>{55.6-1.7}</t>
  </si>
  <si>
    <t>{101.3-4.7}</t>
  </si>
  <si>
    <t>{63.2-4.1}</t>
  </si>
  <si>
    <t>{82.3-2.5}</t>
  </si>
  <si>
    <t>{17.6-12.7}</t>
  </si>
  <si>
    <t>{34.1-3.0}</t>
  </si>
  <si>
    <t>{17.2-14.0}</t>
  </si>
  <si>
    <t>{108.5-0}</t>
  </si>
  <si>
    <t>{20.8-44.7}</t>
  </si>
  <si>
    <t>{116.1-4.8}</t>
  </si>
  <si>
    <t>{57.2-5.0}</t>
  </si>
  <si>
    <t>Wyndon North: 4pt at 55:40</t>
  </si>
  <si>
    <t>{28.7-13.8}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</si>
  <si>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- 14[9-6], 18[12-8]</t>
    </r>
  </si>
  <si>
    <t>[16-8]</t>
  </si>
  <si>
    <t>{63.5-0}</t>
  </si>
  <si>
    <t>{102.1-5.3}</t>
  </si>
  <si>
    <t>{46.3-2.6}</t>
  </si>
  <si>
    <t>{69.0-9.7}</t>
  </si>
  <si>
    <t>{186.9-1.5}</t>
  </si>
  <si>
    <t>{49.3-10.9}</t>
  </si>
  <si>
    <t>{16.5-16.7}</t>
  </si>
  <si>
    <t>{73.6-2.4}</t>
  </si>
  <si>
    <t>{49.8-5.4}</t>
  </si>
  <si>
    <t>{144.2-2.9}</t>
  </si>
  <si>
    <t>{155.1-0.6}</t>
  </si>
  <si>
    <t>{71.6-3.3}</t>
  </si>
  <si>
    <t>{16.0-17.7}</t>
  </si>
  <si>
    <t>{26.6-20.2}</t>
  </si>
  <si>
    <t>D-Sqrt</t>
  </si>
  <si>
    <t>0-100 = 100%</t>
  </si>
  <si>
    <t>100-200 = 50%</t>
  </si>
  <si>
    <t>200-300 = 66.6%</t>
  </si>
  <si>
    <t>300-400 = 75%</t>
  </si>
  <si>
    <t>400-500 = 80%</t>
  </si>
  <si>
    <t>500-600 = 83.3%</t>
  </si>
  <si>
    <t>600-700 = 85.7%</t>
  </si>
  <si>
    <t>700-800 = 87.5%</t>
  </si>
  <si>
    <t>800-900 = 88.8%</t>
  </si>
  <si>
    <t>900-1000 = 90%</t>
  </si>
  <si>
    <t>Max D-Score Reductions</t>
  </si>
  <si>
    <t>at U</t>
  </si>
  <si>
    <t>at D</t>
  </si>
  <si>
    <t>Same Side 1 (U)</t>
  </si>
  <si>
    <t>Same Side 2 (D)</t>
  </si>
  <si>
    <t>{28.9-8.8}</t>
  </si>
  <si>
    <t>{34.7-14.4}</t>
  </si>
  <si>
    <t>{83.9-8.4}</t>
  </si>
  <si>
    <t>{55.7-14.0}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</si>
  <si>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- 13[9-6]</t>
    </r>
  </si>
  <si>
    <t>{37.8-0.1}</t>
  </si>
  <si>
    <t>{57.7-3.1}</t>
  </si>
  <si>
    <t>[4-7]</t>
  </si>
  <si>
    <t>{11.1-20.8}</t>
  </si>
  <si>
    <t>{126.8-5.5}</t>
  </si>
  <si>
    <t>[17-8]</t>
  </si>
  <si>
    <t>{59.7-22.7}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</si>
  <si>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- 15[12-6], 19[15-7], Littleroot: most goals scored (17) (tied)</t>
    </r>
  </si>
  <si>
    <t>{67.2-0.6}</t>
  </si>
  <si>
    <t>{3.1-30.7}</t>
  </si>
  <si>
    <t>{54.6-6.3}</t>
  </si>
  <si>
    <t>Fortree: overcame 12-0 deficit</t>
  </si>
  <si>
    <t>{45.9-11.9}</t>
  </si>
  <si>
    <t>{11.6-27.8}</t>
  </si>
  <si>
    <t>{36.5-4.6}</t>
  </si>
  <si>
    <t>{68.3-0}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</si>
  <si>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- 12[8-5]</t>
    </r>
  </si>
  <si>
    <t>{14.9-19.3}</t>
  </si>
  <si>
    <t>{56.5-12.2}</t>
  </si>
  <si>
    <t>W2 - Crown Tundra</t>
  </si>
  <si>
    <t>{24.2-18.1}</t>
  </si>
  <si>
    <t>{39.2-8.4}</t>
  </si>
  <si>
    <t>{8.0-12.0}</t>
  </si>
  <si>
    <t>{49.7-13.6}</t>
  </si>
  <si>
    <t>{44.7-22.0}</t>
  </si>
  <si>
    <t>Santalune: led 18-8 at half</t>
  </si>
  <si>
    <t>{57.3-6.1}</t>
  </si>
  <si>
    <t>{52.4-12.3}</t>
  </si>
  <si>
    <t>[14-10]</t>
  </si>
  <si>
    <t>{77.7-23.0}</t>
  </si>
  <si>
    <t>Cinnabar: second-most points scored (33)</t>
  </si>
  <si>
    <t>{58.5-17.8}</t>
  </si>
  <si>
    <t>Kiloude: 2pt @ 53:20</t>
  </si>
  <si>
    <t>{55.1-1.8}</t>
  </si>
  <si>
    <t>{88.6-2.7}</t>
  </si>
  <si>
    <t>{35.5-22.0}</t>
  </si>
  <si>
    <t>{16.2-20.4}</t>
  </si>
  <si>
    <t>D10 5/20</t>
  </si>
  <si>
    <t>{44.5-5.8}</t>
  </si>
  <si>
    <t>[17-6]</t>
  </si>
  <si>
    <t>{134.8-4.0}</t>
  </si>
  <si>
    <t>{31.9-32.6}</t>
  </si>
  <si>
    <t>{30.4-8.0}</t>
  </si>
  <si>
    <t>{91.3-4.5}</t>
  </si>
  <si>
    <t>Goldenrod: 2pt @ 56:00</t>
  </si>
  <si>
    <t>{33.4-15.5}</t>
  </si>
  <si>
    <t>D11 5/21</t>
  </si>
  <si>
    <t>{46.6-3.3}</t>
  </si>
  <si>
    <t>{28.2-15.7}</t>
  </si>
  <si>
    <t>{110.3-4.4}</t>
  </si>
  <si>
    <t>{81.8-7.1}</t>
  </si>
  <si>
    <t>{17.4-11.5}</t>
  </si>
  <si>
    <t>{28.8-17.6}</t>
  </si>
  <si>
    <t>{70.0-7.4}</t>
  </si>
  <si>
    <t>{19.4-30.4}</t>
  </si>
  <si>
    <t>{45.4-7.6}</t>
  </si>
  <si>
    <t>1v2, 3v4</t>
  </si>
  <si>
    <t>Same</t>
  </si>
  <si>
    <t>Opposite</t>
  </si>
  <si>
    <t>1v2, 3v4 (2v1, 4v3)</t>
  </si>
  <si>
    <t>1v3, 2v4 (3v1, 4v2)</t>
  </si>
  <si>
    <t>{252.7-1.2}</t>
  </si>
  <si>
    <t>{46.9-7.3}</t>
  </si>
  <si>
    <t>{37.1-25.3}</t>
  </si>
  <si>
    <t>{60.5-1.7}</t>
  </si>
  <si>
    <t>{31.1-9.2}</t>
  </si>
  <si>
    <t>{80.3-16.6}</t>
  </si>
  <si>
    <t>D12 5/22</t>
  </si>
  <si>
    <t>{60.6-10.3}</t>
  </si>
  <si>
    <t>{74.8-8.5}</t>
  </si>
  <si>
    <t>[12-1]</t>
  </si>
  <si>
    <t>{358.6-0.4}</t>
  </si>
  <si>
    <t>{47.5-9.6}</t>
  </si>
  <si>
    <t>▲11</t>
  </si>
  <si>
    <t>Viridian def. Goldenrod</t>
  </si>
  <si>
    <t>Rustboro def. Slateport</t>
  </si>
  <si>
    <t>Solaceon def. Oreburgh</t>
  </si>
  <si>
    <t>Castelia def. Virbank</t>
  </si>
  <si>
    <t>Geosenge def. Santalune</t>
  </si>
  <si>
    <t>Paniola def. Seafolk</t>
  </si>
  <si>
    <t>% of favorite</t>
  </si>
  <si>
    <t>Favorite, win no cover</t>
  </si>
  <si>
    <t>3*% of INV difference</t>
  </si>
  <si>
    <t>Underdog, lose no cover</t>
  </si>
  <si>
    <t>Favorite, win and cover</t>
  </si>
  <si>
    <t>1+(Diff/Spread)</t>
  </si>
  <si>
    <t>Underdog wins</t>
  </si>
  <si>
    <t>Favorite Loses</t>
  </si>
  <si>
    <t>neg spread + 1/2 (difference-spread)</t>
  </si>
  <si>
    <t>neg spread - 1/2 (difference-spread)</t>
  </si>
  <si>
    <t>Underdog, lose within cover</t>
  </si>
  <si>
    <t>neg Diff/Spread</t>
  </si>
  <si>
    <t>{17.9-11.9}</t>
  </si>
  <si>
    <t>{19.7-13.0}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</si>
  <si>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- 13[8-7], Hearthome: 3pt @ 60:20 in reg</t>
    </r>
  </si>
  <si>
    <t>{25.2-1.4}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</si>
  <si>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- 18[8-10], Stow: 2pt/59:20 reg, Moss: 4/64:40 OT</t>
    </r>
  </si>
  <si>
    <t>{46.7-11.2}</t>
  </si>
  <si>
    <t>{46.8-12.3}</t>
  </si>
  <si>
    <t>{146.0-0.4}</t>
  </si>
  <si>
    <t>{62.3-10.8}</t>
  </si>
  <si>
    <t>{33.8-9.1}</t>
  </si>
  <si>
    <t>{281.7-0}</t>
  </si>
  <si>
    <t>{57.4-8.4}</t>
  </si>
  <si>
    <t>D13</t>
  </si>
  <si>
    <t>D14 6/2</t>
  </si>
  <si>
    <t>{20.5-30.5}</t>
  </si>
  <si>
    <t>{41.7-5.2}</t>
  </si>
  <si>
    <t>D15 6/3</t>
  </si>
  <si>
    <t>{17.4-17.4}</t>
  </si>
  <si>
    <t>17.415-17.353 - 0.062 difference</t>
  </si>
  <si>
    <t>{26.2-34.3}</t>
  </si>
  <si>
    <t>{58.0-7.8}</t>
  </si>
  <si>
    <t>{81.4-2.1}</t>
  </si>
  <si>
    <t>Cinnabar/Saffron</t>
  </si>
  <si>
    <t>Rustboro</t>
  </si>
  <si>
    <t>Oreburgh/Celestic</t>
  </si>
  <si>
    <t>Castelia/Mistralton</t>
  </si>
  <si>
    <t>Geosenge</t>
  </si>
  <si>
    <t>Wyndon N/S</t>
  </si>
  <si>
    <t>{44.3-13.7}</t>
  </si>
  <si>
    <t>Saffron: 1pt @ 59:20</t>
  </si>
  <si>
    <t>{29.8-9.4}</t>
  </si>
  <si>
    <t>{52.9-5.8}</t>
  </si>
  <si>
    <t>{106.0-0}</t>
  </si>
  <si>
    <t>{49.7-2.5}</t>
  </si>
  <si>
    <t>Aspertia: 24pts in 1st, scoring record (34, tie), combined pts (55, tie)</t>
  </si>
  <si>
    <t>{86.8-14.7}</t>
  </si>
  <si>
    <t>{81.9-0}</t>
  </si>
  <si>
    <t>{92.7-1.6}</t>
  </si>
  <si>
    <t>{21.7-19.7}</t>
  </si>
  <si>
    <t>{58.5-4.8}</t>
  </si>
  <si>
    <t>{79.4-1.0}</t>
  </si>
  <si>
    <t>{34.6-1.9}</t>
  </si>
  <si>
    <t>{30.8-15.8}</t>
  </si>
  <si>
    <t>{147.5-3.5}</t>
  </si>
  <si>
    <t>D16 6/4</t>
  </si>
  <si>
    <t>{26.0-10.3}</t>
  </si>
  <si>
    <t>{58.6-21.3}</t>
  </si>
  <si>
    <t>{52.8-20.0}</t>
  </si>
  <si>
    <t>{23.2-11.2}</t>
  </si>
  <si>
    <t>{88.8-10.3}</t>
  </si>
  <si>
    <t>{91.2-1.9}</t>
  </si>
  <si>
    <t>{21.4-11.2}</t>
  </si>
  <si>
    <t>{31.1-26.5}</t>
  </si>
  <si>
    <t>{82.8-0}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</si>
  <si>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- 12[10-5], Turffield: 2pt @ 68:60 in OT</t>
    </r>
  </si>
  <si>
    <t>{41.9-18.6}</t>
  </si>
  <si>
    <t>D17 6/5</t>
  </si>
  <si>
    <t>{76.7-2.4}</t>
  </si>
  <si>
    <t>{49.2-3.2}</t>
  </si>
  <si>
    <t>{19.7-14.4}</t>
  </si>
  <si>
    <t>{83.2-0}</t>
  </si>
  <si>
    <t>{60.3-10.2}</t>
  </si>
  <si>
    <t>{48.5-0}</t>
  </si>
  <si>
    <t>{107.7-3.1}</t>
  </si>
  <si>
    <t>{98.3-0.4}</t>
  </si>
  <si>
    <t>{38.5-8.9}</t>
  </si>
  <si>
    <t>{96.8-8.2}</t>
  </si>
  <si>
    <t>{126.8-0}</t>
  </si>
  <si>
    <t>{58.8-4.4}</t>
  </si>
  <si>
    <t>{76.3-1.3}</t>
  </si>
  <si>
    <t>{116.6-1.7}</t>
  </si>
  <si>
    <t>{39.7-6.7}</t>
  </si>
  <si>
    <t>{127.9-0}</t>
  </si>
  <si>
    <t>Debut Season</t>
  </si>
  <si>
    <t>Opposite Pod</t>
  </si>
  <si>
    <t>Same Pod</t>
  </si>
  <si>
    <t>{75.1-4.2}</t>
  </si>
  <si>
    <t>{73.1-0}</t>
  </si>
  <si>
    <t>Resort: 25(15) pts in 1st (assisted record)</t>
  </si>
  <si>
    <t>{51.0-8.5}</t>
  </si>
  <si>
    <t>{28.4-18.2}</t>
  </si>
  <si>
    <t>D18 6/25</t>
  </si>
  <si>
    <t>D19 6/26</t>
  </si>
  <si>
    <t>D20 7/1</t>
  </si>
  <si>
    <t>{36.5-10.5}</t>
  </si>
  <si>
    <t>{25.9-11.1}</t>
  </si>
  <si>
    <t>{47.4-8.7}</t>
  </si>
  <si>
    <t>D21 7/2</t>
  </si>
  <si>
    <t>Hau'oli: 3pt# at 62:70</t>
  </si>
  <si>
    <t>{42.2-4.8)</t>
  </si>
  <si>
    <t>{123.7-2.2}</t>
  </si>
  <si>
    <t>{77.7-2.2}</t>
  </si>
  <si>
    <t>{19.8-48.6}</t>
  </si>
  <si>
    <t>{51.0-3.4}</t>
  </si>
  <si>
    <t>D22 7/4</t>
  </si>
  <si>
    <t>{22.4-15.1}</t>
  </si>
  <si>
    <t>{71.9-2.1}</t>
  </si>
  <si>
    <t>{53.1-4.6}</t>
  </si>
  <si>
    <t>{31.6-19.1}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</si>
  <si>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- 14[6-9]</t>
    </r>
  </si>
  <si>
    <t>{71.2-5.7}</t>
  </si>
  <si>
    <t>{24.5-34.7}</t>
  </si>
  <si>
    <t>First Round</t>
  </si>
  <si>
    <t>Second Round</t>
  </si>
  <si>
    <t>Third Round</t>
  </si>
  <si>
    <t>Fourth Round</t>
  </si>
  <si>
    <t>Fifth Round</t>
  </si>
  <si>
    <t>Games</t>
  </si>
  <si>
    <t>Sixth Round</t>
  </si>
  <si>
    <t>After 4</t>
  </si>
  <si>
    <t>Single game</t>
  </si>
  <si>
    <t>Quarterfinal</t>
  </si>
  <si>
    <t>After 5</t>
  </si>
  <si>
    <t>Semifinal</t>
  </si>
  <si>
    <t>After 6/7</t>
  </si>
  <si>
    <t>Third</t>
  </si>
  <si>
    <t>Two-legged tie</t>
  </si>
  <si>
    <t>Final</t>
  </si>
  <si>
    <t>After 8/9</t>
  </si>
  <si>
    <t>Fourth</t>
  </si>
  <si>
    <t>After 10</t>
  </si>
  <si>
    <t>Fifth</t>
  </si>
  <si>
    <t>After 11</t>
  </si>
  <si>
    <t>Sixth</t>
  </si>
  <si>
    <t>After 12</t>
  </si>
  <si>
    <t>Quarter</t>
  </si>
  <si>
    <t>After CC</t>
  </si>
  <si>
    <t>Semi</t>
  </si>
  <si>
    <t>Quarters</t>
  </si>
  <si>
    <t>R16</t>
  </si>
  <si>
    <t>R32</t>
  </si>
  <si>
    <t>R1Ls</t>
  </si>
  <si>
    <t>R2Ls</t>
  </si>
  <si>
    <t>R3Ls</t>
  </si>
  <si>
    <t>R4Ls</t>
  </si>
  <si>
    <t>WCS Ranking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</si>
  <si>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- 16[7-8]</t>
    </r>
  </si>
  <si>
    <t>D23 7/5</t>
  </si>
  <si>
    <t>{35.8-8.4}</t>
  </si>
  <si>
    <t>{55.6-20.1}</t>
  </si>
  <si>
    <t>{28.1-30.7}</t>
  </si>
  <si>
    <t>{77.4-2.3}</t>
  </si>
  <si>
    <t>{131.4-0}</t>
  </si>
  <si>
    <t>{65.3-2.3}</t>
  </si>
  <si>
    <t>R1</t>
  </si>
  <si>
    <t>R2</t>
  </si>
  <si>
    <t>R3</t>
  </si>
  <si>
    <t>R4</t>
  </si>
  <si>
    <t>R5</t>
  </si>
  <si>
    <t>{41.5-8.1}</t>
  </si>
  <si>
    <t>{41.2-16.2}</t>
  </si>
  <si>
    <t>{42.7-18.3}</t>
  </si>
  <si>
    <t>{70.3-0.1}</t>
  </si>
  <si>
    <t>{35.9-3.1}</t>
  </si>
  <si>
    <t>{30.9-9.0}</t>
  </si>
  <si>
    <t>{42.6-16.7}</t>
  </si>
  <si>
    <t>{41.0-3.2}</t>
  </si>
  <si>
    <t>{30.0-19.0}</t>
  </si>
  <si>
    <t>{177.9-0.4}</t>
  </si>
  <si>
    <t>{40.4-7.0}</t>
  </si>
  <si>
    <t>{52.2-3.8}</t>
  </si>
  <si>
    <t>{20.4-21.5}</t>
  </si>
  <si>
    <t>{146.6-0}</t>
  </si>
  <si>
    <t>{51.4-9.0}</t>
  </si>
  <si>
    <t>{108.8-5.0}</t>
  </si>
  <si>
    <t>{52.7-3.9}</t>
  </si>
  <si>
    <t>{33.9-14.8}</t>
  </si>
  <si>
    <t>{144.9-3.2}</t>
  </si>
  <si>
    <t>{50.3-12.5}</t>
  </si>
  <si>
    <t>{83.9-0}</t>
  </si>
  <si>
    <t>{39.6-14.0}</t>
  </si>
  <si>
    <t>[14-12]</t>
  </si>
  <si>
    <t>{89.8-20.8}</t>
  </si>
  <si>
    <t>{71.2-3.3}</t>
  </si>
  <si>
    <t>{45.9-8.5}</t>
  </si>
  <si>
    <t>{42.1-24.5}</t>
  </si>
  <si>
    <t>{123.7-0}</t>
  </si>
  <si>
    <t>D24 7/6</t>
  </si>
  <si>
    <t>[4-5]</t>
  </si>
  <si>
    <t>{29.5-7.3}</t>
  </si>
  <si>
    <t>{112.7-5.8}</t>
  </si>
  <si>
    <t>{106.9-0}</t>
  </si>
  <si>
    <t>{166.0-0}</t>
  </si>
  <si>
    <t>{76.0-0}</t>
  </si>
  <si>
    <t>WCS</t>
  </si>
  <si>
    <t>WCS First Round</t>
  </si>
  <si>
    <t>Playoffs</t>
  </si>
  <si>
    <t>#5 at #12</t>
  </si>
  <si>
    <t>#12 at #5</t>
  </si>
  <si>
    <t>R6</t>
  </si>
  <si>
    <t>Gav</t>
  </si>
  <si>
    <t>CCC</t>
  </si>
  <si>
    <t>IntW</t>
  </si>
  <si>
    <t>EX L</t>
  </si>
  <si>
    <t>DoW</t>
  </si>
  <si>
    <t>Cf W</t>
  </si>
  <si>
    <t>Cf L</t>
  </si>
  <si>
    <t>Se W</t>
  </si>
  <si>
    <t>Se L</t>
  </si>
  <si>
    <t>Cups</t>
  </si>
  <si>
    <t>After Wk</t>
  </si>
  <si>
    <t>Season</t>
  </si>
  <si>
    <t>Conf. Titl</t>
  </si>
  <si>
    <t>SF/Final</t>
  </si>
  <si>
    <t>S</t>
  </si>
  <si>
    <t>Rnd 2 L</t>
  </si>
  <si>
    <t>Rnd 1 L</t>
  </si>
  <si>
    <t>Round 1 losers go from 14 to 7</t>
  </si>
  <si>
    <t>Interconf.</t>
  </si>
  <si>
    <t>Season 2 Conference Championships</t>
  </si>
  <si>
    <t>Reg. Season</t>
  </si>
  <si>
    <t>D1 5/8</t>
  </si>
  <si>
    <t>D2 5/9</t>
  </si>
  <si>
    <t>D3 5/10</t>
  </si>
  <si>
    <t>D4 5/11</t>
  </si>
  <si>
    <t>D5 5/12</t>
  </si>
  <si>
    <t>D6 5/13</t>
  </si>
  <si>
    <t>D7 5/18</t>
  </si>
  <si>
    <t>D8 5/19</t>
  </si>
  <si>
    <t>WCS Second Round</t>
  </si>
  <si>
    <t>SF/F</t>
  </si>
  <si>
    <t>Higher D-Score</t>
  </si>
  <si>
    <t>dnp</t>
  </si>
  <si>
    <t>Most evenly-matched spread on record</t>
  </si>
  <si>
    <t>Most lopsided spread on record</t>
  </si>
  <si>
    <t>XXX</t>
  </si>
  <si>
    <t>After W1</t>
  </si>
  <si>
    <t>After W2</t>
  </si>
  <si>
    <t>After W3</t>
  </si>
  <si>
    <t>After W4</t>
  </si>
  <si>
    <t>DScore</t>
  </si>
  <si>
    <t>Heat</t>
  </si>
  <si>
    <t>Wind</t>
  </si>
  <si>
    <t>Elevation</t>
  </si>
  <si>
    <t>Severity</t>
  </si>
  <si>
    <t>Freezing</t>
  </si>
  <si>
    <t>Warmer</t>
  </si>
  <si>
    <t>Cooler</t>
  </si>
  <si>
    <t>Average</t>
  </si>
  <si>
    <t>Calm</t>
  </si>
  <si>
    <t>Breezy</t>
  </si>
  <si>
    <t>Gale</t>
  </si>
  <si>
    <t>Strong</t>
  </si>
  <si>
    <t>Sea Level</t>
  </si>
  <si>
    <t>High Elev</t>
  </si>
  <si>
    <t>Highland</t>
  </si>
  <si>
    <t>Lowland</t>
  </si>
  <si>
    <t>Normal Conditions</t>
  </si>
  <si>
    <t>Heavier Conditions</t>
  </si>
  <si>
    <t>Lighter Conditions</t>
  </si>
  <si>
    <t>Average Weather</t>
  </si>
  <si>
    <t>Abnormally Heavy</t>
  </si>
  <si>
    <t>Abnormally Light</t>
  </si>
  <si>
    <t>Precip Chance</t>
  </si>
  <si>
    <t>Seldom</t>
  </si>
  <si>
    <t>Unlikely</t>
  </si>
  <si>
    <t>Possible</t>
  </si>
  <si>
    <t>Probably</t>
  </si>
  <si>
    <t>Definite</t>
  </si>
  <si>
    <t>Southern</t>
  </si>
  <si>
    <t>Northern</t>
  </si>
  <si>
    <t>Snowing</t>
  </si>
  <si>
    <t>Tropical</t>
  </si>
  <si>
    <t>HE/Highland</t>
  </si>
  <si>
    <t>Middle</t>
  </si>
  <si>
    <t>Alola</t>
  </si>
  <si>
    <t>Galar</t>
  </si>
  <si>
    <t>Most of Galar</t>
  </si>
  <si>
    <t>Most of Alola</t>
  </si>
  <si>
    <t>Some of Alola</t>
  </si>
  <si>
    <t>Southern Galar</t>
  </si>
  <si>
    <t>Snow Cities</t>
  </si>
  <si>
    <t>Special*</t>
  </si>
  <si>
    <t>Leeward</t>
  </si>
  <si>
    <t>Windward</t>
  </si>
  <si>
    <t>Opelucid City</t>
  </si>
  <si>
    <t>Lacunosa Town</t>
  </si>
  <si>
    <t>Coumarine City</t>
  </si>
  <si>
    <t>Kanto and Johto</t>
  </si>
  <si>
    <t>Hoenn</t>
  </si>
  <si>
    <t>Sinnoh</t>
  </si>
  <si>
    <t>Unova</t>
  </si>
  <si>
    <t>Kalos</t>
  </si>
  <si>
    <t>7+4+5</t>
  </si>
  <si>
    <t>10+2+4</t>
  </si>
  <si>
    <t>8+2+6</t>
  </si>
  <si>
    <t>Kan/Joh</t>
  </si>
  <si>
    <t>Southern Japan, warmer</t>
  </si>
  <si>
    <t>England - cold, rainy but indoors</t>
  </si>
  <si>
    <t>New York - colder, rainy</t>
  </si>
  <si>
    <t>Central Honshu - Vulnerable to tropical storms</t>
  </si>
  <si>
    <t>Hokkaido - Snowy, mountainous</t>
  </si>
  <si>
    <t>France - Mild temperatures, mountains</t>
  </si>
  <si>
    <t>Hawaii - Tropical paradise</t>
  </si>
  <si>
    <t>7+1+8</t>
  </si>
  <si>
    <t>1+((OppFatigue - MyFatigue)*.05)</t>
  </si>
  <si>
    <t>If I'm less fatingued, I gain advantage</t>
  </si>
  <si>
    <t>If I'm more fatigued, I lose advantage</t>
  </si>
  <si>
    <t>Randomly draw weather</t>
  </si>
  <si>
    <t>3 rand()s</t>
  </si>
  <si>
    <t>Abnormal Conditions</t>
  </si>
  <si>
    <t>Outliers</t>
  </si>
  <si>
    <t>Severe Conditions</t>
  </si>
  <si>
    <t>0.90-2.10</t>
  </si>
  <si>
    <t>1.10-1.90</t>
  </si>
  <si>
    <t>My climate deficit - my opponent's climate deficit = my gain/loss</t>
  </si>
  <si>
    <t>Perfect</t>
  </si>
  <si>
    <t>Severe</t>
  </si>
  <si>
    <t>Stormy</t>
  </si>
  <si>
    <t>Subpar</t>
  </si>
  <si>
    <t>Good</t>
  </si>
  <si>
    <t>Beautiful</t>
  </si>
  <si>
    <t>.25*L1*+/-ABS(B-TT-B)</t>
  </si>
  <si>
    <t>0.125 times Conditions times ABS(DIF) plus 0.5</t>
  </si>
  <si>
    <t>REGION-BY-REGION GAME CONDITIONS</t>
  </si>
  <si>
    <t>Eye Test</t>
  </si>
  <si>
    <t>Climate</t>
  </si>
  <si>
    <t>Fatigue</t>
  </si>
  <si>
    <t>Home Adv</t>
  </si>
  <si>
    <t>Final*</t>
  </si>
  <si>
    <t>CCC Finalists playing in WCS Fifth Round will play CCC Final after W11</t>
  </si>
  <si>
    <t>Rnd of 12</t>
  </si>
  <si>
    <t>Total Games in Season</t>
  </si>
  <si>
    <t>D25 7/8</t>
  </si>
  <si>
    <t>{37.067-9.861}</t>
  </si>
  <si>
    <t>Win\Loss</t>
  </si>
  <si>
    <t>{39.596-4.592}</t>
  </si>
  <si>
    <t>{37.062-17.634}</t>
  </si>
  <si>
    <t>{19.55-30.502}</t>
  </si>
  <si>
    <t>{84.866-0}</t>
  </si>
  <si>
    <t>{332.31-0.158}</t>
  </si>
  <si>
    <t>{40.866-12.586}</t>
  </si>
  <si>
    <t>{274.526-0}</t>
  </si>
  <si>
    <t>{55.743-3.726}</t>
  </si>
  <si>
    <t>D26 7/9</t>
  </si>
  <si>
    <t>{69.825-0}</t>
  </si>
  <si>
    <t>{38.15-8.819}</t>
  </si>
  <si>
    <t>{35.586-12.897}</t>
  </si>
  <si>
    <t>{175.478-0}</t>
  </si>
  <si>
    <t>{67.483-0}</t>
  </si>
  <si>
    <t>{85.144-13.711}</t>
  </si>
  <si>
    <t>{101.643-0}</t>
  </si>
  <si>
    <t>{35.12-13.762}</t>
  </si>
  <si>
    <t>{29.588-21.969}</t>
  </si>
  <si>
    <t>{52.264-1.331}</t>
  </si>
  <si>
    <t>{53.869-7.916}</t>
  </si>
  <si>
    <t>{80.039-2.437}</t>
  </si>
  <si>
    <t>{26.784-10.573}</t>
  </si>
  <si>
    <t>{125.842-2.771}</t>
  </si>
  <si>
    <t>{52.95-5.37}</t>
  </si>
  <si>
    <t>{33.196-19.929}</t>
  </si>
  <si>
    <t>{70.5-2.692}</t>
  </si>
  <si>
    <t>{82.285-3.222}</t>
  </si>
  <si>
    <t>{147.838-0}</t>
  </si>
  <si>
    <t>D27 7/10</t>
  </si>
  <si>
    <t>{65.747-7.533}</t>
  </si>
  <si>
    <t>{33.152-10.366}</t>
  </si>
  <si>
    <t>{54.209-16.098}</t>
  </si>
  <si>
    <t>{102.4-1.724}</t>
  </si>
  <si>
    <t>{44.043-10.668}</t>
  </si>
  <si>
    <t>{77.082-2.682}</t>
  </si>
  <si>
    <t>{34.918-18.221}</t>
  </si>
  <si>
    <t>Opelucid: GW 3pt @ 59:80</t>
  </si>
  <si>
    <t>{42.369-6.091}</t>
  </si>
  <si>
    <t>{16.929-10.558}</t>
  </si>
  <si>
    <t>{40.741-4.542}</t>
  </si>
  <si>
    <t>{24.222-12.332}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</si>
  <si>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- 9[5-7]</t>
    </r>
  </si>
  <si>
    <t>{30.463-13.635}</t>
  </si>
  <si>
    <t>D28 7/11</t>
  </si>
  <si>
    <t>{69.767-6.709}</t>
  </si>
  <si>
    <t>{107.993-4.356}</t>
  </si>
  <si>
    <t>{57.174-7.138}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</si>
  <si>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- 16[10-6], Vast Poni: GW 2pt @ 69'</t>
    </r>
  </si>
  <si>
    <t>{35.752-8.937}</t>
  </si>
  <si>
    <t>{92.574-16.718}</t>
  </si>
  <si>
    <t>{54.352-3.369}</t>
  </si>
  <si>
    <t>{35.713-9.562}</t>
  </si>
  <si>
    <t>{225.416-0}</t>
  </si>
  <si>
    <t>Matchday One</t>
  </si>
  <si>
    <t>Matchday Two</t>
  </si>
  <si>
    <t>Matchday Three</t>
  </si>
  <si>
    <t>Matchday Four</t>
  </si>
  <si>
    <t>Matchday Five</t>
  </si>
  <si>
    <t>Name of Event</t>
  </si>
  <si>
    <t>Conference</t>
  </si>
  <si>
    <t>Underground Derby</t>
  </si>
  <si>
    <t>Team B</t>
  </si>
  <si>
    <t>Team A</t>
  </si>
  <si>
    <t>Reasoning</t>
  </si>
  <si>
    <t>Roark and Byron are father and son.  Name from Rock (Coal) and Steel</t>
  </si>
  <si>
    <t>Wyndon Derby</t>
  </si>
  <si>
    <t>Same city</t>
  </si>
  <si>
    <t>Islands separate the two</t>
  </si>
  <si>
    <t>Fucshia City</t>
  </si>
  <si>
    <t>Schedule</t>
  </si>
  <si>
    <t>Matchday Twelve</t>
  </si>
  <si>
    <t>Seafoam Derby</t>
  </si>
  <si>
    <t>Whirl Derby</t>
  </si>
  <si>
    <t>Same Side 2v4</t>
  </si>
  <si>
    <t>Magnet Derby</t>
  </si>
  <si>
    <t>Magnet Train connects the two</t>
  </si>
  <si>
    <t>Diagonal 3v4</t>
  </si>
  <si>
    <t>Port cities of Kanto and Johto</t>
  </si>
  <si>
    <t>Diagonal 2v2</t>
  </si>
  <si>
    <t>Rusturf Derby</t>
  </si>
  <si>
    <t>Connected by tunnel</t>
  </si>
  <si>
    <t>Port cities of Hoenn</t>
  </si>
  <si>
    <t>NE Sinnoh Areas</t>
  </si>
  <si>
    <t>Basic Derby</t>
  </si>
  <si>
    <t>Both award Basic Badge</t>
  </si>
  <si>
    <t>Marine Derby</t>
  </si>
  <si>
    <t>Connected by Marine Tube</t>
  </si>
  <si>
    <t>Across 1v3</t>
  </si>
  <si>
    <t>Diagonal 4v4</t>
  </si>
  <si>
    <t>Snow Derby</t>
  </si>
  <si>
    <t>Matchday Seven</t>
  </si>
  <si>
    <t>Cou Derby</t>
  </si>
  <si>
    <t>Cou</t>
  </si>
  <si>
    <t>Snow</t>
  </si>
  <si>
    <t>Diagonal 1v3</t>
  </si>
  <si>
    <t>TMV Derby</t>
  </si>
  <si>
    <t>Across 1v2</t>
  </si>
  <si>
    <t>TMV Pass required to travel to Kiloude</t>
  </si>
  <si>
    <t>Gear Station Derby</t>
  </si>
  <si>
    <t>Special pass required to travel to Anville</t>
  </si>
  <si>
    <t>Join Avenue Derby</t>
  </si>
  <si>
    <t>Two largest cities in Unova, connected by Join Avenue</t>
  </si>
  <si>
    <t>Floccesy Town</t>
  </si>
  <si>
    <t>In sight of one another</t>
  </si>
  <si>
    <t>Same Side 3v4</t>
  </si>
  <si>
    <t>Expansion Derby</t>
  </si>
  <si>
    <t>Expansion areas</t>
  </si>
  <si>
    <t>Prism Tower Derby</t>
  </si>
  <si>
    <t>AZ Derby</t>
  </si>
  <si>
    <t>Interconference</t>
  </si>
  <si>
    <t>Battle Zone Derby</t>
  </si>
  <si>
    <t>Frontier Derby</t>
  </si>
  <si>
    <t>S.S. Tidal Derby</t>
  </si>
  <si>
    <t>S.S. Spiral Derby</t>
  </si>
  <si>
    <t>S.S. Aqua Derby</t>
  </si>
  <si>
    <t>2-0</t>
  </si>
  <si>
    <t>IF((F2+L2)=0, -(MAX($X$2:$X$113)+ABS(MIN($X$2:$X$113))), (((-(ABS(MIN($X$2:$X$113))+X2))*((0.1*(G2+N2))+1))/(F2+L2+M2)))</t>
  </si>
  <si>
    <t>Old SoV Formula</t>
  </si>
  <si>
    <t>Rank M</t>
  </si>
  <si>
    <t>{89.716-0.51}</t>
  </si>
  <si>
    <t>2nd SoV Formula that only lasted a day</t>
  </si>
  <si>
    <t>IFERROR((((-(X2-10-MAX(X:X)))/((F2+L2+M2)+(0.1*(G2+N2))))*AK2*(AC2/10)), 0)</t>
  </si>
  <si>
    <t>{48.809-2.469}</t>
  </si>
  <si>
    <t>{104.14-2.915}</t>
  </si>
  <si>
    <t>{22.325-17.387}</t>
  </si>
  <si>
    <t>{44.657-9.89}</t>
  </si>
  <si>
    <t>W5 - Circhester Bay</t>
  </si>
  <si>
    <t>Circhester Bay: GW 4pt @ 52:60 (22:80-long rally)</t>
  </si>
  <si>
    <t>{35.997-3.167}</t>
  </si>
  <si>
    <t>{61.837-3.6}</t>
  </si>
  <si>
    <t>{77.903-7.389}</t>
  </si>
  <si>
    <t>Higher SoS+SoV</t>
  </si>
  <si>
    <t>Top 12 go to 35 after Round 4</t>
  </si>
  <si>
    <t>D29 7/12</t>
  </si>
  <si>
    <t>D30 7/13</t>
  </si>
  <si>
    <t>Santalune</t>
  </si>
  <si>
    <t>Lumiose</t>
  </si>
  <si>
    <t>Vaniville</t>
  </si>
  <si>
    <t>Castelia</t>
  </si>
  <si>
    <t>Virbank</t>
  </si>
  <si>
    <t>Undella</t>
  </si>
  <si>
    <t>Nimbasa</t>
  </si>
  <si>
    <t>Solaceon</t>
  </si>
  <si>
    <t>Oreburgh</t>
  </si>
  <si>
    <t>Sandgem</t>
  </si>
  <si>
    <t>Verdanturf</t>
  </si>
  <si>
    <t>Slateport</t>
  </si>
  <si>
    <t>Viridian</t>
  </si>
  <si>
    <t>Cinnabar</t>
  </si>
  <si>
    <t>G</t>
  </si>
  <si>
    <t>Goldenrod</t>
  </si>
  <si>
    <t>Paniola</t>
  </si>
  <si>
    <t>Seafolk</t>
  </si>
  <si>
    <t>Kala'e</t>
  </si>
  <si>
    <t>Anistar</t>
  </si>
  <si>
    <t>Anistar*</t>
  </si>
  <si>
    <t>Humilau*</t>
  </si>
  <si>
    <t>Twinleaf*</t>
  </si>
  <si>
    <t>Lilycove*</t>
  </si>
  <si>
    <t>Cianwood*</t>
  </si>
  <si>
    <t>Kala'e*</t>
  </si>
  <si>
    <t>Pot 1</t>
  </si>
  <si>
    <t>Pot 2</t>
  </si>
  <si>
    <t>Pot 3</t>
  </si>
  <si>
    <t>Pot 4</t>
  </si>
  <si>
    <t>7 Conference Champions</t>
  </si>
  <si>
    <t>Humilau</t>
  </si>
  <si>
    <t>Twinleaf</t>
  </si>
  <si>
    <t>Lilycove</t>
  </si>
  <si>
    <t>Cianwood</t>
  </si>
  <si>
    <t>E</t>
  </si>
  <si>
    <t>Agg. Matches</t>
  </si>
  <si>
    <t>ACEG</t>
  </si>
  <si>
    <t>However, CCC Finalists playing in CL Round of 16 will play after W10 regardless</t>
  </si>
  <si>
    <t>Group A</t>
  </si>
  <si>
    <t>A#</t>
  </si>
  <si>
    <t>R1a</t>
  </si>
  <si>
    <t>R1b</t>
  </si>
  <si>
    <t>R2a</t>
  </si>
  <si>
    <t>R2b</t>
  </si>
  <si>
    <t>PD</t>
  </si>
  <si>
    <t>Group B</t>
  </si>
  <si>
    <t>Group C</t>
  </si>
  <si>
    <t>Group E</t>
  </si>
  <si>
    <t>Group G</t>
  </si>
  <si>
    <t>Group F</t>
  </si>
  <si>
    <t>Group D</t>
  </si>
  <si>
    <t>Group A Winner</t>
  </si>
  <si>
    <t>Group C Winner</t>
  </si>
  <si>
    <t>Group E Winner</t>
  </si>
  <si>
    <t>Group G Winner</t>
  </si>
  <si>
    <t>Group C Second</t>
  </si>
  <si>
    <t>Group E Second</t>
  </si>
  <si>
    <t>Group G Second</t>
  </si>
  <si>
    <t>Group D Second/Wildcard</t>
  </si>
  <si>
    <t>ROUND OF 16</t>
  </si>
  <si>
    <t>SEMIFINAL - FINAL</t>
  </si>
  <si>
    <t>QUARTERFINAL</t>
  </si>
  <si>
    <t>Third Place</t>
  </si>
  <si>
    <t>Conference Challenge Cup</t>
  </si>
  <si>
    <t>World Coronation Series</t>
  </si>
  <si>
    <t>Masters</t>
  </si>
  <si>
    <t>Master League Draw</t>
  </si>
  <si>
    <t>Master League</t>
  </si>
  <si>
    <t>Round of 16</t>
  </si>
  <si>
    <t>Quarterfinalist</t>
  </si>
  <si>
    <t>Semifinalist</t>
  </si>
  <si>
    <t>Champion</t>
  </si>
  <si>
    <t>MRL</t>
  </si>
  <si>
    <t>TW</t>
  </si>
  <si>
    <t>LW</t>
  </si>
  <si>
    <t>Round of 16/Round of 12</t>
  </si>
  <si>
    <t>{35.12-13.485}</t>
  </si>
  <si>
    <t>{67.26-4.788}</t>
  </si>
  <si>
    <t>{127.081-0}</t>
  </si>
  <si>
    <t>{47.219-0}</t>
  </si>
  <si>
    <t>{64.696-7.374}</t>
  </si>
  <si>
    <t>Rustboro - three game losing streak snapped</t>
  </si>
  <si>
    <t>{57.033-2.676}</t>
  </si>
  <si>
    <t>{63.57-3.77}</t>
  </si>
  <si>
    <t>{40.614-12.236}</t>
  </si>
  <si>
    <t>{40.962-1.206}</t>
  </si>
  <si>
    <t>D31 7/14</t>
  </si>
  <si>
    <t>{125.011-1.107}</t>
  </si>
  <si>
    <t>{28.129-20.602}</t>
  </si>
  <si>
    <t>{84.404-7.657}</t>
  </si>
  <si>
    <t>{30.216-6.79}</t>
  </si>
  <si>
    <t>{96.197-2.088}</t>
  </si>
  <si>
    <t>{30.514-8.471}</t>
  </si>
  <si>
    <t>{40.805-16.523}</t>
  </si>
  <si>
    <t>{92.452-0.083}</t>
  </si>
  <si>
    <t>{72.552-6.004}</t>
  </si>
  <si>
    <t>{28.92-27.336}</t>
  </si>
  <si>
    <t>{23.613-16.725}</t>
  </si>
  <si>
    <t>{71.096-2.846}</t>
  </si>
  <si>
    <t>[16-4]</t>
  </si>
  <si>
    <t>{259.438-0}</t>
  </si>
  <si>
    <t>{36.855-14.879}</t>
  </si>
  <si>
    <t>{61.654-0}</t>
  </si>
  <si>
    <t>{83.77-0}</t>
  </si>
  <si>
    <t>{113.658-0}</t>
  </si>
  <si>
    <t>{75.528-2.846}</t>
  </si>
  <si>
    <t>D32 7/15</t>
  </si>
  <si>
    <t>{49.753-7.253}</t>
  </si>
  <si>
    <t>{54.384-1.819}</t>
  </si>
  <si>
    <t>{61.466-11.697}</t>
  </si>
  <si>
    <t>{72.164-0}</t>
  </si>
  <si>
    <t>{25.907-16.974}</t>
  </si>
  <si>
    <t>{28.931-21.608}</t>
  </si>
  <si>
    <t>First game played with a virtual deck of cards</t>
  </si>
  <si>
    <t>{53.665-6.801}</t>
  </si>
  <si>
    <t>{19.813-19.947}</t>
  </si>
  <si>
    <t>{102.745-5.893}</t>
  </si>
  <si>
    <t>{32.914-52.452}</t>
  </si>
  <si>
    <t>{58.023-11.699}</t>
  </si>
  <si>
    <t>{19.331-9.726}</t>
  </si>
  <si>
    <t>{93.926-21.074}</t>
  </si>
  <si>
    <t>{83.986-1.044}</t>
  </si>
  <si>
    <t>{36.171-6.406}</t>
  </si>
  <si>
    <t>[10-14]</t>
  </si>
  <si>
    <t>{54.488-16.199}</t>
  </si>
  <si>
    <t>{81.69-6.825}</t>
  </si>
  <si>
    <t>{34.405-6.358}</t>
  </si>
  <si>
    <t>{42.712-21.315}</t>
  </si>
  <si>
    <t>{53.41-6.827}</t>
  </si>
  <si>
    <t>{77.85-0}</t>
  </si>
  <si>
    <t>G-Div</t>
  </si>
  <si>
    <t>B vs E</t>
  </si>
  <si>
    <t>A vs C</t>
  </si>
  <si>
    <t>A vs B</t>
  </si>
  <si>
    <t>C vs D</t>
  </si>
  <si>
    <t>E vs F</t>
  </si>
  <si>
    <t>D vs F</t>
  </si>
  <si>
    <t>D vs G</t>
  </si>
  <si>
    <t>F-Div</t>
  </si>
  <si>
    <t>A vs D</t>
  </si>
  <si>
    <t>B vs F</t>
  </si>
  <si>
    <t>C vs G</t>
  </si>
  <si>
    <t>E-Div</t>
  </si>
  <si>
    <t>A vs E</t>
  </si>
  <si>
    <t>D-Div</t>
  </si>
  <si>
    <t>ABC-Div</t>
  </si>
  <si>
    <t>E vs G</t>
  </si>
  <si>
    <t>B vs G</t>
  </si>
  <si>
    <t>C vs F</t>
  </si>
  <si>
    <t>1v1</t>
  </si>
  <si>
    <t>Interconference 4</t>
  </si>
  <si>
    <t>Interconference 5</t>
  </si>
  <si>
    <t>FG</t>
  </si>
  <si>
    <t>EG</t>
  </si>
  <si>
    <t>ABC</t>
  </si>
  <si>
    <t>B Left</t>
  </si>
  <si>
    <t>D Right</t>
  </si>
  <si>
    <t>D Left</t>
  </si>
  <si>
    <t>B Right</t>
  </si>
  <si>
    <t>E Right</t>
  </si>
  <si>
    <t>E Left</t>
  </si>
  <si>
    <t>Playoffs - Semifinals/Final</t>
  </si>
  <si>
    <t>Intrapod</t>
  </si>
  <si>
    <t>Across</t>
  </si>
  <si>
    <t>Diagonal</t>
  </si>
  <si>
    <t>SameSide</t>
  </si>
  <si>
    <t>F and G Intrapod 2</t>
  </si>
  <si>
    <t>at Up</t>
  </si>
  <si>
    <t>same as intrapod</t>
  </si>
  <si>
    <t>R3b</t>
  </si>
  <si>
    <t>R3a</t>
  </si>
  <si>
    <t>Rnd of 16</t>
  </si>
  <si>
    <t>Week 1a - 1v4, 2v3</t>
  </si>
  <si>
    <t>Week 1b - 1v4, 2v3</t>
  </si>
  <si>
    <t>Week 2a - 1v3, 2v4</t>
  </si>
  <si>
    <t>Week 2b - 1v3, 2v4</t>
  </si>
  <si>
    <t>Week 3a - 1v2, 3v4</t>
  </si>
  <si>
    <t>Week 3b - 1v2, 3v4</t>
  </si>
  <si>
    <t>Except, CCC Finalists playing a decisive R3 match in MRL will play in the week opposite</t>
  </si>
  <si>
    <t>After W5</t>
  </si>
  <si>
    <t>0 Group Wins</t>
  </si>
  <si>
    <t>1 Group Win</t>
  </si>
  <si>
    <t>2 Group Wins, Elim</t>
  </si>
  <si>
    <t>Finished</t>
  </si>
  <si>
    <t>Total</t>
  </si>
  <si>
    <t>Split Week 1</t>
  </si>
  <si>
    <t>Split Week 2</t>
  </si>
  <si>
    <t>Split Week 3</t>
  </si>
  <si>
    <t>Split Week 4</t>
  </si>
  <si>
    <t>Split Week 5</t>
  </si>
  <si>
    <t>{25.792-27.696}</t>
  </si>
  <si>
    <t>[16-9]</t>
  </si>
  <si>
    <t>{86.148-4.338}</t>
  </si>
  <si>
    <t>{35.032-3.919}</t>
  </si>
  <si>
    <t>{21.659-9.597}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</si>
  <si>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- 16[6-10]</t>
    </r>
  </si>
  <si>
    <t>{109.716-0}</t>
  </si>
  <si>
    <t>{124.428-2.163}</t>
  </si>
  <si>
    <t>{50.41-2.333}</t>
  </si>
  <si>
    <t>{41.137-4.007}</t>
  </si>
  <si>
    <t>Defending MRL Champion</t>
  </si>
  <si>
    <t>Defending World Champion</t>
  </si>
  <si>
    <t>BDF</t>
  </si>
  <si>
    <t>7 groups of 4</t>
  </si>
  <si>
    <t>Defending WCS Champion</t>
  </si>
  <si>
    <t>Next highest from top 5 conferences</t>
  </si>
  <si>
    <t>Next highest from top 2 conferences</t>
  </si>
  <si>
    <t>For the purpose of group ranking, games will be counted individually (6 total)</t>
  </si>
  <si>
    <t>However, for overall rankings, games will be counted as aggregate (as normal)</t>
  </si>
  <si>
    <t>Top 2 in each group and best 2 third-place teams</t>
  </si>
  <si>
    <t>D33 7/16</t>
  </si>
  <si>
    <t>Matchday Six</t>
  </si>
  <si>
    <t>{29.562-16.467}</t>
  </si>
  <si>
    <t>{71.591-9.508}</t>
  </si>
  <si>
    <t>{66.06-4.774}</t>
  </si>
  <si>
    <t>{30.54-14.115}</t>
  </si>
  <si>
    <t>{28.283-11.72}</t>
  </si>
  <si>
    <t>{96.267-0}</t>
  </si>
  <si>
    <t>D34 7/17</t>
  </si>
  <si>
    <t>{51.338-5.915}</t>
  </si>
  <si>
    <t>{126.626-1.349}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</si>
  <si>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- 14[6-8]</t>
    </r>
  </si>
  <si>
    <t>{31.302-12.793}</t>
  </si>
  <si>
    <t>{59.336-2.174}</t>
  </si>
  <si>
    <t>{61.835-1.606}</t>
  </si>
  <si>
    <t>{103.964-0}</t>
  </si>
  <si>
    <t>{31.013-13.485}</t>
  </si>
  <si>
    <t>{35.066-9.838}</t>
  </si>
  <si>
    <t>{153.324-1.896}</t>
  </si>
  <si>
    <t>D35 7/20</t>
  </si>
  <si>
    <t>{29.206-8.322}</t>
  </si>
  <si>
    <t>D36 7/21</t>
  </si>
  <si>
    <t>{90.76-0.667}</t>
  </si>
  <si>
    <t>{23.301-12.001}</t>
  </si>
  <si>
    <t>{164.96-1.43}</t>
  </si>
  <si>
    <t>{59.592-0}</t>
  </si>
  <si>
    <t>{41.359-11.464}</t>
  </si>
  <si>
    <t>{108.397-2.128}</t>
  </si>
  <si>
    <t>{33.831-3.771}</t>
  </si>
  <si>
    <t>{113.974-2.653}</t>
  </si>
  <si>
    <t>7 CCC Champions</t>
  </si>
  <si>
    <t>If Double - Conference Runner-up</t>
  </si>
  <si>
    <t>Next highest from all conferences</t>
  </si>
  <si>
    <t>Saffron def. Mahogany</t>
  </si>
  <si>
    <t>Rustboro def. Petalburg</t>
  </si>
  <si>
    <t>Celestic def. Sandgem</t>
  </si>
  <si>
    <t>Castelia def. Mistralton</t>
  </si>
  <si>
    <t>Vaniville def. Cyllage</t>
  </si>
  <si>
    <t>{190.349-0}</t>
  </si>
  <si>
    <t>{188.75-0}</t>
  </si>
  <si>
    <t>{46.22-8.737}</t>
  </si>
  <si>
    <t>{44.184-11.638}</t>
  </si>
  <si>
    <t>{48.047-17.098}</t>
  </si>
  <si>
    <t>{32.837-23.846}</t>
  </si>
  <si>
    <t>{94.827-5.369}</t>
  </si>
  <si>
    <t>{18.906-6.592}</t>
  </si>
  <si>
    <t>{73.016-6.107}</t>
  </si>
  <si>
    <t>{30.37-21.504}</t>
  </si>
  <si>
    <t>{49.483-5.394}</t>
  </si>
  <si>
    <t>{60.27-0}</t>
  </si>
  <si>
    <t>{57.21-12.041}</t>
  </si>
  <si>
    <t>{99.303-0.796}</t>
  </si>
  <si>
    <t>{22.981-8.962}</t>
  </si>
  <si>
    <t>{94.833-4.748}</t>
  </si>
  <si>
    <t>{113.681-0.163}</t>
  </si>
  <si>
    <t>{95.91-0}</t>
  </si>
  <si>
    <t>{69.829-1.918}</t>
  </si>
  <si>
    <t>{63.69-5.539}</t>
  </si>
  <si>
    <t>Group D Winner</t>
  </si>
  <si>
    <t>Group A Second/Wildcard</t>
  </si>
  <si>
    <t>Group F Second</t>
  </si>
  <si>
    <t>Group B Second</t>
  </si>
  <si>
    <t>Group B Winner</t>
  </si>
  <si>
    <t>Group F Winner</t>
  </si>
  <si>
    <t>{40.75-10.363}</t>
  </si>
  <si>
    <t>{15.794-21.524}</t>
  </si>
  <si>
    <t>{71.01-3.441}</t>
  </si>
  <si>
    <t>{29.336-6.961}</t>
  </si>
  <si>
    <t>Rnd 16</t>
  </si>
  <si>
    <t>4 wins</t>
  </si>
  <si>
    <t>3 wins</t>
  </si>
  <si>
    <t>2 wins</t>
  </si>
  <si>
    <t>1 win</t>
  </si>
  <si>
    <t>0 wins</t>
  </si>
  <si>
    <t>Next 3 places from all confs.</t>
  </si>
  <si>
    <t>Top 3 from rankings not selected</t>
  </si>
  <si>
    <t>No conference may have more than 8</t>
  </si>
  <si>
    <t>between MRL/UTL</t>
  </si>
  <si>
    <t>Cyllage</t>
  </si>
  <si>
    <t>Laverre</t>
  </si>
  <si>
    <t>Aquacorde</t>
  </si>
  <si>
    <t>Striaton</t>
  </si>
  <si>
    <t>Nacrene</t>
  </si>
  <si>
    <t>Anville</t>
  </si>
  <si>
    <t>Veilstone</t>
  </si>
  <si>
    <t>Celestic</t>
  </si>
  <si>
    <t>Floaroma</t>
  </si>
  <si>
    <t>Fortree</t>
  </si>
  <si>
    <t>Dewford</t>
  </si>
  <si>
    <t>Fallarbor</t>
  </si>
  <si>
    <t>Mahogany</t>
  </si>
  <si>
    <t>Olivine</t>
  </si>
  <si>
    <t>Saffron</t>
  </si>
  <si>
    <t>Hokulani</t>
  </si>
  <si>
    <t>Hau'oli</t>
  </si>
  <si>
    <t>Oldale</t>
  </si>
  <si>
    <t>Resort</t>
  </si>
  <si>
    <t>Resort*</t>
  </si>
  <si>
    <t>Oldale*</t>
  </si>
  <si>
    <t>Hulbury*</t>
  </si>
  <si>
    <t>MRL Third Place #4</t>
  </si>
  <si>
    <t>Second Place</t>
  </si>
  <si>
    <t>Second Place #2 (not B)</t>
  </si>
  <si>
    <t>vs</t>
  </si>
  <si>
    <t>UTL</t>
  </si>
  <si>
    <t>Second Round/0-6</t>
  </si>
  <si>
    <t>Third Round/1-5</t>
  </si>
  <si>
    <t>Fourth Round/2-4</t>
  </si>
  <si>
    <t>Fifth Round/3-3 out/Round of 16</t>
  </si>
  <si>
    <t>UTL Round of 20</t>
  </si>
  <si>
    <t>M/U</t>
  </si>
  <si>
    <t>Rnd of 20</t>
  </si>
  <si>
    <t>Rd 20/16</t>
  </si>
  <si>
    <t>Conference Challenge Cups</t>
  </si>
  <si>
    <t>World Coronation Series Cup</t>
  </si>
  <si>
    <t>Regular Season</t>
  </si>
  <si>
    <t>Ultra League</t>
  </si>
  <si>
    <t>Reg Seas</t>
  </si>
  <si>
    <t>Cups Tot</t>
  </si>
  <si>
    <t>After WK</t>
  </si>
  <si>
    <t>OFF</t>
  </si>
  <si>
    <t>R20</t>
  </si>
  <si>
    <t>WCS Third Round - 1st Leg</t>
  </si>
  <si>
    <t>WCS Third Round - 2nd Leg</t>
  </si>
  <si>
    <t>MRL Group A - Match 1 - 1st Leg</t>
  </si>
  <si>
    <t>MRL Group B - Match 1 - 1st Leg</t>
  </si>
  <si>
    <t>MRL Group C - Match 1 - 1st Leg</t>
  </si>
  <si>
    <t>MRL Group D - Match 1 - 1st Leg</t>
  </si>
  <si>
    <t>MRL Group E - Match 1 - 1st Leg</t>
  </si>
  <si>
    <t>MRL Group F - Match 1 - 1st Leg</t>
  </si>
  <si>
    <t>MRL Group G - Match 1 - 1st Leg</t>
  </si>
  <si>
    <t>MRL Group A - Match 1 - 2nd Leg</t>
  </si>
  <si>
    <t>MRL Group B - Match 1 - 2nd Leg</t>
  </si>
  <si>
    <t>MRL Group C - Match 1 - 2nd Leg</t>
  </si>
  <si>
    <t>MRL Group D - Match 1 - 2nd Leg</t>
  </si>
  <si>
    <t>MRL Group E - Match 1 - 2nd Leg</t>
  </si>
  <si>
    <t>MRL Group F - Match 1 - 2nd Leg</t>
  </si>
  <si>
    <t>MRL Group G - Match 1 - 2nd Leg</t>
  </si>
  <si>
    <t>UTL Group A - Match 1 - 1st Leg</t>
  </si>
  <si>
    <t>UTL Group C - Match 1 - 1st Leg</t>
  </si>
  <si>
    <t>UTL Group E - Match 1 - 1st Leg</t>
  </si>
  <si>
    <t>UTL Group A - Match 1 - 2nd Leg</t>
  </si>
  <si>
    <t>UTL Group C - Match 1 - 2nd Leg</t>
  </si>
  <si>
    <t>UTL Group E - Match 1 - 2nd Leg</t>
  </si>
  <si>
    <t>UTL Group B - Match 1 - 1st Leg</t>
  </si>
  <si>
    <t>UTL Group D - Match 1 - 1st Leg</t>
  </si>
  <si>
    <t>UTL Group F - Match 1 - 1st Leg</t>
  </si>
  <si>
    <t>UTL Group B - Match 1 - 2nd Leg</t>
  </si>
  <si>
    <t>UTL Group D - Match 1 - 2nd Leg</t>
  </si>
  <si>
    <t>UTL Group F - Match 1 - 2nd Leg</t>
  </si>
  <si>
    <t>Rnd 20/4 wins</t>
  </si>
  <si>
    <t>Defending UTL Champion</t>
  </si>
  <si>
    <t>MRL Pot 1</t>
  </si>
  <si>
    <t>MRL Pot 2</t>
  </si>
  <si>
    <t>MRL Pots 3 and 4</t>
  </si>
  <si>
    <t>UTL Pots</t>
  </si>
  <si>
    <t>Three next highest from all conferences</t>
  </si>
  <si>
    <t>MRL+UTL Maximum per conference: 8</t>
  </si>
  <si>
    <t>MRL/UTL Maximum per conference: 5</t>
  </si>
  <si>
    <t>MRL Conference Limit Overflow, if any</t>
  </si>
  <si>
    <t>Top overall ranked teams not in MRL/UTL</t>
  </si>
  <si>
    <t>Placed into pots in conference ranking order</t>
  </si>
  <si>
    <t>Pots 1-4</t>
  </si>
  <si>
    <t>Play-in Winner (not B or SP2)</t>
  </si>
  <si>
    <t>Conf. Champion (5/6/7) or Next Highest-Ranked Team 5</t>
  </si>
  <si>
    <t>Celadon: GW 3pt! @ 61:70</t>
  </si>
  <si>
    <t>{35.322-6.318}</t>
  </si>
  <si>
    <t>{36.644-18.886}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</si>
  <si>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- 16[9-8]</t>
    </r>
  </si>
  <si>
    <t>{45.69-10.669}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</si>
  <si>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- 15[10-6]</t>
    </r>
  </si>
  <si>
    <t>{45.954-10.163}</t>
  </si>
  <si>
    <t>D37 7/23</t>
  </si>
  <si>
    <t>{79.547-1.994}</t>
  </si>
  <si>
    <t>{23.116-10.886}</t>
  </si>
  <si>
    <t>{4.75-33.533}</t>
  </si>
  <si>
    <t>{68.817-0.053}</t>
  </si>
  <si>
    <t>Shalour: 4pt @ 51:70, GW 2pt @ 54:60</t>
  </si>
  <si>
    <t>{25.608-11.121}</t>
  </si>
  <si>
    <t>{51.311-7.352}</t>
  </si>
  <si>
    <t>{71.621-2.698}</t>
  </si>
  <si>
    <t>{61.226-11.548}</t>
  </si>
  <si>
    <t>{23.016-10.137}</t>
  </si>
  <si>
    <t>D38 7/24</t>
  </si>
  <si>
    <t>{60.862-20.111}</t>
  </si>
  <si>
    <t>{46.503-4.723}</t>
  </si>
  <si>
    <t>{74.6-5.255}</t>
  </si>
  <si>
    <t>{79.049-0}</t>
  </si>
  <si>
    <t>{62.906-0}</t>
  </si>
  <si>
    <t>{79.143-2.466}</t>
  </si>
  <si>
    <t>{59.033-8.598}</t>
  </si>
  <si>
    <t>WINNER</t>
  </si>
  <si>
    <t>LOSER</t>
  </si>
  <si>
    <t>WIN</t>
  </si>
  <si>
    <t>LOSE</t>
  </si>
  <si>
    <t>{55.317-9.016}</t>
  </si>
  <si>
    <t>{20.422-17.314}</t>
  </si>
  <si>
    <t>D39 7/25</t>
  </si>
  <si>
    <t>{41.594-4.973}</t>
  </si>
  <si>
    <t>{80.137-4.288}</t>
  </si>
  <si>
    <t>{22.077-37.298}</t>
  </si>
  <si>
    <t>{14.631-18.493}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</si>
  <si>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- 14[8-8]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</si>
  <si>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- 9[6-5]</t>
    </r>
  </si>
  <si>
    <t>{34.997-12.592}</t>
  </si>
  <si>
    <t>{45.85-6.701}</t>
  </si>
  <si>
    <t>Icirrus: GW 3pt# @ 57:10</t>
  </si>
  <si>
    <t>{33.56-6.989}</t>
  </si>
  <si>
    <t>{85.817-0.408}</t>
  </si>
  <si>
    <t>{55.724-2.929}</t>
  </si>
  <si>
    <t>{91.211-9.849}</t>
  </si>
  <si>
    <t>PtDf</t>
  </si>
  <si>
    <t>EXP</t>
  </si>
  <si>
    <t>ExAv</t>
  </si>
  <si>
    <t>Opelucid: GW 3pt# @ 54:90</t>
  </si>
  <si>
    <t>{37.434-6.964}</t>
  </si>
  <si>
    <t>Hammerlocke: GW 3pt! @ 58:60</t>
  </si>
  <si>
    <t>{31.53-25.487}</t>
  </si>
  <si>
    <t>{63.077-0}</t>
  </si>
  <si>
    <t>{30.329-18.324}</t>
  </si>
  <si>
    <t>D40 7/27</t>
  </si>
  <si>
    <t>{66.177-9.044}</t>
  </si>
  <si>
    <t>{69.151-1.7}</t>
  </si>
  <si>
    <t>{46.065-6.568}</t>
  </si>
  <si>
    <t>{37.423-11.617}</t>
  </si>
  <si>
    <t>{59.701-16.545}</t>
  </si>
  <si>
    <t>{53.381-8.044}</t>
  </si>
  <si>
    <t>Laverre: misses GW 4pt! By one space on final turn</t>
  </si>
  <si>
    <t>{46.867-20.455}</t>
  </si>
  <si>
    <t>{63.401-3.911}</t>
  </si>
  <si>
    <t>{63.96-6.083}</t>
  </si>
  <si>
    <t>{24.96-30.426}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</si>
  <si>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- 18[9-11], Inverted D-Score</t>
    </r>
  </si>
  <si>
    <t>{37.873-15.718}</t>
  </si>
  <si>
    <t>{94.566-0}</t>
  </si>
  <si>
    <t>D41 7/28</t>
  </si>
  <si>
    <t>After W6</t>
  </si>
  <si>
    <t>YOU ARE HERE</t>
  </si>
  <si>
    <t>In the future, perhaps next two?</t>
  </si>
  <si>
    <t>In the future, WCS, MRL, UTL Runners-up</t>
  </si>
  <si>
    <t>WEEK SIX (PDf &gt; EXP)</t>
  </si>
  <si>
    <t>Conf. Champion (7) or WCS Winner or Next Highest-Ranked Team 7</t>
  </si>
  <si>
    <t>{111.494-0}</t>
  </si>
  <si>
    <t>{30.903-20.338}</t>
  </si>
  <si>
    <t>{23.929-25.453}</t>
  </si>
  <si>
    <t>{48.687-7.163}</t>
  </si>
  <si>
    <t>If tie, add AggOT stats to each's wins?</t>
  </si>
  <si>
    <t>{42.246-18.99}</t>
  </si>
  <si>
    <t>{36.718-1.482}</t>
  </si>
  <si>
    <t>{50.34-9.948}</t>
  </si>
  <si>
    <t>{70.95-3.402}</t>
  </si>
  <si>
    <t>{34.009-11.71}</t>
  </si>
  <si>
    <t>{55.333-6.436}</t>
  </si>
  <si>
    <t>{85.16-5.406}</t>
  </si>
  <si>
    <t>{209.073-0.423}</t>
  </si>
  <si>
    <t>{52.48-10.231}</t>
  </si>
  <si>
    <t>{37.363-10.283}</t>
  </si>
  <si>
    <t>{49.513-7.071}</t>
  </si>
  <si>
    <t>{27.184-11.67}</t>
  </si>
  <si>
    <t>{121.354-4.073}</t>
  </si>
  <si>
    <t>{34.259-7.15}</t>
  </si>
  <si>
    <t>{69.828-10.797}</t>
  </si>
  <si>
    <t>{66.143-11.559}</t>
  </si>
  <si>
    <t>D42 7/29</t>
  </si>
  <si>
    <t>{78.763-4.777}</t>
  </si>
  <si>
    <t>{12.483-12.775}</t>
  </si>
  <si>
    <t>{342.371-0.055}</t>
  </si>
  <si>
    <t>{56.939-11.131}</t>
  </si>
  <si>
    <t>{87.41-0}</t>
  </si>
  <si>
    <t>{49.477-16.198}</t>
  </si>
  <si>
    <t>{38.233-11.348}</t>
  </si>
  <si>
    <t>{53.985-8.854}</t>
  </si>
  <si>
    <t>{109.488-1.049}</t>
  </si>
  <si>
    <t>{91.731-0.924}</t>
  </si>
  <si>
    <t>{12.857-36.39}</t>
  </si>
  <si>
    <t>{38.909-18.705}</t>
  </si>
  <si>
    <t>{40.672-13.996}</t>
  </si>
  <si>
    <t>{26.012-17.215}</t>
  </si>
  <si>
    <t>{23.573-2.83}</t>
  </si>
  <si>
    <t>{104.193-2.333}</t>
  </si>
  <si>
    <t>{92.932-0}</t>
  </si>
  <si>
    <t>{36.173-9.129}</t>
  </si>
  <si>
    <t>{57.541-7.708}</t>
  </si>
  <si>
    <t>{38.589-25.381}</t>
  </si>
  <si>
    <t>Match 1 - 1 at 4, 2 at 3 // 4 at 1, 3 at 2</t>
  </si>
  <si>
    <t>Match 2 - 1 at 3, 2 at 4 // 3 at 1, 4 at 2</t>
  </si>
  <si>
    <t>Match 3 - 1 at 2, 3 at 4 // 2 at 1, 4 at 3</t>
  </si>
  <si>
    <t>{194.483-0}</t>
  </si>
  <si>
    <t>{65.388-23.561}</t>
  </si>
  <si>
    <t>Cerulean wins 31-21 on agg.</t>
  </si>
  <si>
    <t>Cianwood wins 33-24 on agg.</t>
  </si>
  <si>
    <t>Snowpoint wins 31-23 on agg.</t>
  </si>
  <si>
    <t>Fortree wins 32-23 on agg.</t>
  </si>
  <si>
    <t>Vermilion wins 29-23 on agg.</t>
  </si>
  <si>
    <t>Mount Hokukani wins 37-31 on agg.</t>
  </si>
  <si>
    <t>Fallarbor wins 27-23 on agg.</t>
  </si>
  <si>
    <t>Fuchsia wins 34-20 on agg.</t>
  </si>
  <si>
    <t>Poni Meadow wins 30-29 on agg.</t>
  </si>
  <si>
    <t>Veilstone wins 40-18 on agg.</t>
  </si>
  <si>
    <t>Mauville wins 35-32 on agg.</t>
  </si>
  <si>
    <t>Floaroma wins 29-25 on agg.</t>
  </si>
  <si>
    <t>{46.657-28.866}</t>
  </si>
  <si>
    <t>{64.181-17.391}</t>
  </si>
  <si>
    <t>Lumiose nearly breaks old scoring record twice, Lumiose wins 68-42 on agg.</t>
  </si>
  <si>
    <t>Lumiose: 29(20) pts in 1st, scoring record (35), Combined scoring record (61)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</si>
  <si>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- 17[9-9]</t>
    </r>
  </si>
  <si>
    <t>{67.663-6.036}</t>
  </si>
  <si>
    <t>{62.311-0}</t>
  </si>
  <si>
    <t>{59.018-3.326}</t>
  </si>
  <si>
    <t>{138.745-0.458}</t>
  </si>
  <si>
    <t>D43 7/30</t>
  </si>
  <si>
    <t>Castelia wins 33-25 on agg.</t>
  </si>
  <si>
    <t>Resort wins 38-26 on agg.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</si>
  <si>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- 12[7-9], Kiloude wins 36-27 on agg.</t>
    </r>
  </si>
  <si>
    <t>Tiebreakers: Wins, PD, H2H, PF</t>
  </si>
  <si>
    <t>Matchday Eight</t>
  </si>
  <si>
    <t>{139.439-0.077}</t>
  </si>
  <si>
    <t>D44 8/2</t>
  </si>
  <si>
    <t>{20.544-11.282}</t>
  </si>
  <si>
    <t>Viridian wins 37-20 on agg.</t>
  </si>
  <si>
    <t>{170.169-0}</t>
  </si>
  <si>
    <t>{61.336-3.445}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</si>
  <si>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- 16[9-7], 18[11-8], Vaniville: GW 3pt @ 74:10</t>
    </r>
  </si>
  <si>
    <t>{30.508-29.904}</t>
  </si>
  <si>
    <t>{36.079-3.948}</t>
  </si>
  <si>
    <t>Undella wins 30-21 on agg.</t>
  </si>
  <si>
    <t>Vaniville wins 37-30 on agg.</t>
  </si>
  <si>
    <t>D45 8/5</t>
  </si>
  <si>
    <t>{31.365-21.821}</t>
  </si>
  <si>
    <t>{85.161-0}</t>
  </si>
  <si>
    <t>Goldenrod wins 36-22 on agg.</t>
  </si>
  <si>
    <t>{28.606-2.79}</t>
  </si>
  <si>
    <t>{110.807-0.652}</t>
  </si>
  <si>
    <t>{30.22-23.285}</t>
  </si>
  <si>
    <t>{72.167-1.679}</t>
  </si>
  <si>
    <t>Next-highest from all 7 conferences</t>
  </si>
  <si>
    <t>Second or next-highest from all 7 conferences</t>
  </si>
  <si>
    <t>Third or next-highest from all 7 conferences</t>
  </si>
  <si>
    <t>Fourth or next-highest from top 5 conferences</t>
  </si>
  <si>
    <t>Fifth or next-highest from top 2 conferences</t>
  </si>
  <si>
    <t>Highest ranked remaining teams (not to exceed 5)</t>
  </si>
  <si>
    <t>Conference Champions</t>
  </si>
  <si>
    <t>World Champion</t>
  </si>
  <si>
    <t>MRL Champion</t>
  </si>
  <si>
    <t>UTL Champion</t>
  </si>
  <si>
    <t>Highest ranked CCC Winners</t>
  </si>
  <si>
    <t>Dewford Town (Delta)</t>
  </si>
  <si>
    <t>Spikemuth (Dynamax)</t>
  </si>
  <si>
    <t>Po Town (Lanakila)</t>
  </si>
  <si>
    <t>Mahogany Town (Indigo)</t>
  </si>
  <si>
    <t>Highest ranked CCC runners-up</t>
  </si>
  <si>
    <t>CCC Winners</t>
  </si>
  <si>
    <t>World Runner-up</t>
  </si>
  <si>
    <t>MRL Runner-up</t>
  </si>
  <si>
    <t>URL Runner-up</t>
  </si>
  <si>
    <t>Highest ranked remaining teams</t>
  </si>
  <si>
    <t>not to exceed 5 teams from any one conference</t>
  </si>
  <si>
    <t>not to exceed 8 teams from any one conference combined</t>
  </si>
  <si>
    <t>Azalea</t>
  </si>
  <si>
    <t>Exeggutor</t>
  </si>
  <si>
    <t>Malie</t>
  </si>
  <si>
    <t>Group H</t>
  </si>
  <si>
    <t>Azalea Town (Indigo)</t>
  </si>
  <si>
    <t>Exeggutor Island (Lanakila)</t>
  </si>
  <si>
    <t>Wedgehurst (Lanakila)</t>
  </si>
  <si>
    <t>Malie City (Lanakila)</t>
  </si>
  <si>
    <t>Second Place #2 (BCF)</t>
  </si>
  <si>
    <t>Second Place #1 (AED)</t>
  </si>
  <si>
    <t>Playoff Winner #1</t>
  </si>
  <si>
    <t>Playoff Winner #2</t>
  </si>
  <si>
    <t>Playoff Winner #3</t>
  </si>
  <si>
    <t>Playoff Winner #4</t>
  </si>
  <si>
    <t>WCS Finalists</t>
  </si>
  <si>
    <t>MRL Group H - Match 1 - 1st Leg</t>
  </si>
  <si>
    <t>MRL Group H - Match 1 - 2nd Leg</t>
  </si>
  <si>
    <t>MRL Group A - Match 2 - 1st Leg</t>
  </si>
  <si>
    <t>MRL Group A - Match 2 - 2nd Leg</t>
  </si>
  <si>
    <t>MRL Group C - Match 2 - 1st Leg</t>
  </si>
  <si>
    <t>MRL Group C - Match 2 - 2nd Leg</t>
  </si>
  <si>
    <t>MRL Group E - Match 2 - 1st Leg</t>
  </si>
  <si>
    <t>MRL Group E - Match 2 - 2nd Leg</t>
  </si>
  <si>
    <t>MRL Group G - Match 2 - 1st Leg</t>
  </si>
  <si>
    <t>MRL Group G - Match 2 - 2nd Leg</t>
  </si>
  <si>
    <t>MRL Group B - Match 2 - 1st Leg</t>
  </si>
  <si>
    <t>MRL Group B - Match 2 - 2nd Leg</t>
  </si>
  <si>
    <t>MRL Group D - Match 2 - 1st Leg</t>
  </si>
  <si>
    <t>MRL Group D - Match 2 - 2nd Leg</t>
  </si>
  <si>
    <t>MRL Group F - Match 2 - 1st Leg</t>
  </si>
  <si>
    <t>MRL Group F - Match 2 - 2nd Leg</t>
  </si>
  <si>
    <t>MRL Group H - Match 2 - 1st Leg</t>
  </si>
  <si>
    <t>MRL Group H - Match 2 - 2nd Leg</t>
  </si>
  <si>
    <t>{47.351-5.736}</t>
  </si>
  <si>
    <t>{34.922-14.56}</t>
  </si>
  <si>
    <t>{58.587-9.991}</t>
  </si>
  <si>
    <t>Cinnabar wins 31-19 on agg.</t>
  </si>
  <si>
    <t>Postwick wins 32-25 on agg.</t>
  </si>
  <si>
    <t>{91.12-0}</t>
  </si>
  <si>
    <t>{281.934-0}</t>
  </si>
  <si>
    <t>{29.099-6.095}</t>
  </si>
  <si>
    <t>Virbanks wins 35-18 on agg.</t>
  </si>
  <si>
    <t>{68.63-5.137}</t>
  </si>
  <si>
    <t>{52.283-3.882}</t>
  </si>
  <si>
    <t>top 4 advance to UTL Round of 16</t>
  </si>
  <si>
    <t>bottom 4 advance to UTL Round of 20</t>
  </si>
  <si>
    <t>{20.83-14.565}</t>
  </si>
  <si>
    <t>{36.593-24.36}</t>
  </si>
  <si>
    <t>Seafolk wins 36-24 on agg.</t>
  </si>
  <si>
    <t>Geosenge wins 32-28 on agg.</t>
  </si>
  <si>
    <t>A1</t>
  </si>
  <si>
    <t>B2</t>
  </si>
  <si>
    <t>C1</t>
  </si>
  <si>
    <t>D2</t>
  </si>
  <si>
    <t>E1</t>
  </si>
  <si>
    <t>F2</t>
  </si>
  <si>
    <t>G1</t>
  </si>
  <si>
    <t>H2</t>
  </si>
  <si>
    <t>B1</t>
  </si>
  <si>
    <t>A2</t>
  </si>
  <si>
    <t>D1</t>
  </si>
  <si>
    <t>C2</t>
  </si>
  <si>
    <t>F1</t>
  </si>
  <si>
    <t>E2</t>
  </si>
  <si>
    <t>H1</t>
  </si>
  <si>
    <t>G2</t>
  </si>
  <si>
    <t>{35.616-11.08}</t>
  </si>
  <si>
    <t>{66.134-10.092}</t>
  </si>
  <si>
    <t>Humilau wins 39-23 on agg.</t>
  </si>
  <si>
    <t>D46 8/6</t>
  </si>
  <si>
    <t>P4</t>
  </si>
  <si>
    <t>S2</t>
  </si>
  <si>
    <t>P1</t>
  </si>
  <si>
    <t>P2</t>
  </si>
  <si>
    <t>S1</t>
  </si>
  <si>
    <t>P3</t>
  </si>
  <si>
    <t>{60.616-9.61}</t>
  </si>
  <si>
    <t>{58.769-3.62}</t>
  </si>
  <si>
    <t>{30.569-5.064}</t>
  </si>
  <si>
    <t>{133.626-0}</t>
  </si>
  <si>
    <t>D47 8/7</t>
  </si>
  <si>
    <t>{38.564-9.46}</t>
  </si>
  <si>
    <t>{55.45-25.313}</t>
  </si>
  <si>
    <t>{49.41-3.364}</t>
  </si>
  <si>
    <t>{260.983-0}</t>
  </si>
  <si>
    <t>{103.7-1.347}</t>
  </si>
  <si>
    <t>D48 8/13</t>
  </si>
  <si>
    <t>W7 - Oldale (UTL)</t>
  </si>
  <si>
    <t>{113.464-1.359}</t>
  </si>
  <si>
    <t>{32.28-16.316}</t>
  </si>
  <si>
    <t>Wyndon South: GW 4pt @ 57:10</t>
  </si>
  <si>
    <t>{25.559-37.022}</t>
  </si>
  <si>
    <t>{23.651-26.082}</t>
  </si>
  <si>
    <t>{40.707-15.113}</t>
  </si>
  <si>
    <t>Hulbury wins 32-26 on agg.</t>
  </si>
  <si>
    <t>WCS Winner or MRL Winner or Next Highest-Ranked Team 8</t>
  </si>
  <si>
    <t>Conf. Champion (6/7) or Next Highest-Ranked Team 6</t>
  </si>
  <si>
    <t>Future Schedule?</t>
  </si>
  <si>
    <t>Refreshes after each play block</t>
  </si>
  <si>
    <t>(WCS, MRL, UTL, CCC, Regular)</t>
  </si>
  <si>
    <t>{50.624-5.155}</t>
  </si>
  <si>
    <t>{49.029-10.312}</t>
  </si>
  <si>
    <t>Floaroma wins 27-23 on agg.</t>
  </si>
  <si>
    <t>{37.953-8.967}</t>
  </si>
  <si>
    <t>{50.695-13.048}</t>
  </si>
  <si>
    <t>Stow wins 40-36 on agg.</t>
  </si>
  <si>
    <t>{31.782-17.574}</t>
  </si>
  <si>
    <t>{124.418-0.991}</t>
  </si>
  <si>
    <t>D49 8/14</t>
  </si>
  <si>
    <t>{79.54-4.486}</t>
  </si>
  <si>
    <t>{79.544-1.412}</t>
  </si>
  <si>
    <t>Veilstone wins 36-18 on agg.</t>
  </si>
  <si>
    <t>{32.829-3.77}</t>
  </si>
  <si>
    <t>{28.513-6.703}</t>
  </si>
  <si>
    <t>Hau'oli wins 32-30 on agg.</t>
  </si>
  <si>
    <t>[16-12]</t>
  </si>
  <si>
    <t>D50 8/17</t>
  </si>
  <si>
    <t>D51 8/18</t>
  </si>
  <si>
    <t>Basic</t>
  </si>
  <si>
    <t>Stage 1</t>
  </si>
  <si>
    <t>Stage 2</t>
  </si>
  <si>
    <t>Mega</t>
  </si>
  <si>
    <t>Gigantamax</t>
  </si>
  <si>
    <t>World Final</t>
  </si>
  <si>
    <t>World Semifinal</t>
  </si>
  <si>
    <t>World Quarterfinal</t>
  </si>
  <si>
    <t>Regular Season Games</t>
  </si>
  <si>
    <t>WCS Quarters</t>
  </si>
  <si>
    <t>WCS Semis</t>
  </si>
  <si>
    <t>WCS Final</t>
  </si>
  <si>
    <t>Conf. Championship</t>
  </si>
  <si>
    <t>WCS Round of 16</t>
  </si>
  <si>
    <t>MRL Final</t>
  </si>
  <si>
    <t>MRL Semis</t>
  </si>
  <si>
    <t>MRL Quarters</t>
  </si>
  <si>
    <t>MRL Round of 16</t>
  </si>
  <si>
    <t>UTL Final</t>
  </si>
  <si>
    <t>UTL Semis</t>
  </si>
  <si>
    <t>UTL Quarters</t>
  </si>
  <si>
    <t>UTL Round of 16/20</t>
  </si>
  <si>
    <t>World Round of 16</t>
  </si>
  <si>
    <t>FINAL</t>
  </si>
  <si>
    <t>CHMP</t>
  </si>
  <si>
    <t>SEMI</t>
  </si>
  <si>
    <t>QTR</t>
  </si>
  <si>
    <t>R12/R16/R20</t>
  </si>
  <si>
    <t>CONF</t>
  </si>
  <si>
    <t>New Spread Formula instituted</t>
  </si>
  <si>
    <t>WEEK FOUR (added Cups and Climate)</t>
  </si>
  <si>
    <t>New Exposure System instituted</t>
  </si>
  <si>
    <t>D52 8/19</t>
  </si>
  <si>
    <t>{42.95-19.752}</t>
  </si>
  <si>
    <t>New Climate System, Cups System instituted</t>
  </si>
  <si>
    <t>Rating</t>
  </si>
  <si>
    <t>{29.049-43.923}</t>
  </si>
  <si>
    <t>{54.063-9.226}</t>
  </si>
  <si>
    <t>{76.412-9.205}</t>
  </si>
  <si>
    <t>{28.568-23.349}</t>
  </si>
  <si>
    <t>{83.547-5.321}</t>
  </si>
  <si>
    <t>{58.507-5.07}</t>
  </si>
  <si>
    <t>{72.762-0.477}</t>
  </si>
  <si>
    <t>{51.859-11.74}</t>
  </si>
  <si>
    <t>{21.021-34.533}</t>
  </si>
  <si>
    <t>{81.328-1.757}</t>
  </si>
  <si>
    <t>{101.95-0}</t>
  </si>
  <si>
    <t>{74.577-15.4}</t>
  </si>
  <si>
    <t>Largest spread upset on record</t>
  </si>
  <si>
    <t>{49.844-0}</t>
  </si>
  <si>
    <t>{91.815-10.404}</t>
  </si>
  <si>
    <t>{36.282-11.465}</t>
  </si>
  <si>
    <t>{97.73-0}</t>
  </si>
  <si>
    <t>{27.391-17.845}</t>
  </si>
  <si>
    <t>{111.713-0.774}</t>
  </si>
  <si>
    <t>{54.209-4.702}</t>
  </si>
  <si>
    <t>{60.204-8.609}</t>
  </si>
  <si>
    <t>{40.559-9.042}</t>
  </si>
  <si>
    <t>{21.743-32.46}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</si>
  <si>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- 13[7-10]</t>
    </r>
  </si>
  <si>
    <t>{30.905-19.496}</t>
  </si>
  <si>
    <t>Jubilife: GW 1pt @ 55:60</t>
  </si>
  <si>
    <t>{30.614-6.971}</t>
  </si>
  <si>
    <t>{35.43-27.104}</t>
  </si>
  <si>
    <t>[2-5]</t>
  </si>
  <si>
    <t>{23.87-13.003}</t>
  </si>
  <si>
    <t>Fewest goals scored by a winner (2)</t>
  </si>
  <si>
    <t>{51.577-1.114}</t>
  </si>
  <si>
    <t>{55.098-4.139}</t>
  </si>
  <si>
    <t>{134.703-0}</t>
  </si>
  <si>
    <t>{63.956-3.156}</t>
  </si>
  <si>
    <t>D53 8/20</t>
  </si>
  <si>
    <t>{64.225-7.726}</t>
  </si>
  <si>
    <t>CCC Final</t>
  </si>
  <si>
    <t>CCC Semifinal</t>
  </si>
  <si>
    <t>{30.628-22.087}</t>
  </si>
  <si>
    <t>D54 8/21</t>
  </si>
  <si>
    <t>{60.575-11.805}</t>
  </si>
  <si>
    <t>{29.673-20.436}</t>
  </si>
  <si>
    <t>*If Second Place teams conflict, flip needed Group Winner (A/B, C/D, E/F)</t>
  </si>
  <si>
    <t>MRL Winner vs UTL Winner - Super Cup</t>
  </si>
  <si>
    <t>WCS Winner vs World Champion - Hyper Cup</t>
  </si>
  <si>
    <t>If World Champion is WCS Winner</t>
  </si>
  <si>
    <t>Respective competition's runner-up</t>
  </si>
  <si>
    <t>If World/WCS Champion is MRL or UTL winner</t>
  </si>
  <si>
    <t>Only reward is bonus EX points</t>
  </si>
  <si>
    <t>Season-opening exhibition matches</t>
  </si>
  <si>
    <t>{35.637-20.826}</t>
  </si>
  <si>
    <t>D55 8/25</t>
  </si>
  <si>
    <t>{73.398-5.362}</t>
  </si>
  <si>
    <t>Castelia: GW 3pt# @ 57:50</t>
  </si>
  <si>
    <t>{29.848-15.215}</t>
  </si>
  <si>
    <t>{119.466-0.858}</t>
  </si>
  <si>
    <t>{29.808-15.358}</t>
  </si>
  <si>
    <t>{58.221-0}</t>
  </si>
  <si>
    <t>{31.198-37.1}</t>
  </si>
  <si>
    <t>World Champion vs WCS Runner-up</t>
  </si>
  <si>
    <t>{57.376-5.451}</t>
  </si>
  <si>
    <t>{31.66-22.177}</t>
  </si>
  <si>
    <t>{66.701-3.855}</t>
  </si>
  <si>
    <t>{113.818-9.68}</t>
  </si>
  <si>
    <t>{29.282-5.298}</t>
  </si>
  <si>
    <t>{68.86-11.637}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</si>
  <si>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- 14[9-7], Gold: 4pt$@54:10 forces OT, WynS: GW 2pt@66:00</t>
    </r>
  </si>
  <si>
    <t>{33.208-26.926}</t>
  </si>
  <si>
    <t>{65.992-5.706}</t>
  </si>
  <si>
    <t>{39.525-23.159}</t>
  </si>
  <si>
    <t>{64.818-12.53}</t>
  </si>
  <si>
    <t>{155.012-0}</t>
  </si>
  <si>
    <t>Vermilion: GW 3pt @ 55:60</t>
  </si>
  <si>
    <t>{46.339-3.877}</t>
  </si>
  <si>
    <t>{106.67-1.37}</t>
  </si>
  <si>
    <t>{77.779-8.316}</t>
  </si>
  <si>
    <t>WEEK SEVEN (new spread formula)</t>
  </si>
  <si>
    <t>After W7</t>
  </si>
  <si>
    <t>WCS Fourth Round - 1st Leg</t>
  </si>
  <si>
    <t>WCS Fourth Round - 2nd Leg</t>
  </si>
  <si>
    <t>UTL Group A - Match 2 - 1st Leg</t>
  </si>
  <si>
    <t>UTL Group A - Match 2 - 2nd Leg</t>
  </si>
  <si>
    <t>UTL Group C - Match 2 - 1st Leg</t>
  </si>
  <si>
    <t>UTL Group C - Match 2 - 2nd Leg</t>
  </si>
  <si>
    <t>UTL Group E - Match 2 - 1st Leg</t>
  </si>
  <si>
    <t>UTL Group E - Match 2 - 2nd Leg</t>
  </si>
  <si>
    <t>UTL Group B - Match 2 - 1st Leg</t>
  </si>
  <si>
    <t>UTL Group B - Match 2 - 2nd Leg</t>
  </si>
  <si>
    <t>UTL Group D - Match 2 - 1st Leg</t>
  </si>
  <si>
    <t>UTL Group D - Match 2 - 2nd Leg</t>
  </si>
  <si>
    <t>UTL Group F - Match 2 - 1st Leg</t>
  </si>
  <si>
    <t>UTL Group F - Match 2 - 2nd Leg</t>
  </si>
  <si>
    <t>Matchday Nine</t>
  </si>
  <si>
    <t>{60.823-6.901}</t>
  </si>
  <si>
    <t>{53.46-26.843}</t>
  </si>
  <si>
    <t>D56 9/1</t>
  </si>
  <si>
    <t>[9-14]</t>
  </si>
  <si>
    <t>{27.739-18.259}</t>
  </si>
  <si>
    <t>{37.642-11.246}</t>
  </si>
  <si>
    <t>Lumiose wins 39-34 on agg.</t>
  </si>
  <si>
    <t>Cianwood wins 44-30 on agg.</t>
  </si>
  <si>
    <t>{15.35-28.358}</t>
  </si>
  <si>
    <t>D57 9/4</t>
  </si>
  <si>
    <t>{54.816-7.47}</t>
  </si>
  <si>
    <t>Castelia: G/MW 3pt# @ 57:70, Castelia wins 27-25 on agg.</t>
  </si>
  <si>
    <t>{56.918-12.847}</t>
  </si>
  <si>
    <t>{38.879-9.333}</t>
  </si>
  <si>
    <t>D58 9/5</t>
  </si>
  <si>
    <t>{51.444-15.431}</t>
  </si>
  <si>
    <t>{42.497-15.386}</t>
  </si>
  <si>
    <t>Twinleaf wins 41-30 on agg.</t>
  </si>
  <si>
    <t>Undella wins 47-34 on agg.</t>
  </si>
  <si>
    <t>{50.567-3.58}</t>
  </si>
  <si>
    <t>{17.129-10.672}</t>
  </si>
  <si>
    <t>Anistar wins 31-21 on agg.</t>
  </si>
  <si>
    <t>{24.602-16.522}</t>
  </si>
  <si>
    <t>{83.418-4.861}</t>
  </si>
  <si>
    <t>Paniola wins 29-21 on agg.</t>
  </si>
  <si>
    <t>{29.479-26.257}</t>
  </si>
  <si>
    <t>{39.085-22.583}</t>
  </si>
  <si>
    <t>Vaniville wins 45-38 on agg.</t>
  </si>
  <si>
    <t>{67.902-7.114}</t>
  </si>
  <si>
    <t>R#, C$, R# to end game</t>
  </si>
  <si>
    <t>{73.54-16.29}</t>
  </si>
  <si>
    <t>{33.527-10.854}</t>
  </si>
  <si>
    <t>{42.283-18.944}</t>
  </si>
  <si>
    <t>Oreburgh wins 38-25 on agg.</t>
  </si>
  <si>
    <t>[15-1]</t>
  </si>
  <si>
    <t>{1055.45-0}</t>
  </si>
  <si>
    <t>{189.628-0.429}</t>
  </si>
  <si>
    <t>{39.26-10.142}</t>
  </si>
  <si>
    <t>{38.735-11.816}</t>
  </si>
  <si>
    <t>{177.066-2.398}</t>
  </si>
  <si>
    <t>{41.706-19.551}</t>
  </si>
  <si>
    <t>Lilycove wins 32-24 on agg.</t>
  </si>
  <si>
    <t>Most lopsided spread on record, Virbank wins 49-20 on agg.</t>
  </si>
  <si>
    <t>{192.198-0.932}</t>
  </si>
  <si>
    <t>{78.057-8.17}</t>
  </si>
  <si>
    <t>{52.573-26.088}</t>
  </si>
  <si>
    <t>{72.695-6.417}</t>
  </si>
  <si>
    <t>[8-1]</t>
  </si>
  <si>
    <t>{707.999-0}</t>
  </si>
  <si>
    <t>{31.463-6.463}</t>
  </si>
  <si>
    <t>[6-11]</t>
  </si>
  <si>
    <t>{32.131-21.991}</t>
  </si>
  <si>
    <t>Olivine: GW 4pt @ 59:70</t>
  </si>
  <si>
    <t>{36.44-28.04}</t>
  </si>
  <si>
    <t>D59 9/6</t>
  </si>
  <si>
    <t>{6.159-45.004}</t>
  </si>
  <si>
    <t>{43.817-9.709}</t>
  </si>
  <si>
    <t>#4 at WC</t>
  </si>
  <si>
    <t>WC at #4</t>
  </si>
  <si>
    <t>Play-in winners reseeded</t>
  </si>
  <si>
    <t>{113.965-0}</t>
  </si>
  <si>
    <t>Geosenge wins 39-37 on agg.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</si>
  <si>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- 13[8-7], Dewford: GW 4pt! @ 66:90</t>
    </r>
  </si>
  <si>
    <t>{43.784-24.092}</t>
  </si>
  <si>
    <t>{66.6-4.423}</t>
  </si>
  <si>
    <t>{37.91-13.928}</t>
  </si>
  <si>
    <t>{38.823-8.745}</t>
  </si>
  <si>
    <t>{101.353-2.159}</t>
  </si>
  <si>
    <t>{195.732-0}</t>
  </si>
  <si>
    <t>{47.996-3}</t>
  </si>
  <si>
    <t>{72.758-10.392}</t>
  </si>
  <si>
    <t>{36.507-25.79}</t>
  </si>
  <si>
    <t>HALFTIME SCORE</t>
  </si>
  <si>
    <t>{55.23-10.927}</t>
  </si>
  <si>
    <t>{95.435-0.661}</t>
  </si>
  <si>
    <t>D60 9/7</t>
  </si>
  <si>
    <t>[2-8]</t>
  </si>
  <si>
    <t>{18.928-25.648}</t>
  </si>
  <si>
    <t>{14.704-32.008}</t>
  </si>
  <si>
    <t>{77.821-1.557}</t>
  </si>
  <si>
    <t>{43.03-0}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</si>
  <si>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- 18[8-10]</t>
    </r>
  </si>
  <si>
    <t>{36.086-29.92}</t>
  </si>
  <si>
    <t>{120.93-4.723}</t>
  </si>
  <si>
    <t>D61 9/8</t>
  </si>
  <si>
    <t>{28.701-15.735}</t>
  </si>
  <si>
    <t>{47.805-0.375}</t>
  </si>
  <si>
    <t>{93.206-4.908}</t>
  </si>
  <si>
    <t>{34.946-11.608}</t>
  </si>
  <si>
    <t>{113.835-2.801}</t>
  </si>
  <si>
    <t>{186.849-3.733}</t>
  </si>
  <si>
    <t>Halfway point in season (Game 651/1301.5)</t>
  </si>
  <si>
    <t>MAX</t>
  </si>
  <si>
    <t>INVT</t>
  </si>
  <si>
    <t>FIRST EVER SHUTOUT, D-Score Record</t>
  </si>
  <si>
    <t>Most goals scored (17) (tied)</t>
  </si>
  <si>
    <t>Mauville: 4pt @ 58:10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</si>
  <si>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- 14[7-7]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</si>
  <si>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- 15[8-11]</t>
    </r>
  </si>
  <si>
    <t>Pastoria up 16-0 at half</t>
  </si>
  <si>
    <t>0.134 difference</t>
  </si>
  <si>
    <t>largest inverted difference (19.538)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</si>
  <si>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- 22[9-13]</t>
    </r>
  </si>
  <si>
    <t>Virbank: GW 1pt @ 58:00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</si>
  <si>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- 15[5-8], largest inverted difference (28.783)</t>
    </r>
  </si>
  <si>
    <t>Oldale wins 40-29 on agg.</t>
  </si>
  <si>
    <t>Heahea wins 33-19 on agg.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</si>
  <si>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Lilycove wins 36-23 on agg.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</si>
  <si>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- 16[10-8]</t>
    </r>
  </si>
  <si>
    <r>
      <rPr>
        <b/>
        <sz val="11"/>
        <color theme="1"/>
        <rFont val="Calibri"/>
        <family val="2"/>
        <scheme val="minor"/>
      </rPr>
      <t>Inverted Agg D-Score</t>
    </r>
    <r>
      <rPr>
        <sz val="11"/>
        <color theme="1"/>
        <rFont val="Calibri"/>
        <family val="2"/>
        <scheme val="minor"/>
      </rPr>
      <t>, South Lakes wins 38-31 on agg.</t>
    </r>
  </si>
  <si>
    <t>Hammerlocke wins 34-22 on agg.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</si>
  <si>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Cianwood wins 52-32 on agg.</t>
    </r>
  </si>
  <si>
    <t>Slateport wins 39-14 on agg.</t>
  </si>
  <si>
    <t>Rustboro wins 36-16 on agg.</t>
  </si>
  <si>
    <t>Anville wins 27-18 on agg.</t>
  </si>
  <si>
    <r>
      <rPr>
        <b/>
        <sz val="11"/>
        <color theme="1"/>
        <rFont val="Calibri"/>
        <family val="2"/>
        <scheme val="minor"/>
      </rPr>
      <t>Inverted Agg D-Score</t>
    </r>
    <r>
      <rPr>
        <sz val="11"/>
        <color theme="1"/>
        <rFont val="Calibri"/>
        <family val="2"/>
        <scheme val="minor"/>
      </rPr>
      <t>, Resort wins 29-27 on agg.</t>
    </r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</si>
  <si>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Nacrene wins 34-12 on agg.</t>
    </r>
  </si>
  <si>
    <t>Striaton wins 32-27 on agg.</t>
  </si>
  <si>
    <t>Wyndon South: MW 4pt$ @ 57:20, Wyndon South wins 32-31 on agg.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</si>
  <si>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- 11[6-8]</t>
    </r>
  </si>
  <si>
    <t>Laverre wins 42-30 on agg.</t>
  </si>
  <si>
    <r>
      <rPr>
        <b/>
        <sz val="11"/>
        <color theme="1"/>
        <rFont val="Calibri"/>
        <family val="2"/>
        <scheme val="minor"/>
      </rPr>
      <t>Inverted Agg D-Score</t>
    </r>
    <r>
      <rPr>
        <sz val="11"/>
        <color theme="1"/>
        <rFont val="Calibri"/>
        <family val="2"/>
        <scheme val="minor"/>
      </rPr>
      <t>, Cinnabar wins 44-40 on agg.</t>
    </r>
  </si>
  <si>
    <t>Max Agg D-Score, Agg D-Score Record (534.956), Kala'e wins 54-12 on agg.</t>
  </si>
  <si>
    <t>Dewford: scoring record (36(25))</t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</si>
  <si>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Spikemuth wins 35-13 on agg.</t>
    </r>
  </si>
  <si>
    <r>
      <rPr>
        <b/>
        <sz val="11"/>
        <color theme="1"/>
        <rFont val="Calibri"/>
        <family val="2"/>
        <scheme val="minor"/>
      </rPr>
      <t>Max Agg D-Score</t>
    </r>
    <r>
      <rPr>
        <sz val="11"/>
        <color theme="1"/>
        <rFont val="Calibri"/>
        <family val="2"/>
        <scheme val="minor"/>
      </rPr>
      <t>, Dewford wins 66-26 on agg.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</si>
  <si>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- 21[5-10], Saffron: GT 3pt @ 56:60</t>
    </r>
  </si>
  <si>
    <t>Kala'e: fourth straight Max D-Score</t>
  </si>
  <si>
    <t>Hulbury: 33(23) pts in 1st, scoring record (42(32))</t>
  </si>
  <si>
    <t>Pacifidlog: GW 4pt @ 60:80</t>
  </si>
  <si>
    <t>[10-15]</t>
  </si>
  <si>
    <t/>
  </si>
  <si>
    <t>D62 9/10</t>
  </si>
  <si>
    <t>Closest spread on record (0.0006396)</t>
  </si>
  <si>
    <t>Vast Poni: GW 4pt! @ 54:10</t>
  </si>
  <si>
    <t>thru -.25</t>
  </si>
  <si>
    <t>thru -.75</t>
  </si>
  <si>
    <t>thru -1.00</t>
  </si>
  <si>
    <t>thru 1.00</t>
  </si>
  <si>
    <t>IF=1, 1</t>
  </si>
  <si>
    <t>IF=2, 1</t>
  </si>
  <si>
    <t>IF=3, 1</t>
  </si>
  <si>
    <t>IF=4, 1</t>
  </si>
  <si>
    <t>IF=5, 1</t>
  </si>
  <si>
    <t>IF=6, 1</t>
  </si>
  <si>
    <t>IF=7, 1</t>
  </si>
  <si>
    <t>thru .66</t>
  </si>
  <si>
    <t>thru .33</t>
  </si>
  <si>
    <t>thru -.5</t>
  </si>
  <si>
    <t>WCSEntry</t>
  </si>
  <si>
    <t>Pts Ag</t>
  </si>
  <si>
    <t>New Spread Application Instituted</t>
  </si>
  <si>
    <t>{53.873-3.37}</t>
  </si>
  <si>
    <t>&amp; New Off/Def Bonuses Instituted</t>
  </si>
  <si>
    <t>D63 9/18</t>
  </si>
  <si>
    <t>{509.628-0}</t>
  </si>
  <si>
    <t>Celadon: GW 3pt+1 @ 61:70</t>
  </si>
  <si>
    <t>{23.728-21.005}</t>
  </si>
  <si>
    <t>{34.768-23.812}</t>
  </si>
  <si>
    <t>{27.295-10.878}</t>
  </si>
  <si>
    <t>D64 9/23</t>
  </si>
  <si>
    <t>{39.694-17.476}</t>
  </si>
  <si>
    <t>{307.464-0.454}</t>
  </si>
  <si>
    <t>{57.421-7.019}</t>
  </si>
  <si>
    <t>{75.538-16.019}</t>
  </si>
  <si>
    <t>D65 9/24</t>
  </si>
  <si>
    <t>{33.289-7.188}</t>
  </si>
  <si>
    <t>{244.599-0}</t>
  </si>
  <si>
    <t>{42.883-9.228}</t>
  </si>
  <si>
    <t>{62.834-8.025}</t>
  </si>
  <si>
    <t>{97.117-8.201}</t>
  </si>
  <si>
    <t>{43.077-0.713}</t>
  </si>
  <si>
    <t>{21.284-19.214}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</si>
  <si>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- 17[6-7]</t>
    </r>
  </si>
  <si>
    <t>{12.822-31.473}</t>
  </si>
  <si>
    <t>[16-5]</t>
  </si>
  <si>
    <t>[13-2]</t>
  </si>
  <si>
    <t>D66 9/25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</si>
  <si>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- 14[7-10]</t>
    </r>
  </si>
  <si>
    <t>{36.412-10.383}</t>
  </si>
  <si>
    <t>[9-13]</t>
  </si>
  <si>
    <t>{20.929-19.479}</t>
  </si>
  <si>
    <t>{67.442-1.605}</t>
  </si>
  <si>
    <t>{87.579-2.514}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</si>
  <si>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- 24[10-10]</t>
    </r>
  </si>
  <si>
    <t>{14.427-50.828}</t>
  </si>
  <si>
    <t>{135.898-0.097}</t>
  </si>
  <si>
    <t>W8 - Geosenge (DNF)</t>
  </si>
  <si>
    <t>No scoring after 26:90 in 2nd</t>
  </si>
  <si>
    <t>{87.041-0}</t>
  </si>
  <si>
    <t>{54.76-0.806}</t>
  </si>
  <si>
    <t>{64.11-11.911}</t>
  </si>
  <si>
    <t>{31.361-13.692}</t>
  </si>
  <si>
    <t>Striaton: GW 1pt+1 @ 59:40</t>
  </si>
  <si>
    <t>{64.889-10.664}</t>
  </si>
  <si>
    <t>{74.986-4.061}</t>
  </si>
  <si>
    <t>{40.248-7.647}</t>
  </si>
  <si>
    <t>{34.91-13.32}</t>
  </si>
  <si>
    <t>{169.373-0}</t>
  </si>
  <si>
    <t>Olivine: 22(20) in 1st, second most pts 38(32)</t>
  </si>
  <si>
    <t>{102.426-0}</t>
  </si>
  <si>
    <t>{97.871-0.645}</t>
  </si>
  <si>
    <t>{38.108-12.072}</t>
  </si>
  <si>
    <t>{47.985-12.503}</t>
  </si>
  <si>
    <t>{53.185-15.042}</t>
  </si>
  <si>
    <t>{164.671-0}</t>
  </si>
  <si>
    <t>{29.229-25.979}</t>
  </si>
  <si>
    <t>Ever Grande: GW 4pt+1 @ 56:80</t>
  </si>
  <si>
    <t>{28.936-31.299}</t>
  </si>
  <si>
    <t>{42.333-21.254}</t>
  </si>
  <si>
    <t>{17.571-6.433}</t>
  </si>
  <si>
    <t>{72.208-6.984}</t>
  </si>
  <si>
    <t>{55.844-8.817}</t>
  </si>
  <si>
    <t>{69.419-4.294}</t>
  </si>
  <si>
    <t>{25.865-4.8}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</si>
  <si>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- 17[6-10]</t>
    </r>
  </si>
  <si>
    <t>{17.235-29.158}</t>
  </si>
  <si>
    <t>{66.455-0}</t>
  </si>
  <si>
    <t>{33.371-30.59}</t>
  </si>
  <si>
    <t>{100.875-1.169}</t>
  </si>
  <si>
    <t>{174.229-0}</t>
  </si>
  <si>
    <t>{46.916-1.143}</t>
  </si>
  <si>
    <t>{39.863-6.883}</t>
  </si>
  <si>
    <t>{32.792-4.664}</t>
  </si>
  <si>
    <t>{166.883-1.093}</t>
  </si>
  <si>
    <t>{91.278-4.232}</t>
  </si>
  <si>
    <t>After W8</t>
  </si>
  <si>
    <t>WEEK EIGHT (new spread implementation)</t>
  </si>
  <si>
    <t>MRL Group A - Match 3 - 1st Leg</t>
  </si>
  <si>
    <t>MRL Group A - Match 3 - 2nd Leg</t>
  </si>
  <si>
    <t>MRL Group C - Match 3 - 1st Leg</t>
  </si>
  <si>
    <t>MRL Group C - Match 3 - 2nd Leg</t>
  </si>
  <si>
    <t>MRL Group E - Match 3 - 1st Leg</t>
  </si>
  <si>
    <t>MRL Group E - Match 3 - 2nd Leg</t>
  </si>
  <si>
    <t>MRL Group G - Match 3 - 1st Leg</t>
  </si>
  <si>
    <t>MRL Group G - Match 3 - 2nd Leg</t>
  </si>
  <si>
    <t>MRL Group B - Match 3 - 1st Leg</t>
  </si>
  <si>
    <t>MRL Group B - Match 3 - 2nd Leg</t>
  </si>
  <si>
    <t>MRL Group D - Match 3 - 1st Leg</t>
  </si>
  <si>
    <t>MRL Group D - Match 3 - 2nd Leg</t>
  </si>
  <si>
    <t>MRL Group F - Match 3 - 1st Leg</t>
  </si>
  <si>
    <t>MRL Group F - Match 3 - 2nd Leg</t>
  </si>
  <si>
    <t>MRL Group H - Match 3 - 1st Leg</t>
  </si>
  <si>
    <t>MRL Group H - Match 3 - 2nd Leg</t>
  </si>
  <si>
    <t>Matchday Ten</t>
  </si>
  <si>
    <t>Remaining</t>
  </si>
  <si>
    <t>Conference "Shields"?</t>
  </si>
  <si>
    <t>Conference Champion vs CCC Winners</t>
  </si>
  <si>
    <t>If double, automatic points</t>
  </si>
  <si>
    <t>Match vs Conference runner-up?</t>
  </si>
  <si>
    <t>Runner-up receives smaller amount for win</t>
  </si>
  <si>
    <t>Type-based Advantages per Gym?</t>
  </si>
  <si>
    <t>Some cities don't have gyms…</t>
  </si>
  <si>
    <t>Season 4 Wishlist</t>
  </si>
  <si>
    <t>Could get hard to make in Excel (type chart)</t>
  </si>
  <si>
    <t>MW13</t>
  </si>
  <si>
    <t>MW12</t>
  </si>
  <si>
    <t>MW11</t>
  </si>
  <si>
    <t>MW1</t>
  </si>
  <si>
    <t>MW2</t>
  </si>
  <si>
    <t>MW3</t>
  </si>
  <si>
    <t>MW4</t>
  </si>
  <si>
    <t>MW5</t>
  </si>
  <si>
    <t>MW6</t>
  </si>
  <si>
    <t>MW7</t>
  </si>
  <si>
    <t>MW8</t>
  </si>
  <si>
    <t>MW9</t>
  </si>
  <si>
    <t>MW10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</si>
  <si>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</si>
  <si>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</si>
  <si>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</si>
  <si>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</si>
  <si>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</si>
  <si>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</si>
  <si>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</si>
  <si>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</si>
  <si>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</si>
  <si>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</si>
  <si>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</si>
  <si>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</si>
  <si>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</si>
  <si>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MW14</t>
  </si>
  <si>
    <t>MW15</t>
  </si>
  <si>
    <t>MW16</t>
  </si>
  <si>
    <t>MW17</t>
  </si>
  <si>
    <t>MW18</t>
  </si>
  <si>
    <t>MW19</t>
  </si>
  <si>
    <t>MW20</t>
  </si>
  <si>
    <t>First Rnd</t>
  </si>
  <si>
    <t>{21.574-8.198}</t>
  </si>
  <si>
    <t>{38.679-32.204}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</si>
  <si>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- 20[8-11], Striaton wins 40-39 on agg.</t>
    </r>
  </si>
  <si>
    <t>{141.305-0}</t>
  </si>
  <si>
    <t>{31.487-14.428}</t>
  </si>
  <si>
    <t>Oldale wins 48-36 on agg.</t>
  </si>
  <si>
    <t>First Indigo Conference team to be #1</t>
  </si>
  <si>
    <t>First Lanakila Conference team to be #1</t>
  </si>
  <si>
    <t>{90.102-4.325}</t>
  </si>
  <si>
    <t>{48.156-8.744}</t>
  </si>
  <si>
    <t>Vaniville wins 61-27 on agg.</t>
  </si>
  <si>
    <t>D67 9/27</t>
  </si>
  <si>
    <t>{26.118-5.575}</t>
  </si>
  <si>
    <t>{101.877-0}</t>
  </si>
  <si>
    <t>Mauville wins 39-19 on agg.</t>
  </si>
  <si>
    <t>PF</t>
  </si>
  <si>
    <t>PA</t>
  </si>
  <si>
    <t>Goal Avg</t>
  </si>
  <si>
    <t>Exposure</t>
  </si>
  <si>
    <t>ConfWins</t>
  </si>
  <si>
    <t>Normal</t>
  </si>
  <si>
    <t>Grass</t>
  </si>
  <si>
    <t>Fire</t>
  </si>
  <si>
    <t>Water</t>
  </si>
  <si>
    <t>Electric</t>
  </si>
  <si>
    <t>Psychic</t>
  </si>
  <si>
    <t>Fighting</t>
  </si>
  <si>
    <t>Flying</t>
  </si>
  <si>
    <t>Poison</t>
  </si>
  <si>
    <t>Bug</t>
  </si>
  <si>
    <t>Steel</t>
  </si>
  <si>
    <t>Fairy</t>
  </si>
  <si>
    <t>Dragon</t>
  </si>
  <si>
    <t>Ice</t>
  </si>
  <si>
    <t>Ghost</t>
  </si>
  <si>
    <t>Rock</t>
  </si>
  <si>
    <t>Ground</t>
  </si>
  <si>
    <t>Special</t>
  </si>
  <si>
    <t>4 Water</t>
  </si>
  <si>
    <t>3 Normal</t>
  </si>
  <si>
    <t>2 Water</t>
  </si>
  <si>
    <t>4 Normal</t>
  </si>
  <si>
    <t>2 Normal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</si>
  <si>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- 19[11-9]</t>
    </r>
  </si>
  <si>
    <t>{48.574-0}</t>
  </si>
  <si>
    <t>{196.046-2.187}</t>
  </si>
  <si>
    <t>Snowpoint wins 53-34 on agg.</t>
  </si>
  <si>
    <t>{32.437-10.825}</t>
  </si>
  <si>
    <t>{36.273-15.109}</t>
  </si>
  <si>
    <t>Dewford wins 47-34 on agg.</t>
  </si>
  <si>
    <t>Midwest Pod</t>
  </si>
  <si>
    <t>Midwest</t>
  </si>
  <si>
    <t>South Pod</t>
  </si>
  <si>
    <t>South</t>
  </si>
  <si>
    <t>{38.297-10.508}</t>
  </si>
  <si>
    <t>{27.851-5.957}</t>
  </si>
  <si>
    <t>Fallarbor wins 49-31 on agg.</t>
  </si>
  <si>
    <t>{59.211-0}</t>
  </si>
  <si>
    <t>{22.523-19.712}</t>
  </si>
  <si>
    <t>Hammerlocke: MW 1pt @ 61:70, Hammerlocke wins 33-31 on agg.</t>
  </si>
  <si>
    <t>{44.392-9.096}</t>
  </si>
  <si>
    <t>{27.744-2.501}</t>
  </si>
  <si>
    <t>Lilycove wins 51-44 on agg.</t>
  </si>
  <si>
    <t>{101.585-0.11}</t>
  </si>
  <si>
    <t>{80.472-4.044}</t>
  </si>
  <si>
    <t>{124.561-2.198}</t>
  </si>
  <si>
    <t>Kala'e wins 50-19 on agg.</t>
  </si>
  <si>
    <t>{54.014-8.668}</t>
  </si>
  <si>
    <t>Fuchsia wins 63-21 on agg.</t>
  </si>
  <si>
    <t>{35.448-17.246}</t>
  </si>
  <si>
    <t>{41.443-0}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</si>
  <si>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- 32[12-17], Fortree wins 35-33[3-1] on agg.</t>
    </r>
  </si>
  <si>
    <t>{79.231-0}</t>
  </si>
  <si>
    <t>{79.176-7.686}</t>
  </si>
  <si>
    <t>D69 9/30</t>
  </si>
  <si>
    <t>D68 9/29</t>
  </si>
  <si>
    <t>{34.657-11.359}</t>
  </si>
  <si>
    <t>{47.387-3.235}</t>
  </si>
  <si>
    <t>South Lakes wins 31-27 on agg.</t>
  </si>
  <si>
    <t>{56.772-5.583}</t>
  </si>
  <si>
    <t>{60.239-2.009}</t>
  </si>
  <si>
    <t>Poni wins 32-29 on agg.</t>
  </si>
  <si>
    <t>{142.36-0}</t>
  </si>
  <si>
    <t>{41.535-2.506}</t>
  </si>
  <si>
    <t>Mahogany wins 37-15 on agg.</t>
  </si>
  <si>
    <t>Highest Ranking (unless within 5 positions)</t>
  </si>
  <si>
    <t>Head to Head (again with new tied teams)</t>
  </si>
  <si>
    <t>Move to A or C when and if appropriate</t>
  </si>
  <si>
    <t>{30.44-8.277}</t>
  </si>
  <si>
    <t>{44.191-6.616}</t>
  </si>
  <si>
    <t>D70 10/1</t>
  </si>
  <si>
    <t>Humilau wins 55-31 on agg.</t>
  </si>
  <si>
    <t>{23.256-10.573}</t>
  </si>
  <si>
    <t>{124.814-0}</t>
  </si>
  <si>
    <t>Heahea wins 37-28 on agg.</t>
  </si>
  <si>
    <t>{42.823-3.082}</t>
  </si>
  <si>
    <t>{27.968-13.91}</t>
  </si>
  <si>
    <t>Veilstone wins 57-35 on agg.</t>
  </si>
  <si>
    <t>{35.535-8.254}</t>
  </si>
  <si>
    <t>{38.808-8.371}</t>
  </si>
  <si>
    <t>Spikemuth wins 32-26 on agg.</t>
  </si>
  <si>
    <t>W(2.25)</t>
  </si>
  <si>
    <t>CW(1.5)</t>
  </si>
  <si>
    <t>PFor(1)</t>
  </si>
  <si>
    <t>PAgt(1)</t>
  </si>
  <si>
    <t>Gav(.75)</t>
  </si>
  <si>
    <t>SOS(1)</t>
  </si>
  <si>
    <t>SOV(1)</t>
  </si>
  <si>
    <t>DScr(1)</t>
  </si>
  <si>
    <t>Cup{.75)</t>
  </si>
  <si>
    <t>MIDWEEK RANKING (revised rating formula)</t>
  </si>
  <si>
    <t>W8</t>
  </si>
  <si>
    <t>Wk 8</t>
  </si>
  <si>
    <t>Wk 7</t>
  </si>
  <si>
    <t>New Form</t>
  </si>
  <si>
    <t>PS</t>
  </si>
  <si>
    <t>W1</t>
  </si>
  <si>
    <t>W3</t>
  </si>
  <si>
    <t>W4</t>
  </si>
  <si>
    <t>W6</t>
  </si>
  <si>
    <t>NF</t>
  </si>
  <si>
    <t>{129.454-0}</t>
  </si>
  <si>
    <t>{30.45-16.485}</t>
  </si>
  <si>
    <t>D71 10/3</t>
  </si>
  <si>
    <t>New Rating Formula Instituted</t>
  </si>
  <si>
    <t>{20.178-0}</t>
  </si>
  <si>
    <t>{27.318-17.154}</t>
  </si>
  <si>
    <t>Anville wins 40-20 on agg.</t>
  </si>
  <si>
    <t>{45.058-5.741}</t>
  </si>
  <si>
    <t>{28.411-34.803}</t>
  </si>
  <si>
    <t>{51.417-16.167}</t>
  </si>
  <si>
    <t>{109.915-0}</t>
  </si>
  <si>
    <t>Resort wins 42-22 on agg.</t>
  </si>
  <si>
    <t>WCS Fifth Round - 1st Leg</t>
  </si>
  <si>
    <t>WCS Fifth Round - 2nd Leg</t>
  </si>
  <si>
    <t>UTL Group A - Match 3 - 1st Leg</t>
  </si>
  <si>
    <t>UTL Group A - Match 3 - 2nd Leg</t>
  </si>
  <si>
    <t>UTL Group C - Match 3 - 1st Leg</t>
  </si>
  <si>
    <t>UTL Group C - Match 3 - 2nd Leg</t>
  </si>
  <si>
    <t>UTL Group E - Match 3 - 1st Leg</t>
  </si>
  <si>
    <t>UTL Group E - Match 3 - 2nd Leg</t>
  </si>
  <si>
    <t>UTL Group B - Match 3 - 1st Leg</t>
  </si>
  <si>
    <t>UTL Group B - Match 3 - 2nd Leg</t>
  </si>
  <si>
    <t>UTL Group D - Match 3 - 1st Leg</t>
  </si>
  <si>
    <t>UTL Group D - Match 3 - 2nd Leg</t>
  </si>
  <si>
    <t>UTL Group F - Match 3 - 1st Leg</t>
  </si>
  <si>
    <t>UTL Group F - Match 3 - 2nd Leg</t>
  </si>
  <si>
    <t>MRL Round of 16 - 1st Leg</t>
  </si>
  <si>
    <t>MRL Round of 16 - 2nd Leg</t>
  </si>
  <si>
    <t>UTL Round of 20 - 1st Leg</t>
  </si>
  <si>
    <t>UTL Round of 20 - 2nd Leg</t>
  </si>
  <si>
    <t>WCS Round of 16 - 1st Leg</t>
  </si>
  <si>
    <t>WCS Round of 16 - 2nd Leg</t>
  </si>
  <si>
    <t>UTL Round of 16 - 1st Leg</t>
  </si>
  <si>
    <t>UTL Round of 16 - 2nd Leg</t>
  </si>
  <si>
    <t>WCS Quarterfinal - 1st Leg</t>
  </si>
  <si>
    <t>WCS Quarterfinal - 2nd Leg</t>
  </si>
  <si>
    <t>MRL Quarterfinal - 1st Leg</t>
  </si>
  <si>
    <t>MRL Quarterfinal - 2nd Leg</t>
  </si>
  <si>
    <t>UTL Quarterfinal - 1st Leg</t>
  </si>
  <si>
    <t>UTL Quarterfinal - 2nd Leg</t>
  </si>
  <si>
    <t>WCS Semifinal - 1st Leg</t>
  </si>
  <si>
    <t>WCS Semifinal - 2nd Leg</t>
  </si>
  <si>
    <t>MRL Semifinal - 1st Leg</t>
  </si>
  <si>
    <t>MRL Semifinal - 2nd Leg</t>
  </si>
  <si>
    <t>UTL Semifinal - 1st Leg</t>
  </si>
  <si>
    <t>UTL Semifinal - 2nd Leg</t>
  </si>
  <si>
    <t>WCS Championship - 1st Leg</t>
  </si>
  <si>
    <t>WCS Championship - 2nd Leg</t>
  </si>
  <si>
    <t>MRL Championship - 1st Leg</t>
  </si>
  <si>
    <t>MRL Championship - 2nd Leg</t>
  </si>
  <si>
    <t>UTL Championship - 1st Leg</t>
  </si>
  <si>
    <t>UTL Championship - 2nd Leg</t>
  </si>
  <si>
    <t>{40.316-7.701}</t>
  </si>
  <si>
    <t>D72 10/7</t>
  </si>
  <si>
    <t>{101.193-6.046}</t>
  </si>
  <si>
    <t>Striaton wins 45-30 on agg.</t>
  </si>
  <si>
    <t>{88.607-3.835}</t>
  </si>
  <si>
    <t>{19.618-19.236}</t>
  </si>
  <si>
    <t>OTs?</t>
  </si>
  <si>
    <t>{34.049-7.013}</t>
  </si>
  <si>
    <t>{50.874-3.946}</t>
  </si>
  <si>
    <t>Malie wins 40-29 on agg.</t>
  </si>
  <si>
    <t>Fortree wins 30-28 on agg.</t>
  </si>
  <si>
    <t>{70.658-1.973}</t>
  </si>
  <si>
    <t>{22.241-13.512}</t>
  </si>
  <si>
    <t>All AggOT will now be played as two 10' halves, then single period extras if nec.</t>
  </si>
  <si>
    <t>Vermilion wins 27-26 on agg.</t>
  </si>
  <si>
    <t>AgIN</t>
  </si>
  <si>
    <t>{105.659-0}</t>
  </si>
  <si>
    <t>{65.747-5.403}</t>
  </si>
  <si>
    <t>Hokulani wins 49-33 on agg.</t>
  </si>
  <si>
    <t>{45.41-13.437}</t>
  </si>
  <si>
    <t>{42.705-12.274}</t>
  </si>
  <si>
    <t>Laverre wins 65-33 on agg.</t>
  </si>
  <si>
    <t>{54.198-7.394}</t>
  </si>
  <si>
    <t>{102.904-6.017}</t>
  </si>
  <si>
    <t>Veilstone wins 60-25 on agg.</t>
  </si>
  <si>
    <t>{45.539-5.088}</t>
  </si>
  <si>
    <t>{45.05-0}</t>
  </si>
  <si>
    <t>Fallarbor wins 43-36 on agg.</t>
  </si>
  <si>
    <t>Round of 20 Clinches</t>
  </si>
  <si>
    <t>Veilstone (Group F)</t>
  </si>
  <si>
    <t>Striaton (Group E) with draw or better</t>
  </si>
  <si>
    <t>Malie (Group E) with draw or better</t>
  </si>
  <si>
    <t>If less than 1, +1-x</t>
  </si>
  <si>
    <t>If 1 or more, -x+1</t>
  </si>
  <si>
    <t>If less than 1, x</t>
  </si>
  <si>
    <t>If 1 or more, x</t>
  </si>
  <si>
    <t>2.25+.75=3</t>
  </si>
  <si>
    <t>.75-.25=.5</t>
  </si>
  <si>
    <t>Time</t>
  </si>
  <si>
    <t>Period</t>
  </si>
  <si>
    <t>&lt;Left</t>
  </si>
  <si>
    <t>Right&gt;</t>
  </si>
  <si>
    <t>Raw Time</t>
  </si>
  <si>
    <t>Scores H</t>
  </si>
  <si>
    <t>Scores A</t>
  </si>
  <si>
    <t>Mins Led</t>
  </si>
  <si>
    <t>Leads A</t>
  </si>
  <si>
    <t>Leads H</t>
  </si>
  <si>
    <t>Stoppages</t>
  </si>
  <si>
    <t>Min Pts A</t>
  </si>
  <si>
    <t>Min Pts H</t>
  </si>
  <si>
    <t>Aces/KRs</t>
  </si>
  <si>
    <t>Time Led</t>
  </si>
  <si>
    <t>Led by</t>
  </si>
  <si>
    <t>Led/Mins</t>
  </si>
  <si>
    <t>Goals are no longer allowed to be stamped at the same time</t>
  </si>
  <si>
    <t>Avg Led By</t>
  </si>
  <si>
    <t>{94.124-0.131}</t>
  </si>
  <si>
    <t>New D-Score Formula Instituted</t>
  </si>
  <si>
    <t>(Time Led and Average Led By)</t>
  </si>
  <si>
    <t>{39.053-11.426}</t>
  </si>
  <si>
    <t>{72.345-8.283}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</si>
  <si>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- 18[9-6]</t>
    </r>
  </si>
  <si>
    <t>{12.741-31.289}</t>
  </si>
  <si>
    <t>MW0</t>
  </si>
  <si>
    <t>SuperCup</t>
  </si>
  <si>
    <t>HyperCup</t>
  </si>
  <si>
    <t>ConfShld</t>
  </si>
  <si>
    <t>Duplicate Checker</t>
  </si>
  <si>
    <t>{30.934-8.486}</t>
  </si>
  <si>
    <t>W9 - Celadon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</si>
  <si>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- 13[5-5], Lacunosa: GT 4pt+1 @ 55:50, Celadon: GW 2pt @ 63:20</t>
    </r>
  </si>
  <si>
    <t>{25.055-18.801}</t>
  </si>
  <si>
    <t>{55.261-2.245}</t>
  </si>
  <si>
    <t>{17.762-15.249}</t>
  </si>
  <si>
    <t>D73 10/8</t>
  </si>
  <si>
    <t>D74 10/10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</si>
  <si>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- 13[5-7]</t>
    </r>
  </si>
  <si>
    <t>{17.79-14.475}</t>
  </si>
  <si>
    <t>{56.43-7.097}</t>
  </si>
  <si>
    <t>{27.603-5.874}</t>
  </si>
  <si>
    <t>{107.686-2.092}</t>
  </si>
  <si>
    <t>{41.108-12.326}</t>
  </si>
  <si>
    <t>{43.275-41.564}</t>
  </si>
  <si>
    <t>Possibly highest losing D-Score on record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</si>
  <si>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- 20[8-13], Seafolk: GT 3pt# @ 66:70 in reg.</t>
    </r>
  </si>
  <si>
    <t>{47.474-25.08}</t>
  </si>
  <si>
    <t>D75 10/13</t>
  </si>
  <si>
    <t>{35.53-8.822}</t>
  </si>
  <si>
    <t>{143.224-1.667}</t>
  </si>
  <si>
    <t>[4-11]</t>
  </si>
  <si>
    <t>{17.494-39.209}</t>
  </si>
  <si>
    <t>{32.656-14.975}</t>
  </si>
  <si>
    <t>{28.84-20.753}</t>
  </si>
  <si>
    <t>Aether: GW 2pt! @ 62:50</t>
  </si>
  <si>
    <t>{45.051-14.197}</t>
  </si>
  <si>
    <t>{95.915-7.363}</t>
  </si>
  <si>
    <t>{76.827-7.623}</t>
  </si>
  <si>
    <t>{27.981-3.021}</t>
  </si>
  <si>
    <t>{166.403-0}</t>
  </si>
  <si>
    <t>D76 10/14</t>
  </si>
  <si>
    <t>{415.863-0}</t>
  </si>
  <si>
    <t>{18.396-16.816}</t>
  </si>
  <si>
    <t>{86.79-7.957}</t>
  </si>
  <si>
    <t>Saffron: GW 2pt+1 @ 64:10</t>
  </si>
  <si>
    <t>{52.802-18.481}</t>
  </si>
  <si>
    <t>{73.359-6.28}</t>
  </si>
  <si>
    <t>{57.747-6.367}</t>
  </si>
  <si>
    <t>{48.627-5.212}</t>
  </si>
  <si>
    <t>{85.512-2.783}</t>
  </si>
  <si>
    <t>D77 10/15</t>
  </si>
  <si>
    <t>{25.489-21.507}</t>
  </si>
  <si>
    <t>{77.646-7.288}</t>
  </si>
  <si>
    <t>{74.293-7.255}</t>
  </si>
  <si>
    <t>{70.279-6.047}</t>
  </si>
  <si>
    <t>{21.794-24.834}</t>
  </si>
  <si>
    <t>{99.125-2.947}</t>
  </si>
  <si>
    <t>{113.64-5.273}</t>
  </si>
  <si>
    <t>{145.501-4.105}</t>
  </si>
  <si>
    <t>{45.961-3.848}</t>
  </si>
  <si>
    <t>{47.887-16.551}</t>
  </si>
  <si>
    <t>{87.537-6.05}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</si>
  <si>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- 14[5-5]</t>
    </r>
  </si>
  <si>
    <t>{67.367-0}</t>
  </si>
  <si>
    <t>Kala'e: GW 2pt @ 57:60 to avoid upset</t>
  </si>
  <si>
    <t>{42.942-26.912}</t>
  </si>
  <si>
    <t>D78 10/17</t>
  </si>
  <si>
    <t>{81.943-7.094}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</si>
  <si>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- 20[9-10], 20[9-10], no scoring in first overtime</t>
    </r>
  </si>
  <si>
    <t>{51.63-35.634}</t>
  </si>
  <si>
    <t>{43.929-0}</t>
  </si>
  <si>
    <t>Celestic: GW 1pt+1 @ 60:50</t>
  </si>
  <si>
    <t>{62.293-8.123}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</si>
  <si>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- 14[7-6]</t>
    </r>
  </si>
  <si>
    <t>{24.422-37.092}</t>
  </si>
  <si>
    <t>{218.92-0.881}</t>
  </si>
  <si>
    <t>D79 10/20</t>
  </si>
  <si>
    <t>{91.086-3.511}</t>
  </si>
  <si>
    <t>{76.329-13.607}</t>
  </si>
  <si>
    <t>{106.724-3.775}</t>
  </si>
  <si>
    <t>{182.46-3.67}</t>
  </si>
  <si>
    <t>After W9</t>
  </si>
  <si>
    <t>W9</t>
  </si>
  <si>
    <t>WEEK NINE (new D-Score formula)</t>
  </si>
  <si>
    <t>{137.523-4.001}</t>
  </si>
  <si>
    <t>{130.271-6.825}</t>
  </si>
  <si>
    <t>M+A</t>
  </si>
  <si>
    <t>Solaceon wins 65-24 on agg.</t>
  </si>
  <si>
    <t>{76.16-2.589}</t>
  </si>
  <si>
    <t>{132.467-7.229}</t>
  </si>
  <si>
    <t>D80 10/21</t>
  </si>
  <si>
    <t>Lumiose wins 34-24 on agg.</t>
  </si>
  <si>
    <t>{134.294-10.354}</t>
  </si>
  <si>
    <t>{350.738-2.063}</t>
  </si>
  <si>
    <t>Most lopsided spread on record, scoring record (47, 81), Castelia wins 81-22 on agg.</t>
  </si>
  <si>
    <t>{663.406-0}</t>
  </si>
  <si>
    <t>{44.222-3.034}</t>
  </si>
  <si>
    <t>AgM</t>
  </si>
  <si>
    <t>Slateport wins 50-12 on agg.</t>
  </si>
  <si>
    <t>Viridian: GW 2pt+1 @ 60:00</t>
  </si>
  <si>
    <t>{15.353-17.288}</t>
  </si>
  <si>
    <t>{88.338-1.844}</t>
  </si>
  <si>
    <t>Viridian wins 44-28 on agg.</t>
  </si>
  <si>
    <t>Undella: GW 2pt @ 59:80</t>
  </si>
  <si>
    <t>{19.279-26.018}</t>
  </si>
  <si>
    <t>{35.762-16.526}</t>
  </si>
  <si>
    <t>Anistar wins 35-31 on agg.</t>
  </si>
  <si>
    <t>MRL&gt;UTL</t>
  </si>
  <si>
    <t>6 wins</t>
  </si>
  <si>
    <t>5 wins</t>
  </si>
  <si>
    <t>A2 (4-2)</t>
  </si>
  <si>
    <t>A1 (5-1)</t>
  </si>
  <si>
    <t>C1 (5-1)</t>
  </si>
  <si>
    <t>E1 (4-2)</t>
  </si>
  <si>
    <t>C2 (4-2)</t>
  </si>
  <si>
    <t>E2 (4-2)</t>
  </si>
  <si>
    <t>{25.287-31.345}</t>
  </si>
  <si>
    <t>D81 10/22</t>
  </si>
  <si>
    <t>{29.051-17.158}</t>
  </si>
  <si>
    <t>Goldenrod wins 34-32 on agg.</t>
  </si>
  <si>
    <t>G2 (3-3)</t>
  </si>
  <si>
    <t>Ind.</t>
  </si>
  <si>
    <t>Del.</t>
  </si>
  <si>
    <t>Vert.</t>
  </si>
  <si>
    <t>Kal.</t>
  </si>
  <si>
    <t>Lana.</t>
  </si>
  <si>
    <t>Dyna.</t>
  </si>
  <si>
    <t>{169.302-2.29}</t>
  </si>
  <si>
    <t>{43.362-16.6}</t>
  </si>
  <si>
    <t>Sandgem: GW 3pt @ 59:80, Vaniville wins 40-25 on agg.</t>
  </si>
  <si>
    <t>G1 (5-1)</t>
  </si>
  <si>
    <t>{49.652-10.104}</t>
  </si>
  <si>
    <t>D82 11/14</t>
  </si>
  <si>
    <t>{36.497-20.826}</t>
  </si>
  <si>
    <t>Rustboro: GW 3pt# @ 61:40, Rustboro wins 31-23 on agg.</t>
  </si>
  <si>
    <t>{244.162-2.288}</t>
  </si>
  <si>
    <t>{161.441-8.605}</t>
  </si>
  <si>
    <t>Cinnabar wins 64-18 on agg.</t>
  </si>
  <si>
    <t>B2 (5-1)</t>
  </si>
  <si>
    <t>B1 (5-1)</t>
  </si>
  <si>
    <t>D-SCORE RECORD, Two-legged match between two top-5 teams</t>
  </si>
  <si>
    <t>Lily V.</t>
  </si>
  <si>
    <t>1 at 4</t>
  </si>
  <si>
    <t>3 at 1</t>
  </si>
  <si>
    <t>1 at 2</t>
  </si>
  <si>
    <t>4 at 1</t>
  </si>
  <si>
    <t>2 at 1</t>
  </si>
  <si>
    <t>1 at 3</t>
  </si>
  <si>
    <t>2 at 3</t>
  </si>
  <si>
    <t>4 at 2</t>
  </si>
  <si>
    <t>3 at 4</t>
  </si>
  <si>
    <t>4 at 3</t>
  </si>
  <si>
    <t>3 at 2</t>
  </si>
  <si>
    <t>2 at 4</t>
  </si>
  <si>
    <t>Possible Future Group Schedule</t>
  </si>
  <si>
    <t>WL, Conf WL, Spec WL (1/2)</t>
  </si>
  <si>
    <t>Move all calculating (gold) columns to the right</t>
  </si>
  <si>
    <t>Have two separate sets of PF, PA, Goals, SOS, EXP, D-Score</t>
  </si>
  <si>
    <t>that can be hidden and unhidden as needed</t>
  </si>
  <si>
    <t>Add more calculating columns (gold) as needed</t>
  </si>
  <si>
    <t>We could abolish the AGG calculator,</t>
  </si>
  <si>
    <t>all matches could be entered individually</t>
  </si>
  <si>
    <t>Any two-legged ties needing overtime can have their</t>
  </si>
  <si>
    <t>raw points added, except EXP (+2) and D-Score</t>
  </si>
  <si>
    <t>Most importantly, this would allow two-legged ties</t>
  </si>
  <si>
    <t xml:space="preserve">to not be played back to back </t>
  </si>
  <si>
    <t>{51.808-23.518}</t>
  </si>
  <si>
    <t>{132.939-10.979}</t>
  </si>
  <si>
    <t>Postwick wins 57-28 on agg.</t>
  </si>
  <si>
    <t>{80.09-6.425}</t>
  </si>
  <si>
    <t>{56.151-21.368}</t>
  </si>
  <si>
    <t>Kala'e wins 48-31 on agg.</t>
  </si>
  <si>
    <t>D2 (4-2)</t>
  </si>
  <si>
    <t>D1 (5-1)</t>
  </si>
  <si>
    <t>{50.945-3.286}</t>
  </si>
  <si>
    <t>{100.765-7.634}</t>
  </si>
  <si>
    <t>Virbank wins 54-25 on agg.</t>
  </si>
  <si>
    <t>{169.816-1.992}</t>
  </si>
  <si>
    <t>{28.066-30.706}</t>
  </si>
  <si>
    <t>Dewford wins 60-31 on agg.</t>
  </si>
  <si>
    <t>F2 (5-1)</t>
  </si>
  <si>
    <t>F1 (5-1)</t>
  </si>
  <si>
    <t>{41.706-22.083}</t>
  </si>
  <si>
    <t>{140.509-0}</t>
  </si>
  <si>
    <t>Geosenge wins 35-25 on agg.</t>
  </si>
  <si>
    <t>{147.144-6.105}</t>
  </si>
  <si>
    <t>{56.01-8.378}</t>
  </si>
  <si>
    <t>Humilau wins 61-24 on agg.</t>
  </si>
  <si>
    <t>H2 (4-2)</t>
  </si>
  <si>
    <t>H1 (5-1)</t>
  </si>
  <si>
    <t>M1 (3-3)</t>
  </si>
  <si>
    <t>M2 (3-3)</t>
  </si>
  <si>
    <t>M3 (3-3)</t>
  </si>
  <si>
    <t>M4 (2-4)</t>
  </si>
  <si>
    <t>(Sinnoh)</t>
  </si>
  <si>
    <t>(Alola)</t>
  </si>
  <si>
    <t>LilyValley</t>
  </si>
  <si>
    <t>(Lanakila)</t>
  </si>
  <si>
    <t>Distance traveled factoring into fatigue?</t>
  </si>
  <si>
    <t>Plane</t>
  </si>
  <si>
    <t>Delta, Indigo, Lily Valley</t>
  </si>
  <si>
    <t>Vertress, Dynamax, Kalosite</t>
  </si>
  <si>
    <t>Intraconf</t>
  </si>
  <si>
    <t>Nearby</t>
  </si>
  <si>
    <t>Long Trip</t>
  </si>
  <si>
    <t>Dynamax, Kalosite</t>
  </si>
  <si>
    <t>Lanakila, Delta, Indigo, Lily Valley</t>
  </si>
  <si>
    <t>Delta/Indigo/LilyValley</t>
  </si>
  <si>
    <t>Other Two</t>
  </si>
  <si>
    <t>WCS Losing Semifinalists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</si>
  <si>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- 11[5-4]</t>
    </r>
  </si>
  <si>
    <t>{72.355-2.13}</t>
  </si>
  <si>
    <t>{115.597-9.07}</t>
  </si>
  <si>
    <t>D83 12/1</t>
  </si>
  <si>
    <t>{66.316-17.786}</t>
  </si>
  <si>
    <t>Cinnabar wins 35-29 on agg.</t>
  </si>
  <si>
    <t>{55.74-14.295}</t>
  </si>
  <si>
    <t>Cianwood wins 50-29 on agg.</t>
  </si>
  <si>
    <t>Solaceon Town (Lily Valley)</t>
  </si>
  <si>
    <t>CIA</t>
  </si>
  <si>
    <t>LUM</t>
  </si>
  <si>
    <t>SOL</t>
  </si>
  <si>
    <t>VER</t>
  </si>
  <si>
    <t>19-11</t>
  </si>
  <si>
    <t>23-20</t>
  </si>
  <si>
    <t>28-9</t>
  </si>
  <si>
    <t>23-24</t>
  </si>
  <si>
    <t>35-26</t>
  </si>
  <si>
    <t>16-33</t>
  </si>
  <si>
    <t>27-21</t>
  </si>
  <si>
    <t>9-17</t>
  </si>
  <si>
    <t>9-26</t>
  </si>
  <si>
    <t>39-15</t>
  </si>
  <si>
    <t>14-8</t>
  </si>
  <si>
    <t>26-10</t>
  </si>
  <si>
    <t>Anistar City (Kalosite)</t>
  </si>
  <si>
    <t>Paniola Town (Lanakila)</t>
  </si>
  <si>
    <t>CAS</t>
  </si>
  <si>
    <t>SLA</t>
  </si>
  <si>
    <t>TWI</t>
  </si>
  <si>
    <t>SAN</t>
  </si>
  <si>
    <t>VIR</t>
  </si>
  <si>
    <t>UND</t>
  </si>
  <si>
    <t>ANI</t>
  </si>
  <si>
    <t>ISL</t>
  </si>
  <si>
    <t>VAN</t>
  </si>
  <si>
    <t>GOL</t>
  </si>
  <si>
    <t>PAN</t>
  </si>
  <si>
    <t>CIN</t>
  </si>
  <si>
    <t>RUS</t>
  </si>
  <si>
    <t>ORE</t>
  </si>
  <si>
    <t>NIM</t>
  </si>
  <si>
    <t>KAL</t>
  </si>
  <si>
    <t>POS</t>
  </si>
  <si>
    <t>LIL</t>
  </si>
  <si>
    <t>MAH</t>
  </si>
  <si>
    <t>DEW</t>
  </si>
  <si>
    <t>SEA</t>
  </si>
  <si>
    <t>CIR</t>
  </si>
  <si>
    <t>HUM</t>
  </si>
  <si>
    <t>GEO</t>
  </si>
  <si>
    <t>SPI</t>
  </si>
  <si>
    <t>POT</t>
  </si>
  <si>
    <t>at 1</t>
  </si>
  <si>
    <t>at 2</t>
  </si>
  <si>
    <t>at 3</t>
  </si>
  <si>
    <t>at 4</t>
  </si>
  <si>
    <t>R O U N D   O F   S I X T E E N</t>
  </si>
  <si>
    <t>Q U A R T E R F I N A L</t>
  </si>
  <si>
    <t>S E M I F I N A L</t>
  </si>
  <si>
    <t>M R L   C H A M P I O N S H I P</t>
  </si>
  <si>
    <t>P L A Y - I N   R O U N D</t>
  </si>
  <si>
    <t>S3</t>
  </si>
  <si>
    <t>S4</t>
  </si>
  <si>
    <t>S6</t>
  </si>
  <si>
    <t>M8</t>
  </si>
  <si>
    <t>M7</t>
  </si>
  <si>
    <t>S5</t>
  </si>
  <si>
    <t>M6</t>
  </si>
  <si>
    <t>M5</t>
  </si>
  <si>
    <t>17-22</t>
  </si>
  <si>
    <t>11-8</t>
  </si>
  <si>
    <t>9-24</t>
  </si>
  <si>
    <t>13-11</t>
  </si>
  <si>
    <t>21-4</t>
  </si>
  <si>
    <t>17-9</t>
  </si>
  <si>
    <t>21-19</t>
  </si>
  <si>
    <t>11-16</t>
  </si>
  <si>
    <t>13-17</t>
  </si>
  <si>
    <t>19-9</t>
  </si>
  <si>
    <t>10-15</t>
  </si>
  <si>
    <t>21-6</t>
  </si>
  <si>
    <t>18-13</t>
  </si>
  <si>
    <t>6-13</t>
  </si>
  <si>
    <t>9-14</t>
  </si>
  <si>
    <t>18-16</t>
  </si>
  <si>
    <t>23-15</t>
  </si>
  <si>
    <t>16-8</t>
  </si>
  <si>
    <t>7-27</t>
  </si>
  <si>
    <t>8-17</t>
  </si>
  <si>
    <t>19-16</t>
  </si>
  <si>
    <t>11-13</t>
  </si>
  <si>
    <t>19-17</t>
  </si>
  <si>
    <t>12-20</t>
  </si>
  <si>
    <t>12-11</t>
  </si>
  <si>
    <t>16-13</t>
  </si>
  <si>
    <t>27-15</t>
  </si>
  <si>
    <t>15-14</t>
  </si>
  <si>
    <t>26-17</t>
  </si>
  <si>
    <t>17-21</t>
  </si>
  <si>
    <t>18-9</t>
  </si>
  <si>
    <t>12-13</t>
  </si>
  <si>
    <t>13-12</t>
  </si>
  <si>
    <t>17-8</t>
  </si>
  <si>
    <t>25-2</t>
  </si>
  <si>
    <t>16-20</t>
  </si>
  <si>
    <t>23-19</t>
  </si>
  <si>
    <t>25-17</t>
  </si>
  <si>
    <t>9-13</t>
  </si>
  <si>
    <t>25-16</t>
  </si>
  <si>
    <t>28-2</t>
  </si>
  <si>
    <t>10-26</t>
  </si>
  <si>
    <t>17-11</t>
  </si>
  <si>
    <t>13-15</t>
  </si>
  <si>
    <t>5-25</t>
  </si>
  <si>
    <t>24-15</t>
  </si>
  <si>
    <t>36-9</t>
  </si>
  <si>
    <t>17-30</t>
  </si>
  <si>
    <t>21-17</t>
  </si>
  <si>
    <t>22-16</t>
  </si>
  <si>
    <t>1-20</t>
  </si>
  <si>
    <t>15-12</t>
  </si>
  <si>
    <t>12-34</t>
  </si>
  <si>
    <t>47-10</t>
  </si>
  <si>
    <t>4-33</t>
  </si>
  <si>
    <t>17-18</t>
  </si>
  <si>
    <t>4-19</t>
  </si>
  <si>
    <t>20-10</t>
  </si>
  <si>
    <t>18-20</t>
  </si>
  <si>
    <t>24-10</t>
  </si>
  <si>
    <t>16-17</t>
  </si>
  <si>
    <t>14-19</t>
  </si>
  <si>
    <t>15-16</t>
  </si>
  <si>
    <t>16-19</t>
  </si>
  <si>
    <t>23-6</t>
  </si>
  <si>
    <t>17-15</t>
  </si>
  <si>
    <t>8-14</t>
  </si>
  <si>
    <t>33-12</t>
  </si>
  <si>
    <t>6-31</t>
  </si>
  <si>
    <t>13-23</t>
  </si>
  <si>
    <t>34-15</t>
  </si>
  <si>
    <t>14-24</t>
  </si>
  <si>
    <t>24-17</t>
  </si>
  <si>
    <t>11-23</t>
  </si>
  <si>
    <t>31-14</t>
  </si>
  <si>
    <t>35-11</t>
  </si>
  <si>
    <t>20-25</t>
  </si>
  <si>
    <t>18-17</t>
  </si>
  <si>
    <t>18-7</t>
  </si>
  <si>
    <t>28-13</t>
  </si>
  <si>
    <t>11-33</t>
  </si>
  <si>
    <t>ANV</t>
  </si>
  <si>
    <t>WED</t>
  </si>
  <si>
    <t>CEL</t>
  </si>
  <si>
    <t>CYL</t>
  </si>
  <si>
    <t>RES</t>
  </si>
  <si>
    <t>NAC</t>
  </si>
  <si>
    <t>OLI</t>
  </si>
  <si>
    <t>AQU</t>
  </si>
  <si>
    <t>STR</t>
  </si>
  <si>
    <t>MAL</t>
  </si>
  <si>
    <t>WYN</t>
  </si>
  <si>
    <t>OLD</t>
  </si>
  <si>
    <t>HUL</t>
  </si>
  <si>
    <t>FLO</t>
  </si>
  <si>
    <t>EXE</t>
  </si>
  <si>
    <t>FOR</t>
  </si>
  <si>
    <t>LAV</t>
  </si>
  <si>
    <t>HOK</t>
  </si>
  <si>
    <t>STO</t>
  </si>
  <si>
    <t>AZA</t>
  </si>
  <si>
    <t>VEI</t>
  </si>
  <si>
    <t>FAL</t>
  </si>
  <si>
    <t>SAF</t>
  </si>
  <si>
    <t>HAU</t>
  </si>
  <si>
    <t>24-5</t>
  </si>
  <si>
    <t>6-7</t>
  </si>
  <si>
    <t>22-19</t>
  </si>
  <si>
    <t>24-21</t>
  </si>
  <si>
    <t>21-14</t>
  </si>
  <si>
    <t>8-21</t>
  </si>
  <si>
    <t>16-18</t>
  </si>
  <si>
    <t>27-14</t>
  </si>
  <si>
    <t>16-26</t>
  </si>
  <si>
    <t>14-13</t>
  </si>
  <si>
    <t>15-10</t>
  </si>
  <si>
    <t>20-13</t>
  </si>
  <si>
    <t>27-29</t>
  </si>
  <si>
    <t>15-17</t>
  </si>
  <si>
    <t>19-25</t>
  </si>
  <si>
    <t>24-14</t>
  </si>
  <si>
    <t>16-32</t>
  </si>
  <si>
    <t>33-17</t>
  </si>
  <si>
    <t>13-25</t>
  </si>
  <si>
    <t>35-12</t>
  </si>
  <si>
    <t>12-22</t>
  </si>
  <si>
    <t>17-10</t>
  </si>
  <si>
    <t>18-11</t>
  </si>
  <si>
    <t>14-15</t>
  </si>
  <si>
    <t>3-13</t>
  </si>
  <si>
    <t>14-16</t>
  </si>
  <si>
    <t>11-15</t>
  </si>
  <si>
    <t>20-3</t>
  </si>
  <si>
    <t>21-13</t>
  </si>
  <si>
    <t>19-6</t>
  </si>
  <si>
    <t>20-19</t>
  </si>
  <si>
    <t>13-16</t>
  </si>
  <si>
    <t>15-13</t>
  </si>
  <si>
    <t>23-25</t>
  </si>
  <si>
    <t>26-11</t>
  </si>
  <si>
    <t>10-19</t>
  </si>
  <si>
    <t>17-12</t>
  </si>
  <si>
    <t>18-15</t>
  </si>
  <si>
    <t>U T L   C H A M P I O N S H I P</t>
  </si>
  <si>
    <t>Tiebreakers: PD, H2H, H2H PD, PF</t>
  </si>
  <si>
    <t>D84 12/2</t>
  </si>
  <si>
    <t>{71.877-8.712}</t>
  </si>
  <si>
    <t>{100.967-7.454}</t>
  </si>
  <si>
    <t>Dewford wins 37-32 on agg.</t>
  </si>
  <si>
    <t>{271.796-0.757}</t>
  </si>
  <si>
    <t>{73.079-11.599}</t>
  </si>
  <si>
    <t>Rustboro wins 49-23 on agg.</t>
  </si>
  <si>
    <t>SF1</t>
  </si>
  <si>
    <t>SF2</t>
  </si>
  <si>
    <t>{138.253-2.476}</t>
  </si>
  <si>
    <t>{101.211-7.086}</t>
  </si>
  <si>
    <t>Celestic wins 58-31 on agg.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</si>
  <si>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- 20[7-11]</t>
    </r>
  </si>
  <si>
    <t>{42.717-28.11}</t>
  </si>
  <si>
    <t>{44.401-17.067}</t>
  </si>
  <si>
    <t>Veilstone wins 43-42 on agg., Resort: Missed AgGA 1pt+1 @ 50+23' by one space</t>
  </si>
  <si>
    <t>Avg. Proj. Rank</t>
  </si>
  <si>
    <t>Non-Conf. Wins</t>
  </si>
  <si>
    <t>International Wins</t>
  </si>
  <si>
    <t>ProjRk</t>
  </si>
  <si>
    <t>D Scr</t>
  </si>
  <si>
    <t>NC W</t>
  </si>
  <si>
    <t>Intl W</t>
  </si>
  <si>
    <t>D-Score Average</t>
  </si>
  <si>
    <t>Then the rest</t>
  </si>
  <si>
    <t>Conf Str</t>
  </si>
  <si>
    <t>EXP Average</t>
  </si>
  <si>
    <t>1 to 14</t>
  </si>
  <si>
    <t>15 to 28</t>
  </si>
  <si>
    <t>85 to 98</t>
  </si>
  <si>
    <t>99 to 112</t>
  </si>
  <si>
    <t>29 to 42</t>
  </si>
  <si>
    <t>43 to 56</t>
  </si>
  <si>
    <t>57 to 70</t>
  </si>
  <si>
    <t>71 to 84</t>
  </si>
  <si>
    <t>Rank Breakdown</t>
  </si>
  <si>
    <t>&gt;&gt;&gt;&gt;&gt;&gt;</t>
  </si>
  <si>
    <t>******</t>
  </si>
  <si>
    <t>Copy over Conference Strength</t>
  </si>
  <si>
    <t>{55.992-11.063}</t>
  </si>
  <si>
    <t>D85 12/4</t>
  </si>
  <si>
    <t>{41.958-0.782}</t>
  </si>
  <si>
    <t>{41.794-19.425}</t>
  </si>
  <si>
    <t>{141.078-1.233}</t>
  </si>
  <si>
    <t>Humilau wins 29-16 on agg.</t>
  </si>
  <si>
    <t>{55.723-14.58}</t>
  </si>
  <si>
    <t>{60.4-13.608}</t>
  </si>
  <si>
    <t>Lumiose wins 40-27 on agg.</t>
  </si>
  <si>
    <t>{25.054-14.635}</t>
  </si>
  <si>
    <t>{180.53-3.402}</t>
  </si>
  <si>
    <t>New system -  retrofitted</t>
  </si>
  <si>
    <t>{82.329-4.167}</t>
  </si>
  <si>
    <t>D86 12/8</t>
  </si>
  <si>
    <t>Most lopsided spread on record, Vaniville wins 53-24 on agg.</t>
  </si>
  <si>
    <t>{193.264-8.658}</t>
  </si>
  <si>
    <t>Kala'e wins 53-24 on agg., avenges W1 loss</t>
  </si>
  <si>
    <t>{261.668-0}</t>
  </si>
  <si>
    <t>{17.868-10.487}</t>
  </si>
  <si>
    <t>Hokulani wins 37-20 on agg.</t>
  </si>
  <si>
    <t>{99.416-6.067}</t>
  </si>
  <si>
    <t>{71.939-3.007}</t>
  </si>
  <si>
    <t>Hulbury wins 53-41 on agg.</t>
  </si>
  <si>
    <t>{65.144-28.866}</t>
  </si>
  <si>
    <t>{106.405-16.323}</t>
  </si>
  <si>
    <t>Postwick wins 58-38 on agg.</t>
  </si>
  <si>
    <t>Update D-Score, PF/PA</t>
  </si>
  <si>
    <t>EYE(.75)</t>
  </si>
  <si>
    <t>Wk 9</t>
  </si>
  <si>
    <t>D87 12/9</t>
  </si>
  <si>
    <t>Gms</t>
  </si>
  <si>
    <t>DSCR</t>
  </si>
  <si>
    <t>Ex L</t>
  </si>
  <si>
    <t>MIDWEEK RANKING (revamp, add conf. str.)</t>
  </si>
  <si>
    <t>R5A</t>
  </si>
  <si>
    <t>R5B</t>
  </si>
  <si>
    <t>R6A</t>
  </si>
  <si>
    <t>R6B</t>
  </si>
  <si>
    <t>R16A</t>
  </si>
  <si>
    <t>R16B</t>
  </si>
  <si>
    <t>QFA</t>
  </si>
  <si>
    <t>QFB</t>
  </si>
  <si>
    <t>SFA</t>
  </si>
  <si>
    <t>SFB</t>
  </si>
  <si>
    <t>FinalA</t>
  </si>
  <si>
    <t>FInalB</t>
  </si>
  <si>
    <t>Identifying days of the week?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</si>
  <si>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- 35[13-19],</t>
    </r>
    <r>
      <rPr>
        <sz val="11"/>
        <color theme="1"/>
        <rFont val="Calibri"/>
        <family val="2"/>
        <scheme val="minor"/>
      </rPr>
      <t xml:space="preserve"> Ever Grande wins 41-38[4-2] on agg.</t>
    </r>
  </si>
  <si>
    <t>Kala'e and Mahogany draw 31-31 on agg.</t>
  </si>
  <si>
    <t>Wedgehurst and Cyllage draw 28-28 on agg.</t>
  </si>
  <si>
    <t>Celestic and Wedgehurst draw 23-23 on agg.</t>
  </si>
  <si>
    <t>Aquacorde and Olivine draw 43-43 on agg.</t>
  </si>
  <si>
    <t>Revamp</t>
  </si>
  <si>
    <t>RV</t>
  </si>
  <si>
    <t>ExW</t>
  </si>
  <si>
    <t>CfW</t>
  </si>
  <si>
    <t>SeW</t>
  </si>
  <si>
    <t>Gls</t>
  </si>
  <si>
    <t>.000836 difference between #1 and #2</t>
  </si>
  <si>
    <t>Rankings revamp, added conf. str.</t>
  </si>
  <si>
    <t>Fatigue now multiplied by both</t>
  </si>
  <si>
    <t>{23.706-9.837}</t>
  </si>
  <si>
    <t>{99.598-0.097}</t>
  </si>
  <si>
    <t>[4-9]</t>
  </si>
  <si>
    <t>{24.207-16.985}</t>
  </si>
  <si>
    <t>{129.977-2.653}</t>
  </si>
  <si>
    <t>City of Circhester</t>
  </si>
  <si>
    <t>City of Circhester*</t>
  </si>
  <si>
    <t>{70.174-3.282}</t>
  </si>
  <si>
    <t>{35.9-9.217}</t>
  </si>
  <si>
    <t>{49.135-27.24}</t>
  </si>
  <si>
    <t>11 hrs</t>
  </si>
  <si>
    <t>14 hrs</t>
  </si>
  <si>
    <t>12 hrs</t>
  </si>
  <si>
    <t>2 hrs</t>
  </si>
  <si>
    <t>Dynamax/Kalosite to Vertress</t>
  </si>
  <si>
    <t>Dynamax to/from Kalosite</t>
  </si>
  <si>
    <t>18 hrs</t>
  </si>
  <si>
    <t>Dynamax/Kalosite to Lanakila</t>
  </si>
  <si>
    <t>Lanakila to Vertress</t>
  </si>
  <si>
    <t>Lanakila to Dynamax/Kalosite</t>
  </si>
  <si>
    <t>7 hrs</t>
  </si>
  <si>
    <t>Lanakila to Delta/Indigo/LilyValley</t>
  </si>
  <si>
    <t>Dynamax/Kalosite to Delta/Indigo/Lily Valley</t>
  </si>
  <si>
    <t>Vertress to Delta/Indigo/Lily Valley</t>
  </si>
  <si>
    <t>Vertress to Lanakila, Dynamax/Kalosite</t>
  </si>
  <si>
    <t>Delta/Indigo/LilyValley to Lanakila</t>
  </si>
  <si>
    <t>Delta/Indigo/LilyValley to Dynamax/Kalosite</t>
  </si>
  <si>
    <t>Delta/Indigo/LilyValley to Vertress</t>
  </si>
  <si>
    <t>Delta/Indigo/LilyValley to/from Delta/Indigo/LilyValley</t>
  </si>
  <si>
    <t>All intraconference travel</t>
  </si>
  <si>
    <t>1 pt</t>
  </si>
  <si>
    <t>2 pts</t>
  </si>
  <si>
    <t>3 pts</t>
  </si>
  <si>
    <t>4 pts</t>
  </si>
  <si>
    <t>5 pts</t>
  </si>
  <si>
    <t>6 pts</t>
  </si>
  <si>
    <t>W/MU</t>
  </si>
  <si>
    <t>CCC/MU</t>
  </si>
  <si>
    <t>CCC/U</t>
  </si>
  <si>
    <t>W/MU/C</t>
  </si>
  <si>
    <t>S8</t>
  </si>
  <si>
    <t>S15</t>
  </si>
  <si>
    <t>S22</t>
  </si>
  <si>
    <t>S29</t>
  </si>
  <si>
    <t>O6</t>
  </si>
  <si>
    <t>O13</t>
  </si>
  <si>
    <t>O20</t>
  </si>
  <si>
    <t>O27</t>
  </si>
  <si>
    <t>N3</t>
  </si>
  <si>
    <t>N10</t>
  </si>
  <si>
    <t>N17</t>
  </si>
  <si>
    <t>N24</t>
  </si>
  <si>
    <t>N31</t>
  </si>
  <si>
    <t>D7</t>
  </si>
  <si>
    <t>D14</t>
  </si>
  <si>
    <t>D21</t>
  </si>
  <si>
    <t>D28</t>
  </si>
  <si>
    <t>J4</t>
  </si>
  <si>
    <t>J11</t>
  </si>
  <si>
    <t>J18</t>
  </si>
  <si>
    <t>J25</t>
  </si>
  <si>
    <t>F8</t>
  </si>
  <si>
    <t>F15</t>
  </si>
  <si>
    <t>F22</t>
  </si>
  <si>
    <t>M1</t>
  </si>
  <si>
    <t>M15</t>
  </si>
  <si>
    <t>M22</t>
  </si>
  <si>
    <t>M29</t>
  </si>
  <si>
    <t>A5</t>
  </si>
  <si>
    <t>A12</t>
  </si>
  <si>
    <t>A19</t>
  </si>
  <si>
    <t>A26</t>
  </si>
  <si>
    <t>M3</t>
  </si>
  <si>
    <t>M10</t>
  </si>
  <si>
    <t>M17</t>
  </si>
  <si>
    <t>M24</t>
  </si>
  <si>
    <t>M31</t>
  </si>
  <si>
    <t>J7</t>
  </si>
  <si>
    <t>J14</t>
  </si>
  <si>
    <t>J21</t>
  </si>
  <si>
    <t>J28</t>
  </si>
  <si>
    <t>J5</t>
  </si>
  <si>
    <t>J12</t>
  </si>
  <si>
    <t>J19</t>
  </si>
  <si>
    <t>J26</t>
  </si>
  <si>
    <t>A9</t>
  </si>
  <si>
    <t>A16</t>
  </si>
  <si>
    <t>A23</t>
  </si>
  <si>
    <t>A30</t>
  </si>
  <si>
    <t>{69.588-5.904}</t>
  </si>
  <si>
    <t>D88 12/16</t>
  </si>
  <si>
    <t>D89 12/17</t>
  </si>
  <si>
    <t>{74.677-8.081}</t>
  </si>
  <si>
    <t>{64.452-2.193}</t>
  </si>
  <si>
    <t>{82.38-6.76}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</si>
  <si>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- 15[4-7]</t>
    </r>
  </si>
  <si>
    <t>{18.373-24.665}</t>
  </si>
  <si>
    <t>{27.663-34.836}</t>
  </si>
  <si>
    <t>{68.057-3.049}</t>
  </si>
  <si>
    <t>{62.684-7.031}</t>
  </si>
  <si>
    <t>{52.492-18.288}</t>
  </si>
  <si>
    <t>{40.866-9.586}</t>
  </si>
  <si>
    <t>{39.449-8.289}</t>
  </si>
  <si>
    <t>{288.511-0.986}</t>
  </si>
  <si>
    <t>{96.499-2.889}</t>
  </si>
  <si>
    <t>{40.986-19.972}</t>
  </si>
  <si>
    <t>{97.036-22.974}</t>
  </si>
  <si>
    <t>{32.506-16.722}</t>
  </si>
  <si>
    <t>{36.764-25.151}</t>
  </si>
  <si>
    <t>&lt;16&gt;</t>
  </si>
  <si>
    <t>Vertress to/from Lanakila</t>
  </si>
  <si>
    <t>Vertress to Dynamax/Kalosite</t>
  </si>
  <si>
    <t>^^8vv</t>
  </si>
  <si>
    <t>10 hrs</t>
  </si>
  <si>
    <t>16 hrs</t>
  </si>
  <si>
    <t>Dynamax/Kalosite</t>
  </si>
  <si>
    <t>Delta/Indigo/Lily Valley</t>
  </si>
  <si>
    <t>{55.812-6.469}</t>
  </si>
  <si>
    <t>{42.041-21.572}</t>
  </si>
  <si>
    <t>{45.565-6.481}</t>
  </si>
  <si>
    <t>{99.332-5.552}</t>
  </si>
  <si>
    <t>{43.201-19.302}</t>
  </si>
  <si>
    <t>{104.975-11.881}</t>
  </si>
  <si>
    <t>{230.047-0.756}</t>
  </si>
  <si>
    <t>{271.271-0.81}</t>
  </si>
  <si>
    <t>{28.27-16.826}</t>
  </si>
  <si>
    <t>{201.522-0}</t>
  </si>
  <si>
    <t>{100.529-0.424}</t>
  </si>
  <si>
    <t>StrMod</t>
  </si>
  <si>
    <t>Old SOS formula</t>
  </si>
  <si>
    <t>1-(AN2-SMALL(AN:AN,1))/(LARGE(AN:AN,1)-SMALL(AN:AN,1))</t>
  </si>
  <si>
    <t>RkCh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</si>
  <si>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- 17[8-9]</t>
    </r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</si>
  <si>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- 17[8-7], Castelia: clinches Dark Division title</t>
    </r>
  </si>
  <si>
    <t>Oreburgh: clinches Diamond Division title</t>
  </si>
  <si>
    <t>{28.891-5.892}</t>
  </si>
  <si>
    <t>D90 12/19</t>
  </si>
  <si>
    <t>{154.158-2.106}</t>
  </si>
  <si>
    <t>{161.564-0.69}</t>
  </si>
  <si>
    <t>{85.647-3.98}</t>
  </si>
  <si>
    <t>{78.577-0.768}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</si>
  <si>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- 20[7-12]</t>
    </r>
  </si>
  <si>
    <t>{16.78-40.899}</t>
  </si>
  <si>
    <t>{21.039-21.071}</t>
  </si>
  <si>
    <t>smallest inverted difference (0.032)</t>
  </si>
  <si>
    <t>1-seed</t>
  </si>
  <si>
    <t>2-seed</t>
  </si>
  <si>
    <t>F1 vs F2</t>
  </si>
  <si>
    <t>H/A determined by agg score (high seed is tiebreaker)</t>
  </si>
  <si>
    <t>Highest Ranking (unless within x positions)</t>
  </si>
  <si>
    <t>**</t>
  </si>
  <si>
    <t>**if eighth conference is added, R5 goes here</t>
  </si>
  <si>
    <t>1 to 28</t>
  </si>
  <si>
    <t>29 to 56</t>
  </si>
  <si>
    <t>57 to 84</t>
  </si>
  <si>
    <t>85 to 112</t>
  </si>
  <si>
    <t>D91 12/20</t>
  </si>
  <si>
    <t>{27.763-15.281}</t>
  </si>
  <si>
    <t>{161.193-0}</t>
  </si>
  <si>
    <t>{32.659-24.74}</t>
  </si>
  <si>
    <t>{36.527-16.319}</t>
  </si>
  <si>
    <t>{38.23-10.023}</t>
  </si>
  <si>
    <t>{81.919-16.548}</t>
  </si>
  <si>
    <t>{27.758-34.814}</t>
  </si>
  <si>
    <t>{56.756-22.022}</t>
  </si>
  <si>
    <t>{243.902-0}</t>
  </si>
  <si>
    <t>{175.074-5.055}</t>
  </si>
  <si>
    <t>{116.378-0}</t>
  </si>
  <si>
    <t>{37.512-13.361}</t>
  </si>
  <si>
    <t>Dewford: GW 2pt+1 @ 57:00</t>
  </si>
  <si>
    <t>{51.398-20.019}</t>
  </si>
  <si>
    <t>Fallarbor: GW 2pt @ 62:20</t>
  </si>
  <si>
    <t>{50.25-20.931}</t>
  </si>
  <si>
    <t>After W10</t>
  </si>
  <si>
    <t>WEEK TEN (modified SOS formula)</t>
  </si>
  <si>
    <t>.000826 difference between #1 and #2</t>
  </si>
  <si>
    <t>.008273 difference between #1 and #3</t>
  </si>
  <si>
    <t>{31.266-14.29}</t>
  </si>
  <si>
    <t>{85.252-6.033}</t>
  </si>
  <si>
    <t>{47.919-14.589}</t>
  </si>
  <si>
    <t>{106.528-17.392}</t>
  </si>
  <si>
    <t>{127.781-17.495}</t>
  </si>
  <si>
    <t>{63.331-16.451}</t>
  </si>
  <si>
    <t>{26.889-16.302}</t>
  </si>
  <si>
    <t>{66.153-1.273}</t>
  </si>
  <si>
    <t>Midweek 1</t>
  </si>
  <si>
    <t>Midweek 2</t>
  </si>
  <si>
    <t>Departure</t>
  </si>
  <si>
    <t>Arrival</t>
  </si>
  <si>
    <t>M2</t>
  </si>
  <si>
    <t>KanJoh</t>
  </si>
  <si>
    <t>Ind</t>
  </si>
  <si>
    <t>Del</t>
  </si>
  <si>
    <t>LV</t>
  </si>
  <si>
    <t>Ver</t>
  </si>
  <si>
    <t>Kal</t>
  </si>
  <si>
    <t>Lan</t>
  </si>
  <si>
    <t>Dyn</t>
  </si>
  <si>
    <t>Manual+</t>
  </si>
  <si>
    <t>{64.763-20.178}</t>
  </si>
  <si>
    <t>{37.639-36.453}</t>
  </si>
  <si>
    <t>{71.822-8.792}</t>
  </si>
  <si>
    <t>{40.845-24.926}</t>
  </si>
  <si>
    <t>{121.797-2.706}</t>
  </si>
  <si>
    <t>{57.925-3.342}</t>
  </si>
  <si>
    <t>{90.206-11.017}</t>
  </si>
  <si>
    <t>{203.779-1.909}</t>
  </si>
  <si>
    <t>D93 12/23</t>
  </si>
  <si>
    <t>D92 12/22</t>
  </si>
  <si>
    <t>{31.591-4.002}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</si>
  <si>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- 35[18-17], Viridian wins 43-38[5-3] on agg.</t>
    </r>
  </si>
  <si>
    <t>{151.952-2.371}</t>
  </si>
  <si>
    <t>Striaton wins 39-35 on agg.</t>
  </si>
  <si>
    <t>CONCATENATE(G, " leads ", H, "-", I)</t>
  </si>
  <si>
    <t>[13-16]</t>
  </si>
  <si>
    <t>{68.047-29.513}</t>
  </si>
  <si>
    <r>
      <rPr>
        <b/>
        <sz val="11"/>
        <color theme="1"/>
        <rFont val="Calibri"/>
        <family val="2"/>
        <scheme val="minor"/>
      </rPr>
      <t>2OT</t>
    </r>
    <r>
      <rPr>
        <sz val="11"/>
        <color theme="1"/>
        <rFont val="Calibri"/>
        <family val="2"/>
        <scheme val="minor"/>
      </rPr>
      <t xml:space="preserve"> - 21[9-14], 25[10-16], Solaceon wins 52-38 on agg.</t>
    </r>
  </si>
  <si>
    <t>{87.594-11.891}</t>
  </si>
  <si>
    <t>Vermilion wins 49-45 on agg.</t>
  </si>
  <si>
    <t>{37.214-38.769}</t>
  </si>
  <si>
    <t>Cinnabar wins 59-40 on agg.</t>
  </si>
  <si>
    <t>{51.822-12.599}</t>
  </si>
  <si>
    <t>Humilau wins 47-34 on agg.</t>
  </si>
  <si>
    <t>{76.554-0.353}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</si>
  <si>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- 24[9-10], Ore: opened with four 4pts, Oreburgh wins 40-37 on agg.</t>
    </r>
  </si>
  <si>
    <t>{54.622-28.022}</t>
  </si>
  <si>
    <t>Veilstone wins 44-29 on agg.</t>
  </si>
  <si>
    <t>O</t>
  </si>
  <si>
    <t>BYE</t>
  </si>
  <si>
    <t>Eighth</t>
  </si>
  <si>
    <t>FFA</t>
  </si>
  <si>
    <t>Japan</t>
  </si>
  <si>
    <t>OPEN</t>
  </si>
  <si>
    <t>{110.34-23.188}</t>
  </si>
  <si>
    <t>D94 12/24</t>
  </si>
  <si>
    <t>Kala'e wins 59-33 on agg.</t>
  </si>
  <si>
    <t>{54.974-12.891}</t>
  </si>
  <si>
    <t>Lumiose wins 48-35 on agg.</t>
  </si>
  <si>
    <t>{66.44-7.546}</t>
  </si>
  <si>
    <t>Vaniville wins 47-43 on agg.</t>
  </si>
  <si>
    <t>{78.648-9.56}</t>
  </si>
  <si>
    <t>Hammerlocke wins 42-29 on agg.</t>
  </si>
  <si>
    <t>{64.054-8.762}</t>
  </si>
  <si>
    <t>Virbank wins 49-39 on agg.</t>
  </si>
  <si>
    <t>{17.304-26.283}</t>
  </si>
  <si>
    <t>Castelia wins 36-27 on agg.</t>
  </si>
  <si>
    <t>{70.077-13.72}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</si>
  <si>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- 18[9-9], Fuchsia wins 42-40 on agg.</t>
    </r>
  </si>
  <si>
    <t>{22.157-22.893}</t>
  </si>
  <si>
    <t>South Lakes wins 31-17 on agg.</t>
  </si>
  <si>
    <t>[Change the EX formula if end of week]</t>
  </si>
  <si>
    <t>Matchday Eleven</t>
  </si>
  <si>
    <t>Matchday Thirteen</t>
  </si>
  <si>
    <t>Rotate intrapod, across, diagonal, same side</t>
  </si>
  <si>
    <t>Exeggutor and Hulbury draw 44-44 on agg.</t>
  </si>
  <si>
    <t>Hammerlocke: 4pt @ 63:60</t>
  </si>
  <si>
    <t>Castelia: 3pt# @ 59:20</t>
  </si>
  <si>
    <t>Wins (2.25)</t>
  </si>
  <si>
    <t>SOS (1)</t>
  </si>
  <si>
    <t>SOV (1)</t>
  </si>
  <si>
    <t>EYE (.75)</t>
  </si>
  <si>
    <t>Cf W (1.5)</t>
  </si>
  <si>
    <t>P For (1)</t>
  </si>
  <si>
    <t>P Agt (1)</t>
  </si>
  <si>
    <t>G Av (.75)</t>
  </si>
  <si>
    <t>D Scr (1)</t>
  </si>
  <si>
    <t>Cups (.75)</t>
  </si>
  <si>
    <t>{60.947-17.176}</t>
  </si>
  <si>
    <t>20-24</t>
  </si>
  <si>
    <t>{59.589-16.086}</t>
  </si>
  <si>
    <t>15-24</t>
  </si>
  <si>
    <t>Celestic wins 44-39 on agg.</t>
  </si>
  <si>
    <t>{98.116-7.745}</t>
  </si>
  <si>
    <t>20-9</t>
  </si>
  <si>
    <t>{38.191-20.27}</t>
  </si>
  <si>
    <t>16-14</t>
  </si>
  <si>
    <t>Anville Town (Vertress)</t>
  </si>
  <si>
    <t>M4</t>
  </si>
  <si>
    <t>A1 (4-2)</t>
  </si>
  <si>
    <t>S2 (BCF)</t>
  </si>
  <si>
    <t>S1 (AED)</t>
  </si>
  <si>
    <t>{40.646-15.823}</t>
  </si>
  <si>
    <t>Wedgehurst wins 34-25 on agg.</t>
  </si>
  <si>
    <t>18-28</t>
  </si>
  <si>
    <t>{205.912-5.889}</t>
  </si>
  <si>
    <t>38-16</t>
  </si>
  <si>
    <t>Olivine wins 66-34 on agg.</t>
  </si>
  <si>
    <t>{156.048-7.315}</t>
  </si>
  <si>
    <t>41-13</t>
  </si>
  <si>
    <t>{67.548-4.81}</t>
  </si>
  <si>
    <t>23-21</t>
  </si>
  <si>
    <t>Resort Area (Lily Valley)</t>
  </si>
  <si>
    <t>D95 12/25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</si>
  <si>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- 19[11-6], Resort wins 62-36 on agg.</t>
    </r>
  </si>
  <si>
    <t>{101.962-4.538}</t>
  </si>
  <si>
    <t>21-9</t>
  </si>
  <si>
    <t>{67.917-7.08}</t>
  </si>
  <si>
    <t>15-23</t>
  </si>
  <si>
    <t>C1 (4-2)</t>
  </si>
  <si>
    <t>E1 (5-1)</t>
  </si>
  <si>
    <t>Malie wins 44-24 on agg.</t>
  </si>
  <si>
    <t>{48.906-9.023}</t>
  </si>
  <si>
    <t>14-11</t>
  </si>
  <si>
    <t>{143.131-0}</t>
  </si>
  <si>
    <t>25-11</t>
  </si>
  <si>
    <t>Wyndon South wins 36-25 on agg.</t>
  </si>
  <si>
    <t>Split Conf 1</t>
  </si>
  <si>
    <t>Split Conf 2</t>
  </si>
  <si>
    <t>Split Conf 3</t>
  </si>
  <si>
    <t>3, 5</t>
  </si>
  <si>
    <t>4, 6, 7</t>
  </si>
  <si>
    <t>1, 2</t>
  </si>
  <si>
    <t>A24</t>
  </si>
  <si>
    <t>Interpod 2</t>
  </si>
  <si>
    <t>Two of:</t>
  </si>
  <si>
    <t>Remaining Conf. game</t>
  </si>
  <si>
    <t>{16.66-30.118}</t>
  </si>
  <si>
    <t>19-20</t>
  </si>
  <si>
    <t>{82.527-4.042}</t>
  </si>
  <si>
    <t>Fortree wins 47-35 on agg.</t>
  </si>
  <si>
    <t>27-16</t>
  </si>
  <si>
    <t>{87.675-3.493}</t>
  </si>
  <si>
    <t>11-22</t>
  </si>
  <si>
    <t>{312.735-0}</t>
  </si>
  <si>
    <t>7-29</t>
  </si>
  <si>
    <t>B1 (4-2)</t>
  </si>
  <si>
    <t>Hulbury wins 40-29 on agg.</t>
  </si>
  <si>
    <t>{61.758-2.084}</t>
  </si>
  <si>
    <t>12-16</t>
  </si>
  <si>
    <t>{44.38-15.99}</t>
  </si>
  <si>
    <t>12-8</t>
  </si>
  <si>
    <t>{42.593-3.167}</t>
  </si>
  <si>
    <t>Hokulani wins 28-20 on agg.</t>
  </si>
  <si>
    <t>10-18</t>
  </si>
  <si>
    <t>{58.154-4.227}</t>
  </si>
  <si>
    <t>25-15</t>
  </si>
  <si>
    <t>Hulbury (Dynamax)</t>
  </si>
  <si>
    <t>Mount Hokulani (Lanakila)</t>
  </si>
  <si>
    <t>D1 (4-2)</t>
  </si>
  <si>
    <t>{46.77-16.462}</t>
  </si>
  <si>
    <t>{142.213-0.896}</t>
  </si>
  <si>
    <t>8-18</t>
  </si>
  <si>
    <t>Veilstone City (Lily Valley)</t>
  </si>
  <si>
    <t>Azalea wins 43-25 on agg.</t>
  </si>
  <si>
    <t>Fallarbor wins 31-24 on agg.</t>
  </si>
  <si>
    <t>{43.982-14.302}</t>
  </si>
  <si>
    <t>23-18</t>
  </si>
  <si>
    <t>{161.919-0}</t>
  </si>
  <si>
    <t>Saffron wins 51-33 on agg.</t>
  </si>
  <si>
    <t>15-28</t>
  </si>
  <si>
    <t>Olivine City (Indigo)</t>
  </si>
  <si>
    <t>Laverre City (Kalosite)</t>
  </si>
  <si>
    <t>S1-C (4-2)</t>
  </si>
  <si>
    <t>S2-D (3-3)</t>
  </si>
  <si>
    <t>C/D switched</t>
  </si>
  <si>
    <t>F11</t>
  </si>
  <si>
    <t>FRIDAY - MW11 (modified game weights)</t>
  </si>
  <si>
    <t>GROUP</t>
  </si>
  <si>
    <t>GRP R20</t>
  </si>
  <si>
    <t>GRP R16</t>
  </si>
  <si>
    <t>Indigo - Crystal Cup</t>
  </si>
  <si>
    <t>Delta - Emerald Cup</t>
  </si>
  <si>
    <t>Lily Valley - Platinum Cup</t>
  </si>
  <si>
    <t>Vertress - Gray Cup</t>
  </si>
  <si>
    <t>Kalosite - Prism Cup</t>
  </si>
  <si>
    <t>Dynamax - Gigantamax Cup</t>
  </si>
  <si>
    <t>Crystal Cup First Round</t>
  </si>
  <si>
    <t>Crystal Cup Second Round</t>
  </si>
  <si>
    <t>Crystal Cup Quarterfinal</t>
  </si>
  <si>
    <t>Crystal Cup Semifinal - 1st Leg</t>
  </si>
  <si>
    <t>Crystal Cup Semifinal - 2nd Leg</t>
  </si>
  <si>
    <t>Crystal Cup Final - 1st Leg</t>
  </si>
  <si>
    <t>Crystal Cup Final - 2nd Leg</t>
  </si>
  <si>
    <t>Emerald Cup First Round</t>
  </si>
  <si>
    <t>Emerald Cup Second Round</t>
  </si>
  <si>
    <t>Emerald Cup Quarterfinal</t>
  </si>
  <si>
    <t>Emerald Cup Semifinal - 1st Leg</t>
  </si>
  <si>
    <t>Emerald Cup Semifinal - 2nd Leg</t>
  </si>
  <si>
    <t>Emerald Cup Final - 1st Leg</t>
  </si>
  <si>
    <t>Emerald Cup Final - 2nd Leg</t>
  </si>
  <si>
    <t>Platinum Cup First Round</t>
  </si>
  <si>
    <t>Platinum Cup Second Round</t>
  </si>
  <si>
    <t>Platinum Cup Quarterfinal</t>
  </si>
  <si>
    <t>Platinum Cup Semifinal - 1st Leg</t>
  </si>
  <si>
    <t>Platinum Cup Semifinal - 2nd Leg</t>
  </si>
  <si>
    <t>Platinum Cup Final - 1st Leg</t>
  </si>
  <si>
    <t>Platinum Cup Final - 2nd Leg</t>
  </si>
  <si>
    <t>Gray Cup First Round</t>
  </si>
  <si>
    <t>Gray Cup Second Round</t>
  </si>
  <si>
    <t>Gray Cup Quarterfinal</t>
  </si>
  <si>
    <t>Gray Cup Semifinal - 1st Leg</t>
  </si>
  <si>
    <t>Gray Cup Semifinal - 2nd Leg</t>
  </si>
  <si>
    <t>Gray Cup Final - 1st Leg</t>
  </si>
  <si>
    <t>Gray Cup Final - 2nd Leg</t>
  </si>
  <si>
    <t>Prism Cup First Round</t>
  </si>
  <si>
    <t>Prism Cup Second Round</t>
  </si>
  <si>
    <t>Prism Cup Quarterfinal</t>
  </si>
  <si>
    <t>Prism Cup Semifinal - 1st Leg</t>
  </si>
  <si>
    <t>Prism Cup Semifinal - 2nd Leg</t>
  </si>
  <si>
    <t>Prism Cup Final - 1st Leg</t>
  </si>
  <si>
    <t>Prism Cup Final - 2nd Leg</t>
  </si>
  <si>
    <t>Gigantamax Cup First Round</t>
  </si>
  <si>
    <t>Gigantamax Cup Second Round</t>
  </si>
  <si>
    <t>Gigantamax Cup Quarterfinal</t>
  </si>
  <si>
    <t>Gigantamax Cup Semifinal - 1st Leg</t>
  </si>
  <si>
    <t>Gigantamax Cup Semifinal - 2nd Leg</t>
  </si>
  <si>
    <t>Gigantamax Cup Final - 1st Leg</t>
  </si>
  <si>
    <t>Gigantamax Cup Final - 2nd Leg</t>
  </si>
  <si>
    <t>bottom 4 advance to UTL Play-In Round</t>
  </si>
  <si>
    <t>1) Cup Winner</t>
  </si>
  <si>
    <t>2) Conf. Champion</t>
  </si>
  <si>
    <t>3) Cup Runner-up</t>
  </si>
  <si>
    <t>4) Conf. Runner-up</t>
  </si>
  <si>
    <t>5-x) MRL/UTL qualifiers</t>
  </si>
  <si>
    <t>Atlantic</t>
  </si>
  <si>
    <t>Pacific</t>
  </si>
  <si>
    <t>B9</t>
  </si>
  <si>
    <t>A3</t>
  </si>
  <si>
    <t>A4</t>
  </si>
  <si>
    <t>A6</t>
  </si>
  <si>
    <t>B10</t>
  </si>
  <si>
    <t>B11</t>
  </si>
  <si>
    <t>B12</t>
  </si>
  <si>
    <t>A7</t>
  </si>
  <si>
    <t>A8</t>
  </si>
  <si>
    <t>C13</t>
  </si>
  <si>
    <t>C14</t>
  </si>
  <si>
    <t>C15</t>
  </si>
  <si>
    <t>C16</t>
  </si>
  <si>
    <t>A10</t>
  </si>
  <si>
    <t>A11</t>
  </si>
  <si>
    <t>C3</t>
  </si>
  <si>
    <t>C4</t>
  </si>
  <si>
    <t>A13</t>
  </si>
  <si>
    <t>A14</t>
  </si>
  <si>
    <t>A15</t>
  </si>
  <si>
    <t>B5</t>
  </si>
  <si>
    <t>B6</t>
  </si>
  <si>
    <t>B7</t>
  </si>
  <si>
    <t>B8</t>
  </si>
  <si>
    <t>B3</t>
  </si>
  <si>
    <t>B4</t>
  </si>
  <si>
    <t>C9</t>
  </si>
  <si>
    <t>C10</t>
  </si>
  <si>
    <t>C11</t>
  </si>
  <si>
    <t>C12</t>
  </si>
  <si>
    <t>B13</t>
  </si>
  <si>
    <t>B14</t>
  </si>
  <si>
    <t>B15</t>
  </si>
  <si>
    <t>B16</t>
  </si>
  <si>
    <t>C5</t>
  </si>
  <si>
    <t>C6</t>
  </si>
  <si>
    <t>C7</t>
  </si>
  <si>
    <t>C8</t>
  </si>
  <si>
    <t>A1-4</t>
  </si>
  <si>
    <t>A5-8</t>
  </si>
  <si>
    <t>A9-12</t>
  </si>
  <si>
    <t>A13-16</t>
  </si>
  <si>
    <t>B9-12</t>
  </si>
  <si>
    <t>B13-16</t>
  </si>
  <si>
    <t>B5-8</t>
  </si>
  <si>
    <t>B1-4</t>
  </si>
  <si>
    <t>at</t>
  </si>
  <si>
    <t>1=A</t>
  </si>
  <si>
    <t>2=B</t>
  </si>
  <si>
    <t>3=C</t>
  </si>
  <si>
    <t>MIDSEASON BREAK</t>
  </si>
  <si>
    <t>Grouped</t>
  </si>
  <si>
    <t>in</t>
  </si>
  <si>
    <t>some</t>
  </si>
  <si>
    <t>order</t>
  </si>
  <si>
    <t>Pink</t>
  </si>
  <si>
    <t>Red/Brown</t>
  </si>
  <si>
    <t>Yellow/Green</t>
  </si>
  <si>
    <t>Blue/Ice</t>
  </si>
  <si>
    <t>Intrapod2</t>
  </si>
  <si>
    <t>Atlantic/Pacific</t>
  </si>
  <si>
    <t>MIx ^v^</t>
  </si>
  <si>
    <t>1 Normal</t>
  </si>
  <si>
    <t>1 Water</t>
  </si>
  <si>
    <t>T</t>
  </si>
  <si>
    <t>R</t>
  </si>
  <si>
    <t>Lowered UTL R20 to single game</t>
  </si>
  <si>
    <t>Lowered all CCC to single game</t>
  </si>
  <si>
    <t>{46.756-18.402}</t>
  </si>
  <si>
    <t>Canalave: GW 3pt+1 @ 69:00</t>
  </si>
  <si>
    <t>{33.911-26.35}</t>
  </si>
  <si>
    <t>D96 2/3</t>
  </si>
  <si>
    <t>{46.612-10.499}</t>
  </si>
  <si>
    <t>Mossdeep: GW 1pt+1 @ 58:90</t>
  </si>
  <si>
    <t>{37.391-14.82}</t>
  </si>
  <si>
    <t>{23.407-41.055}</t>
  </si>
  <si>
    <t>{15.7-16.602}</t>
  </si>
  <si>
    <t>D97 2/4</t>
  </si>
  <si>
    <t>{33.287-19.642}</t>
  </si>
  <si>
    <t>D98 2/11</t>
  </si>
  <si>
    <t>{71.969-1.245}</t>
  </si>
  <si>
    <t>{55.625-6.238}</t>
  </si>
  <si>
    <t>{154.599-3.048}</t>
  </si>
  <si>
    <t>{54.295-11.058}</t>
  </si>
  <si>
    <t>{27.829-2.199}</t>
  </si>
  <si>
    <t>{35.28-12.228}</t>
  </si>
  <si>
    <t>{112.489-4.835}</t>
  </si>
  <si>
    <t>Skipping to #70</t>
  </si>
  <si>
    <t>12-1.5</t>
  </si>
  <si>
    <t>1.5-3</t>
  </si>
  <si>
    <t>3-4.5</t>
  </si>
  <si>
    <t>4.5-6</t>
  </si>
  <si>
    <t>6-7.5</t>
  </si>
  <si>
    <t>7.5-9</t>
  </si>
  <si>
    <t>9-10.5</t>
  </si>
  <si>
    <t>112-109</t>
  </si>
  <si>
    <t>108-105</t>
  </si>
  <si>
    <t>104-101</t>
  </si>
  <si>
    <t>100-99, 70-69</t>
  </si>
  <si>
    <t>68-65</t>
  </si>
  <si>
    <t>64-61</t>
  </si>
  <si>
    <t>60-56</t>
  </si>
  <si>
    <t>98-95</t>
  </si>
  <si>
    <t>90-87</t>
  </si>
  <si>
    <t>94-91</t>
  </si>
  <si>
    <t>86-83</t>
  </si>
  <si>
    <t>82-79</t>
  </si>
  <si>
    <t>78-75</t>
  </si>
  <si>
    <t>74-71</t>
  </si>
  <si>
    <t>{32.922-6.926}</t>
  </si>
  <si>
    <t>D99 2/18</t>
  </si>
  <si>
    <t>{146.572-0}</t>
  </si>
  <si>
    <t>Skip back</t>
  </si>
  <si>
    <t>{164.323-0}</t>
  </si>
  <si>
    <t>{57.649-25.976}</t>
  </si>
  <si>
    <t>{128.353-5.382}</t>
  </si>
  <si>
    <t>Ambrette: GW 4pt! @ 58:70</t>
  </si>
  <si>
    <t>{44.218-6.077}</t>
  </si>
  <si>
    <t>{17.076-11.907}</t>
  </si>
  <si>
    <t>Kahuna Cup First Round</t>
  </si>
  <si>
    <t>Kahuna Cup Second Round</t>
  </si>
  <si>
    <t>Kahuna Cup Quarterfinal</t>
  </si>
  <si>
    <t>Kahuna Cup Semifinal - 1st Leg</t>
  </si>
  <si>
    <t>Kahuna Cup Semifinal - 2nd Leg</t>
  </si>
  <si>
    <t>Kahuna Cup Final - 1st Leg</t>
  </si>
  <si>
    <t>Kahuna Cup Final - 2nd Leg</t>
  </si>
  <si>
    <t>Lanakila - Kahuna Cup</t>
  </si>
  <si>
    <t>{118.869-5.115}</t>
  </si>
  <si>
    <t>D100 2/20</t>
  </si>
  <si>
    <t>{29.857-10.513}</t>
  </si>
  <si>
    <t>{88.964-2.818}</t>
  </si>
  <si>
    <t>{75.303-4.764}</t>
  </si>
  <si>
    <t>Anistar: GW 2pt+1 @ 59:40</t>
  </si>
  <si>
    <t>{34.481-24.936}</t>
  </si>
  <si>
    <t>{38.908-19.332}</t>
  </si>
  <si>
    <t>{19.898-25.243}</t>
  </si>
  <si>
    <t>R20 (UTL)</t>
  </si>
  <si>
    <t>Tuesday</t>
  </si>
  <si>
    <t>Thursday</t>
  </si>
  <si>
    <t>Weekend</t>
  </si>
  <si>
    <t>MRL/UTL</t>
  </si>
  <si>
    <t>BREAK</t>
  </si>
  <si>
    <t>Conf. Champ.</t>
  </si>
  <si>
    <t>CCC/UTL</t>
  </si>
  <si>
    <t>WCS/UTL</t>
  </si>
  <si>
    <t>MD9/CCC/UTL</t>
  </si>
  <si>
    <t>2 SS</t>
  </si>
  <si>
    <t>2 AC</t>
  </si>
  <si>
    <t>2 DG</t>
  </si>
  <si>
    <t>5 IC</t>
  </si>
  <si>
    <t>2 IP</t>
  </si>
  <si>
    <t>2 Break</t>
  </si>
  <si>
    <t>SS/AC/DG 1</t>
  </si>
  <si>
    <t>SS/AC/DG 2</t>
  </si>
  <si>
    <t>REGULAR</t>
  </si>
  <si>
    <t>Conf Final</t>
  </si>
  <si>
    <t>WCS SFA</t>
  </si>
  <si>
    <t>WCS SFB</t>
  </si>
  <si>
    <t>M/U Final</t>
  </si>
  <si>
    <t>WCS FA</t>
  </si>
  <si>
    <t>WCS FB</t>
  </si>
  <si>
    <t>Semis</t>
  </si>
  <si>
    <t>No weekend rereank</t>
  </si>
  <si>
    <t>Bye Wks</t>
  </si>
  <si>
    <t>{33.306-37.981}</t>
  </si>
  <si>
    <t>{138.398-1.298}</t>
  </si>
  <si>
    <t>{89.439-8.754}</t>
  </si>
  <si>
    <t>expected point of jump</t>
  </si>
  <si>
    <t>{102.736-0}</t>
  </si>
  <si>
    <t>{95.491-9.279}</t>
  </si>
  <si>
    <t>D101 2/21</t>
  </si>
  <si>
    <t>{157.176-4.814}</t>
  </si>
  <si>
    <t>{78.856-5.03}</t>
  </si>
  <si>
    <t>{20.209-16.472}</t>
  </si>
  <si>
    <t>{118.102-13.167}</t>
  </si>
  <si>
    <t>{13.937-27.944}</t>
  </si>
  <si>
    <t>{91.869-11.482}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</si>
  <si>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- 12[5-8], Nimbasa: GT 2pt+1! @ 56:00</t>
    </r>
  </si>
  <si>
    <t>{45.542-7.179}</t>
  </si>
  <si>
    <t>{40.203-18.71}</t>
  </si>
  <si>
    <t>D102 2/28</t>
  </si>
  <si>
    <t>{577.168-0.536}</t>
  </si>
  <si>
    <t>actual point of jump</t>
  </si>
  <si>
    <t>{28.737-7.297}</t>
  </si>
  <si>
    <t>{65.722-26.593}</t>
  </si>
  <si>
    <t>{50.125-4.375}</t>
  </si>
  <si>
    <t>Special Wednesday week for UTL R20?</t>
  </si>
  <si>
    <t>{97.761-12.595}</t>
  </si>
  <si>
    <t>D103 3/3</t>
  </si>
  <si>
    <t>{74.17-13.431}</t>
  </si>
  <si>
    <t>{47.126-17.253}</t>
  </si>
  <si>
    <t>{50.935-16.819}</t>
  </si>
  <si>
    <t>{50.658-8.543}</t>
  </si>
  <si>
    <t>Nacrene: GW 2pt @ 60:30</t>
  </si>
  <si>
    <t>{28.747-15.739}</t>
  </si>
  <si>
    <t>{84.587-8.482}</t>
  </si>
  <si>
    <t>{58.223-19.732}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</si>
  <si>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- 15[7-5], Ever Grande: GA 4pt! @ 60:50</t>
    </r>
  </si>
  <si>
    <t>{51.595-4.899}</t>
  </si>
  <si>
    <t>Cianwood: GW 3pt# @ 60:30</t>
  </si>
  <si>
    <t>{65.835-0}</t>
  </si>
  <si>
    <t>{92.998-0}</t>
  </si>
  <si>
    <t>w12</t>
  </si>
  <si>
    <t>{34.857-7.573}</t>
  </si>
  <si>
    <t>{66.508-5.756}</t>
  </si>
  <si>
    <t>{27.532-9.362}</t>
  </si>
  <si>
    <t>{22.857-8.087}</t>
  </si>
  <si>
    <t>{59.285-13.937}</t>
  </si>
  <si>
    <t>Fallarbor wins 41-32 on agg.</t>
  </si>
  <si>
    <t>S3-F (3-3)</t>
  </si>
  <si>
    <t>Fallarbor Town (Delta)</t>
  </si>
  <si>
    <t>D104 3/4</t>
  </si>
  <si>
    <t>{21.094-39.316}</t>
  </si>
  <si>
    <t>Twinleaf wins 35-30 on agg.</t>
  </si>
  <si>
    <t>M7 (2-4)</t>
  </si>
  <si>
    <t>Twinleaf Town (Lily Valley)</t>
  </si>
  <si>
    <t>{34.771-11.934}</t>
  </si>
  <si>
    <t>Lilycove wins 34-33 on agg.</t>
  </si>
  <si>
    <t>M6 (2-4)</t>
  </si>
  <si>
    <t>Lilycove City (Delta)</t>
  </si>
  <si>
    <t>{56.092-4.037}</t>
  </si>
  <si>
    <t>Oreburgh wins 31-29 on agg.</t>
  </si>
  <si>
    <t>M5 (2-4)</t>
  </si>
  <si>
    <t>Oreburgh City (Lily Valley)</t>
  </si>
  <si>
    <t>{98.032-7.076}</t>
  </si>
  <si>
    <t>Postwick: GW 3pt#+1 @ 62:20</t>
  </si>
  <si>
    <t>{24.29-33.889}</t>
  </si>
  <si>
    <t>First disaster game (6/8)</t>
  </si>
  <si>
    <t>Second disaster game (first win) (8/12)</t>
  </si>
  <si>
    <t>Virbank wins 40-34 on agg., third disaster game (6/12)</t>
  </si>
  <si>
    <t>fourth disaster game (second win) (8/12)</t>
  </si>
  <si>
    <t>fifth disaster game (8/9)</t>
  </si>
  <si>
    <t>sixth disaster game (third win) (8/11)</t>
  </si>
  <si>
    <t>seventh disaster game (4/8)</t>
  </si>
  <si>
    <t>eighth disaster game (4/6)</t>
  </si>
  <si>
    <t>Most lopsided spread on record, ninth disaster game (fourth win) (12/17)</t>
  </si>
  <si>
    <t>{71.289-8.13}</t>
  </si>
  <si>
    <t>D105 3/5</t>
  </si>
  <si>
    <t>{89.037-30.032}</t>
  </si>
  <si>
    <t>[17-16]</t>
  </si>
  <si>
    <t>{42.038-48.692}</t>
  </si>
  <si>
    <t>&gt;&gt;&gt;most goals (17) [tied], total goals (33), losing score (32), total score (65)</t>
  </si>
  <si>
    <r>
      <rPr>
        <b/>
        <sz val="11"/>
        <color theme="1"/>
        <rFont val="Calibri"/>
        <family val="2"/>
        <scheme val="minor"/>
      </rPr>
      <t>4OT</t>
    </r>
    <r>
      <rPr>
        <sz val="11"/>
        <color theme="1"/>
        <rFont val="Calibri"/>
        <family val="2"/>
        <scheme val="minor"/>
      </rPr>
      <t xml:space="preserve"> - 19[9-10], 20[10-11], 23[12-12], 26[14-13], first non-playoff #1 vs #2 match</t>
    </r>
  </si>
  <si>
    <t>{49.258-12.15}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</si>
  <si>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- 16[5-9], Virbank: GT 3pt! @ 59:60</t>
    </r>
  </si>
  <si>
    <t>{30.723-16.974}</t>
  </si>
  <si>
    <t>{67.597-11.27}</t>
  </si>
  <si>
    <t>&gt;&gt;&gt;First 4OT game, Lumiose: GW 3pt! @ 97:30, highest losing D-Score (48.692)</t>
  </si>
  <si>
    <t>After W11</t>
  </si>
  <si>
    <t>D106 3/7</t>
  </si>
  <si>
    <t>{48.194-19.333}</t>
  </si>
  <si>
    <t>Rustboro wins 36-33 on agg.</t>
  </si>
  <si>
    <t>{211.068-0}</t>
  </si>
  <si>
    <t>Castelia wins 40-25 on agg.</t>
  </si>
  <si>
    <t>[6-13]</t>
  </si>
  <si>
    <t>{26.473-41.393}</t>
  </si>
  <si>
    <t>Dewford wins 54-39 on agg., tenth disaster game (fifth win) (12/13)</t>
  </si>
  <si>
    <t>{153.21-5.913}</t>
  </si>
  <si>
    <t>Vaniville wins 62-34 on agg.</t>
  </si>
  <si>
    <t>{52.475-13.438}</t>
  </si>
  <si>
    <t>Lumiose wins 56-48 on agg.</t>
  </si>
  <si>
    <t>{244.104-5.374}</t>
  </si>
  <si>
    <t>Kala'e wins 48-22 on agg.</t>
  </si>
  <si>
    <t>{98.807-6.327}</t>
  </si>
  <si>
    <t>Humilau wins 50-32 on agg.</t>
  </si>
  <si>
    <t>{71.477-17.147}</t>
  </si>
  <si>
    <t>Virbank wins 47-32 on agg.</t>
  </si>
  <si>
    <t>5 thru 12</t>
  </si>
  <si>
    <t>1 thru 4</t>
  </si>
  <si>
    <t>13 thru 16</t>
  </si>
  <si>
    <t>3 thru 8</t>
  </si>
  <si>
    <t>1 &amp; 2</t>
  </si>
  <si>
    <t>15 &amp; 16</t>
  </si>
  <si>
    <t>9 thru 14</t>
  </si>
  <si>
    <t>3 &amp; 4 &amp; 5</t>
  </si>
  <si>
    <t>12 &amp; 13 &amp; 14</t>
  </si>
  <si>
    <t>6 thru 11</t>
  </si>
  <si>
    <t>6 &amp; 7 &amp; 8</t>
  </si>
  <si>
    <t>9 &amp; 10 &amp; 11</t>
  </si>
  <si>
    <t>DOMESTIC BREAK</t>
  </si>
  <si>
    <t>INTERNATIONAL BREAK</t>
  </si>
  <si>
    <t>Cup Finals/Semifinals</t>
  </si>
  <si>
    <t>Postseason</t>
  </si>
  <si>
    <t>Saturday</t>
  </si>
  <si>
    <t>Sunday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</si>
  <si>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</si>
  <si>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</si>
  <si>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</si>
  <si>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</si>
  <si>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</si>
  <si>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</si>
  <si>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</si>
  <si>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</si>
  <si>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</si>
  <si>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</si>
  <si>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</si>
  <si>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</si>
  <si>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</si>
  <si>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CCC R1</t>
  </si>
  <si>
    <t>CCC R2</t>
  </si>
  <si>
    <t>MRL M1</t>
  </si>
  <si>
    <t>UTL M1</t>
  </si>
  <si>
    <t>UTL M2</t>
  </si>
  <si>
    <t>MRL M2</t>
  </si>
  <si>
    <t>WCS R2</t>
  </si>
  <si>
    <t>M/U M4</t>
  </si>
  <si>
    <t>M/U M3</t>
  </si>
  <si>
    <t>WCS R3</t>
  </si>
  <si>
    <t>WCS R1</t>
  </si>
  <si>
    <t>M/U R5</t>
  </si>
  <si>
    <t>CCC R3B</t>
  </si>
  <si>
    <t>CCC R3A</t>
  </si>
  <si>
    <t>M/U R6</t>
  </si>
  <si>
    <t>UTL R20A</t>
  </si>
  <si>
    <t>CCC R5</t>
  </si>
  <si>
    <t>WCS R4</t>
  </si>
  <si>
    <t>UTL R20B</t>
  </si>
  <si>
    <t>WCS R5A</t>
  </si>
  <si>
    <t>M/U R16A</t>
  </si>
  <si>
    <t>M/U R16B</t>
  </si>
  <si>
    <t>WCS R5B</t>
  </si>
  <si>
    <t>CCC R4</t>
  </si>
  <si>
    <t>CCC SF</t>
  </si>
  <si>
    <t>WCS R6A</t>
  </si>
  <si>
    <t>M/U QFA</t>
  </si>
  <si>
    <t>CCC FIN</t>
  </si>
  <si>
    <t>WCS R6B</t>
  </si>
  <si>
    <t>M/U QFB</t>
  </si>
  <si>
    <t>WCS QFA</t>
  </si>
  <si>
    <t>M/U SFA</t>
  </si>
  <si>
    <t>WCS QFB</t>
  </si>
  <si>
    <t>M/U SFB</t>
  </si>
  <si>
    <t>M/U FIN</t>
  </si>
  <si>
    <t>WCS FIN</t>
  </si>
  <si>
    <t>CONF CHAMPIONSHIP</t>
  </si>
  <si>
    <t>CCC RESET</t>
  </si>
  <si>
    <t>QF A</t>
  </si>
  <si>
    <t>QF B</t>
  </si>
  <si>
    <t>R12 A</t>
  </si>
  <si>
    <t>R12 B</t>
  </si>
  <si>
    <t>SF A</t>
  </si>
  <si>
    <t>FINAL A</t>
  </si>
  <si>
    <t>FINAL B</t>
  </si>
  <si>
    <t>FINAL C</t>
  </si>
  <si>
    <t>***</t>
  </si>
  <si>
    <t>Opening Round - 1st Leg</t>
  </si>
  <si>
    <t>Opening Round - 2nd Leg</t>
  </si>
  <si>
    <t>Winners - Quarterfinal - 1st Leg</t>
  </si>
  <si>
    <t>Winners - Quarterfinal - 2nd Leg</t>
  </si>
  <si>
    <t>Winners - Semifinal - 1st Leg</t>
  </si>
  <si>
    <t>Winners - Semifinal - 2nd Leg</t>
  </si>
  <si>
    <t>Winners - Final - 1st Leg</t>
  </si>
  <si>
    <t>Winners - Final - 2nd Leg</t>
  </si>
  <si>
    <t>GRAND FINAL - GAME ONE</t>
  </si>
  <si>
    <t>GRAND FINAL - GAME TWO</t>
  </si>
  <si>
    <t>GRAND FINAL RESET - GAME ONE</t>
  </si>
  <si>
    <t>GRAND FINAL RESET - GAME TWO</t>
  </si>
  <si>
    <t>GRAND FINAL RESET - GAME THREE</t>
  </si>
  <si>
    <t>M</t>
  </si>
  <si>
    <t>U</t>
  </si>
  <si>
    <t>{140.739-1.941}</t>
  </si>
  <si>
    <t>D107 3/17</t>
  </si>
  <si>
    <t>{63.199-11.926}</t>
  </si>
  <si>
    <t>{570.828-0}</t>
  </si>
  <si>
    <t>{80.103-13.713}</t>
  </si>
  <si>
    <t>two-legged tie between top-five teams</t>
  </si>
  <si>
    <t>{55.234-17.763}</t>
  </si>
  <si>
    <t>{66.951-35.7}</t>
  </si>
  <si>
    <t>second-highest total score (63)</t>
  </si>
  <si>
    <t>{52.372-11.768}</t>
  </si>
  <si>
    <t>{84.366-0}</t>
  </si>
  <si>
    <t>Cinnabar wins 37-33 on agg.</t>
  </si>
  <si>
    <t>{100.044-0}</t>
  </si>
  <si>
    <t>Rustboro wins 38-22 on agg.</t>
  </si>
  <si>
    <t>{107.435-16.847}</t>
  </si>
  <si>
    <t>Veilstone wins 55-19 on agg.</t>
  </si>
  <si>
    <t>{100.615-18.525}</t>
  </si>
  <si>
    <t>Virbank wins 56-38 on agg.</t>
  </si>
  <si>
    <t>{34.93-24.812}</t>
  </si>
  <si>
    <t>Lumiose wins 41-37 on agg., Lumiose: 4 straight 100+EXP games</t>
  </si>
  <si>
    <t>{133.811-13.26}</t>
  </si>
  <si>
    <t>Kala'e wins 71-42 on agg.</t>
  </si>
  <si>
    <t>{117.689-0}</t>
  </si>
  <si>
    <t>Cinnabar def. Cianwood</t>
  </si>
  <si>
    <t>Rustboro def. Dewford</t>
  </si>
  <si>
    <t>Veilstone def. Celestic</t>
  </si>
  <si>
    <t>Virbank def. Humilau</t>
  </si>
  <si>
    <t>Lumiose def. Vaniville</t>
  </si>
  <si>
    <t>Kala'e def. Hokulani</t>
  </si>
  <si>
    <t>Postwick def. Hulbury</t>
  </si>
  <si>
    <t>bold denotes CCC Champion</t>
  </si>
  <si>
    <t>FRIDAY - MW 12</t>
  </si>
  <si>
    <t>F12</t>
  </si>
  <si>
    <t>R7</t>
  </si>
  <si>
    <t>R8</t>
  </si>
  <si>
    <t>R9</t>
  </si>
  <si>
    <t>R10</t>
  </si>
  <si>
    <t>Placeholder Conference</t>
  </si>
  <si>
    <t>x-16) conference rankings</t>
  </si>
  <si>
    <t>{59.11-15.392}</t>
  </si>
  <si>
    <t>{63.365-17.205}</t>
  </si>
  <si>
    <t>{71.971-6.424}</t>
  </si>
  <si>
    <t>{81.717-4.582}</t>
  </si>
  <si>
    <t>{52.282-2.356}</t>
  </si>
  <si>
    <t>{60.608-7.442}</t>
  </si>
  <si>
    <t>{43.996-7.866}</t>
  </si>
  <si>
    <t>D108 3/20</t>
  </si>
  <si>
    <t>{60.256-15.856}</t>
  </si>
  <si>
    <t>Pastoria: GW 4pt+1 @ 60:90</t>
  </si>
  <si>
    <t>{31.18-24.047}</t>
  </si>
  <si>
    <t>{101.789-0}</t>
  </si>
  <si>
    <t>W12 - Sandgem</t>
  </si>
  <si>
    <t>{120.687-0.914}</t>
  </si>
  <si>
    <t>{167.123-0}</t>
  </si>
  <si>
    <t>{42.107-11.567}</t>
  </si>
  <si>
    <t>{67.361-9.935}</t>
  </si>
  <si>
    <t>{92.279-1.805}</t>
  </si>
  <si>
    <t>{64.184-10.229}</t>
  </si>
  <si>
    <t>{48.353-7.103}</t>
  </si>
  <si>
    <t>{108.159-2.302}</t>
  </si>
  <si>
    <t>{110.62-0}</t>
  </si>
  <si>
    <t>{177.848-1.944}</t>
  </si>
  <si>
    <t>D109 3/21</t>
  </si>
  <si>
    <t>{46.28-16.937}</t>
  </si>
  <si>
    <t>D110 3/23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</si>
  <si>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- 13[7-6]</t>
    </r>
  </si>
  <si>
    <t>{24.16-27.74}</t>
  </si>
  <si>
    <t>{59.559-11.524}</t>
  </si>
  <si>
    <t>{50.477-13.063}</t>
  </si>
  <si>
    <t>D111 3/24</t>
  </si>
  <si>
    <t>{58.757-5.362}</t>
  </si>
  <si>
    <t>{34.868-19.999}</t>
  </si>
  <si>
    <t>{60.386-2.395}</t>
  </si>
  <si>
    <t>{28.029-9.597}</t>
  </si>
  <si>
    <t>{55.12-5.302}</t>
  </si>
  <si>
    <t>{45.512-23.645}</t>
  </si>
  <si>
    <t>{41.874-7.016}</t>
  </si>
  <si>
    <t>eleventh disaster game (sixth win) (8/9)</t>
  </si>
  <si>
    <t>{21.927-30.157}</t>
  </si>
  <si>
    <t>actual jump</t>
  </si>
  <si>
    <t>{30.276-21.582}</t>
  </si>
  <si>
    <t>D112 3/28</t>
  </si>
  <si>
    <t>{57.285-8.159}</t>
  </si>
  <si>
    <t>{49.823-7.561}</t>
  </si>
  <si>
    <t>{34.931-18.114}</t>
  </si>
  <si>
    <t>{19.693-10.66}</t>
  </si>
  <si>
    <t>Tapu: GA 4pt @ 58:00</t>
  </si>
  <si>
    <t>{45.92-22.011}</t>
  </si>
  <si>
    <t>{46.566-6.836}</t>
  </si>
  <si>
    <t>{62.232-24.407}</t>
  </si>
  <si>
    <t>{30.642-19.744}</t>
  </si>
  <si>
    <t>{43.075-18.026}</t>
  </si>
  <si>
    <t>{58.009-7.431}</t>
  </si>
  <si>
    <t>{33.223-28.456}</t>
  </si>
  <si>
    <t>{73.714-3.737}</t>
  </si>
  <si>
    <t>{140.989-3.651}</t>
  </si>
  <si>
    <t>{158.779-5.621}</t>
  </si>
  <si>
    <t>{65.983-9.913}</t>
  </si>
  <si>
    <t>Double Elimination Playoffs (-4)</t>
  </si>
  <si>
    <t>games to go</t>
  </si>
  <si>
    <t>days to go</t>
  </si>
  <si>
    <t>games/day to finish</t>
  </si>
  <si>
    <t>games/week to finish</t>
  </si>
  <si>
    <t>{54.618-9.638}</t>
  </si>
  <si>
    <t>{73.931-9.524}</t>
  </si>
  <si>
    <t>D113 3/31</t>
  </si>
  <si>
    <t>{56.025-17.064}</t>
  </si>
  <si>
    <t>{75.313-13.216}</t>
  </si>
  <si>
    <t>{71.932-7.118}</t>
  </si>
  <si>
    <t>{91.867-0.546}</t>
  </si>
  <si>
    <t>{74.372-12.007}</t>
  </si>
  <si>
    <t>{50.232-10.126}</t>
  </si>
  <si>
    <t>Copy over Conference Strength again if any conference is not zero</t>
  </si>
  <si>
    <t>Copy over Conference Strength again if any conference &gt;+/-.001</t>
  </si>
  <si>
    <t>After W12</t>
  </si>
  <si>
    <t>Unrestricted pairings begin in Quarterfinal</t>
  </si>
  <si>
    <t>twelfth disaster game (seventh win) (10/16)</t>
  </si>
  <si>
    <t>{36.82-11.4}</t>
  </si>
  <si>
    <t>{187.682-2.423}</t>
  </si>
  <si>
    <t>{27.068-26.89}</t>
  </si>
  <si>
    <t>{195.384-0.586}</t>
  </si>
  <si>
    <t>{57.941-11.115}</t>
  </si>
  <si>
    <t>{39.265-16.673}</t>
  </si>
  <si>
    <t>{25.463-25.786}</t>
  </si>
  <si>
    <t>{188.72-0}</t>
  </si>
  <si>
    <t>Kala'e wins 56-33 on agg., 13th disaster (8th win) (13/19), most lopsided spread/rcrd</t>
  </si>
  <si>
    <t>{64.365-10.884}</t>
  </si>
  <si>
    <t>Cinnabar wins 47-29 on agg.</t>
  </si>
  <si>
    <t>{29.495-46.29}</t>
  </si>
  <si>
    <t>D114 4/1</t>
  </si>
  <si>
    <t>South Lakes wins 35-24 on agg.</t>
  </si>
  <si>
    <t>{85.471-2.749}</t>
  </si>
  <si>
    <t>Lumiose wins 57-35 on agg.</t>
  </si>
  <si>
    <t>{46.922-40.973}</t>
  </si>
  <si>
    <t>{118.41-0.076}</t>
  </si>
  <si>
    <t>Solaceon wins 39-32 on agg.</t>
  </si>
  <si>
    <t>Vaniville wins 49-23 on agg.</t>
  </si>
  <si>
    <t>{237.59-1.332}</t>
  </si>
  <si>
    <t>{62.09-7.239}</t>
  </si>
  <si>
    <t>Humilau wins 34-28 on agg.</t>
  </si>
  <si>
    <t>{52.358-4.844}</t>
  </si>
  <si>
    <t>Oreburgh wins 42-21 on agg.</t>
  </si>
  <si>
    <t>SEMIFINAL</t>
  </si>
  <si>
    <t>D115 4/4</t>
  </si>
  <si>
    <t>{36.807-8.934}</t>
  </si>
  <si>
    <t>{182.483-4.323}</t>
  </si>
  <si>
    <t>Paniola: GW 4pt @ 58:40</t>
  </si>
  <si>
    <t>{37.715-25.554}</t>
  </si>
  <si>
    <t>{149.67-8.092}</t>
  </si>
  <si>
    <t>{75.157-4.388}</t>
  </si>
  <si>
    <t>{35.503-9.999}</t>
  </si>
  <si>
    <t>{57.526-3.735}</t>
  </si>
  <si>
    <t>{30.091-17.582}</t>
  </si>
  <si>
    <t>Anville wins 31-22 on agg.</t>
  </si>
  <si>
    <t>{97.345-1.44}</t>
  </si>
  <si>
    <t>{68.583-11.601}</t>
  </si>
  <si>
    <t>Laverre wins 44-23 on agg.</t>
  </si>
  <si>
    <t>{99.114-9.579}</t>
  </si>
  <si>
    <t>Malie wins 56-45 on agg.</t>
  </si>
  <si>
    <t>{44.345-25.453}</t>
  </si>
  <si>
    <t>Resort wins 51-29 on agg.</t>
  </si>
  <si>
    <t>{35.436-28.368}</t>
  </si>
  <si>
    <t>Oreburgh wins 33-29 on agg., Hokulani: GW 3pt#+1 @ 59:10</t>
  </si>
  <si>
    <t>{92.448-7.235}</t>
  </si>
  <si>
    <t>Veilstone wins 45-27 on agg.</t>
  </si>
  <si>
    <t>{114.62-1.584}</t>
  </si>
  <si>
    <t>Olivine wins 40-34 on agg.</t>
  </si>
  <si>
    <t>{20.695-16.559}</t>
  </si>
  <si>
    <t>Lilycove wins 35-33 on agg.</t>
  </si>
  <si>
    <t>FRIDAY - MW 13</t>
  </si>
  <si>
    <t>Circhester Derby</t>
  </si>
  <si>
    <t>W13</t>
  </si>
  <si>
    <t>Rivalry Week</t>
  </si>
  <si>
    <t>{511.414-0.134}</t>
  </si>
  <si>
    <t>{26.881-14.893}</t>
  </si>
  <si>
    <t>{28.022-11.689}</t>
  </si>
  <si>
    <t>{58.528-13.201}</t>
  </si>
  <si>
    <t>[16-11]</t>
  </si>
  <si>
    <t>{48.481-15.902}</t>
  </si>
  <si>
    <r>
      <rPr>
        <b/>
        <sz val="11"/>
        <color theme="1"/>
        <rFont val="Calibri"/>
        <family val="2"/>
        <scheme val="minor"/>
      </rPr>
      <t>3OT</t>
    </r>
    <r>
      <rPr>
        <sz val="11"/>
        <color theme="1"/>
        <rFont val="Calibri"/>
        <family val="2"/>
        <scheme val="minor"/>
      </rPr>
      <t xml:space="preserve"> - 19[10-8], 21[11-9], 25[14-11], Viridian's first win this season</t>
    </r>
  </si>
  <si>
    <t>Santalune's first win this season</t>
  </si>
  <si>
    <t>{40.274-13.694}</t>
  </si>
  <si>
    <t>F13</t>
  </si>
  <si>
    <t>w13</t>
  </si>
  <si>
    <t>{82.363-3.56}</t>
  </si>
  <si>
    <t>{115.154-3.564}</t>
  </si>
  <si>
    <t>{91.506-9.643}</t>
  </si>
  <si>
    <t>{25.442-6.185}</t>
  </si>
  <si>
    <t>Poni Derby</t>
  </si>
  <si>
    <t>{40.807-13.344}</t>
  </si>
  <si>
    <t>{52.293-8.476}</t>
  </si>
  <si>
    <t>{65.709-6.855}</t>
  </si>
  <si>
    <t>{334.927-0.78}</t>
  </si>
  <si>
    <t>{66.921-0}</t>
  </si>
  <si>
    <t>Hammerlocke: GW 3pt#+1 @ 59:00</t>
  </si>
  <si>
    <t>{48.388-11.671}</t>
  </si>
  <si>
    <t>Mistralton: GW 1pt+1 @ 60:30</t>
  </si>
  <si>
    <t>D116 4/5</t>
  </si>
  <si>
    <t>{33.474-29.561}</t>
  </si>
  <si>
    <t>{26.704-13.514}</t>
  </si>
  <si>
    <t>{58.019-11.338}</t>
  </si>
  <si>
    <t>{196.274-4.262}</t>
  </si>
  <si>
    <t>{49.254-4.981}</t>
  </si>
  <si>
    <t>{44.594-14.991}</t>
  </si>
  <si>
    <t>{68.713-13.094}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</si>
  <si>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- 14[8-5], Accumula: GT 1pt! @ 59:20 in reg.</t>
    </r>
  </si>
  <si>
    <t>{37.428-26.58}</t>
  </si>
  <si>
    <t>{81.165-1.261}</t>
  </si>
  <si>
    <t>14th disaster (4/5), Castelia: clinches Vertress championship game</t>
  </si>
  <si>
    <t>{40.958-14.073}</t>
  </si>
  <si>
    <t>{164.564-2.618}</t>
  </si>
  <si>
    <t>D117 4/6</t>
  </si>
  <si>
    <t>{396.021-0.586}</t>
  </si>
  <si>
    <t>{24.476-18.666}</t>
  </si>
  <si>
    <t>Chimney Derby</t>
  </si>
  <si>
    <t>{160.849-4.761}</t>
  </si>
  <si>
    <t>{41.563-9.295}</t>
  </si>
  <si>
    <t>{31.39-10.7}</t>
  </si>
  <si>
    <t>{82.649-10.342}</t>
  </si>
  <si>
    <t>Hulbury: clinches Dynamax championship game</t>
  </si>
  <si>
    <t>{43.107-20.12}</t>
  </si>
  <si>
    <t>{76.613-1.539}</t>
  </si>
  <si>
    <t>16th disaster (6/9)</t>
  </si>
  <si>
    <t>{64.311-13.937}</t>
  </si>
  <si>
    <t>{112.933-9.189}</t>
  </si>
  <si>
    <t>Veilstone: clinches Lily Valley championship game</t>
  </si>
  <si>
    <t>W12</t>
  </si>
  <si>
    <t>{260.332-1.124}</t>
  </si>
  <si>
    <t>{144.509-7.45}</t>
  </si>
  <si>
    <t>Ever Grande: clinches Delta championship game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</si>
  <si>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- 24[11-10], Virbank: clinches HFA in Vertress championship game</t>
    </r>
  </si>
  <si>
    <t>SB, 15th disaster (9th win) (10/11), Resort: clinches HFA in Lily Valley champ. game</t>
  </si>
  <si>
    <t>South Lakes: clinches HFA in Dynamax championship game</t>
  </si>
  <si>
    <t>{168.851-5.507}</t>
  </si>
  <si>
    <t>{58.628-2.162}</t>
  </si>
  <si>
    <t>Thud!!! Derby</t>
  </si>
  <si>
    <t>{92.148-11.009}</t>
  </si>
  <si>
    <t>W13 - Ambrette</t>
  </si>
  <si>
    <t>{60.993-3.842}</t>
  </si>
  <si>
    <t>{22.613-24.83}</t>
  </si>
  <si>
    <t>{69.649-4.277}</t>
  </si>
  <si>
    <t>{121.23-0.753}</t>
  </si>
  <si>
    <t>Skyarrow Derby</t>
  </si>
  <si>
    <t>{31.327-13.048}</t>
  </si>
  <si>
    <t>(Castelia: clinches Vertress championship game)</t>
  </si>
  <si>
    <t>{45.832-7.143}</t>
  </si>
  <si>
    <t>{55.865-6.363}</t>
  </si>
  <si>
    <t>{49.77-7.812}</t>
  </si>
  <si>
    <t>{69.535-14.376}</t>
  </si>
  <si>
    <t>{48.592-2.142}</t>
  </si>
  <si>
    <t>Whirl Island Derby</t>
  </si>
  <si>
    <t>{87.083-0}</t>
  </si>
  <si>
    <t>Lumiose: GW 4pt!/63:20, clinches HFA in Kalosite champ. game; Laverre: GA 4pt/60'</t>
  </si>
  <si>
    <t>{41.648-42.144}</t>
  </si>
  <si>
    <t>Lumiose City finishes 13-0 (9-0)</t>
  </si>
  <si>
    <t>{157.548-2.253}</t>
  </si>
  <si>
    <t>Cinnabar: clinches HFA in Indigo championship game, 9-0 in conference play</t>
  </si>
  <si>
    <t>{56.4-13.305}</t>
  </si>
  <si>
    <t>Olivine: clinches Indigo championship game</t>
  </si>
  <si>
    <t>After W13</t>
  </si>
  <si>
    <t>Delta: H2H inconclusive</t>
  </si>
  <si>
    <t>Overall Record used to determine HFA (Ever Grande)</t>
  </si>
  <si>
    <t>Head to Head used to determine #2 (Fallarbor)</t>
  </si>
  <si>
    <t>Lanakila: H2H identified HFA (Ultra Megalopolis 3-0-1)</t>
  </si>
  <si>
    <t>Overall Record used to eliminate Iki and Poni</t>
  </si>
  <si>
    <t>Head to Head used to determine #2 (Kala'e)</t>
  </si>
  <si>
    <t>WEEK THIRTEEN - END REGULAR SEASON</t>
  </si>
  <si>
    <t>Season 3 Conference Championships</t>
  </si>
  <si>
    <t>Delta: Ever Grande and Fallarbor clinch championship game</t>
  </si>
  <si>
    <t>Lanakila: Ultra Megalopolis and Kala'e clinch championship game</t>
  </si>
  <si>
    <t>Dynamax Conference Championship</t>
  </si>
  <si>
    <t>2 from same pod</t>
  </si>
  <si>
    <t>3 more that played</t>
  </si>
  <si>
    <t>2 yet to meet</t>
  </si>
  <si>
    <t>{54.588-5.889}</t>
  </si>
  <si>
    <t>{120.472-3.746}</t>
  </si>
  <si>
    <t>{70.674-19.015}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</si>
  <si>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- 17[8-6]</t>
    </r>
  </si>
  <si>
    <t>{52.623-9.687}</t>
  </si>
  <si>
    <t>D118 4/8</t>
  </si>
  <si>
    <t>{237.426-0}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</si>
  <si>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- 12[8-8]</t>
    </r>
  </si>
  <si>
    <t>{46.501-3.986}</t>
  </si>
  <si>
    <t>{63.149-13.665}</t>
  </si>
  <si>
    <t>{42.708-16.97}</t>
  </si>
  <si>
    <t>{129.949-22.804}</t>
  </si>
  <si>
    <t>{48-17.421}</t>
  </si>
  <si>
    <t>{24.291-12.246}</t>
  </si>
  <si>
    <t>{89-15.059}</t>
  </si>
  <si>
    <t>{37.385-24.27}</t>
  </si>
  <si>
    <t>Laverre wins 31-29 on agg.</t>
  </si>
  <si>
    <t>{59.415-21.679}</t>
  </si>
  <si>
    <t>Resort wins 50-30 on agg.</t>
  </si>
  <si>
    <t>{198.558-8.572}</t>
  </si>
  <si>
    <t>Veilstone wins 71-29 on agg.</t>
  </si>
  <si>
    <t>{50.626-5.248}</t>
  </si>
  <si>
    <t>Olivine wins 40-35 on agg.</t>
  </si>
  <si>
    <t>{135.001-1.119}</t>
  </si>
  <si>
    <t>Castelia wins 50-19 on agg.</t>
  </si>
  <si>
    <t>{103.621-2.847}</t>
  </si>
  <si>
    <t>Vaniville wins 31-24 on agg.</t>
  </si>
  <si>
    <t>{37.95-8.64}</t>
  </si>
  <si>
    <t>Lumiose wins 33-24 on agg.</t>
  </si>
  <si>
    <t>{83.282-15.845}</t>
  </si>
  <si>
    <t>Virbank wins 47-38 on agg.</t>
  </si>
  <si>
    <t>D119 4/9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</si>
  <si>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- 14[6-6], Cinnabar wins 56-41 on agg.</t>
    </r>
  </si>
  <si>
    <t>{24.993-49.691}</t>
  </si>
  <si>
    <t>{86.191-12.842}</t>
  </si>
  <si>
    <t>South Lakes wins 40-24 on agg.</t>
  </si>
  <si>
    <t>{49.731-18.545}</t>
  </si>
  <si>
    <t>{73.266-7.708}</t>
  </si>
  <si>
    <t>Kala'e wins 38-21 on agg.</t>
  </si>
  <si>
    <t>WMU QF</t>
  </si>
  <si>
    <t>AFTER W/M/U QUARTERFINAL</t>
  </si>
  <si>
    <t>Cinnabar Island - 1.0136, reduced (3&gt;8)</t>
  </si>
  <si>
    <t>#16 Fallarbor at #12 Ever Grande</t>
  </si>
  <si>
    <t>#13 Hulbury at #5 South Lakes</t>
  </si>
  <si>
    <t>Opening Round</t>
  </si>
  <si>
    <t>W QF</t>
  </si>
  <si>
    <t>W SF</t>
  </si>
  <si>
    <t>W F</t>
  </si>
  <si>
    <t>GF</t>
  </si>
  <si>
    <t>L F</t>
  </si>
  <si>
    <t>L SF</t>
  </si>
  <si>
    <t>L QF</t>
  </si>
  <si>
    <t>L R1</t>
  </si>
  <si>
    <t>L R2</t>
  </si>
  <si>
    <t>Lower - First Round - 1st Leg</t>
  </si>
  <si>
    <t>Lower - First Round - 2nd Leg</t>
  </si>
  <si>
    <t>Lower - Second Round - 1st Leg</t>
  </si>
  <si>
    <t>Lower - Second Round - 2nd Leg</t>
  </si>
  <si>
    <t>Lower - Quarterfinal - 1st Leg</t>
  </si>
  <si>
    <t>Lower - Quarterfinal - 2nd Leg</t>
  </si>
  <si>
    <t>Lower - Semifinal - 1st Leg</t>
  </si>
  <si>
    <t>Lower - Semifinal - 2nd Leg</t>
  </si>
  <si>
    <t>Lower - Final - 1st Leg</t>
  </si>
  <si>
    <t>Lower - Final - 2nd Leg</t>
  </si>
  <si>
    <t>{62.123-25.515}</t>
  </si>
  <si>
    <t>D120 4/11</t>
  </si>
  <si>
    <t>{78.805-2.247}</t>
  </si>
  <si>
    <t>{72.756-11.139}</t>
  </si>
  <si>
    <t>{58.304-11.301}</t>
  </si>
  <si>
    <t>{50.201-12.968}</t>
  </si>
  <si>
    <t>{41.665-8.156}</t>
  </si>
  <si>
    <t>Vaniville: no points in second half (16-4)</t>
  </si>
  <si>
    <t>{160.402-4.699}</t>
  </si>
  <si>
    <t>Resort wins 62-35 on agg.</t>
  </si>
  <si>
    <t>{58.694-26.738}</t>
  </si>
  <si>
    <t>Olivine wins 39-27 on agg., Veilstone: no points in second half (20-13)</t>
  </si>
  <si>
    <t>Castelia wins 45-44 on agg., Castelia: MW 1pt @ 61:80</t>
  </si>
  <si>
    <t>{109.551-19.206}</t>
  </si>
  <si>
    <t>Virbank wins 39-34 on agg.</t>
  </si>
  <si>
    <t>{48.25-24.206}</t>
  </si>
  <si>
    <t>Cinnabar wins 42-32 on agg., 17th disaster (8/10)</t>
  </si>
  <si>
    <t>{61.7-0}</t>
  </si>
  <si>
    <t>{108.673-0}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</si>
  <si>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- 26[11-15], Kala'e wins 35-33[9-7] on agg., Kala'e: MW 2pt+1 @ 75:70</t>
    </r>
  </si>
  <si>
    <t>WMU SF</t>
  </si>
  <si>
    <t>Cinnabar Island - 1.0133, reduced (3&gt;8)</t>
  </si>
  <si>
    <t>#9 Olivine at #1 Cinnabar</t>
  </si>
  <si>
    <t>#7 Veilstone at #3 Resort</t>
  </si>
  <si>
    <t>#10 Castelia at #6 Virbank</t>
  </si>
  <si>
    <t>#8 Vaniville at #2 Lumiose</t>
  </si>
  <si>
    <t>{128.024-1.567}</t>
  </si>
  <si>
    <t>{75.244-3.024}</t>
  </si>
  <si>
    <t>Castelia: third straight conference championship (perfect)</t>
  </si>
  <si>
    <t>#4 Kala'e Bay at #24 Ultra Megalopolis</t>
  </si>
  <si>
    <t>{159.499-4.601}</t>
  </si>
  <si>
    <t>Cinnabar: conference double</t>
  </si>
  <si>
    <t>{49.536-17.451}</t>
  </si>
  <si>
    <t>Lumiose: conference double</t>
  </si>
  <si>
    <t>D121 4/12</t>
  </si>
  <si>
    <t>{139.231-8.682}</t>
  </si>
  <si>
    <t>South Lakes: first Dynamax Conference champions</t>
  </si>
  <si>
    <t>{47.437-20.671}</t>
  </si>
  <si>
    <t>{22.398-51.708}</t>
  </si>
  <si>
    <t>Kala'e: GW 2pt @ 59:40 to avoid upset, Kala'e: conference double</t>
  </si>
  <si>
    <t>ConfChmp</t>
  </si>
  <si>
    <t>Cinnabar Island - 1.0154, reduced (3&gt;8)</t>
  </si>
  <si>
    <t>Cinnabar Island*</t>
  </si>
  <si>
    <t>Lumiose City*</t>
  </si>
  <si>
    <t>Resort Area*</t>
  </si>
  <si>
    <t>South Lakes*</t>
  </si>
  <si>
    <t>Kala'e Bay*</t>
  </si>
  <si>
    <t>Ever Grande City*</t>
  </si>
  <si>
    <t>*conference champions</t>
  </si>
  <si>
    <t>AFTER CONFERENCE CHAMPIONSHIPS</t>
  </si>
  <si>
    <t>AGG</t>
  </si>
  <si>
    <t>{95.999-11.581}</t>
  </si>
  <si>
    <t>{85.502-11.967}</t>
  </si>
  <si>
    <t>D121 4/13</t>
  </si>
  <si>
    <t>{42.486-29.801}</t>
  </si>
  <si>
    <t>D122 4/14</t>
  </si>
  <si>
    <t>{25.932-23.286}</t>
  </si>
  <si>
    <t>Resort Area wins Ultra League, 50-30 on agg.</t>
  </si>
  <si>
    <t>{24.867-23.275}</t>
  </si>
  <si>
    <t>Castelia City wins Master League, 43-33 on agg.</t>
  </si>
  <si>
    <t>{71.686-15.787}</t>
  </si>
  <si>
    <t>Cinnabar Island wins WCS, 38-27 on agg.</t>
  </si>
  <si>
    <t>WMU FIN</t>
  </si>
  <si>
    <t>AFTER W/M/U SEMIFINAL</t>
  </si>
  <si>
    <t>AFTER W/M/U CHAMPIONSHIP</t>
  </si>
  <si>
    <t>Resort Area*U</t>
  </si>
  <si>
    <t>Castelia City*M</t>
  </si>
  <si>
    <t>Cinnabar Island*W</t>
  </si>
  <si>
    <t>Cinnabar Island - 1.0241, reduced (3&gt;11)</t>
  </si>
  <si>
    <t>WMU Champions</t>
  </si>
  <si>
    <t>Match 1</t>
  </si>
  <si>
    <t>Play-in Round</t>
  </si>
  <si>
    <t>Match 2</t>
  </si>
  <si>
    <t>Match 3</t>
  </si>
  <si>
    <t>Match 4</t>
  </si>
  <si>
    <t>Upper Bracket QF</t>
  </si>
  <si>
    <t>Match 5</t>
  </si>
  <si>
    <t>Match 6</t>
  </si>
  <si>
    <t>Match 7</t>
  </si>
  <si>
    <t>Match 8</t>
  </si>
  <si>
    <t>Lower Bracket R1</t>
  </si>
  <si>
    <t>Match 9</t>
  </si>
  <si>
    <t>Match 10</t>
  </si>
  <si>
    <t>Match 11</t>
  </si>
  <si>
    <t>Match 12</t>
  </si>
  <si>
    <t>Lower Bracket R2</t>
  </si>
  <si>
    <t>Match 13</t>
  </si>
  <si>
    <t>Upper Bracket SF</t>
  </si>
  <si>
    <t>Match 15</t>
  </si>
  <si>
    <t>Match 14</t>
  </si>
  <si>
    <t>Match 16</t>
  </si>
  <si>
    <t>Lower Bracket QF</t>
  </si>
  <si>
    <t>Match 17</t>
  </si>
  <si>
    <t>Match 18</t>
  </si>
  <si>
    <t>Lower Bracket SF</t>
  </si>
  <si>
    <t>Match 19</t>
  </si>
  <si>
    <t>Upper Bracket Final</t>
  </si>
  <si>
    <t>Match 20</t>
  </si>
  <si>
    <t>Lower Bracket Final</t>
  </si>
  <si>
    <t>Match 21</t>
  </si>
  <si>
    <t>Grand Final</t>
  </si>
  <si>
    <t>Match 22</t>
  </si>
  <si>
    <t>Grand Final Reset</t>
  </si>
  <si>
    <t>Match 23</t>
  </si>
  <si>
    <t>Match X</t>
  </si>
  <si>
    <t>Match Y</t>
  </si>
  <si>
    <t>Match Z</t>
  </si>
  <si>
    <t>Play-In Round - Match X - 1st Leg</t>
  </si>
  <si>
    <t>Play-In Round - Match X - 2nd Leg</t>
  </si>
  <si>
    <t>Play-In Round - Match Y - 1st Leg</t>
  </si>
  <si>
    <t>Play-In Round - Match Y - 2nd Leg</t>
  </si>
  <si>
    <t>Play-in Round - Match Z - 1st Leg</t>
  </si>
  <si>
    <t>Play-in Round - Match Z - 2nd Leg</t>
  </si>
  <si>
    <t>Rnd Elim.</t>
  </si>
  <si>
    <t>OR&gt;LR1</t>
  </si>
  <si>
    <t>QF&gt;LR1</t>
  </si>
  <si>
    <t>LR2</t>
  </si>
  <si>
    <t>LQF</t>
  </si>
  <si>
    <t>LSF</t>
  </si>
  <si>
    <t>LF</t>
  </si>
  <si>
    <t>CHAMP</t>
  </si>
  <si>
    <t>Conf. Champions</t>
  </si>
  <si>
    <t>Wildcards</t>
  </si>
  <si>
    <t>D123 4/17</t>
  </si>
  <si>
    <t>{88.923-12.934}</t>
  </si>
  <si>
    <t>{41.753-11.338}</t>
  </si>
  <si>
    <t>{255.872-1.525}</t>
  </si>
  <si>
    <t>Slateport City wins #11 seed, 49-18 on agg.</t>
  </si>
  <si>
    <t>{47.115-24.997}</t>
  </si>
  <si>
    <t>Dewford advances to Match Z, 33-32 on agg.</t>
  </si>
  <si>
    <t>Play-in Y</t>
  </si>
  <si>
    <t>Play-in Z</t>
  </si>
  <si>
    <t>{218.552-0.815}</t>
  </si>
  <si>
    <t>{102.54-11.913}</t>
  </si>
  <si>
    <t>Olivine wins #12 seed, 36-30 on agg.</t>
  </si>
  <si>
    <t>AFTER PLAY-IN</t>
  </si>
  <si>
    <t>Cinnabar Island - 1.0222, reduced (3&gt;10)</t>
  </si>
  <si>
    <t>{42.774-24.985}</t>
  </si>
  <si>
    <t>{47.814-8.454}</t>
  </si>
  <si>
    <t>{55.21-21.974}</t>
  </si>
  <si>
    <t>{45.518-22.812}</t>
  </si>
  <si>
    <t>{68.265-14.867}</t>
  </si>
  <si>
    <t>Virbank City wins 37-28 on agg.</t>
  </si>
  <si>
    <t>{147.538-6.009}</t>
  </si>
  <si>
    <t>Kala'e Bay wins 49-24 on agg.</t>
  </si>
  <si>
    <t>{65.915-7.009}</t>
  </si>
  <si>
    <t>Castelia City wins 28-25 on agg.</t>
  </si>
  <si>
    <t>{50.785-15.398}</t>
  </si>
  <si>
    <t>Veilstone City wins 39-35 on agg.</t>
  </si>
  <si>
    <t>Opening</t>
  </si>
  <si>
    <t>AFTER OPENING ROUND</t>
  </si>
  <si>
    <t>WQF</t>
  </si>
  <si>
    <t>48-52</t>
  </si>
  <si>
    <t>{138.27-4.607}</t>
  </si>
  <si>
    <t>D124 4/18</t>
  </si>
  <si>
    <t>{97.783-5.415}</t>
  </si>
  <si>
    <t>[3-5]</t>
  </si>
  <si>
    <t>{52.07-6.767}</t>
  </si>
  <si>
    <t>{59.089-13.122}</t>
  </si>
  <si>
    <t>{446.909-4.48}</t>
  </si>
  <si>
    <t>Cinnabar Island wins 66-20 on agg.</t>
  </si>
  <si>
    <t>{33.535-18.141}</t>
  </si>
  <si>
    <t>Kala'e Bay wins 34-29 on agg.</t>
  </si>
  <si>
    <t>{116.189-4.648}</t>
  </si>
  <si>
    <t>Lumiose City wins 33-15 on agg.</t>
  </si>
  <si>
    <t>{62.375-6.984}</t>
  </si>
  <si>
    <t>Resort Area wins 33-32 on agg.</t>
  </si>
  <si>
    <t>Cinnabar Island - 1.0321, reduced (3&gt;13)</t>
  </si>
  <si>
    <t>LR1</t>
  </si>
  <si>
    <t>{86.843-4.928}</t>
  </si>
  <si>
    <t>{375.893-0}</t>
  </si>
  <si>
    <t>{33.894-16.249}</t>
  </si>
  <si>
    <t>{31.298-17.235}</t>
  </si>
  <si>
    <t>{74.077-0}</t>
  </si>
  <si>
    <t>South Lakes wins 42-27 on agg.</t>
  </si>
  <si>
    <t>{52.522-10.251}</t>
  </si>
  <si>
    <t>Virbank City wins 43-27 on agg.</t>
  </si>
  <si>
    <t>{65.664-0}</t>
  </si>
  <si>
    <r>
      <rPr>
        <b/>
        <sz val="11"/>
        <color theme="1"/>
        <rFont val="Calibri"/>
        <family val="2"/>
        <scheme val="minor"/>
      </rPr>
      <t>AggOT</t>
    </r>
    <r>
      <rPr>
        <sz val="11"/>
        <color theme="1"/>
        <rFont val="Calibri"/>
        <family val="2"/>
        <scheme val="minor"/>
      </rPr>
      <t xml:space="preserve"> - 29[17-15], Ever Grande City wins 31-29[2-0] on agg.</t>
    </r>
  </si>
  <si>
    <t>{250.516-1.457}</t>
  </si>
  <si>
    <t>Olivine City wins 44-28 on agg.</t>
  </si>
  <si>
    <t>Cinnabar Island - 1.0334, reduced (3&gt;14)</t>
  </si>
  <si>
    <t>14th</t>
  </si>
  <si>
    <t>13th</t>
  </si>
  <si>
    <t>12th</t>
  </si>
  <si>
    <t>11th</t>
  </si>
  <si>
    <t>10th</t>
  </si>
  <si>
    <t>9th</t>
  </si>
  <si>
    <t>{72.846-6.798}</t>
  </si>
  <si>
    <t>{60.543-2.267}</t>
  </si>
  <si>
    <t>D125 4/24</t>
  </si>
  <si>
    <t>{48.859-15.793}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</si>
  <si>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- 18[8-11]</t>
    </r>
  </si>
  <si>
    <t>{54.552-16.865}</t>
  </si>
  <si>
    <t>{74.649-15.717}</t>
  </si>
  <si>
    <t>Virbank City wins 42-28 on agg.</t>
  </si>
  <si>
    <t>{116.251-8.125}</t>
  </si>
  <si>
    <t>Ever Grande City wins 39-33 on agg.</t>
  </si>
  <si>
    <t>{62.72-7.065}</t>
  </si>
  <si>
    <t>{245.967-4.509}</t>
  </si>
  <si>
    <t>Resort Area wins 43-29 on agg.</t>
  </si>
  <si>
    <t>LR2/WSF</t>
  </si>
  <si>
    <t>AFTER LR1/WQF</t>
  </si>
  <si>
    <t>AFTER LR2/WSF</t>
  </si>
  <si>
    <t>Cinnabar Island - 1.0302, reduced (3&gt;13)</t>
  </si>
  <si>
    <t>Kala'e Bay wins 37-30 on agg., highest EXP score</t>
  </si>
  <si>
    <t>{77.282-12.399}</t>
  </si>
  <si>
    <t>{109.232-4.001}</t>
  </si>
  <si>
    <t>{71.754-6.787}</t>
  </si>
  <si>
    <t>Lumiose City wins 35-33 on agg., Virbank: led 14-0(28-20) after 44'</t>
  </si>
  <si>
    <t>{62.683-4.336}</t>
  </si>
  <si>
    <t>Cinnabar Island wins 50-39 on agg., largest game upset this season, highest EXP score</t>
  </si>
  <si>
    <t>{250.688-4.046}</t>
  </si>
  <si>
    <t>18th disaster (4/5)</t>
  </si>
  <si>
    <t>D126 4/29</t>
  </si>
  <si>
    <t>{29.87-12.758}</t>
  </si>
  <si>
    <t>{63.198-38.796}</t>
  </si>
  <si>
    <t>Lumiose City wins 51-33 on agg.</t>
  </si>
  <si>
    <t>{36.39-16.942}</t>
  </si>
  <si>
    <r>
      <rPr>
        <b/>
        <sz val="11"/>
        <color theme="1"/>
        <rFont val="Calibri"/>
        <family val="2"/>
        <scheme val="minor"/>
      </rPr>
      <t>OT</t>
    </r>
    <r>
      <rPr>
        <sz val="11"/>
        <color theme="1"/>
        <rFont val="Calibri"/>
        <family val="2"/>
        <scheme val="minor"/>
      </rPr>
      <t xml:space="preserve"> - 14[7-8], Kala'e Bay wins 36-32 on agg.</t>
    </r>
  </si>
  <si>
    <t>Cinnabar Island - 1.0189, reduced (3&gt;9)</t>
  </si>
  <si>
    <t>AFTER LQF/LSF/WF</t>
  </si>
  <si>
    <t>{26.632-16.648}</t>
  </si>
  <si>
    <t>{36.358-13.837}</t>
  </si>
  <si>
    <r>
      <rPr>
        <b/>
        <sz val="11"/>
        <color theme="1"/>
        <rFont val="Calibri"/>
        <family val="2"/>
        <scheme val="minor"/>
      </rPr>
      <t xml:space="preserve">AggOT </t>
    </r>
    <r>
      <rPr>
        <sz val="11"/>
        <color theme="1"/>
        <rFont val="Calibri"/>
        <family val="2"/>
        <scheme val="minor"/>
      </rPr>
      <t>- 29[15-15], Resort Area wins 36-33[5-3] on agg.</t>
    </r>
  </si>
  <si>
    <t>{61.946-23.633}</t>
  </si>
  <si>
    <t>Resort Area leads 1-0</t>
  </si>
  <si>
    <t>{27.163-18.355}</t>
  </si>
  <si>
    <t>{152.426-0}</t>
  </si>
  <si>
    <t>{124.881-16.781}</t>
  </si>
  <si>
    <t>Kala'e Bay leads 1-0</t>
  </si>
  <si>
    <t>Series tied 1-1 (38-36)</t>
  </si>
  <si>
    <t>{23.507-19.551}</t>
  </si>
  <si>
    <t>RESORT AREA: WORLD CHAMPIONS</t>
  </si>
  <si>
    <t>Resort Area wins 2-1 (55-51)</t>
  </si>
  <si>
    <t>Resort Area forces reset, 2-0 (42-34)</t>
  </si>
  <si>
    <t>Resort Area*U+++</t>
  </si>
  <si>
    <t>Kala'e Bay*+</t>
  </si>
  <si>
    <t>+++ World Champion</t>
  </si>
  <si>
    <t>+ World Runner-up</t>
  </si>
  <si>
    <t>SEASON THREE CHAMPIONS</t>
  </si>
  <si>
    <t>RESORT AREA</t>
  </si>
  <si>
    <t>92/96</t>
  </si>
  <si>
    <t>2*2</t>
  </si>
  <si>
    <t>2*4</t>
  </si>
  <si>
    <t>Agate Village</t>
  </si>
  <si>
    <t>Gateon Port</t>
  </si>
  <si>
    <t>Phenac City</t>
  </si>
  <si>
    <t>Pyrite Town</t>
  </si>
  <si>
    <t>Fall City</t>
  </si>
  <si>
    <t>Ringtown</t>
  </si>
  <si>
    <t>Summerland</t>
  </si>
  <si>
    <t>Wintown</t>
  </si>
  <si>
    <t>Boyleland</t>
  </si>
  <si>
    <t>Haruba Village</t>
  </si>
  <si>
    <t>Pueltown</t>
  </si>
  <si>
    <t>Vientown</t>
  </si>
  <si>
    <t>Aqua Resort</t>
  </si>
  <si>
    <t>Cocona Village</t>
  </si>
  <si>
    <t>Dolce Island</t>
  </si>
  <si>
    <t>Tilt Village</t>
  </si>
  <si>
    <t>FightGhost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</si>
</sst>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\+#.0\'"/>
    <numFmt numFmtId="166" formatCode="&quot;#&quot;#"/>
    <numFmt numFmtId="167" formatCode="0.0000"/>
    <numFmt numFmtId="168" formatCode="0.0"/>
    <numFmt numFmtId="169" formatCode="0.00000"/>
    <numFmt numFmtId="170" formatCode="0.000000"/>
    <numFmt numFmtId="171" formatCode="0.000000000"/>
  </numFmts>
  <fonts count="9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rgb="FFFF3399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339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B0F0"/>
      <name val="Calibri"/>
      <family val="2"/>
    </font>
    <font>
      <b/>
      <sz val="11"/>
      <color rgb="FF00B050"/>
      <name val="Calibri"/>
      <family val="2"/>
    </font>
    <font>
      <b/>
      <sz val="11"/>
      <color rgb="FFE26B0A"/>
      <name val="Calibri"/>
      <family val="2"/>
    </font>
    <font>
      <b/>
      <sz val="11"/>
      <color rgb="FFFF0000"/>
      <name val="Calibri"/>
      <family val="2"/>
    </font>
    <font>
      <b/>
      <sz val="11"/>
      <color rgb="FFFF3399"/>
      <name val="Calibri"/>
      <family val="2"/>
    </font>
    <font>
      <b/>
      <sz val="11"/>
      <color rgb="FF002060"/>
      <name val="Calibri"/>
      <family val="2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</font>
    <font>
      <sz val="1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36"/>
      <name val="Calibri"/>
      <family val="2"/>
      <scheme val="minor"/>
    </font>
    <font>
      <b/>
      <sz val="84"/>
      <name val="Century Gothic"/>
      <family val="2"/>
    </font>
    <font>
      <b/>
      <sz val="22"/>
      <name val="Century Gothic"/>
      <family val="2"/>
    </font>
    <font>
      <b/>
      <sz val="11"/>
      <name val="Bahnschrift SemiLight SemiConde"/>
      <family val="2"/>
    </font>
    <font>
      <b/>
      <sz val="26"/>
      <color theme="0"/>
      <name val="Bahnschrift SemiLight SemiConde"/>
      <family val="2"/>
    </font>
    <font>
      <b/>
      <sz val="48"/>
      <name val="Bahnschrift SemiLight"/>
      <family val="2"/>
    </font>
    <font>
      <b/>
      <sz val="11"/>
      <color theme="1"/>
      <name val="Century Gothic"/>
      <family val="2"/>
    </font>
    <font>
      <b/>
      <sz val="28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0.5"/>
      <color theme="1"/>
      <name val="Bahnschrift SemiCondensed"/>
      <family val="2"/>
    </font>
    <font>
      <b/>
      <sz val="11"/>
      <color theme="1"/>
      <name val="Bahnschrift SemiLight"/>
      <family val="2"/>
    </font>
    <font>
      <b/>
      <sz val="11"/>
      <color theme="1"/>
      <name val="Segoe UI Black"/>
      <family val="2"/>
    </font>
    <font>
      <b/>
      <sz val="14"/>
      <color theme="1"/>
      <name val="Bahnschrift SemiLight"/>
      <family val="2"/>
    </font>
    <font>
      <b/>
      <sz val="11"/>
      <color theme="3" tint="0.39997558519241921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0"/>
      <color theme="1"/>
      <name val="Bahnschrift SemiCondensed"/>
      <family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3399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</font>
    <font>
      <b/>
      <i/>
      <sz val="11"/>
      <color theme="9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AE0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5" fillId="0" borderId="0" applyFont="0" applyFill="0" applyBorder="0" applyAlignment="0" applyProtection="0"/>
  </cellStyleXfs>
  <cellXfs count="496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10" xfId="0" applyBorder="1"/>
    <xf numFmtId="0" fontId="4" fillId="0" borderId="0" xfId="0" applyFont="1" applyAlignment="1">
      <alignment horizontal="right"/>
    </xf>
    <xf numFmtId="0" fontId="0" fillId="0" borderId="0" xfId="0" applyFill="1" applyBorder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10" xfId="0" applyFill="1" applyBorder="1"/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64" fontId="0" fillId="0" borderId="0" xfId="0" applyNumberFormat="1"/>
    <xf numFmtId="167" fontId="0" fillId="0" borderId="0" xfId="0" applyNumberFormat="1"/>
    <xf numFmtId="167" fontId="1" fillId="0" borderId="0" xfId="0" applyNumberFormat="1" applyFont="1"/>
    <xf numFmtId="0" fontId="19" fillId="0" borderId="0" xfId="0" applyFont="1" applyAlignment="1">
      <alignment horizontal="right"/>
    </xf>
    <xf numFmtId="0" fontId="20" fillId="0" borderId="0" xfId="0" applyFont="1"/>
    <xf numFmtId="0" fontId="22" fillId="0" borderId="0" xfId="0" applyFont="1"/>
    <xf numFmtId="0" fontId="2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3" fillId="0" borderId="0" xfId="0" quotePrefix="1" applyFont="1"/>
    <xf numFmtId="0" fontId="1" fillId="0" borderId="0" xfId="0" applyFont="1" applyFill="1" applyBorder="1"/>
    <xf numFmtId="0" fontId="1" fillId="0" borderId="10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4" fillId="0" borderId="0" xfId="0" applyFont="1"/>
    <xf numFmtId="0" fontId="25" fillId="0" borderId="0" xfId="0" applyFo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0" fontId="31" fillId="0" borderId="0" xfId="0" applyFont="1"/>
    <xf numFmtId="0" fontId="8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2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quotePrefix="1" applyFont="1" applyBorder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4" fillId="0" borderId="0" xfId="0" applyFont="1"/>
    <xf numFmtId="168" fontId="0" fillId="0" borderId="0" xfId="0" applyNumberFormat="1"/>
    <xf numFmtId="0" fontId="35" fillId="0" borderId="0" xfId="0" applyFont="1"/>
    <xf numFmtId="0" fontId="0" fillId="0" borderId="0" xfId="0" applyFont="1" applyAlignment="1">
      <alignment horizontal="right"/>
    </xf>
    <xf numFmtId="168" fontId="30" fillId="0" borderId="0" xfId="0" applyNumberFormat="1" applyFont="1"/>
    <xf numFmtId="0" fontId="5" fillId="0" borderId="0" xfId="0" quotePrefix="1" applyFont="1"/>
    <xf numFmtId="0" fontId="0" fillId="0" borderId="0" xfId="0" quotePrefix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10" xfId="0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2" fontId="30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3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31" fillId="0" borderId="17" xfId="0" applyFont="1" applyBorder="1"/>
    <xf numFmtId="0" fontId="9" fillId="0" borderId="18" xfId="0" applyFont="1" applyBorder="1"/>
    <xf numFmtId="0" fontId="1" fillId="0" borderId="18" xfId="0" applyFont="1" applyBorder="1"/>
    <xf numFmtId="0" fontId="8" fillId="0" borderId="0" xfId="0" applyFont="1" applyBorder="1"/>
    <xf numFmtId="0" fontId="8" fillId="0" borderId="10" xfId="0" applyFont="1" applyBorder="1"/>
    <xf numFmtId="0" fontId="12" fillId="0" borderId="17" xfId="0" applyFont="1" applyBorder="1"/>
    <xf numFmtId="0" fontId="8" fillId="0" borderId="20" xfId="0" applyFont="1" applyBorder="1"/>
    <xf numFmtId="0" fontId="9" fillId="0" borderId="17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10" fillId="0" borderId="17" xfId="0" applyFont="1" applyBorder="1"/>
    <xf numFmtId="0" fontId="11" fillId="0" borderId="17" xfId="0" applyFont="1" applyBorder="1"/>
    <xf numFmtId="0" fontId="34" fillId="0" borderId="17" xfId="0" applyFont="1" applyBorder="1"/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Font="1" applyBorder="1"/>
    <xf numFmtId="0" fontId="0" fillId="0" borderId="7" xfId="0" applyFont="1" applyBorder="1" applyAlignment="1">
      <alignment horizontal="center"/>
    </xf>
    <xf numFmtId="0" fontId="36" fillId="0" borderId="1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Font="1" applyBorder="1" applyAlignment="1">
      <alignment horizontal="right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0" fillId="0" borderId="9" xfId="0" applyFont="1" applyBorder="1"/>
    <xf numFmtId="0" fontId="0" fillId="0" borderId="9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40" fillId="0" borderId="1" xfId="0" applyFont="1" applyBorder="1" applyAlignment="1">
      <alignment horizontal="right"/>
    </xf>
    <xf numFmtId="0" fontId="37" fillId="0" borderId="1" xfId="0" applyFont="1" applyBorder="1" applyAlignment="1">
      <alignment horizontal="right"/>
    </xf>
    <xf numFmtId="0" fontId="41" fillId="0" borderId="1" xfId="0" applyFont="1" applyBorder="1" applyAlignment="1">
      <alignment horizontal="right"/>
    </xf>
    <xf numFmtId="0" fontId="38" fillId="0" borderId="1" xfId="0" applyFont="1" applyBorder="1" applyAlignment="1">
      <alignment horizontal="right"/>
    </xf>
    <xf numFmtId="0" fontId="42" fillId="0" borderId="1" xfId="0" applyFont="1" applyBorder="1" applyAlignment="1">
      <alignment horizontal="right"/>
    </xf>
    <xf numFmtId="0" fontId="39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0" xfId="0" applyFont="1" applyBorder="1" applyAlignment="1">
      <alignment horizontal="center"/>
    </xf>
    <xf numFmtId="164" fontId="43" fillId="0" borderId="0" xfId="0" applyNumberFormat="1" applyFont="1" applyAlignment="1">
      <alignment horizontal="center" vertical="center"/>
    </xf>
    <xf numFmtId="0" fontId="8" fillId="0" borderId="0" xfId="0" applyFont="1" applyFill="1" applyBorder="1"/>
    <xf numFmtId="0" fontId="13" fillId="0" borderId="0" xfId="0" applyFont="1" applyFill="1" applyBorder="1"/>
    <xf numFmtId="0" fontId="13" fillId="0" borderId="20" xfId="0" applyFont="1" applyBorder="1"/>
    <xf numFmtId="0" fontId="13" fillId="0" borderId="0" xfId="0" applyFont="1" applyBorder="1"/>
    <xf numFmtId="0" fontId="13" fillId="0" borderId="21" xfId="0" applyFont="1" applyBorder="1"/>
    <xf numFmtId="0" fontId="13" fillId="0" borderId="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2" fontId="0" fillId="0" borderId="0" xfId="0" applyNumberFormat="1" applyFont="1" applyAlignment="1">
      <alignment horizontal="center" vertical="center"/>
    </xf>
    <xf numFmtId="0" fontId="4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NumberFormat="1"/>
    <xf numFmtId="0" fontId="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0" fillId="0" borderId="0" xfId="0" applyFont="1" applyFill="1" applyBorder="1"/>
    <xf numFmtId="0" fontId="45" fillId="0" borderId="0" xfId="0" applyFont="1" applyFill="1" applyBorder="1"/>
    <xf numFmtId="0" fontId="46" fillId="0" borderId="0" xfId="0" applyFont="1" applyFill="1" applyBorder="1"/>
    <xf numFmtId="0" fontId="47" fillId="0" borderId="0" xfId="0" applyFont="1" applyFill="1" applyBorder="1"/>
    <xf numFmtId="0" fontId="48" fillId="0" borderId="0" xfId="0" applyFont="1" applyFill="1" applyBorder="1"/>
    <xf numFmtId="0" fontId="49" fillId="0" borderId="0" xfId="0" applyFont="1" applyFill="1" applyBorder="1"/>
    <xf numFmtId="0" fontId="50" fillId="0" borderId="0" xfId="0" applyFont="1" applyFill="1" applyBorder="1"/>
    <xf numFmtId="0" fontId="51" fillId="0" borderId="0" xfId="0" applyFont="1" applyFill="1" applyBorder="1"/>
    <xf numFmtId="0" fontId="1" fillId="0" borderId="0" xfId="0" applyFont="1" applyAlignment="1">
      <alignment horizontal="center"/>
    </xf>
    <xf numFmtId="0" fontId="52" fillId="0" borderId="0" xfId="0" applyFont="1"/>
    <xf numFmtId="0" fontId="1" fillId="0" borderId="0" xfId="0" applyFont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17" fillId="7" borderId="8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0" fillId="7" borderId="7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7" borderId="9" xfId="0" applyFont="1" applyFill="1" applyBorder="1" applyAlignment="1">
      <alignment horizontal="center"/>
    </xf>
    <xf numFmtId="0" fontId="0" fillId="7" borderId="6" xfId="0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53" fillId="0" borderId="0" xfId="0" applyFont="1" applyFill="1" applyBorder="1"/>
    <xf numFmtId="0" fontId="1" fillId="9" borderId="7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68" fontId="8" fillId="0" borderId="0" xfId="0" applyNumberFormat="1" applyFont="1"/>
    <xf numFmtId="0" fontId="52" fillId="0" borderId="0" xfId="0" applyNumberFormat="1" applyFont="1"/>
    <xf numFmtId="2" fontId="0" fillId="0" borderId="0" xfId="0" applyNumberFormat="1"/>
    <xf numFmtId="2" fontId="1" fillId="0" borderId="7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31" fillId="0" borderId="28" xfId="0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2" fontId="21" fillId="0" borderId="2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2" fillId="10" borderId="0" xfId="0" applyNumberFormat="1" applyFont="1" applyFill="1"/>
    <xf numFmtId="0" fontId="0" fillId="10" borderId="0" xfId="0" applyNumberFormat="1" applyFill="1"/>
    <xf numFmtId="0" fontId="52" fillId="11" borderId="0" xfId="0" applyNumberFormat="1" applyFont="1" applyFill="1"/>
    <xf numFmtId="0" fontId="0" fillId="11" borderId="0" xfId="0" applyNumberFormat="1" applyFill="1"/>
    <xf numFmtId="164" fontId="1" fillId="0" borderId="7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64" fontId="30" fillId="0" borderId="0" xfId="0" applyNumberFormat="1" applyFont="1"/>
    <xf numFmtId="0" fontId="54" fillId="0" borderId="0" xfId="0" applyFont="1"/>
    <xf numFmtId="0" fontId="55" fillId="0" borderId="0" xfId="0" applyFont="1"/>
    <xf numFmtId="0" fontId="1" fillId="0" borderId="0" xfId="0" applyFont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2" fontId="56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right"/>
    </xf>
    <xf numFmtId="164" fontId="33" fillId="0" borderId="0" xfId="0" applyNumberFormat="1" applyFont="1" applyAlignment="1">
      <alignment horizontal="center"/>
    </xf>
    <xf numFmtId="0" fontId="33" fillId="0" borderId="10" xfId="0" applyFont="1" applyBorder="1" applyAlignment="1">
      <alignment horizontal="center"/>
    </xf>
    <xf numFmtId="164" fontId="33" fillId="0" borderId="0" xfId="0" applyNumberFormat="1" applyFont="1"/>
    <xf numFmtId="1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/>
    <xf numFmtId="0" fontId="0" fillId="13" borderId="0" xfId="0" applyFill="1"/>
    <xf numFmtId="0" fontId="1" fillId="12" borderId="0" xfId="0" applyFont="1" applyFill="1"/>
    <xf numFmtId="0" fontId="1" fillId="1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164" fontId="56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10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1" fontId="0" fillId="0" borderId="0" xfId="0" applyNumberFormat="1"/>
    <xf numFmtId="1" fontId="23" fillId="0" borderId="0" xfId="0" applyNumberFormat="1" applyFont="1" applyAlignment="1">
      <alignment horizontal="center"/>
    </xf>
    <xf numFmtId="1" fontId="23" fillId="0" borderId="10" xfId="0" applyNumberFormat="1" applyFont="1" applyBorder="1" applyAlignment="1">
      <alignment horizontal="center"/>
    </xf>
    <xf numFmtId="1" fontId="8" fillId="0" borderId="0" xfId="0" applyNumberFormat="1" applyFont="1"/>
    <xf numFmtId="1" fontId="23" fillId="3" borderId="0" xfId="0" applyNumberFormat="1" applyFont="1" applyFill="1" applyAlignment="1">
      <alignment horizontal="center"/>
    </xf>
    <xf numFmtId="0" fontId="43" fillId="0" borderId="10" xfId="0" applyFont="1" applyBorder="1" applyAlignment="1">
      <alignment horizontal="center"/>
    </xf>
    <xf numFmtId="0" fontId="23" fillId="0" borderId="0" xfId="0" applyFont="1" applyAlignment="1">
      <alignment horizontal="center"/>
    </xf>
    <xf numFmtId="1" fontId="3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5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Fill="1" applyBorder="1"/>
    <xf numFmtId="0" fontId="1" fillId="0" borderId="3" xfId="0" applyFont="1" applyBorder="1" applyAlignment="1">
      <alignment horizontal="right"/>
    </xf>
    <xf numFmtId="0" fontId="43" fillId="0" borderId="0" xfId="0" applyFont="1"/>
    <xf numFmtId="0" fontId="1" fillId="0" borderId="10" xfId="0" applyFont="1" applyBorder="1" applyAlignment="1"/>
    <xf numFmtId="0" fontId="1" fillId="0" borderId="24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7" fontId="0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23" fillId="0" borderId="10" xfId="0" applyFont="1" applyBorder="1" applyAlignment="1"/>
    <xf numFmtId="0" fontId="60" fillId="7" borderId="7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69" fontId="1" fillId="0" borderId="0" xfId="0" applyNumberFormat="1" applyFont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170" fontId="0" fillId="0" borderId="0" xfId="0" applyNumberFormat="1" applyFont="1"/>
    <xf numFmtId="167" fontId="1" fillId="0" borderId="0" xfId="0" applyNumberFormat="1" applyFont="1" applyAlignment="1">
      <alignment horizontal="center" vertic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65" fontId="69" fillId="0" borderId="2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64" fontId="72" fillId="0" borderId="0" xfId="0" applyNumberFormat="1" applyFont="1" applyAlignment="1">
      <alignment horizontal="right"/>
    </xf>
    <xf numFmtId="0" fontId="3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43" fillId="0" borderId="0" xfId="0" applyFont="1" applyAlignment="1">
      <alignment horizontal="right"/>
    </xf>
    <xf numFmtId="0" fontId="0" fillId="14" borderId="0" xfId="0" quotePrefix="1" applyFill="1" applyAlignment="1">
      <alignment horizontal="center"/>
    </xf>
    <xf numFmtId="0" fontId="1" fillId="14" borderId="0" xfId="0" quotePrefix="1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0" fillId="14" borderId="0" xfId="0" quotePrefix="1" applyFont="1" applyFill="1" applyAlignment="1">
      <alignment horizontal="center"/>
    </xf>
    <xf numFmtId="0" fontId="0" fillId="0" borderId="0" xfId="0" quotePrefix="1" applyFont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164" fontId="5" fillId="0" borderId="0" xfId="0" applyNumberFormat="1" applyFont="1" applyAlignment="1"/>
    <xf numFmtId="164" fontId="9" fillId="0" borderId="0" xfId="0" applyNumberFormat="1" applyFont="1" applyAlignment="1"/>
    <xf numFmtId="164" fontId="10" fillId="0" borderId="0" xfId="0" applyNumberFormat="1" applyFont="1" applyAlignment="1"/>
    <xf numFmtId="164" fontId="12" fillId="0" borderId="0" xfId="0" applyNumberFormat="1" applyFont="1" applyAlignment="1"/>
    <xf numFmtId="164" fontId="11" fillId="0" borderId="0" xfId="0" applyNumberFormat="1" applyFont="1" applyAlignment="1"/>
    <xf numFmtId="164" fontId="31" fillId="0" borderId="0" xfId="0" applyNumberFormat="1" applyFont="1" applyAlignment="1"/>
    <xf numFmtId="164" fontId="34" fillId="0" borderId="0" xfId="0" applyNumberFormat="1" applyFont="1" applyAlignment="1"/>
    <xf numFmtId="164" fontId="0" fillId="0" borderId="0" xfId="0" applyNumberFormat="1" applyFont="1" applyAlignment="1"/>
    <xf numFmtId="164" fontId="7" fillId="0" borderId="0" xfId="0" applyNumberFormat="1" applyFont="1" applyAlignment="1"/>
    <xf numFmtId="164" fontId="75" fillId="0" borderId="0" xfId="0" applyNumberFormat="1" applyFont="1" applyAlignment="1"/>
    <xf numFmtId="164" fontId="15" fillId="0" borderId="0" xfId="0" applyNumberFormat="1" applyFont="1" applyAlignment="1"/>
    <xf numFmtId="164" fontId="76" fillId="0" borderId="0" xfId="0" applyNumberFormat="1" applyFont="1" applyAlignment="1"/>
    <xf numFmtId="164" fontId="77" fillId="0" borderId="0" xfId="0" applyNumberFormat="1" applyFont="1" applyAlignment="1"/>
    <xf numFmtId="164" fontId="78" fillId="0" borderId="0" xfId="0" applyNumberFormat="1" applyFont="1" applyAlignment="1"/>
    <xf numFmtId="164" fontId="79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80" fillId="0" borderId="0" xfId="0" applyFont="1"/>
    <xf numFmtId="0" fontId="81" fillId="0" borderId="0" xfId="0" applyFont="1"/>
    <xf numFmtId="2" fontId="82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8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71" fontId="0" fillId="0" borderId="0" xfId="0" applyNumberFormat="1"/>
    <xf numFmtId="0" fontId="1" fillId="0" borderId="0" xfId="0" applyFont="1" applyAlignment="1">
      <alignment horizontal="center"/>
    </xf>
    <xf numFmtId="0" fontId="0" fillId="8" borderId="0" xfId="0" applyFill="1"/>
    <xf numFmtId="0" fontId="0" fillId="15" borderId="0" xfId="0" applyFill="1"/>
    <xf numFmtId="0" fontId="23" fillId="0" borderId="10" xfId="0" applyFont="1" applyBorder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1" fillId="0" borderId="0" xfId="0" applyFont="1" applyAlignment="1">
      <alignment horizontal="center"/>
    </xf>
    <xf numFmtId="0" fontId="76" fillId="0" borderId="0" xfId="0" applyFont="1"/>
    <xf numFmtId="169" fontId="0" fillId="0" borderId="0" xfId="0" applyNumberFormat="1"/>
    <xf numFmtId="0" fontId="73" fillId="0" borderId="0" xfId="0" applyFont="1" applyAlignment="1">
      <alignment vertical="center"/>
    </xf>
    <xf numFmtId="0" fontId="1" fillId="19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8" borderId="0" xfId="0" applyFont="1" applyFill="1"/>
    <xf numFmtId="0" fontId="1" fillId="15" borderId="0" xfId="0" applyFont="1" applyFill="1"/>
    <xf numFmtId="0" fontId="84" fillId="0" borderId="0" xfId="0" applyFont="1"/>
    <xf numFmtId="2" fontId="0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left" indent="2"/>
    </xf>
    <xf numFmtId="1" fontId="43" fillId="0" borderId="0" xfId="0" applyNumberFormat="1" applyFont="1" applyAlignment="1">
      <alignment horizontal="center"/>
    </xf>
    <xf numFmtId="0" fontId="0" fillId="0" borderId="10" xfId="0" applyFont="1" applyBorder="1" applyAlignment="1">
      <alignment horizontal="right"/>
    </xf>
    <xf numFmtId="0" fontId="85" fillId="0" borderId="0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8" fillId="0" borderId="22" xfId="0" applyFont="1" applyBorder="1"/>
    <xf numFmtId="0" fontId="1" fillId="0" borderId="0" xfId="0" applyFont="1" applyAlignment="1">
      <alignment horizontal="center"/>
    </xf>
    <xf numFmtId="0" fontId="86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7" fillId="0" borderId="20" xfId="0" applyFont="1" applyBorder="1"/>
    <xf numFmtId="0" fontId="7" fillId="0" borderId="0" xfId="0" applyFont="1" applyBorder="1"/>
    <xf numFmtId="0" fontId="7" fillId="0" borderId="10" xfId="0" applyFont="1" applyBorder="1"/>
    <xf numFmtId="0" fontId="7" fillId="0" borderId="2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7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91" fillId="0" borderId="0" xfId="0" applyFont="1" applyFill="1" applyBorder="1"/>
    <xf numFmtId="0" fontId="7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76" fillId="0" borderId="0" xfId="0" applyFont="1" applyAlignment="1">
      <alignment horizontal="right"/>
    </xf>
    <xf numFmtId="0" fontId="77" fillId="0" borderId="0" xfId="0" applyFont="1" applyAlignment="1">
      <alignment horizontal="left"/>
    </xf>
    <xf numFmtId="0" fontId="78" fillId="0" borderId="0" xfId="0" applyFont="1" applyAlignment="1">
      <alignment horizontal="right"/>
    </xf>
    <xf numFmtId="0" fontId="79" fillId="0" borderId="0" xfId="0" applyFont="1" applyAlignment="1">
      <alignment horizontal="left"/>
    </xf>
    <xf numFmtId="0" fontId="92" fillId="0" borderId="0" xfId="0" applyFont="1"/>
    <xf numFmtId="0" fontId="86" fillId="0" borderId="0" xfId="0" applyFont="1"/>
    <xf numFmtId="0" fontId="5" fillId="0" borderId="0" xfId="0" applyFont="1" applyBorder="1"/>
    <xf numFmtId="0" fontId="5" fillId="0" borderId="20" xfId="0" applyFont="1" applyBorder="1"/>
    <xf numFmtId="0" fontId="1" fillId="0" borderId="0" xfId="0" applyFont="1" applyAlignment="1">
      <alignment horizontal="left"/>
    </xf>
    <xf numFmtId="0" fontId="5" fillId="0" borderId="10" xfId="0" applyFont="1" applyBorder="1"/>
    <xf numFmtId="0" fontId="24" fillId="0" borderId="0" xfId="0" applyFont="1" applyAlignment="1">
      <alignment horizontal="right"/>
    </xf>
    <xf numFmtId="0" fontId="8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43" fillId="0" borderId="10" xfId="0" applyNumberFormat="1" applyFont="1" applyBorder="1" applyAlignment="1">
      <alignment horizontal="center"/>
    </xf>
    <xf numFmtId="164" fontId="1" fillId="0" borderId="0" xfId="0" applyNumberFormat="1" applyFont="1" applyAlignment="1"/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7" fillId="0" borderId="10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/>
    <xf numFmtId="0" fontId="0" fillId="0" borderId="0" xfId="0" applyFont="1" applyBorder="1"/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9" fillId="7" borderId="26" xfId="0" applyFont="1" applyFill="1" applyBorder="1" applyAlignment="1">
      <alignment horizontal="center" vertical="center"/>
    </xf>
    <xf numFmtId="0" fontId="59" fillId="7" borderId="27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58" fillId="7" borderId="17" xfId="0" applyFont="1" applyFill="1" applyBorder="1" applyAlignment="1">
      <alignment horizontal="center" vertical="center"/>
    </xf>
    <xf numFmtId="0" fontId="58" fillId="7" borderId="18" xfId="0" applyFont="1" applyFill="1" applyBorder="1" applyAlignment="1">
      <alignment horizontal="center" vertical="center"/>
    </xf>
    <xf numFmtId="0" fontId="58" fillId="7" borderId="19" xfId="0" applyFont="1" applyFill="1" applyBorder="1" applyAlignment="1">
      <alignment horizontal="center" vertical="center"/>
    </xf>
    <xf numFmtId="0" fontId="58" fillId="7" borderId="20" xfId="0" applyFont="1" applyFill="1" applyBorder="1" applyAlignment="1">
      <alignment horizontal="center" vertical="center"/>
    </xf>
    <xf numFmtId="0" fontId="58" fillId="7" borderId="0" xfId="0" applyFont="1" applyFill="1" applyBorder="1" applyAlignment="1">
      <alignment horizontal="center" vertical="center"/>
    </xf>
    <xf numFmtId="0" fontId="58" fillId="7" borderId="21" xfId="0" applyFont="1" applyFill="1" applyBorder="1" applyAlignment="1">
      <alignment horizontal="center" vertical="center"/>
    </xf>
    <xf numFmtId="0" fontId="58" fillId="7" borderId="22" xfId="0" applyFont="1" applyFill="1" applyBorder="1" applyAlignment="1">
      <alignment horizontal="center" vertical="center"/>
    </xf>
    <xf numFmtId="0" fontId="58" fillId="7" borderId="10" xfId="0" applyFont="1" applyFill="1" applyBorder="1" applyAlignment="1">
      <alignment horizontal="center" vertical="center"/>
    </xf>
    <xf numFmtId="0" fontId="58" fillId="7" borderId="23" xfId="0" applyFont="1" applyFill="1" applyBorder="1" applyAlignment="1">
      <alignment horizontal="center" vertical="center"/>
    </xf>
    <xf numFmtId="0" fontId="57" fillId="7" borderId="17" xfId="0" applyFont="1" applyFill="1" applyBorder="1" applyAlignment="1">
      <alignment horizontal="center" vertical="center"/>
    </xf>
    <xf numFmtId="0" fontId="57" fillId="7" borderId="18" xfId="0" applyFont="1" applyFill="1" applyBorder="1" applyAlignment="1">
      <alignment horizontal="center" vertical="center"/>
    </xf>
    <xf numFmtId="0" fontId="57" fillId="7" borderId="19" xfId="0" applyFont="1" applyFill="1" applyBorder="1" applyAlignment="1">
      <alignment horizontal="center" vertical="center"/>
    </xf>
    <xf numFmtId="0" fontId="57" fillId="7" borderId="20" xfId="0" applyFont="1" applyFill="1" applyBorder="1" applyAlignment="1">
      <alignment horizontal="center" vertical="center"/>
    </xf>
    <xf numFmtId="0" fontId="57" fillId="7" borderId="0" xfId="0" applyFont="1" applyFill="1" applyBorder="1" applyAlignment="1">
      <alignment horizontal="center" vertical="center"/>
    </xf>
    <xf numFmtId="0" fontId="57" fillId="7" borderId="21" xfId="0" applyFont="1" applyFill="1" applyBorder="1" applyAlignment="1">
      <alignment horizontal="center" vertical="center"/>
    </xf>
    <xf numFmtId="0" fontId="57" fillId="7" borderId="22" xfId="0" applyFont="1" applyFill="1" applyBorder="1" applyAlignment="1">
      <alignment horizontal="center" vertical="center"/>
    </xf>
    <xf numFmtId="0" fontId="57" fillId="7" borderId="10" xfId="0" applyFont="1" applyFill="1" applyBorder="1" applyAlignment="1">
      <alignment horizontal="center" vertical="center"/>
    </xf>
    <xf numFmtId="0" fontId="57" fillId="7" borderId="23" xfId="0" applyFont="1" applyFill="1" applyBorder="1" applyAlignment="1">
      <alignment horizontal="center" vertical="center"/>
    </xf>
    <xf numFmtId="0" fontId="90" fillId="0" borderId="17" xfId="0" applyFont="1" applyBorder="1" applyAlignment="1">
      <alignment horizontal="center"/>
    </xf>
    <xf numFmtId="0" fontId="90" fillId="0" borderId="18" xfId="0" applyFont="1" applyBorder="1" applyAlignment="1">
      <alignment horizontal="center"/>
    </xf>
    <xf numFmtId="0" fontId="90" fillId="0" borderId="19" xfId="0" applyFont="1" applyBorder="1" applyAlignment="1">
      <alignment horizontal="center"/>
    </xf>
    <xf numFmtId="0" fontId="60" fillId="7" borderId="34" xfId="0" applyFont="1" applyFill="1" applyBorder="1" applyAlignment="1">
      <alignment horizontal="center" vertical="center" wrapText="1"/>
    </xf>
    <xf numFmtId="0" fontId="60" fillId="7" borderId="35" xfId="0" applyFont="1" applyFill="1" applyBorder="1" applyAlignment="1">
      <alignment horizontal="center" vertical="center" wrapText="1"/>
    </xf>
    <xf numFmtId="0" fontId="64" fillId="0" borderId="15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1" fillId="14" borderId="11" xfId="0" applyFont="1" applyFill="1" applyBorder="1" applyAlignment="1">
      <alignment horizontal="right" vertical="center"/>
    </xf>
    <xf numFmtId="0" fontId="61" fillId="14" borderId="12" xfId="0" applyFont="1" applyFill="1" applyBorder="1" applyAlignment="1">
      <alignment horizontal="right" vertical="center"/>
    </xf>
    <xf numFmtId="0" fontId="61" fillId="14" borderId="0" xfId="0" applyFont="1" applyFill="1" applyBorder="1" applyAlignment="1">
      <alignment horizontal="left" vertical="center"/>
    </xf>
    <xf numFmtId="0" fontId="61" fillId="14" borderId="15" xfId="0" applyFont="1" applyFill="1" applyBorder="1" applyAlignment="1">
      <alignment horizontal="left" vertical="center"/>
    </xf>
    <xf numFmtId="0" fontId="61" fillId="14" borderId="13" xfId="0" applyFont="1" applyFill="1" applyBorder="1" applyAlignment="1">
      <alignment horizontal="left" vertical="center"/>
    </xf>
    <xf numFmtId="0" fontId="61" fillId="14" borderId="14" xfId="0" applyFont="1" applyFill="1" applyBorder="1" applyAlignment="1">
      <alignment horizontal="left" vertical="center"/>
    </xf>
    <xf numFmtId="1" fontId="62" fillId="7" borderId="17" xfId="0" quotePrefix="1" applyNumberFormat="1" applyFont="1" applyFill="1" applyBorder="1" applyAlignment="1">
      <alignment horizontal="right" vertical="center"/>
    </xf>
    <xf numFmtId="1" fontId="62" fillId="7" borderId="18" xfId="0" applyNumberFormat="1" applyFont="1" applyFill="1" applyBorder="1" applyAlignment="1">
      <alignment horizontal="right" vertical="center"/>
    </xf>
    <xf numFmtId="1" fontId="62" fillId="7" borderId="20" xfId="0" applyNumberFormat="1" applyFont="1" applyFill="1" applyBorder="1" applyAlignment="1">
      <alignment horizontal="right" vertical="center"/>
    </xf>
    <xf numFmtId="1" fontId="62" fillId="7" borderId="0" xfId="0" applyNumberFormat="1" applyFont="1" applyFill="1" applyBorder="1" applyAlignment="1">
      <alignment horizontal="right" vertical="center"/>
    </xf>
    <xf numFmtId="1" fontId="62" fillId="7" borderId="22" xfId="0" applyNumberFormat="1" applyFont="1" applyFill="1" applyBorder="1" applyAlignment="1">
      <alignment horizontal="right" vertical="center"/>
    </xf>
    <xf numFmtId="1" fontId="62" fillId="7" borderId="10" xfId="0" applyNumberFormat="1" applyFont="1" applyFill="1" applyBorder="1" applyAlignment="1">
      <alignment horizontal="right" vertical="center"/>
    </xf>
    <xf numFmtId="1" fontId="62" fillId="7" borderId="19" xfId="0" quotePrefix="1" applyNumberFormat="1" applyFont="1" applyFill="1" applyBorder="1" applyAlignment="1">
      <alignment horizontal="left" vertical="center"/>
    </xf>
    <xf numFmtId="1" fontId="62" fillId="7" borderId="21" xfId="0" applyNumberFormat="1" applyFont="1" applyFill="1" applyBorder="1" applyAlignment="1">
      <alignment horizontal="left" vertical="center"/>
    </xf>
    <xf numFmtId="1" fontId="62" fillId="7" borderId="23" xfId="0" applyNumberFormat="1" applyFont="1" applyFill="1" applyBorder="1" applyAlignment="1">
      <alignment horizontal="left" vertical="center"/>
    </xf>
    <xf numFmtId="165" fontId="69" fillId="0" borderId="21" xfId="0" applyNumberFormat="1" applyFont="1" applyBorder="1" applyAlignment="1">
      <alignment horizontal="left" vertical="center"/>
    </xf>
    <xf numFmtId="165" fontId="69" fillId="0" borderId="23" xfId="0" applyNumberFormat="1" applyFont="1" applyBorder="1" applyAlignment="1">
      <alignment horizontal="left" vertical="center"/>
    </xf>
    <xf numFmtId="0" fontId="64" fillId="0" borderId="0" xfId="0" applyFont="1" applyBorder="1" applyAlignment="1">
      <alignment horizontal="center" vertical="center"/>
    </xf>
    <xf numFmtId="0" fontId="64" fillId="0" borderId="13" xfId="0" applyFont="1" applyBorder="1" applyAlignment="1">
      <alignment horizontal="center" vertical="center"/>
    </xf>
    <xf numFmtId="0" fontId="90" fillId="0" borderId="22" xfId="0" applyFont="1" applyBorder="1" applyAlignment="1">
      <alignment horizontal="center"/>
    </xf>
    <xf numFmtId="0" fontId="90" fillId="0" borderId="10" xfId="0" applyFont="1" applyBorder="1" applyAlignment="1">
      <alignment horizontal="center"/>
    </xf>
    <xf numFmtId="0" fontId="90" fillId="0" borderId="23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8" fontId="0" fillId="0" borderId="10" xfId="0" applyNumberForma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/>
    </xf>
    <xf numFmtId="0" fontId="89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6" fillId="0" borderId="0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6" fillId="0" borderId="2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37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ill>
        <patternFill>
          <bgColor rgb="FFFFC7CE"/>
        </patternFill>
      </fill>
    </dxf>
    <dxf>
      <font>
        <b/>
        <i val="0"/>
      </font>
    </dxf>
    <dxf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rgb="FF9C0006"/>
      </font>
    </dxf>
    <dxf>
      <font>
        <b/>
        <i val="0"/>
      </font>
    </dxf>
    <dxf>
      <font>
        <b/>
        <i val="0"/>
      </font>
    </dxf>
    <dxf>
      <font>
        <b/>
        <i val="0"/>
        <color rgb="FF9C0006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theme="0" tint="-0.24994659260841701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</dxf>
    <dxf>
      <font>
        <b/>
        <i val="0"/>
        <color rgb="FF9C0006"/>
      </font>
    </dxf>
    <dxf>
      <font>
        <b/>
        <i val="0"/>
      </font>
    </dxf>
    <dxf>
      <font>
        <b/>
        <i val="0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theme="7" tint="0.39994506668294322"/>
        </patternFill>
      </fill>
    </dxf>
    <dxf>
      <fill>
        <patternFill>
          <bgColor rgb="FFFF99FF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0.39994506668294322"/>
      </font>
      <fill>
        <patternFill>
          <bgColor theme="1"/>
        </patternFill>
      </fill>
    </dxf>
    <dxf>
      <font>
        <b/>
        <i val="0"/>
        <color theme="9"/>
      </font>
      <fill>
        <patternFill>
          <bgColor theme="1"/>
        </patternFill>
      </fill>
    </dxf>
    <dxf>
      <font>
        <b/>
        <i val="0"/>
        <color rgb="FF92D050"/>
      </font>
      <fill>
        <patternFill>
          <bgColor theme="1"/>
        </patternFill>
      </fill>
    </dxf>
    <dxf>
      <font>
        <b/>
        <i val="0"/>
        <color rgb="FF8AE0E4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 val="0"/>
        <color rgb="FFFF99FF"/>
      </font>
      <fill>
        <patternFill>
          <bgColor theme="1"/>
        </patternFill>
      </fill>
    </dxf>
    <dxf>
      <font>
        <b/>
        <i val="0"/>
        <color theme="3" tint="0.39994506668294322"/>
      </font>
      <fill>
        <patternFill>
          <bgColor theme="1"/>
        </patternFill>
      </fill>
    </dxf>
    <dxf>
      <font>
        <b/>
        <i val="0"/>
        <color theme="5" tint="0.39994506668294322"/>
      </font>
      <fill>
        <patternFill>
          <bgColor theme="1"/>
        </patternFill>
      </fill>
    </dxf>
    <dxf>
      <font>
        <b/>
        <i val="0"/>
        <color theme="9"/>
      </font>
      <fill>
        <patternFill>
          <bgColor theme="1"/>
        </patternFill>
      </fill>
    </dxf>
    <dxf>
      <font>
        <b/>
        <i val="0"/>
        <color rgb="FF92D050"/>
      </font>
      <fill>
        <patternFill>
          <bgColor theme="1"/>
        </patternFill>
      </fill>
    </dxf>
    <dxf>
      <font>
        <b/>
        <i val="0"/>
        <color rgb="FF8AE0E4"/>
      </font>
      <fill>
        <patternFill>
          <bgColor theme="1"/>
        </patternFill>
      </fill>
    </dxf>
    <dxf>
      <font>
        <b/>
        <i val="0"/>
        <color theme="7" tint="0.39994506668294322"/>
      </font>
      <fill>
        <patternFill>
          <bgColor theme="1"/>
        </patternFill>
      </fill>
    </dxf>
    <dxf>
      <font>
        <b/>
        <i val="0"/>
        <color rgb="FFFF99FF"/>
      </font>
      <fill>
        <patternFill>
          <bgColor theme="1"/>
        </patternFill>
      </fill>
    </dxf>
    <dxf>
      <font>
        <b/>
        <i val="0"/>
        <color theme="3" tint="0.39994506668294322"/>
      </font>
      <fill>
        <patternFill>
          <bgColor theme="1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theme="7" tint="0.39994506668294322"/>
        </patternFill>
      </fill>
    </dxf>
    <dxf>
      <fill>
        <patternFill>
          <bgColor rgb="FFFF99FF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theme="7" tint="0.39994506668294322"/>
        </patternFill>
      </fill>
    </dxf>
    <dxf>
      <fill>
        <patternFill>
          <bgColor rgb="FFFF99FF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theme="7" tint="0.39994506668294322"/>
        </patternFill>
      </fill>
    </dxf>
    <dxf>
      <fill>
        <patternFill>
          <bgColor rgb="FFFF99FF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theme="7" tint="0.39994506668294322"/>
        </patternFill>
      </fill>
    </dxf>
    <dxf>
      <fill>
        <patternFill>
          <bgColor rgb="FFFF99FF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theme="7" tint="0.39994506668294322"/>
        </patternFill>
      </fill>
    </dxf>
    <dxf>
      <fill>
        <patternFill>
          <bgColor rgb="FFFF99FF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8AE0E4"/>
        </patternFill>
      </fill>
    </dxf>
    <dxf>
      <fill>
        <patternFill>
          <bgColor theme="7" tint="0.39994506668294322"/>
        </patternFill>
      </fill>
    </dxf>
    <dxf>
      <fill>
        <patternFill>
          <bgColor rgb="FFFF99FF"/>
        </patternFill>
      </fill>
    </dxf>
    <dxf>
      <fill>
        <patternFill>
          <bgColor theme="3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00"/>
      <color rgb="FF8AE0E4"/>
      <color rgb="FFFF3399"/>
      <color rgb="FFFF99FF"/>
      <color rgb="FFFF6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249977111117893"/>
  </sheetPr>
  <dimension ref="A1:Z152"/>
  <sheetViews>
    <sheetView zoomScale="108" zoomScaleNormal="108" workbookViewId="0">
      <selection activeCell="R5" sqref="R5"/>
    </sheetView>
  </sheetViews>
  <sheetFormatPr defaultColWidth="9.08984375" defaultRowHeight="14.5" x14ac:dyDescent="0.35"/>
  <cols>
    <col min="1" max="1" width="5.453125" style="7" customWidth="1"/>
    <col min="2" max="2" width="9.08984375" style="7" customWidth="1"/>
    <col min="3" max="8" width="9.08984375" style="7"/>
    <col min="9" max="9" width="9.08984375" style="7" customWidth="1"/>
    <col min="10" max="10" width="9.08984375" style="7"/>
    <col min="11" max="11" width="11.54296875" style="7" customWidth="1"/>
    <col min="12" max="12" width="9.54296875" style="7" bestFit="1" customWidth="1"/>
    <col min="13" max="16384" width="9.08984375" style="7"/>
  </cols>
  <sheetData>
    <row r="1" spans="1:26" ht="15" thickBot="1" x14ac:dyDescent="0.4">
      <c r="B1" s="66">
        <f>(INDEX(Rankings!BS2:BS113,I4,1))</f>
        <v>0.57191122612651257</v>
      </c>
      <c r="C1" s="151">
        <f>(INDEX(Rankings!BU2:BU113,I4,1))</f>
        <v>5.8880185041117103</v>
      </c>
      <c r="D1" s="280">
        <f>INDEX(Rankings!BV2:BV113,I4,1)-INDEX(Rankings!BW2:BW113,M4,1)</f>
        <v>-0.48090359878175853</v>
      </c>
      <c r="H1" s="30" t="str">
        <f>CONCATENATE(INDEX(Rankings!B2:'Rankings'!G113, (I4), 1)," Conference - ",INDEX(Rankings!B2:'Rankings'!G113, (I4), 2)," Pod")</f>
        <v>Indigo Conference - West Johto Pod</v>
      </c>
      <c r="I1" s="32" t="str">
        <f>CONCATENATE("Conf ", INDEX(Rankings!D2:'Rankings'!J113, (I4), 6),"-",INDEX(Rankings!D2:'Rankings'!J113, (I4), 7))</f>
        <v>Conf 5-4</v>
      </c>
      <c r="J1" s="269">
        <f>((1-(((AVERAGE(I4,M4)*(IF(AND(I4&lt;26, M4&lt;26), 0.875, IF(OR(I4&lt;26, M4&lt;26), 1, IF(AND(I4&gt;56, M4&gt;56), 1.25, 1.125)))))+(IF(J18&gt;0, J17, L17)))*(1-IF(A2="AGG", 0.04, 0)-IF(OR(A3="CCC", A3="UTL"), 0.04, 0)-IF(OR(A3="MRL", A3="WCS"), 0.06, 0)-IF(A3="CHMP", 0.08, 0))/140))*100)+(IF(K8&gt;2, K8-2, 0))</f>
        <v>647.04354950339734</v>
      </c>
      <c r="K1" s="255">
        <f>((((T1-B1)/0.15)*3)+((IF(A3="CCC", 1, IF(A3="", 0.5, 0.75))))+((0.125*L1*ABS(C5-S5))+0.5)+((S1-C1)/2)+(IF(A3="WCS", (1/2)*(T5-B5), 0)))</f>
        <v>5.9169687740714352</v>
      </c>
      <c r="L1" s="240">
        <f>IF(HLOOKUP(INDEX(Rankings!B2:'Rankings'!B113,(M4),1),B25:H26,2,FALSE)="Perfect",2,IF(HLOOKUP(INDEX(Rankings!B2:'Rankings'!B113,(M4),1),B25:H26,2,FALSE)="Beautiful",(5/3),IF(HLOOKUP(INDEX(Rankings!B2:'Rankings'!B113,(M4),1),B25:H26,2,FALSE)="Good",(4/3),IF(HLOOKUP(INDEX(Rankings!B2:'Rankings'!B113,(M4),1),B25:H26,2,FALSE)="Normal",1,IF(HLOOKUP(INDEX(Rankings!B2:'Rankings'!B113,(M4),1),B25:H26,2,FALSE)="Subpar",(2/3), IF(HLOOKUP(INDEX(Rankings!B2:'Rankings'!B113,(M4),1),B25:H26,2,FALSE)="Stormy",(1/3), 0))))))</f>
        <v>1</v>
      </c>
      <c r="M1" s="32" t="str">
        <f>CONCATENATE("Conf ", INDEX(Rankings!D2:'Rankings'!J113, (M4), 6),"-",INDEX(Rankings!D2:'Rankings'!J113, (M4), 7))</f>
        <v>Conf 6-3</v>
      </c>
      <c r="N1" s="31" t="str">
        <f>CONCATENATE(INDEX(Rankings!B2:'Rankings'!G113, (M4), 1)," Conference - ",INDEX(Rankings!B2:'Rankings'!G113, (M4), 2)," Pod")</f>
        <v>Indigo Conference - West Johto Pod</v>
      </c>
      <c r="R1" s="280">
        <f>INDEX(Rankings!BV2:BV113,M4,1)-INDEX(Rankings!BW2:BW113,I4,1)</f>
        <v>-0.15111820314512181</v>
      </c>
      <c r="S1" s="151">
        <f>(INDEX(Rankings!BU2:BU113,M4,1))</f>
        <v>7.1778260984785636</v>
      </c>
      <c r="T1" s="66">
        <f>(INDEX(Rankings!BS2:BS113,M4,1))</f>
        <v>0.76468114163757961</v>
      </c>
    </row>
    <row r="2" spans="1:26" ht="15" customHeight="1" x14ac:dyDescent="0.35">
      <c r="A2" s="200" t="s">
        <v>5072</v>
      </c>
      <c r="B2" s="432" t="str">
        <f>INDEX(Rankings!D2:'Rankings'!D113, (I4), 1)</f>
        <v>Goldenrod City</v>
      </c>
      <c r="C2" s="433"/>
      <c r="D2" s="433"/>
      <c r="E2" s="433"/>
      <c r="F2" s="433"/>
      <c r="G2" s="433"/>
      <c r="H2" s="434"/>
      <c r="I2" s="26" t="str">
        <f>CONCATENATE("Seas ", INDEX(Rankings!D2:'Rankings'!G113, (I4), 3),"-",INDEX(Rankings!D2:'Rankings'!G113, (I4), 4))</f>
        <v>Seas 7-6</v>
      </c>
      <c r="J2" s="441" t="s">
        <v>5263</v>
      </c>
      <c r="K2" s="442"/>
      <c r="L2" s="443"/>
      <c r="M2" s="26" t="str">
        <f>CONCATENATE("Seas ", INDEX(Rankings!D2:'Rankings'!G113, (M4), 3),"-",INDEX(Rankings!D2:'Rankings'!G113, (M4), 4))</f>
        <v>Seas 10-3</v>
      </c>
      <c r="N2" s="432" t="str">
        <f>INDEX(Rankings!D2:'Rankings'!D113, (M4), 1)</f>
        <v>Cianwood City</v>
      </c>
      <c r="O2" s="433"/>
      <c r="P2" s="433"/>
      <c r="Q2" s="433"/>
      <c r="R2" s="433"/>
      <c r="S2" s="433"/>
      <c r="T2" s="434"/>
    </row>
    <row r="3" spans="1:26" ht="15" customHeight="1" thickBot="1" x14ac:dyDescent="0.4">
      <c r="A3" s="200" t="s">
        <v>2755</v>
      </c>
      <c r="B3" s="435"/>
      <c r="C3" s="436"/>
      <c r="D3" s="436"/>
      <c r="E3" s="436"/>
      <c r="F3" s="436"/>
      <c r="G3" s="436"/>
      <c r="H3" s="437"/>
      <c r="I3" s="32" t="str">
        <f>CONCATENATE("Ovr ", (INDEX(Rankings!D2:'Rankings'!N113,(I4),3)+INDEX(Rankings!D2:'Rankings'!N113,(I4),9)), "-", (INDEX(Rankings!D2:'Rankings'!N113,(I4),4)+INDEX(Rankings!D2:'Rankings'!N113,(I4),10)))</f>
        <v>Ovr 11-13</v>
      </c>
      <c r="J3" s="467" t="s">
        <v>5262</v>
      </c>
      <c r="K3" s="468"/>
      <c r="L3" s="469"/>
      <c r="M3" s="32" t="str">
        <f>CONCATENATE("Ovr ", (INDEX(Rankings!D2:'Rankings'!N113,(M4),3)+INDEX(Rankings!D2:'Rankings'!N113,(M4),9)), "-", (INDEX(Rankings!D2:'Rankings'!N113,(M4),4)+INDEX(Rankings!D2:'Rankings'!N113,(M4),10)))</f>
        <v>Ovr 25-8</v>
      </c>
      <c r="N3" s="435"/>
      <c r="O3" s="436"/>
      <c r="P3" s="436"/>
      <c r="Q3" s="436"/>
      <c r="R3" s="436"/>
      <c r="S3" s="436"/>
      <c r="T3" s="437"/>
    </row>
    <row r="4" spans="1:26" ht="15" customHeight="1" thickBot="1" x14ac:dyDescent="0.3">
      <c r="A4" s="200">
        <v>2.25</v>
      </c>
      <c r="B4" s="438"/>
      <c r="C4" s="439"/>
      <c r="D4" s="439"/>
      <c r="E4" s="439"/>
      <c r="F4" s="439"/>
      <c r="G4" s="439"/>
      <c r="H4" s="440"/>
      <c r="I4" s="27">
        <v>3</v>
      </c>
      <c r="J4" s="298">
        <f>IF(((SUM(J19:J26)-IF(J20&gt;F6,J20-F6,0)+IF(J20&lt;-N6,-N6-J20, 0))*J27)&lt;0, 0, ((SUM(J19:J26)-IF(J20&gt;F6,J20-F6,0)+IF(J20&lt;-N6,-N6-J20, 0))*J27))</f>
        <v>0</v>
      </c>
      <c r="K4" s="291" t="s">
        <v>1278</v>
      </c>
      <c r="L4" s="298">
        <f>IF(((SUM(L19:L26)-IF(L20&gt;N6,L20-N6,0)+IF(L20&lt;-F6,-F6-L20, 0))*L27)&lt;0, 0, ((SUM(L19:L26)-IF(L20&gt;N6,L20-N6,0)+IF(L20&lt;-F6,-F6-L20, 0))*L27))</f>
        <v>89.205962082679591</v>
      </c>
      <c r="M4" s="27">
        <v>1</v>
      </c>
      <c r="N4" s="438"/>
      <c r="O4" s="439"/>
      <c r="P4" s="439"/>
      <c r="Q4" s="439"/>
      <c r="R4" s="439"/>
      <c r="S4" s="439"/>
      <c r="T4" s="440"/>
    </row>
    <row r="5" spans="1:26" ht="15" thickBot="1" x14ac:dyDescent="0.4">
      <c r="B5" s="40">
        <f>(INDEX(Rankings!BT2:BT113,I4,1))</f>
        <v>4</v>
      </c>
      <c r="C5" s="215">
        <f>INDEX(Rankings!BR2:BR113,I4,1)</f>
        <v>0.33333333333333331</v>
      </c>
      <c r="D5" s="40">
        <f>INDEX(Rankings!BO2:BO113,I4,1)+INDEX(Rankings!BP2:BP113,I4,1)</f>
        <v>115</v>
      </c>
      <c r="E5" s="275" t="str">
        <f>IF(ROUND(F5,0)=0, "[---]", CONCATENATE("[+", ROUND(F5,0), "]"))</f>
        <v>[---]</v>
      </c>
      <c r="F5" s="67">
        <f>IF(K1&gt;=0, 0, -K1*(((1+(0.05*(R5-2))))*((1-(0.05*(D5-2)))))*IF(T27="-", 1, T27))</f>
        <v>0</v>
      </c>
      <c r="G5" s="270"/>
      <c r="H5" s="285"/>
      <c r="I5" s="214"/>
      <c r="J5" s="214"/>
      <c r="K5" s="380"/>
      <c r="L5" s="214"/>
      <c r="M5" s="214"/>
      <c r="N5" s="285"/>
      <c r="P5" s="67">
        <f>IF(K1&lt;=0, 0, K1*(((1-(0.05*(R5-2))))*((1+(0.05*(D5-2)))))*IF(T27="-", 1, T27))</f>
        <v>-872.04655602813216</v>
      </c>
      <c r="Q5" s="41" t="str">
        <f>IF(ROUND(P5,0)=0, "[---]", CONCATENATE("[+", ROUND(P5,0), "]"))</f>
        <v>[+-872]</v>
      </c>
      <c r="R5" s="40">
        <f>INDEX(Rankings!BO2:BO113,M4,1)+INDEX(Rankings!BP2:BP113,M4,1)</f>
        <v>219</v>
      </c>
      <c r="S5" s="215">
        <f>INDEX(Rankings!BR2:BR113,M4,1)</f>
        <v>1.6666666666666665</v>
      </c>
      <c r="T5" s="40">
        <f>(INDEX(Rankings!BT2:BT113,M4,1))</f>
        <v>2</v>
      </c>
    </row>
    <row r="6" spans="1:26" ht="15" customHeight="1" x14ac:dyDescent="0.35">
      <c r="B6" s="270"/>
      <c r="C6" s="270"/>
      <c r="D6" s="270"/>
      <c r="F6" s="423">
        <f>SUM(L45:O50)</f>
        <v>0</v>
      </c>
      <c r="G6" s="424"/>
      <c r="H6" s="425"/>
      <c r="I6" s="446" t="str">
        <f>IF(AND(A2="AGG", H5&lt;&gt;""), F6+H5, "")</f>
        <v/>
      </c>
      <c r="J6" s="448" t="str">
        <f t="shared" ref="J6" si="0">IF(K8 = 1, "1st",IF(K8 = 2, "2nd",IF(K8 = 3, "1st", IF(K8 = 4, "2nd", IF(K8 = 5, "3rd", IF(K8&gt;5, CONCATENATE(K8-2,"th")))))))</f>
        <v>1st</v>
      </c>
      <c r="K6" s="450" t="str">
        <f>IF(K8&lt;3, "HALF", "Overtime")</f>
        <v>HALF</v>
      </c>
      <c r="L6" s="451"/>
      <c r="M6" s="465" t="str">
        <f>IF(AND(A2="AGG", N5&lt;&gt;""), N5+N6, "")</f>
        <v/>
      </c>
      <c r="N6" s="423">
        <f>SUM(Q45:T50)</f>
        <v>4</v>
      </c>
      <c r="O6" s="424"/>
      <c r="P6" s="425"/>
      <c r="Q6" s="270" t="s">
        <v>5265</v>
      </c>
      <c r="R6" s="270"/>
      <c r="S6" s="270"/>
      <c r="T6" s="270"/>
    </row>
    <row r="7" spans="1:26" ht="15" customHeight="1" x14ac:dyDescent="0.35">
      <c r="B7" s="270"/>
      <c r="C7" s="270"/>
      <c r="D7" s="270"/>
      <c r="E7" s="270"/>
      <c r="F7" s="426"/>
      <c r="G7" s="427"/>
      <c r="H7" s="428"/>
      <c r="I7" s="447"/>
      <c r="J7" s="449"/>
      <c r="K7" s="452"/>
      <c r="L7" s="453"/>
      <c r="M7" s="466"/>
      <c r="N7" s="426"/>
      <c r="O7" s="427"/>
      <c r="P7" s="428"/>
      <c r="Q7" s="270" t="s">
        <v>5266</v>
      </c>
      <c r="R7" s="270"/>
      <c r="S7" s="270"/>
      <c r="T7" s="270"/>
    </row>
    <row r="8" spans="1:26" ht="14.4" customHeight="1" thickBot="1" x14ac:dyDescent="0.4">
      <c r="B8" s="270"/>
      <c r="C8" s="270"/>
      <c r="D8" s="270"/>
      <c r="E8" s="270"/>
      <c r="F8" s="426"/>
      <c r="G8" s="427"/>
      <c r="H8" s="428"/>
      <c r="J8" s="293" t="str">
        <f>IF(M101="DUPLIC.", "DUPLIC.", IF(AND(K8=1, J9=0), "&lt;&lt;&lt;&lt;", IF(AND(K8=2, J9=250), "&gt;&gt;&gt;&gt;", IF(AND(ISODD(K8), (J9/100)=K8+2, J9&gt;300), "&lt;&lt;&lt;&lt;", IF(AND(ISEVEN(K8), (J9/100)=K8+2, J9&gt;400), "&gt;&gt;&gt;&gt;", "-")))))</f>
        <v>&lt;&lt;&lt;&lt;</v>
      </c>
      <c r="K8" s="33">
        <v>1</v>
      </c>
      <c r="L8" s="292" t="str">
        <f>CONCATENATE(IF(K8=1,IF(J9&lt;251,ROUNDUP(J9/10,0),CONCATENATE("25+",ROUNDUP((J9-250)/10,0))),IF(K8=2,IF(J9&lt;501,ROUNDUP(J9/10,0),CONCATENATE("50+",ROUNDUP((J9-500)/10,0))),IF(K8&gt;2,IF(J9&lt;(301+(100*K8)),ROUNDUP(J9/10,0),CONCATENATE((K8+3),"0+",ROUNDUP((J9-(300+(K8*100)))/10, 0)))))), "'")</f>
        <v>0'</v>
      </c>
      <c r="N8" s="426"/>
      <c r="O8" s="427"/>
      <c r="P8" s="428"/>
      <c r="Q8" s="270"/>
      <c r="R8" s="270"/>
      <c r="S8" s="270"/>
      <c r="T8" s="270"/>
    </row>
    <row r="9" spans="1:26" ht="15" customHeight="1" x14ac:dyDescent="0.35">
      <c r="B9" s="270"/>
      <c r="C9" s="270"/>
      <c r="D9" s="270"/>
      <c r="E9" s="270"/>
      <c r="F9" s="426"/>
      <c r="G9" s="427"/>
      <c r="H9" s="428"/>
      <c r="I9" s="276"/>
      <c r="J9" s="454">
        <v>0</v>
      </c>
      <c r="K9" s="455"/>
      <c r="L9" s="460">
        <v>0</v>
      </c>
      <c r="M9" s="294">
        <f>IF(K8=1, P66, IF(K8=2, P73, IF(K8&gt;2, P80, 0)))</f>
        <v>2</v>
      </c>
      <c r="N9" s="426"/>
      <c r="O9" s="427"/>
      <c r="P9" s="428"/>
      <c r="Q9" s="270"/>
      <c r="R9" s="270"/>
      <c r="S9" s="270"/>
      <c r="T9" s="270"/>
    </row>
    <row r="10" spans="1:26" ht="15" customHeight="1" x14ac:dyDescent="0.35">
      <c r="B10" s="270"/>
      <c r="C10" s="270"/>
      <c r="D10" s="270"/>
      <c r="E10" s="270"/>
      <c r="F10" s="426"/>
      <c r="G10" s="427"/>
      <c r="H10" s="428"/>
      <c r="I10" s="276"/>
      <c r="J10" s="456"/>
      <c r="K10" s="457"/>
      <c r="L10" s="461"/>
      <c r="M10" s="463">
        <f>IF(K8 = 1, M9+25, IF(K8 = 2, M9+50, IF(K8&gt;2, ((K8-2)*10+50)+M9)))</f>
        <v>27</v>
      </c>
      <c r="N10" s="426"/>
      <c r="O10" s="427"/>
      <c r="P10" s="428"/>
      <c r="Q10" s="282"/>
      <c r="R10" s="270"/>
      <c r="S10" s="270"/>
      <c r="T10" s="270"/>
    </row>
    <row r="11" spans="1:26" ht="15" customHeight="1" thickBot="1" x14ac:dyDescent="0.4">
      <c r="B11" s="214"/>
      <c r="C11" s="214"/>
      <c r="D11" s="214"/>
      <c r="E11" s="278"/>
      <c r="F11" s="429"/>
      <c r="G11" s="430"/>
      <c r="H11" s="431"/>
      <c r="I11" s="277"/>
      <c r="J11" s="458"/>
      <c r="K11" s="459"/>
      <c r="L11" s="462"/>
      <c r="M11" s="464"/>
      <c r="N11" s="429"/>
      <c r="O11" s="430"/>
      <c r="P11" s="431"/>
      <c r="Q11" s="279"/>
      <c r="R11" s="214"/>
      <c r="S11" s="214"/>
      <c r="T11" s="214"/>
    </row>
    <row r="12" spans="1:26" x14ac:dyDescent="0.3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65"/>
      <c r="P12" s="25"/>
      <c r="Q12" s="25"/>
      <c r="R12" s="25"/>
      <c r="S12" s="25"/>
      <c r="T12" s="25"/>
    </row>
    <row r="13" spans="1:26" ht="14.4" customHeight="1" x14ac:dyDescent="0.35">
      <c r="B13" s="284" t="s">
        <v>0</v>
      </c>
      <c r="C13" s="284" t="s">
        <v>2</v>
      </c>
      <c r="D13" s="284" t="s">
        <v>2</v>
      </c>
      <c r="E13" s="284">
        <v>4</v>
      </c>
      <c r="F13" s="284">
        <v>3</v>
      </c>
      <c r="G13" s="284">
        <v>2</v>
      </c>
      <c r="H13" s="284">
        <v>2</v>
      </c>
      <c r="I13" s="284">
        <v>1</v>
      </c>
      <c r="J13" s="284">
        <v>1</v>
      </c>
      <c r="K13" s="284">
        <v>1</v>
      </c>
      <c r="L13" s="284">
        <v>1</v>
      </c>
      <c r="M13" s="284">
        <v>1</v>
      </c>
      <c r="N13" s="284">
        <v>2</v>
      </c>
      <c r="O13" s="284">
        <v>2</v>
      </c>
      <c r="P13" s="284">
        <v>3</v>
      </c>
      <c r="Q13" s="284">
        <v>4</v>
      </c>
      <c r="R13" s="284" t="s">
        <v>2</v>
      </c>
      <c r="S13" s="284" t="s">
        <v>2</v>
      </c>
      <c r="T13" s="284" t="s">
        <v>0</v>
      </c>
      <c r="U13" s="270"/>
      <c r="V13" s="270"/>
      <c r="W13" s="270"/>
      <c r="X13" s="270"/>
      <c r="Y13" s="270"/>
      <c r="Z13" s="270"/>
    </row>
    <row r="14" spans="1:26" ht="15" customHeight="1" thickBot="1" x14ac:dyDescent="0.4">
      <c r="B14" s="338" t="str">
        <f>IF(I5="#1", "Indigo Conference Champion", IF(I5="#2", "Lily Valley Conference Champion",IF(I5="#3", "Kalosite Conference Champion",IF(I5="#4", "Dynamax Conference Champion",IF(I5="#5", "Lanakila Conference Champion",IF(I5="#6", "Vertress Conference Champion",IF(I5="#9", "Delta Conference Champion", "")))))))</f>
        <v/>
      </c>
      <c r="F14" s="7" t="s">
        <v>3</v>
      </c>
      <c r="G14" s="7" t="s">
        <v>282</v>
      </c>
      <c r="H14" s="7" t="s">
        <v>283</v>
      </c>
      <c r="I14" s="7" t="s">
        <v>284</v>
      </c>
      <c r="K14" s="7" t="s">
        <v>544</v>
      </c>
      <c r="M14" s="7" t="s">
        <v>284</v>
      </c>
      <c r="N14" s="7" t="s">
        <v>283</v>
      </c>
      <c r="O14" s="7" t="s">
        <v>282</v>
      </c>
      <c r="P14" s="7" t="s">
        <v>3</v>
      </c>
      <c r="T14" s="401" t="str">
        <f>IF(M5="#1", "Indigo Conference Champion", IF(M5="#2", "Lily Valley Conference Champion",IF(M5="#3", "Kalosite Conference Champion",IF(M5="#4", "Dynamax Conference Champion",IF(M5="#5", "Lanakila Conference Champion",IF(M5="#6", "Vertress Conference Champion",IF(M5="#9", "Delta Conference Champion", "")))))))</f>
        <v/>
      </c>
      <c r="U14" s="270"/>
      <c r="V14" s="270"/>
      <c r="W14" s="270"/>
      <c r="X14" s="270"/>
      <c r="Y14" s="270"/>
      <c r="Z14" s="270"/>
    </row>
    <row r="15" spans="1:26" ht="14.4" customHeight="1" x14ac:dyDescent="0.35">
      <c r="J15" s="418" t="str">
        <f>IF(COUNTIF(Q104:Q152, "&gt;1.5")=0, "", INDEX(N104:N152, COUNTIF(Q104:Q152, "&lt;2")))</f>
        <v/>
      </c>
      <c r="K15" s="444" t="s">
        <v>2933</v>
      </c>
      <c r="L15" s="418" t="str">
        <f>IF(COUNTIF(Q104:Q152, "&gt;1.5")=0, "", INDEX(T104:T152, COUNTIF(Q104:Q152, "&lt;2")))</f>
        <v/>
      </c>
      <c r="T15" s="270"/>
      <c r="U15" s="270"/>
      <c r="V15" s="270"/>
      <c r="W15" s="270"/>
      <c r="X15" s="270"/>
      <c r="Y15" s="270"/>
      <c r="Z15" s="270"/>
    </row>
    <row r="16" spans="1:26" ht="14.4" customHeight="1" thickBot="1" x14ac:dyDescent="0.4">
      <c r="B16" s="79"/>
      <c r="C16" s="79"/>
      <c r="D16" s="79"/>
      <c r="E16" s="79"/>
      <c r="F16" s="7">
        <f>200/5</f>
        <v>40</v>
      </c>
      <c r="G16" s="366">
        <f>((J4-100)/100+10)^2</f>
        <v>81</v>
      </c>
      <c r="H16" s="366">
        <f>((L4-100)/100+10)^2</f>
        <v>97.852843541991973</v>
      </c>
      <c r="I16" s="290">
        <f>H16-100</f>
        <v>-2.1471564580080269</v>
      </c>
      <c r="J16" s="419"/>
      <c r="K16" s="445"/>
      <c r="L16" s="419"/>
    </row>
    <row r="17" spans="1:21" ht="15" customHeight="1" x14ac:dyDescent="0.35">
      <c r="B17" s="24" t="str">
        <f t="shared" ref="B17:C17" si="1">IF(B6="", "", (IF(RIGHT(B6)="!",3,IF(RIGHT(B6)="#",5,IF(RIGHT(B6)="$",7,IF(MID(B6, 5, 1)="+", 1, 0))))))</f>
        <v/>
      </c>
      <c r="C17" s="24" t="str">
        <f t="shared" si="1"/>
        <v/>
      </c>
      <c r="D17" s="24" t="str">
        <f>IF(D6="", "", (IF(RIGHT(D6)="!",3,IF(RIGHT(D6)="#",5,IF(RIGHT(D6)="$",7,IF(MID(D6, 5, 1)="+", 1, 0))))))</f>
        <v/>
      </c>
      <c r="E17" s="24" t="str">
        <f>IF(E6="", "", (IF(RIGHT(E6)="!",3,IF(RIGHT(E6)="#",5,IF(RIGHT(E6)="$",7,IF(MID(E6, 5, 1)="+", 1, 0))))))</f>
        <v/>
      </c>
      <c r="F17" s="79">
        <f>300/5</f>
        <v>60</v>
      </c>
      <c r="G17" s="253">
        <f>IF(SQRT(J4/100)&lt;1, AVERAGE(SQRT(J4/100), J4/100)*100, 100+((J4-100)/5))</f>
        <v>0</v>
      </c>
      <c r="H17" s="253">
        <f>IF(SQRT(L4/100)&lt;1, AVERAGE(SQRT(L4/100), L4/100)*100, 100+((L4-100)/5))</f>
        <v>91.827435003953156</v>
      </c>
      <c r="I17" s="7">
        <f>I16/20</f>
        <v>-0.10735782290040134</v>
      </c>
      <c r="J17" s="81">
        <f>IF(F5=0, -P5, F5)</f>
        <v>872.04655602813216</v>
      </c>
      <c r="K17" s="7" t="s">
        <v>1271</v>
      </c>
      <c r="L17" s="81">
        <f>IF(P5=0, -F5, P5)</f>
        <v>-872.04655602813216</v>
      </c>
      <c r="M17" s="4">
        <v>260</v>
      </c>
      <c r="N17" s="3" t="s">
        <v>3048</v>
      </c>
      <c r="Q17" s="24">
        <f>IF(Q6="", "", (IF(RIGHT(Q6)="!",3,IF(RIGHT(Q6)="#",5,IF(RIGHT(Q6)="$",7,IF(MID(Q6, 5, 1)="+", 1, 0))))))</f>
        <v>0</v>
      </c>
      <c r="R17" s="24" t="str">
        <f t="shared" ref="R17:T17" si="2">IF(R6="", "", (IF(RIGHT(R6)="!",3,IF(RIGHT(R6)="#",5,IF(RIGHT(R6)="$",7,IF(MID(R6, 5, 1)="+", 1, 0))))))</f>
        <v/>
      </c>
      <c r="S17" s="24" t="str">
        <f t="shared" si="2"/>
        <v/>
      </c>
      <c r="T17" s="24" t="str">
        <f t="shared" si="2"/>
        <v/>
      </c>
    </row>
    <row r="18" spans="1:21" x14ac:dyDescent="0.35">
      <c r="B18" s="24" t="str">
        <f t="shared" ref="B18:E18" si="3">IF(B7="", "", (IF(RIGHT(B7)="!",3,IF(RIGHT(B7)="#",5,IF(RIGHT(B7)="$",7,IF(MID(B7, 5, 1)="+", 1, 0))))))</f>
        <v/>
      </c>
      <c r="C18" s="24" t="str">
        <f t="shared" si="3"/>
        <v/>
      </c>
      <c r="D18" s="24" t="str">
        <f t="shared" si="3"/>
        <v/>
      </c>
      <c r="E18" s="24" t="str">
        <f t="shared" si="3"/>
        <v/>
      </c>
      <c r="F18" s="79">
        <f>400/5</f>
        <v>80</v>
      </c>
      <c r="G18" s="82">
        <f>SQRT(G17)</f>
        <v>0</v>
      </c>
      <c r="H18" s="82">
        <f>SQRT(H17)</f>
        <v>9.5826632521420247</v>
      </c>
      <c r="J18" s="7">
        <f>F6-N6</f>
        <v>-4</v>
      </c>
      <c r="K18" s="7" t="s">
        <v>1273</v>
      </c>
      <c r="L18" s="7">
        <f>N6-F6</f>
        <v>4</v>
      </c>
      <c r="M18" s="4">
        <v>248</v>
      </c>
      <c r="N18" s="3" t="s">
        <v>4921</v>
      </c>
      <c r="Q18" s="24">
        <f t="shared" ref="Q18:T18" si="4">IF(Q7="", "", (IF(RIGHT(Q7)="!",3,IF(RIGHT(Q7)="#",5,IF(RIGHT(Q7)="$",7,IF(MID(Q7, 5, 1)="+", 1, 0))))))</f>
        <v>0</v>
      </c>
      <c r="R18" s="24" t="str">
        <f t="shared" si="4"/>
        <v/>
      </c>
      <c r="S18" s="24" t="str">
        <f t="shared" si="4"/>
        <v/>
      </c>
      <c r="T18" s="24" t="str">
        <f t="shared" si="4"/>
        <v/>
      </c>
    </row>
    <row r="19" spans="1:21" ht="14.4" customHeight="1" x14ac:dyDescent="0.35">
      <c r="B19" s="24" t="str">
        <f t="shared" ref="B19:E19" si="5">IF(B8="", "", (IF(RIGHT(B8)="!",3,IF(RIGHT(B8)="#",5,IF(RIGHT(B8)="$",7,IF(MID(B8, 5, 1)="+", 1, 0))))))</f>
        <v/>
      </c>
      <c r="C19" s="24" t="str">
        <f t="shared" si="5"/>
        <v/>
      </c>
      <c r="D19" s="24" t="str">
        <f t="shared" si="5"/>
        <v/>
      </c>
      <c r="E19" s="24" t="str">
        <f t="shared" si="5"/>
        <v/>
      </c>
      <c r="F19" s="253">
        <f>500/5</f>
        <v>100</v>
      </c>
      <c r="G19" s="151">
        <f>SQRT(J4)</f>
        <v>0</v>
      </c>
      <c r="H19" s="151">
        <f>SQRT(L4)</f>
        <v>9.4448907925226742</v>
      </c>
      <c r="J19" s="82">
        <f>IF(K8&gt;2, -J17, 0)</f>
        <v>0</v>
      </c>
      <c r="K19" s="7" t="s">
        <v>1274</v>
      </c>
      <c r="L19" s="82">
        <f>IF(K8&gt;2, -L17, 0)</f>
        <v>0</v>
      </c>
      <c r="M19" s="4">
        <v>240</v>
      </c>
      <c r="N19" s="3" t="s">
        <v>1510</v>
      </c>
      <c r="O19" s="60"/>
      <c r="Q19" s="24" t="str">
        <f t="shared" ref="Q19:T19" si="6">IF(Q8="", "", (IF(RIGHT(Q8)="!",3,IF(RIGHT(Q8)="#",5,IF(RIGHT(Q8)="$",7,IF(MID(Q8, 5, 1)="+", 1, 0))))))</f>
        <v/>
      </c>
      <c r="R19" s="24" t="str">
        <f t="shared" si="6"/>
        <v/>
      </c>
      <c r="S19" s="24" t="str">
        <f t="shared" si="6"/>
        <v/>
      </c>
      <c r="T19" s="24" t="str">
        <f t="shared" si="6"/>
        <v/>
      </c>
    </row>
    <row r="20" spans="1:21" ht="15" customHeight="1" x14ac:dyDescent="0.35">
      <c r="B20" s="24" t="str">
        <f t="shared" ref="B20:E20" si="7">IF(B9="", "", (IF(RIGHT(B9)="!",3,IF(RIGHT(B9)="#",5,IF(RIGHT(B9)="$",7,IF(MID(B9, 5, 1)="+", 1, 0))))))</f>
        <v/>
      </c>
      <c r="C20" s="24" t="str">
        <f t="shared" si="7"/>
        <v/>
      </c>
      <c r="D20" s="24" t="str">
        <f t="shared" si="7"/>
        <v/>
      </c>
      <c r="E20" s="24" t="str">
        <f t="shared" si="7"/>
        <v/>
      </c>
      <c r="F20" s="253">
        <f>1000/5</f>
        <v>200</v>
      </c>
      <c r="G20" s="151">
        <f>G18-G19</f>
        <v>0</v>
      </c>
      <c r="H20" s="151">
        <f>H18-H19</f>
        <v>0.13777245961935058</v>
      </c>
      <c r="J20" s="82">
        <f>IF(AND(J17&gt;0, J18&gt;0, J17&gt;J18), J18/J17, IF(AND(J17&lt;0, J18&lt;0, J18&gt;J17), 3*(1-(J18/J17)), IF(AND(J17&lt;0, J18&lt;J17), -(J18/J17), IF(AND(J17&gt;0, J18&gt;0, J18&gt;J17), 1+(J18/J17), IF(AND(J17&lt;0, J18&gt;0), -J17+(0.5*(J18+J17)), IF(AND(J17&gt;0, J18&lt;0), -J17+(0.25*J18), 0))))))/1.5</f>
        <v>-582.03103735208811</v>
      </c>
      <c r="K20" s="7" t="s">
        <v>1276</v>
      </c>
      <c r="L20" s="82">
        <f>IF(AND(L17&gt;0, L18&gt;0, L17&gt;L18), L18/L17, IF(AND(L17&lt;0, L18&lt;0, L18&gt;L17), 3*(1-(L18/L17)), IF(AND(L17&lt;0, L18&lt;L17), -(L18/L17), IF(AND(L17&gt;0, L18&gt;0, L18&gt;L17), 1+(L18/L17), IF(AND(L17&lt;0, L18&gt;0), -L17+(0.5*(L18+L17)), IF(AND(L17&gt;0, L18&lt;0), -L17+(0.25*L18), 0))))))/1.5</f>
        <v>292.01551867604405</v>
      </c>
      <c r="M20" s="4">
        <v>239</v>
      </c>
      <c r="N20" s="3" t="s">
        <v>4735</v>
      </c>
      <c r="O20" s="60"/>
      <c r="P20" s="4"/>
      <c r="Q20" s="24" t="str">
        <f t="shared" ref="Q20:T20" si="8">IF(Q9="", "", (IF(RIGHT(Q9)="!",3,IF(RIGHT(Q9)="#",5,IF(RIGHT(Q9)="$",7,IF(MID(Q9, 5, 1)="+", 1, 0))))))</f>
        <v/>
      </c>
      <c r="R20" s="24" t="str">
        <f t="shared" si="8"/>
        <v/>
      </c>
      <c r="S20" s="24" t="str">
        <f t="shared" si="8"/>
        <v/>
      </c>
      <c r="T20" s="24" t="str">
        <f t="shared" si="8"/>
        <v/>
      </c>
    </row>
    <row r="21" spans="1:21" x14ac:dyDescent="0.35">
      <c r="B21" s="24" t="str">
        <f t="shared" ref="B21:E21" si="9">IF(B10="", "", (IF(RIGHT(B10)="!",3,IF(RIGHT(B10)="#",5,IF(RIGHT(B10)="$",7,IF(MID(B10, 5, 1)="+", 1, 0))))))</f>
        <v/>
      </c>
      <c r="C21" s="24" t="str">
        <f t="shared" si="9"/>
        <v/>
      </c>
      <c r="D21" s="24" t="str">
        <f t="shared" si="9"/>
        <v/>
      </c>
      <c r="E21" s="24" t="str">
        <f t="shared" si="9"/>
        <v/>
      </c>
      <c r="F21" s="253"/>
      <c r="G21" s="81"/>
      <c r="H21" s="270"/>
      <c r="J21" s="7">
        <f>COUNTIF(B17:E22, 1)</f>
        <v>0</v>
      </c>
      <c r="K21" s="7" t="s">
        <v>1272</v>
      </c>
      <c r="L21" s="79">
        <f>COUNTIF(Q17:T22, 1)</f>
        <v>0</v>
      </c>
      <c r="M21" s="4">
        <v>228</v>
      </c>
      <c r="N21" s="3" t="s">
        <v>2035</v>
      </c>
      <c r="O21" s="60"/>
      <c r="P21" s="4"/>
      <c r="Q21" s="24" t="str">
        <f t="shared" ref="Q21:T21" si="10">IF(Q10="", "", (IF(RIGHT(Q10)="!",3,IF(RIGHT(Q10)="#",5,IF(RIGHT(Q10)="$",7,IF(MID(Q10, 5, 1)="+", 1, 0))))))</f>
        <v/>
      </c>
      <c r="R21" s="24" t="str">
        <f t="shared" si="10"/>
        <v/>
      </c>
      <c r="S21" s="24" t="str">
        <f t="shared" si="10"/>
        <v/>
      </c>
      <c r="T21" s="24" t="str">
        <f t="shared" si="10"/>
        <v/>
      </c>
    </row>
    <row r="22" spans="1:21" x14ac:dyDescent="0.35">
      <c r="B22" s="24" t="str">
        <f t="shared" ref="B22:E22" si="11">IF(B11="", "", (IF(RIGHT(B11)="!",3,IF(RIGHT(B11)="#",5,IF(RIGHT(B11)="$",7,IF(MID(B11, 5, 1)="+", 1, 0))))))</f>
        <v/>
      </c>
      <c r="C22" s="24" t="str">
        <f t="shared" si="11"/>
        <v/>
      </c>
      <c r="D22" s="24" t="str">
        <f t="shared" si="11"/>
        <v/>
      </c>
      <c r="E22" s="24" t="str">
        <f t="shared" si="11"/>
        <v/>
      </c>
      <c r="F22" s="253"/>
      <c r="J22" s="7">
        <f>(COUNTIF(B17:E22, 3)*3)+(COUNTIF(B17:E22, 5)*5)+(COUNTIF(B17:E22, 7)*7)</f>
        <v>0</v>
      </c>
      <c r="K22" s="7" t="s">
        <v>3374</v>
      </c>
      <c r="L22" s="79">
        <f>(COUNTIF(Q17:T22, 3)*3)+(COUNTIF(Q17:T22, 5)*5)+(COUNTIF(Q17:T22, 7)*7)</f>
        <v>0</v>
      </c>
      <c r="M22" s="4">
        <v>226</v>
      </c>
      <c r="N22" s="3" t="s">
        <v>3393</v>
      </c>
      <c r="O22" s="60"/>
      <c r="P22" s="4"/>
      <c r="Q22" s="24" t="str">
        <f t="shared" ref="Q22:T22" si="12">IF(Q11="", "", (IF(RIGHT(Q11)="!",3,IF(RIGHT(Q11)="#",5,IF(RIGHT(Q11)="$",7,IF(MID(Q11, 5, 1)="+", 1, 0))))))</f>
        <v/>
      </c>
      <c r="R22" s="24" t="str">
        <f t="shared" si="12"/>
        <v/>
      </c>
      <c r="S22" s="24" t="str">
        <f t="shared" si="12"/>
        <v/>
      </c>
      <c r="T22" s="24" t="str">
        <f t="shared" si="12"/>
        <v/>
      </c>
    </row>
    <row r="23" spans="1:21" ht="15" thickBot="1" x14ac:dyDescent="0.4">
      <c r="F23" s="79"/>
      <c r="G23" s="172"/>
      <c r="H23" s="153"/>
      <c r="J23" s="82">
        <f>O101*5</f>
        <v>0.3125</v>
      </c>
      <c r="K23" s="295" t="s">
        <v>3375</v>
      </c>
      <c r="L23" s="82">
        <f>R101*5</f>
        <v>4.6875</v>
      </c>
      <c r="M23" s="4">
        <v>210</v>
      </c>
      <c r="N23" s="3" t="s">
        <v>2700</v>
      </c>
      <c r="O23" s="50"/>
      <c r="P23" s="223"/>
    </row>
    <row r="24" spans="1:21" ht="15" thickBot="1" x14ac:dyDescent="0.4">
      <c r="B24" s="415" t="s">
        <v>1897</v>
      </c>
      <c r="C24" s="416"/>
      <c r="D24" s="416"/>
      <c r="E24" s="416"/>
      <c r="F24" s="416"/>
      <c r="G24" s="416"/>
      <c r="H24" s="417"/>
      <c r="I24" s="153"/>
      <c r="J24" s="82">
        <f>IF(X102&lt;0, -X102, 0)</f>
        <v>0</v>
      </c>
      <c r="K24" s="295" t="s">
        <v>3379</v>
      </c>
      <c r="L24" s="82">
        <f>IF(X102&gt;0, X102, 0)</f>
        <v>3</v>
      </c>
      <c r="M24" s="290"/>
      <c r="N24" s="3"/>
      <c r="O24" s="50"/>
      <c r="P24" s="4"/>
      <c r="Q24" s="139" t="s">
        <v>3378</v>
      </c>
      <c r="R24" s="81"/>
      <c r="S24" s="81"/>
      <c r="T24" s="253"/>
    </row>
    <row r="25" spans="1:21" ht="15" thickBot="1" x14ac:dyDescent="0.4">
      <c r="B25" s="207" t="s">
        <v>143</v>
      </c>
      <c r="C25" s="208" t="s">
        <v>144</v>
      </c>
      <c r="D25" s="209" t="s">
        <v>171</v>
      </c>
      <c r="E25" s="210" t="s">
        <v>172</v>
      </c>
      <c r="F25" s="211" t="s">
        <v>173</v>
      </c>
      <c r="G25" s="212" t="s">
        <v>799</v>
      </c>
      <c r="H25" s="213" t="s">
        <v>1296</v>
      </c>
      <c r="I25" s="153"/>
      <c r="J25" s="82">
        <f>IF(AND(J18&gt;0, (J18-J17)&gt;0), IF((COUNT(B17:E22)-COUNT(Q17:T22))&lt;0, (COUNT(B17:E22)-COUNT(Q17:T22))*-1, (COUNT(B17:E22)-COUNT(Q17:T22))*0.25), 0)</f>
        <v>0</v>
      </c>
      <c r="K25" s="7" t="s">
        <v>1311</v>
      </c>
      <c r="L25" s="82">
        <f>IF(AND(L18&gt;0,(L18-L17)&gt;0), IF((COUNT(Q17:T22)-COUNT(B17:E22))&lt;0, (COUNT(Q17:T22)-COUNT(B17:E22))*-1, (COUNT(Q17:T22)-COUNT(B17:E22))*0.25), 0)</f>
        <v>0.5</v>
      </c>
      <c r="M25" s="81"/>
      <c r="N25" s="420" t="str">
        <f>CONCATENATE("GAME SPREAD - ", IF(K1&gt;=0, N2, B2), " favored by ", IF(K1&gt;=0, ROUND(L17, 3), ROUND(J17, 3)))</f>
        <v>GAME SPREAD - Cianwood City favored by -872.047</v>
      </c>
      <c r="O25" s="421"/>
      <c r="P25" s="421"/>
      <c r="Q25" s="421"/>
      <c r="R25" s="421"/>
      <c r="S25" s="421"/>
      <c r="T25" s="422"/>
      <c r="U25" s="202"/>
    </row>
    <row r="26" spans="1:21" x14ac:dyDescent="0.35">
      <c r="B26" s="24" t="str">
        <f t="shared" ref="B26:H26" si="13">IF(B27=0, "Normal", IF(B27&lt;1.25, "Severe", IF(B27&lt;1.5, "Stormy", IF(B27&lt;1.75, "Subpar", IF(B27&lt;2.25, "Normal", IF(B27&lt;2.5, "Good", IF(B27&lt;2.75, "Beautiful", "Perfect")))))))</f>
        <v>Normal</v>
      </c>
      <c r="C26" s="24" t="str">
        <f t="shared" si="13"/>
        <v>Normal</v>
      </c>
      <c r="D26" s="24" t="str">
        <f t="shared" si="13"/>
        <v>Good</v>
      </c>
      <c r="E26" s="24" t="str">
        <f t="shared" si="13"/>
        <v>Good</v>
      </c>
      <c r="F26" s="24" t="str">
        <f t="shared" si="13"/>
        <v>Normal</v>
      </c>
      <c r="G26" s="24" t="str">
        <f t="shared" si="13"/>
        <v>Good</v>
      </c>
      <c r="H26" s="24" t="str">
        <f t="shared" si="13"/>
        <v>Beautiful</v>
      </c>
      <c r="I26" s="153"/>
      <c r="J26" s="82">
        <f>IFERROR(F6/COUNT(B17:E22), 0)</f>
        <v>0</v>
      </c>
      <c r="K26" s="7" t="s">
        <v>1407</v>
      </c>
      <c r="L26" s="82">
        <f>IFERROR(N6/COUNT(Q17:T22), 0)</f>
        <v>2</v>
      </c>
      <c r="M26" s="137"/>
      <c r="N26" s="216" t="s">
        <v>2766</v>
      </c>
      <c r="O26" s="216" t="s">
        <v>1901</v>
      </c>
      <c r="P26" s="216" t="s">
        <v>1899</v>
      </c>
      <c r="Q26" s="216" t="s">
        <v>1898</v>
      </c>
      <c r="R26" s="216" t="s">
        <v>1767</v>
      </c>
      <c r="S26" s="216" t="s">
        <v>1900</v>
      </c>
      <c r="T26" s="216" t="s">
        <v>1769</v>
      </c>
    </row>
    <row r="27" spans="1:21" x14ac:dyDescent="0.35">
      <c r="A27" s="7" t="s">
        <v>4613</v>
      </c>
      <c r="B27" s="206">
        <v>1.8</v>
      </c>
      <c r="C27" s="206">
        <v>2.2000000000000002</v>
      </c>
      <c r="D27" s="206">
        <v>2.2599999999999998</v>
      </c>
      <c r="E27" s="206">
        <v>2.48</v>
      </c>
      <c r="F27" s="206">
        <v>2.11</v>
      </c>
      <c r="G27" s="206">
        <v>2.4</v>
      </c>
      <c r="H27" s="206">
        <v>2.72</v>
      </c>
      <c r="I27" s="81">
        <f>SUM(J19:J26)*J27</f>
        <v>0</v>
      </c>
      <c r="J27" s="142">
        <f>IFERROR((F6/N6)*(T1+1), F6*(T1+1))</f>
        <v>0</v>
      </c>
      <c r="K27" s="139" t="s">
        <v>1275</v>
      </c>
      <c r="L27" s="142">
        <f>IFERROR((N6/F6)*(B1+1), N6*(B1+1))</f>
        <v>6.2876449045060507</v>
      </c>
      <c r="M27" s="81">
        <f>SUM(L19:L26)*L27</f>
        <v>1900.1452705047752</v>
      </c>
      <c r="N27" s="221">
        <f>(((T1-B1)/0.15)*3)</f>
        <v>3.8553983102213407</v>
      </c>
      <c r="O27" s="206">
        <f>(IF(A3="CCC", 1, IF(A3="", 0.5, 0.75)))</f>
        <v>0.75</v>
      </c>
      <c r="P27" s="206">
        <f>((0.125*L1*ABS(C5-S5))+0.5)</f>
        <v>0.66666666666666663</v>
      </c>
      <c r="Q27" s="221">
        <f>((S1-C1)/2)</f>
        <v>0.64490379718342661</v>
      </c>
      <c r="R27" s="206" t="str">
        <f>IF(A3="WCS", (1/2)*(T5-B5), "-")</f>
        <v>-</v>
      </c>
      <c r="S27" s="336">
        <f>IF(K1&gt;0, ((1-(0.05*(R5-2))))*((1+(0.05*(D5-2)))), -((1+(0.05*(R5-2))))*((1-(0.05*(D5-2)))))</f>
        <v>-65.502500000000012</v>
      </c>
      <c r="T27" s="336">
        <f>IF(A4&gt;1, A4, IF(A3="CHMP", IF(A4="CONF",1.25,IF(LEFT(A4,1)="R",1.5,IF(A4="QTR", 1.75, IF(A4="SEMI", 2, IF(A4="FINAL", 2.25, "-"))))), IF(A3="CCC", IF(A4="SEMI", 1.25, IF(A4="FINAL", 1.5, "-")), IF(A3&lt;&gt;"", IF(LEFT(A4,1)="R", 1.25,IF(A4="QTR", 1.5, IF(A4="SEMI", 1.75, IF(A4="FINAL", 2, "-")))), "-"))))</f>
        <v>2.25</v>
      </c>
    </row>
    <row r="28" spans="1:21" x14ac:dyDescent="0.35">
      <c r="F28" s="137"/>
      <c r="I28" s="137"/>
      <c r="M28" s="137"/>
    </row>
    <row r="29" spans="1:21" x14ac:dyDescent="0.35">
      <c r="B29" s="270">
        <v>53</v>
      </c>
      <c r="C29" s="270">
        <v>88</v>
      </c>
      <c r="D29" s="270">
        <v>63</v>
      </c>
      <c r="E29" s="270">
        <v>31</v>
      </c>
      <c r="F29" s="270">
        <v>83</v>
      </c>
      <c r="G29" s="270">
        <v>36</v>
      </c>
      <c r="H29" s="270">
        <v>95</v>
      </c>
      <c r="N29" s="137"/>
    </row>
    <row r="30" spans="1:21" x14ac:dyDescent="0.35">
      <c r="B30" s="270">
        <v>23</v>
      </c>
      <c r="C30" s="270">
        <v>45</v>
      </c>
      <c r="D30" s="270">
        <v>15</v>
      </c>
      <c r="E30" s="270">
        <v>7</v>
      </c>
      <c r="F30" s="270">
        <v>11</v>
      </c>
      <c r="G30" s="270">
        <v>69</v>
      </c>
      <c r="H30" s="270">
        <v>81</v>
      </c>
      <c r="J30" s="137"/>
      <c r="K30" s="137"/>
      <c r="L30" s="137"/>
      <c r="M30" s="137"/>
      <c r="N30" s="137"/>
      <c r="S30" s="224"/>
    </row>
    <row r="31" spans="1:21" x14ac:dyDescent="0.35">
      <c r="B31" s="270">
        <v>21</v>
      </c>
      <c r="C31" s="270">
        <v>47</v>
      </c>
      <c r="D31" s="270">
        <v>67</v>
      </c>
      <c r="E31" s="270">
        <v>95</v>
      </c>
      <c r="F31" s="270">
        <v>5</v>
      </c>
      <c r="G31" s="270">
        <v>16</v>
      </c>
      <c r="H31" s="270">
        <v>45</v>
      </c>
      <c r="J31" s="137"/>
      <c r="K31" s="137"/>
      <c r="L31" s="137"/>
      <c r="M31" s="137"/>
      <c r="R31" s="224"/>
    </row>
    <row r="32" spans="1:21" x14ac:dyDescent="0.35">
      <c r="B32" s="270">
        <v>91</v>
      </c>
      <c r="C32" s="270">
        <v>38</v>
      </c>
      <c r="D32" s="270">
        <v>86</v>
      </c>
      <c r="E32" s="270">
        <v>98</v>
      </c>
      <c r="F32" s="270">
        <v>61</v>
      </c>
      <c r="G32" s="270">
        <v>79</v>
      </c>
      <c r="H32" s="270">
        <v>96</v>
      </c>
      <c r="R32" s="224"/>
      <c r="S32" s="224"/>
      <c r="T32" s="224"/>
    </row>
    <row r="33" spans="2:20" x14ac:dyDescent="0.35">
      <c r="B33" s="270">
        <v>62</v>
      </c>
      <c r="C33" s="270">
        <v>16</v>
      </c>
      <c r="D33" s="270">
        <v>8</v>
      </c>
      <c r="E33" s="270">
        <v>31</v>
      </c>
      <c r="F33" s="270">
        <v>80</v>
      </c>
      <c r="G33" s="270">
        <v>97</v>
      </c>
      <c r="H33" s="270">
        <v>98</v>
      </c>
      <c r="Q33" s="224"/>
      <c r="S33" s="224"/>
      <c r="T33" s="224"/>
    </row>
    <row r="34" spans="2:20" x14ac:dyDescent="0.35">
      <c r="B34" s="270">
        <v>62</v>
      </c>
      <c r="C34" s="270">
        <v>38</v>
      </c>
      <c r="D34" s="270">
        <v>63</v>
      </c>
      <c r="E34" s="270">
        <v>80</v>
      </c>
      <c r="F34" s="270">
        <v>86</v>
      </c>
      <c r="G34" s="270">
        <v>85</v>
      </c>
      <c r="H34" s="270">
        <v>30</v>
      </c>
      <c r="Q34" s="224"/>
      <c r="R34" s="224"/>
      <c r="T34" s="224"/>
    </row>
    <row r="35" spans="2:20" x14ac:dyDescent="0.35">
      <c r="B35" s="270">
        <v>46</v>
      </c>
      <c r="C35" s="270">
        <v>92</v>
      </c>
      <c r="D35" s="270">
        <v>52</v>
      </c>
      <c r="E35" s="270">
        <v>82</v>
      </c>
      <c r="F35" s="270">
        <v>36</v>
      </c>
      <c r="G35" s="270">
        <v>33</v>
      </c>
      <c r="H35" s="270">
        <v>16</v>
      </c>
      <c r="O35" s="7" t="str">
        <f>INDEX(Rankings!B2:'Rankings'!G113, (I4), 1)</f>
        <v>Indigo</v>
      </c>
      <c r="Q35" s="224" t="str">
        <f>INDEX(Rankings!B2:'Rankings'!G113, (M4), 1)</f>
        <v>Indigo</v>
      </c>
      <c r="R35" s="224"/>
      <c r="S35" s="224"/>
      <c r="T35" s="224"/>
    </row>
    <row r="36" spans="2:20" x14ac:dyDescent="0.35">
      <c r="B36" s="270">
        <v>2</v>
      </c>
      <c r="C36" s="270">
        <v>75</v>
      </c>
      <c r="D36" s="270">
        <v>97</v>
      </c>
      <c r="E36" s="270">
        <v>71</v>
      </c>
      <c r="F36" s="270">
        <v>60</v>
      </c>
      <c r="G36" s="270">
        <v>64</v>
      </c>
      <c r="H36" s="270">
        <v>21</v>
      </c>
      <c r="O36" s="7">
        <f>IF(O35="Indigo", 1, IF(O35="Delta", 2, IF(O35="Lily Valley", 3, IF(O35="Vertress", 4, IF(O35="Kalosite", 5, IF(O35="Lanakila", 6, IF(O35="Dynamax", 7, 0)))))))</f>
        <v>1</v>
      </c>
      <c r="Q36" s="270">
        <f>IF(Q35="Indigo", 1, IF(Q35="Delta", 2, IF(Q35="Lily Valley", 3, IF(Q35="Vertress", 4, IF(Q35="Kalosite", 5, IF(Q35="Lanakila", 6, IF(Q35="Dynamax", 7, 0)))))))</f>
        <v>1</v>
      </c>
    </row>
    <row r="37" spans="2:20" x14ac:dyDescent="0.35">
      <c r="Q37" s="224"/>
      <c r="R37" s="224"/>
      <c r="S37" s="224"/>
      <c r="T37" s="224"/>
    </row>
    <row r="38" spans="2:20" x14ac:dyDescent="0.35">
      <c r="B38" s="82">
        <f>SUM(B29:B36)/200</f>
        <v>1.8</v>
      </c>
      <c r="C38" s="82">
        <f t="shared" ref="C38:H38" si="14">SUM(C29:C36)/200</f>
        <v>2.1949999999999998</v>
      </c>
      <c r="D38" s="82">
        <f t="shared" si="14"/>
        <v>2.2549999999999999</v>
      </c>
      <c r="E38" s="82">
        <f t="shared" si="14"/>
        <v>2.4750000000000001</v>
      </c>
      <c r="F38" s="82">
        <f t="shared" si="14"/>
        <v>2.11</v>
      </c>
      <c r="G38" s="82">
        <f t="shared" si="14"/>
        <v>2.395</v>
      </c>
      <c r="H38" s="82">
        <f t="shared" si="14"/>
        <v>2.41</v>
      </c>
      <c r="L38" s="270">
        <f t="shared" ref="L38:L43" si="15">_xlfn.NUMBERVALUE(LEFT(B6, 1))</f>
        <v>0</v>
      </c>
      <c r="M38" s="270">
        <f t="shared" ref="M38:N38" si="16">_xlfn.NUMBERVALUE(LEFT(C6, 1))</f>
        <v>0</v>
      </c>
      <c r="N38" s="270">
        <f t="shared" si="16"/>
        <v>0</v>
      </c>
      <c r="O38" s="7">
        <f>_xlfn.NUMBERVALUE(LEFT(E6, 1))</f>
        <v>0</v>
      </c>
      <c r="Q38" s="7">
        <f>_xlfn.NUMBERVALUE(LEFT(Q6, 1))</f>
        <v>2</v>
      </c>
      <c r="R38" s="270">
        <f t="shared" ref="R38:T38" si="17">_xlfn.NUMBERVALUE(LEFT(R6, 1))</f>
        <v>0</v>
      </c>
      <c r="S38" s="270">
        <f t="shared" si="17"/>
        <v>0</v>
      </c>
      <c r="T38" s="270">
        <f t="shared" si="17"/>
        <v>0</v>
      </c>
    </row>
    <row r="39" spans="2:20" x14ac:dyDescent="0.35">
      <c r="B39" s="7">
        <v>1</v>
      </c>
      <c r="C39" s="7">
        <v>2</v>
      </c>
      <c r="D39" s="7">
        <v>3</v>
      </c>
      <c r="E39" s="7">
        <v>4</v>
      </c>
      <c r="F39" s="7">
        <v>5</v>
      </c>
      <c r="G39" s="7">
        <v>6</v>
      </c>
      <c r="H39" s="7">
        <v>7</v>
      </c>
      <c r="L39" s="270">
        <f t="shared" si="15"/>
        <v>0</v>
      </c>
      <c r="M39" s="270">
        <f t="shared" ref="M39:O39" si="18">_xlfn.NUMBERVALUE(LEFT(C7, 1))</f>
        <v>0</v>
      </c>
      <c r="N39" s="270">
        <f t="shared" si="18"/>
        <v>0</v>
      </c>
      <c r="O39" s="270">
        <f t="shared" si="18"/>
        <v>0</v>
      </c>
      <c r="Q39" s="270">
        <f t="shared" ref="Q39:T39" si="19">_xlfn.NUMBERVALUE(LEFT(Q7, 1))</f>
        <v>2</v>
      </c>
      <c r="R39" s="270">
        <f t="shared" si="19"/>
        <v>0</v>
      </c>
      <c r="S39" s="270">
        <f t="shared" si="19"/>
        <v>0</v>
      </c>
      <c r="T39" s="270">
        <f t="shared" si="19"/>
        <v>0</v>
      </c>
    </row>
    <row r="40" spans="2:20" x14ac:dyDescent="0.35">
      <c r="C40" s="202"/>
      <c r="D40" s="202"/>
      <c r="E40" s="202"/>
      <c r="F40" s="202"/>
      <c r="G40" s="202"/>
      <c r="H40" s="202"/>
      <c r="L40" s="270">
        <f t="shared" si="15"/>
        <v>0</v>
      </c>
      <c r="M40" s="270">
        <f t="shared" ref="M40:O40" si="20">_xlfn.NUMBERVALUE(LEFT(C8, 1))</f>
        <v>0</v>
      </c>
      <c r="N40" s="270">
        <f t="shared" si="20"/>
        <v>0</v>
      </c>
      <c r="O40" s="270">
        <f t="shared" si="20"/>
        <v>0</v>
      </c>
      <c r="Q40" s="270">
        <f t="shared" ref="Q40:T40" si="21">_xlfn.NUMBERVALUE(LEFT(Q8, 1))</f>
        <v>0</v>
      </c>
      <c r="R40" s="270">
        <f t="shared" si="21"/>
        <v>0</v>
      </c>
      <c r="S40" s="270">
        <f t="shared" si="21"/>
        <v>0</v>
      </c>
      <c r="T40" s="270">
        <f t="shared" si="21"/>
        <v>0</v>
      </c>
    </row>
    <row r="41" spans="2:20" x14ac:dyDescent="0.35">
      <c r="C41" s="202"/>
      <c r="D41" s="202"/>
      <c r="E41" s="202" t="s">
        <v>2711</v>
      </c>
      <c r="F41" s="202"/>
      <c r="G41" s="202"/>
      <c r="H41" s="202"/>
      <c r="L41" s="270">
        <f t="shared" si="15"/>
        <v>0</v>
      </c>
      <c r="M41" s="270">
        <f t="shared" ref="M41:O41" si="22">_xlfn.NUMBERVALUE(LEFT(C9, 1))</f>
        <v>0</v>
      </c>
      <c r="N41" s="270">
        <f t="shared" si="22"/>
        <v>0</v>
      </c>
      <c r="O41" s="270">
        <f t="shared" si="22"/>
        <v>0</v>
      </c>
      <c r="Q41" s="270">
        <f t="shared" ref="Q41:T41" si="23">_xlfn.NUMBERVALUE(LEFT(Q9, 1))</f>
        <v>0</v>
      </c>
      <c r="R41" s="270">
        <f t="shared" si="23"/>
        <v>0</v>
      </c>
      <c r="S41" s="270">
        <f t="shared" si="23"/>
        <v>0</v>
      </c>
      <c r="T41" s="270">
        <f t="shared" si="23"/>
        <v>0</v>
      </c>
    </row>
    <row r="42" spans="2:20" x14ac:dyDescent="0.35">
      <c r="C42" s="202"/>
      <c r="D42" s="202"/>
      <c r="E42" s="251" t="s">
        <v>2712</v>
      </c>
      <c r="F42" s="202"/>
      <c r="G42" s="202"/>
      <c r="H42" s="202"/>
      <c r="L42" s="270">
        <f t="shared" si="15"/>
        <v>0</v>
      </c>
      <c r="M42" s="270">
        <f t="shared" ref="M42:O42" si="24">_xlfn.NUMBERVALUE(LEFT(C10, 1))</f>
        <v>0</v>
      </c>
      <c r="N42" s="270">
        <f t="shared" si="24"/>
        <v>0</v>
      </c>
      <c r="O42" s="270">
        <f t="shared" si="24"/>
        <v>0</v>
      </c>
      <c r="Q42" s="270">
        <f t="shared" ref="Q42:T42" si="25">_xlfn.NUMBERVALUE(LEFT(Q10, 1))</f>
        <v>0</v>
      </c>
      <c r="R42" s="270">
        <f t="shared" si="25"/>
        <v>0</v>
      </c>
      <c r="S42" s="270">
        <f t="shared" si="25"/>
        <v>0</v>
      </c>
      <c r="T42" s="270">
        <f t="shared" si="25"/>
        <v>0</v>
      </c>
    </row>
    <row r="43" spans="2:20" x14ac:dyDescent="0.35">
      <c r="L43" s="270">
        <f t="shared" si="15"/>
        <v>0</v>
      </c>
      <c r="M43" s="270">
        <f t="shared" ref="M43:O43" si="26">_xlfn.NUMBERVALUE(LEFT(C11, 1))</f>
        <v>0</v>
      </c>
      <c r="N43" s="270">
        <f t="shared" si="26"/>
        <v>0</v>
      </c>
      <c r="O43" s="270">
        <f t="shared" si="26"/>
        <v>0</v>
      </c>
      <c r="Q43" s="270">
        <f t="shared" ref="Q43:T43" si="27">_xlfn.NUMBERVALUE(LEFT(Q11, 1))</f>
        <v>0</v>
      </c>
      <c r="R43" s="270">
        <f t="shared" si="27"/>
        <v>0</v>
      </c>
      <c r="S43" s="270">
        <f t="shared" si="27"/>
        <v>0</v>
      </c>
      <c r="T43" s="270">
        <f t="shared" si="27"/>
        <v>0</v>
      </c>
    </row>
    <row r="45" spans="2:20" x14ac:dyDescent="0.35">
      <c r="L45" s="270">
        <f t="shared" ref="L45:L50" si="28">IF(L38=0, 0, L38+B67)</f>
        <v>0</v>
      </c>
      <c r="M45" s="270">
        <f t="shared" ref="M45:N45" si="29">IF(M38=0, 0, M38+C67)</f>
        <v>0</v>
      </c>
      <c r="N45" s="270">
        <f t="shared" si="29"/>
        <v>0</v>
      </c>
      <c r="O45" s="7">
        <f>IF(O38=0, 0, O38+E67)</f>
        <v>0</v>
      </c>
      <c r="Q45" s="270">
        <f>IF(Q38=0, 0, Q38+G67)</f>
        <v>2</v>
      </c>
      <c r="R45" s="270">
        <f t="shared" ref="R45:S45" si="30">IF(R38=0, 0, R38+H67)</f>
        <v>0</v>
      </c>
      <c r="S45" s="270">
        <f t="shared" si="30"/>
        <v>0</v>
      </c>
      <c r="T45" s="270">
        <f t="shared" ref="T45:T50" si="31">IF(T38=0, 0, T38+J67)</f>
        <v>0</v>
      </c>
    </row>
    <row r="46" spans="2:20" x14ac:dyDescent="0.35">
      <c r="B46"/>
      <c r="C46" s="6"/>
      <c r="D46" s="6"/>
      <c r="L46" s="270">
        <f t="shared" si="28"/>
        <v>0</v>
      </c>
      <c r="M46" s="270">
        <f t="shared" ref="M46:O46" si="32">IF(M39=0, 0, M39+C68)</f>
        <v>0</v>
      </c>
      <c r="N46" s="270">
        <f t="shared" si="32"/>
        <v>0</v>
      </c>
      <c r="O46" s="270">
        <f t="shared" si="32"/>
        <v>0</v>
      </c>
      <c r="Q46" s="270">
        <f t="shared" ref="Q46:S46" si="33">IF(Q39=0, 0, Q39+G68)</f>
        <v>2</v>
      </c>
      <c r="R46" s="270">
        <f t="shared" si="33"/>
        <v>0</v>
      </c>
      <c r="S46" s="270">
        <f t="shared" si="33"/>
        <v>0</v>
      </c>
      <c r="T46" s="270">
        <f t="shared" si="31"/>
        <v>0</v>
      </c>
    </row>
    <row r="47" spans="2:20" x14ac:dyDescent="0.35">
      <c r="D47" s="4"/>
      <c r="H47" s="3"/>
      <c r="L47" s="270">
        <f t="shared" si="28"/>
        <v>0</v>
      </c>
      <c r="M47" s="270">
        <f t="shared" ref="M47:O47" si="34">IF(M40=0, 0, M40+C69)</f>
        <v>0</v>
      </c>
      <c r="N47" s="270">
        <f t="shared" si="34"/>
        <v>0</v>
      </c>
      <c r="O47" s="270">
        <f t="shared" si="34"/>
        <v>0</v>
      </c>
      <c r="Q47" s="270">
        <f t="shared" ref="Q47:S47" si="35">IF(Q40=0, 0, Q40+G69)</f>
        <v>0</v>
      </c>
      <c r="R47" s="270">
        <f t="shared" si="35"/>
        <v>0</v>
      </c>
      <c r="S47" s="270">
        <f t="shared" si="35"/>
        <v>0</v>
      </c>
      <c r="T47" s="270">
        <f t="shared" si="31"/>
        <v>0</v>
      </c>
    </row>
    <row r="48" spans="2:20" x14ac:dyDescent="0.35">
      <c r="D48" s="4"/>
      <c r="E48"/>
      <c r="G48"/>
      <c r="H48" s="3"/>
      <c r="L48" s="270">
        <f t="shared" si="28"/>
        <v>0</v>
      </c>
      <c r="M48" s="270">
        <f t="shared" ref="M48:O48" si="36">IF(M41=0, 0, M41+C70)</f>
        <v>0</v>
      </c>
      <c r="N48" s="270">
        <f t="shared" si="36"/>
        <v>0</v>
      </c>
      <c r="O48" s="270">
        <f t="shared" si="36"/>
        <v>0</v>
      </c>
      <c r="Q48" s="270">
        <f t="shared" ref="Q48:S48" si="37">IF(Q41=0, 0, Q41+G70)</f>
        <v>0</v>
      </c>
      <c r="R48" s="270">
        <f t="shared" si="37"/>
        <v>0</v>
      </c>
      <c r="S48" s="270">
        <f t="shared" si="37"/>
        <v>0</v>
      </c>
      <c r="T48" s="270">
        <f t="shared" si="31"/>
        <v>0</v>
      </c>
    </row>
    <row r="49" spans="2:20" x14ac:dyDescent="0.35">
      <c r="B49"/>
      <c r="C49" s="6"/>
      <c r="D49" s="6"/>
      <c r="E49" s="1">
        <f>IF(D1&gt;(2/3), 1, IF(D1&gt;(1/3), 2, IF(D1&gt;0, 3, IF(D1&gt;=-0.25, 4, IF(D1&gt;=-0.5, 5, IF(D1&gt;=-0.75, 6, 7))))))</f>
        <v>5</v>
      </c>
      <c r="G49" s="1">
        <f>IF(R1&gt;(2/3), 1, IF(R1&gt;(1/3), 2, IF(R1&gt;0, 3, IF(R1&gt;=-0.25, 4, IF(R1&gt;=-0.5, 5, IF(R1&gt;=-0.75, 6, 7))))))</f>
        <v>4</v>
      </c>
      <c r="L49" s="270">
        <f t="shared" si="28"/>
        <v>0</v>
      </c>
      <c r="M49" s="270">
        <f t="shared" ref="M49:O49" si="38">IF(M42=0, 0, M42+C71)</f>
        <v>0</v>
      </c>
      <c r="N49" s="270">
        <f t="shared" si="38"/>
        <v>0</v>
      </c>
      <c r="O49" s="270">
        <f t="shared" si="38"/>
        <v>0</v>
      </c>
      <c r="Q49" s="270">
        <f t="shared" ref="Q49:S49" si="39">IF(Q42=0, 0, Q42+G71)</f>
        <v>0</v>
      </c>
      <c r="R49" s="270">
        <f t="shared" si="39"/>
        <v>0</v>
      </c>
      <c r="S49" s="270">
        <f t="shared" si="39"/>
        <v>0</v>
      </c>
      <c r="T49" s="270">
        <f t="shared" si="31"/>
        <v>0</v>
      </c>
    </row>
    <row r="50" spans="2:20" x14ac:dyDescent="0.35">
      <c r="B50"/>
      <c r="C50" s="6"/>
      <c r="D50" s="6"/>
      <c r="E50"/>
      <c r="L50" s="270">
        <f t="shared" si="28"/>
        <v>0</v>
      </c>
      <c r="M50" s="270">
        <f t="shared" ref="M50:O50" si="40">IF(M43=0, 0, M43+C72)</f>
        <v>0</v>
      </c>
      <c r="N50" s="270">
        <f t="shared" si="40"/>
        <v>0</v>
      </c>
      <c r="O50" s="270">
        <f t="shared" si="40"/>
        <v>0</v>
      </c>
      <c r="Q50" s="270">
        <f t="shared" ref="Q50:S50" si="41">IF(Q43=0, 0, Q43+G72)</f>
        <v>0</v>
      </c>
      <c r="R50" s="270">
        <f t="shared" si="41"/>
        <v>0</v>
      </c>
      <c r="S50" s="270">
        <f t="shared" si="41"/>
        <v>0</v>
      </c>
      <c r="T50" s="270">
        <f t="shared" si="31"/>
        <v>0</v>
      </c>
    </row>
    <row r="51" spans="2:20" x14ac:dyDescent="0.35">
      <c r="B51">
        <f>IF($E$49=1, 1, 0)</f>
        <v>0</v>
      </c>
      <c r="C51">
        <f>IF($E$49=1, 1, 0)</f>
        <v>0</v>
      </c>
      <c r="D51">
        <f>IF(OR($E$49=1, $E$49=7), 1, 0)</f>
        <v>0</v>
      </c>
      <c r="E51">
        <f>IF($E$49=1, 1, 0)</f>
        <v>0</v>
      </c>
      <c r="G51">
        <f>IF($G$49=1, 1, 0)</f>
        <v>0</v>
      </c>
      <c r="H51">
        <f>IF(OR($G$49=1, $G$49=7), 1, 0)</f>
        <v>0</v>
      </c>
      <c r="I51">
        <f>IF($G$49=1, 1, 0)</f>
        <v>0</v>
      </c>
      <c r="J51">
        <f>IF($G$49=1, 1, 0)</f>
        <v>0</v>
      </c>
    </row>
    <row r="52" spans="2:20" x14ac:dyDescent="0.35">
      <c r="B52">
        <f>IF(OR($E$49=1, $E$49=2, $E$49=4, $E$49=5), 1, 0)</f>
        <v>1</v>
      </c>
      <c r="C52">
        <f>IF(OR($E$49=1, $E$49=2, $E$49=7), 1, 0)</f>
        <v>0</v>
      </c>
      <c r="D52">
        <f>IF(OR($E$49=1, $E$49=2, $E$49=4), 1, 0)</f>
        <v>0</v>
      </c>
      <c r="E52">
        <f>IF(OR($E$49=1, $E$49=2), 1, 0)</f>
        <v>0</v>
      </c>
      <c r="G52">
        <f>IF(OR($G$49=1, $G$49=2), 1, 0)</f>
        <v>0</v>
      </c>
      <c r="H52">
        <f>IF(OR($G$49=1, $G$49=2, $G$49=4), 1, 0)</f>
        <v>1</v>
      </c>
      <c r="I52">
        <f>IF(OR($G$49=1, $G$49=2, $G$49=7), 1, 0)</f>
        <v>0</v>
      </c>
      <c r="J52">
        <f>IF(OR($G$49=1, $G$49=2, $G$49=4, $G$49=5), 1, 0)</f>
        <v>1</v>
      </c>
      <c r="L52" s="270">
        <f t="shared" ref="L52:L57" si="42">IF(B6="", 0, MID(B6, 3, 3))</f>
        <v>0</v>
      </c>
      <c r="M52" s="270">
        <f t="shared" ref="M52:N52" si="43">IF(C6="", 0, MID(C6, 3, 3))</f>
        <v>0</v>
      </c>
      <c r="N52" s="270">
        <f t="shared" si="43"/>
        <v>0</v>
      </c>
      <c r="O52" s="7">
        <f>IF(E6="", 0, MID(E6, 3, 3))</f>
        <v>0</v>
      </c>
      <c r="Q52" s="7" t="str">
        <f>IF(Q6="", 0, MID(Q6, 3, 3))</f>
        <v>2</v>
      </c>
      <c r="R52" s="270">
        <f t="shared" ref="R52:T52" si="44">IF(R6="", 0, MID(R6, 3, 3))</f>
        <v>0</v>
      </c>
      <c r="S52" s="270">
        <f t="shared" si="44"/>
        <v>0</v>
      </c>
      <c r="T52" s="270">
        <f t="shared" si="44"/>
        <v>0</v>
      </c>
    </row>
    <row r="53" spans="2:20" x14ac:dyDescent="0.35">
      <c r="B53">
        <f>IF(OR($E$49=1, $E$49=3, $E$49=7), 1, 0)</f>
        <v>0</v>
      </c>
      <c r="C53">
        <f>IF(OR($E$49=1, $E$49=3, $E$49=5), 1, 0)</f>
        <v>1</v>
      </c>
      <c r="D53">
        <f>IF(OR($E$49=1, $E$49=3), 1, 0)</f>
        <v>0</v>
      </c>
      <c r="E53">
        <f>IF(OR($E$49=1, $E$49=3), 1, 0)</f>
        <v>0</v>
      </c>
      <c r="G53">
        <f>IF(OR($G$49=1, $G$49=3), 1, 0)</f>
        <v>0</v>
      </c>
      <c r="H53">
        <f>IF(OR($G$49=1, $G$49=3), 1, 0)</f>
        <v>0</v>
      </c>
      <c r="I53">
        <f>IF(OR($G$49=1, $G$49=3, $G$49=5), 1, 0)</f>
        <v>0</v>
      </c>
      <c r="J53">
        <f>IF(OR($G$49=1, $G$49=3, $G$49=7), 1, 0)</f>
        <v>0</v>
      </c>
      <c r="L53" s="270">
        <f t="shared" si="42"/>
        <v>0</v>
      </c>
      <c r="M53" s="270">
        <f t="shared" ref="M53:O53" si="45">IF(C7="", 0, MID(C7, 3, 3))</f>
        <v>0</v>
      </c>
      <c r="N53" s="270">
        <f t="shared" si="45"/>
        <v>0</v>
      </c>
      <c r="O53" s="270">
        <f t="shared" si="45"/>
        <v>0</v>
      </c>
      <c r="Q53" s="270" t="str">
        <f t="shared" ref="Q53:T53" si="46">IF(Q7="", 0, MID(Q7, 3, 3))</f>
        <v>4</v>
      </c>
      <c r="R53" s="270">
        <f t="shared" si="46"/>
        <v>0</v>
      </c>
      <c r="S53" s="270">
        <f t="shared" si="46"/>
        <v>0</v>
      </c>
      <c r="T53" s="270">
        <f t="shared" si="46"/>
        <v>0</v>
      </c>
    </row>
    <row r="54" spans="2:20" x14ac:dyDescent="0.35">
      <c r="B54">
        <f>IF(OR($E$49=1, $E$49=2), 1, 0)</f>
        <v>0</v>
      </c>
      <c r="C54">
        <f>IF(OR($E$49=1, $E$49=2, $E$49=4), 1, 0)</f>
        <v>0</v>
      </c>
      <c r="D54">
        <f>IF(OR($E$49=1, $E$49=2, $E$49=5), 1, 0)</f>
        <v>1</v>
      </c>
      <c r="E54">
        <f>IF(OR($E$49=1, $E$49=2, $E$49=4), 1, 0)</f>
        <v>0</v>
      </c>
      <c r="G54">
        <f>IF(OR($G$49=1, $G$49=2, $G$49=4), 1, 0)</f>
        <v>1</v>
      </c>
      <c r="H54">
        <f>IF(OR($G$49=1, $G$49=2, $G$49=5), 1, 0)</f>
        <v>0</v>
      </c>
      <c r="I54">
        <f>IF(OR($G$49=1, $G$49=2, $G$49=4), 1, 0)</f>
        <v>1</v>
      </c>
      <c r="J54">
        <f>IF(OR($G$49=1, $G$49=2), 1, 0)</f>
        <v>0</v>
      </c>
      <c r="L54" s="270">
        <f t="shared" si="42"/>
        <v>0</v>
      </c>
      <c r="M54" s="270">
        <f t="shared" ref="M54:O54" si="47">IF(C8="", 0, MID(C8, 3, 3))</f>
        <v>0</v>
      </c>
      <c r="N54" s="270">
        <f t="shared" si="47"/>
        <v>0</v>
      </c>
      <c r="O54" s="270">
        <f t="shared" si="47"/>
        <v>0</v>
      </c>
      <c r="Q54" s="270">
        <f t="shared" ref="Q54:T54" si="48">IF(Q8="", 0, MID(Q8, 3, 3))</f>
        <v>0</v>
      </c>
      <c r="R54" s="270">
        <f t="shared" si="48"/>
        <v>0</v>
      </c>
      <c r="S54" s="270">
        <f t="shared" si="48"/>
        <v>0</v>
      </c>
      <c r="T54" s="270">
        <f t="shared" si="48"/>
        <v>0</v>
      </c>
    </row>
    <row r="55" spans="2:20" x14ac:dyDescent="0.35">
      <c r="B55">
        <f>IF($E$49=1, 1, 0)</f>
        <v>0</v>
      </c>
      <c r="C55">
        <f>IF($E$49=1, 1, 0)</f>
        <v>0</v>
      </c>
      <c r="D55">
        <f>IF($E$49=1, 1, 0)</f>
        <v>0</v>
      </c>
      <c r="E55">
        <f>IF(OR($E$49=1, $E$49=5), 1, 0)</f>
        <v>1</v>
      </c>
      <c r="G55">
        <f>IF(OR($G$49=1, $G$49=5), 1, 0)</f>
        <v>0</v>
      </c>
      <c r="H55">
        <f>IF($G$49=1, 1, 0)</f>
        <v>0</v>
      </c>
      <c r="I55">
        <f>IF($G$49=1, 1, 0)</f>
        <v>0</v>
      </c>
      <c r="J55">
        <f>IF($G$49=1, 1, 0)</f>
        <v>0</v>
      </c>
      <c r="L55" s="270">
        <f t="shared" si="42"/>
        <v>0</v>
      </c>
      <c r="M55" s="270">
        <f t="shared" ref="M55:O55" si="49">IF(C9="", 0, MID(C9, 3, 3))</f>
        <v>0</v>
      </c>
      <c r="N55" s="270">
        <f t="shared" si="49"/>
        <v>0</v>
      </c>
      <c r="O55" s="270">
        <f t="shared" si="49"/>
        <v>0</v>
      </c>
      <c r="Q55" s="270">
        <f t="shared" ref="Q55:T55" si="50">IF(Q9="", 0, MID(Q9, 3, 3))</f>
        <v>0</v>
      </c>
      <c r="R55" s="270">
        <f t="shared" si="50"/>
        <v>0</v>
      </c>
      <c r="S55" s="270">
        <f t="shared" si="50"/>
        <v>0</v>
      </c>
      <c r="T55" s="270">
        <f t="shared" si="50"/>
        <v>0</v>
      </c>
    </row>
    <row r="56" spans="2:20" x14ac:dyDescent="0.35">
      <c r="B56">
        <f>IF(OR($E$49=1, $E$49=2, $E$49=3, $E$49=4, $E$49=6), 1, 0)</f>
        <v>0</v>
      </c>
      <c r="C56">
        <f>IF(OR($E$49=1, $E$49=2, $E$49=3, $E$49=6), 1, 0)</f>
        <v>0</v>
      </c>
      <c r="D56">
        <f>IF(OR($E$49=1, $E$49=2, $E$49=3, $E$49=4, $E$49=6), 1, 0)</f>
        <v>0</v>
      </c>
      <c r="E56">
        <f>IF(OR($E$49=1, $E$49=2, $E$49=3, $E$49=6), 1, 0)</f>
        <v>0</v>
      </c>
      <c r="G56">
        <f>IF(OR($G$49=1, $G$49=2, $G$49=3, $G$49=6), 1, 0)</f>
        <v>0</v>
      </c>
      <c r="H56">
        <f>IF(OR($G$49=1, $G$49=2, $G$49=3, $G$49=4, $G$49=6), 1, 0)</f>
        <v>1</v>
      </c>
      <c r="I56">
        <f>IF(OR($G$49=1, $G$49=2, $G$49=3, $G$49=6), 1, 0)</f>
        <v>0</v>
      </c>
      <c r="J56">
        <f>IF(OR($G$49=1, $G$49=2, $G$49=3, $G$49=4, $G$49=6), 1, 0)</f>
        <v>1</v>
      </c>
      <c r="L56" s="270">
        <f t="shared" si="42"/>
        <v>0</v>
      </c>
      <c r="M56" s="270">
        <f t="shared" ref="M56:O56" si="51">IF(C10="", 0, MID(C10, 3, 3))</f>
        <v>0</v>
      </c>
      <c r="N56" s="270">
        <f t="shared" si="51"/>
        <v>0</v>
      </c>
      <c r="O56" s="270">
        <f t="shared" si="51"/>
        <v>0</v>
      </c>
      <c r="Q56" s="270">
        <f t="shared" ref="Q56:T56" si="52">IF(Q10="", 0, MID(Q10, 3, 3))</f>
        <v>0</v>
      </c>
      <c r="R56" s="270">
        <f t="shared" si="52"/>
        <v>0</v>
      </c>
      <c r="S56" s="270">
        <f t="shared" si="52"/>
        <v>0</v>
      </c>
      <c r="T56" s="270">
        <f t="shared" si="52"/>
        <v>0</v>
      </c>
    </row>
    <row r="57" spans="2:20" x14ac:dyDescent="0.35">
      <c r="L57" s="270">
        <f t="shared" si="42"/>
        <v>0</v>
      </c>
      <c r="M57" s="270">
        <f t="shared" ref="M57:O57" si="53">IF(C11="", 0, MID(C11, 3, 3))</f>
        <v>0</v>
      </c>
      <c r="N57" s="270">
        <f t="shared" si="53"/>
        <v>0</v>
      </c>
      <c r="O57" s="270">
        <f t="shared" si="53"/>
        <v>0</v>
      </c>
      <c r="Q57" s="270">
        <f t="shared" ref="Q57:T57" si="54">IF(Q11="", 0, MID(Q11, 3, 3))</f>
        <v>0</v>
      </c>
      <c r="R57" s="270">
        <f t="shared" si="54"/>
        <v>0</v>
      </c>
      <c r="S57" s="270">
        <f t="shared" si="54"/>
        <v>0</v>
      </c>
      <c r="T57" s="270">
        <f t="shared" si="54"/>
        <v>0</v>
      </c>
    </row>
    <row r="58" spans="2:20" x14ac:dyDescent="0.35">
      <c r="D58"/>
      <c r="E58" s="1">
        <f>ROUND(F5, 0)</f>
        <v>0</v>
      </c>
      <c r="G58" s="4">
        <f>ROUND(P5, 0)</f>
        <v>-872</v>
      </c>
    </row>
    <row r="59" spans="2:20" x14ac:dyDescent="0.35">
      <c r="D59"/>
      <c r="E59"/>
      <c r="L59" s="270">
        <f t="shared" ref="L59:N59" si="55">IF(LEFT(L52, 3)="25+", "25+", IF(LEFT(L52, 3)="50+", "50+", IF(AND(LEFT(L52, 3)&lt;&gt;"50+", MID(L52, 2, 2)="0+"), LEFT(L52, 3), IFERROR(_xlfn.NUMBERVALUE(LEFT(L52, 3)), IFERROR(_xlfn.NUMBERVALUE(LEFT(L52, 2)), _xlfn.NUMBERVALUE(LEFT(L52, 1)))))))</f>
        <v>0</v>
      </c>
      <c r="M59" s="270">
        <f t="shared" si="55"/>
        <v>0</v>
      </c>
      <c r="N59" s="270">
        <f t="shared" si="55"/>
        <v>0</v>
      </c>
      <c r="O59" s="224">
        <f>IF(LEFT(O52, 3)="25+", "25+", IF(LEFT(O52, 3)="50+", "50+", IF(AND(LEFT(O52, 3)&lt;&gt;"50+", MID(O52, 2, 2)="0+"), LEFT(O52, 3), IFERROR(_xlfn.NUMBERVALUE(LEFT(O52, 3)), IFERROR(_xlfn.NUMBERVALUE(LEFT(O52, 2)), _xlfn.NUMBERVALUE(LEFT(O52, 1)))))))</f>
        <v>0</v>
      </c>
      <c r="Q59" s="224">
        <f>IF(LEFT(Q52, 3)="25+", "25+", IF(LEFT(Q52, 3)="50+", "50+", IF(AND(LEFT(Q52, 3)&lt;&gt;"50+", MID(Q52, 2, 2)="0+"), LEFT(Q52, 3), IFERROR(_xlfn.NUMBERVALUE(LEFT(Q52, 3)), IFERROR(_xlfn.NUMBERVALUE(LEFT(Q52, 2)), _xlfn.NUMBERVALUE(LEFT(Q52, 1)))))))</f>
        <v>2</v>
      </c>
      <c r="R59" s="270">
        <f t="shared" ref="R59:T59" si="56">IF(LEFT(R52, 3)="25+", "25+", IF(LEFT(R52, 3)="50+", "50+", IF(AND(LEFT(R52, 3)&lt;&gt;"50+", MID(R52, 2, 2)="0+"), LEFT(R52, 3), IFERROR(_xlfn.NUMBERVALUE(LEFT(R52, 3)), IFERROR(_xlfn.NUMBERVALUE(LEFT(R52, 2)), _xlfn.NUMBERVALUE(LEFT(R52, 1)))))))</f>
        <v>0</v>
      </c>
      <c r="S59" s="270">
        <f t="shared" si="56"/>
        <v>0</v>
      </c>
      <c r="T59" s="270">
        <f t="shared" si="56"/>
        <v>0</v>
      </c>
    </row>
    <row r="60" spans="2:20" x14ac:dyDescent="0.35">
      <c r="B60">
        <f t="shared" ref="B60:C65" si="57">IF(D60&gt;0, D60, 0)</f>
        <v>0</v>
      </c>
      <c r="C60">
        <f t="shared" si="57"/>
        <v>0</v>
      </c>
      <c r="D60">
        <f>IF($E$58&gt;=13, 1, $E$58-12)</f>
        <v>-12</v>
      </c>
      <c r="E60">
        <f>IF($E$58&gt;=2, 2, $E$58)</f>
        <v>0</v>
      </c>
      <c r="G60">
        <f>IF($G$58&gt;=2, 2, $G$58)</f>
        <v>-872</v>
      </c>
      <c r="H60">
        <f>IF($G$58&gt;=13, 1, $G$58-12)</f>
        <v>-884</v>
      </c>
      <c r="I60">
        <f t="shared" ref="I60:I65" si="58">IF(G60&gt;0, G60, 0)</f>
        <v>0</v>
      </c>
      <c r="J60">
        <f t="shared" ref="J60:J65" si="59">IF(H60&gt;0, H60, 0)</f>
        <v>0</v>
      </c>
      <c r="L60" s="270">
        <f t="shared" ref="L60:O60" si="60">IF(LEFT(L53, 3)="25+", "25+", IF(LEFT(L53, 3)="50+", "50+", IF(AND(LEFT(L53, 3)&lt;&gt;"50+", MID(L53, 2, 2)="0+"), LEFT(L53, 3), IFERROR(_xlfn.NUMBERVALUE(LEFT(L53, 3)), IFERROR(_xlfn.NUMBERVALUE(LEFT(L53, 2)), _xlfn.NUMBERVALUE(LEFT(L53, 1)))))))</f>
        <v>0</v>
      </c>
      <c r="M60" s="270">
        <f t="shared" si="60"/>
        <v>0</v>
      </c>
      <c r="N60" s="270">
        <f t="shared" si="60"/>
        <v>0</v>
      </c>
      <c r="O60" s="270">
        <f t="shared" si="60"/>
        <v>0</v>
      </c>
      <c r="Q60" s="270">
        <f t="shared" ref="Q60:T60" si="61">IF(LEFT(Q53, 3)="25+", "25+", IF(LEFT(Q53, 3)="50+", "50+", IF(AND(LEFT(Q53, 3)&lt;&gt;"50+", MID(Q53, 2, 2)="0+"), LEFT(Q53, 3), IFERROR(_xlfn.NUMBERVALUE(LEFT(Q53, 3)), IFERROR(_xlfn.NUMBERVALUE(LEFT(Q53, 2)), _xlfn.NUMBERVALUE(LEFT(Q53, 1)))))))</f>
        <v>4</v>
      </c>
      <c r="R60" s="270">
        <f t="shared" si="61"/>
        <v>0</v>
      </c>
      <c r="S60" s="270">
        <f t="shared" si="61"/>
        <v>0</v>
      </c>
      <c r="T60" s="270">
        <f t="shared" si="61"/>
        <v>0</v>
      </c>
    </row>
    <row r="61" spans="2:20" x14ac:dyDescent="0.35">
      <c r="B61">
        <f t="shared" si="57"/>
        <v>0</v>
      </c>
      <c r="C61">
        <f t="shared" si="57"/>
        <v>0</v>
      </c>
      <c r="D61">
        <f>IF($E$58&gt;=14, 1, $E$58-13)</f>
        <v>-13</v>
      </c>
      <c r="E61">
        <f>IF($E$58&gt;=4, 2, $E$58-2)</f>
        <v>-2</v>
      </c>
      <c r="G61">
        <f>IF($G$58&gt;=4, 2, $G$58-2)</f>
        <v>-874</v>
      </c>
      <c r="H61">
        <f>IF($G$58&gt;=14, 1, $G$58-13)</f>
        <v>-885</v>
      </c>
      <c r="I61">
        <f t="shared" si="58"/>
        <v>0</v>
      </c>
      <c r="J61">
        <f t="shared" si="59"/>
        <v>0</v>
      </c>
      <c r="L61" s="270">
        <f t="shared" ref="L61:O61" si="62">IF(LEFT(L54, 3)="25+", "25+", IF(LEFT(L54, 3)="50+", "50+", IF(AND(LEFT(L54, 3)&lt;&gt;"50+", MID(L54, 2, 2)="0+"), LEFT(L54, 3), IFERROR(_xlfn.NUMBERVALUE(LEFT(L54, 3)), IFERROR(_xlfn.NUMBERVALUE(LEFT(L54, 2)), _xlfn.NUMBERVALUE(LEFT(L54, 1)))))))</f>
        <v>0</v>
      </c>
      <c r="M61" s="270">
        <f t="shared" si="62"/>
        <v>0</v>
      </c>
      <c r="N61" s="270">
        <f t="shared" si="62"/>
        <v>0</v>
      </c>
      <c r="O61" s="270">
        <f t="shared" si="62"/>
        <v>0</v>
      </c>
      <c r="Q61" s="270">
        <f t="shared" ref="Q61:T61" si="63">IF(LEFT(Q54, 3)="25+", "25+", IF(LEFT(Q54, 3)="50+", "50+", IF(AND(LEFT(Q54, 3)&lt;&gt;"50+", MID(Q54, 2, 2)="0+"), LEFT(Q54, 3), IFERROR(_xlfn.NUMBERVALUE(LEFT(Q54, 3)), IFERROR(_xlfn.NUMBERVALUE(LEFT(Q54, 2)), _xlfn.NUMBERVALUE(LEFT(Q54, 1)))))))</f>
        <v>0</v>
      </c>
      <c r="R61" s="270">
        <f t="shared" si="63"/>
        <v>0</v>
      </c>
      <c r="S61" s="270">
        <f t="shared" si="63"/>
        <v>0</v>
      </c>
      <c r="T61" s="270">
        <f t="shared" si="63"/>
        <v>0</v>
      </c>
    </row>
    <row r="62" spans="2:20" x14ac:dyDescent="0.35">
      <c r="B62">
        <f t="shared" si="57"/>
        <v>0</v>
      </c>
      <c r="C62">
        <f t="shared" si="57"/>
        <v>0</v>
      </c>
      <c r="D62">
        <f>IF($E$58&gt;=15, 1, $E$58-14)</f>
        <v>-14</v>
      </c>
      <c r="E62">
        <f>IF($E$58&gt;=6, 2, $E$58-4)</f>
        <v>-4</v>
      </c>
      <c r="G62">
        <f>IF($G$58&gt;=6, 2, $G$58-4)</f>
        <v>-876</v>
      </c>
      <c r="H62">
        <f>IF($G$58&gt;=15, 1, $G$58-14)</f>
        <v>-886</v>
      </c>
      <c r="I62">
        <f t="shared" si="58"/>
        <v>0</v>
      </c>
      <c r="J62">
        <f t="shared" si="59"/>
        <v>0</v>
      </c>
      <c r="L62" s="270">
        <f t="shared" ref="L62:O62" si="64">IF(LEFT(L55, 3)="25+", "25+", IF(LEFT(L55, 3)="50+", "50+", IF(AND(LEFT(L55, 3)&lt;&gt;"50+", MID(L55, 2, 2)="0+"), LEFT(L55, 3), IFERROR(_xlfn.NUMBERVALUE(LEFT(L55, 3)), IFERROR(_xlfn.NUMBERVALUE(LEFT(L55, 2)), _xlfn.NUMBERVALUE(LEFT(L55, 1)))))))</f>
        <v>0</v>
      </c>
      <c r="M62" s="270">
        <f t="shared" si="64"/>
        <v>0</v>
      </c>
      <c r="N62" s="270">
        <f t="shared" si="64"/>
        <v>0</v>
      </c>
      <c r="O62" s="270">
        <f t="shared" si="64"/>
        <v>0</v>
      </c>
      <c r="Q62" s="270">
        <f t="shared" ref="Q62:T62" si="65">IF(LEFT(Q55, 3)="25+", "25+", IF(LEFT(Q55, 3)="50+", "50+", IF(AND(LEFT(Q55, 3)&lt;&gt;"50+", MID(Q55, 2, 2)="0+"), LEFT(Q55, 3), IFERROR(_xlfn.NUMBERVALUE(LEFT(Q55, 3)), IFERROR(_xlfn.NUMBERVALUE(LEFT(Q55, 2)), _xlfn.NUMBERVALUE(LEFT(Q55, 1)))))))</f>
        <v>0</v>
      </c>
      <c r="R62" s="270">
        <f t="shared" si="65"/>
        <v>0</v>
      </c>
      <c r="S62" s="270">
        <f t="shared" si="65"/>
        <v>0</v>
      </c>
      <c r="T62" s="270">
        <f t="shared" si="65"/>
        <v>0</v>
      </c>
    </row>
    <row r="63" spans="2:20" x14ac:dyDescent="0.35">
      <c r="B63">
        <f t="shared" si="57"/>
        <v>0</v>
      </c>
      <c r="C63">
        <f t="shared" si="57"/>
        <v>0</v>
      </c>
      <c r="D63">
        <f>IF($E$58&gt;=16, 1, $E$58-15)</f>
        <v>-15</v>
      </c>
      <c r="E63">
        <f>IF($E$58&gt;=8, 2, $E$58-6)</f>
        <v>-6</v>
      </c>
      <c r="G63">
        <f>IF($G$58&gt;=8, 2, $G$58-6)</f>
        <v>-878</v>
      </c>
      <c r="H63">
        <f>IF($G$58&gt;=16, 1, $G$58-15)</f>
        <v>-887</v>
      </c>
      <c r="I63">
        <f t="shared" si="58"/>
        <v>0</v>
      </c>
      <c r="J63">
        <f t="shared" si="59"/>
        <v>0</v>
      </c>
      <c r="L63" s="270">
        <f t="shared" ref="L63:O63" si="66">IF(LEFT(L56, 3)="25+", "25+", IF(LEFT(L56, 3)="50+", "50+", IF(AND(LEFT(L56, 3)&lt;&gt;"50+", MID(L56, 2, 2)="0+"), LEFT(L56, 3), IFERROR(_xlfn.NUMBERVALUE(LEFT(L56, 3)), IFERROR(_xlfn.NUMBERVALUE(LEFT(L56, 2)), _xlfn.NUMBERVALUE(LEFT(L56, 1)))))))</f>
        <v>0</v>
      </c>
      <c r="M63" s="270">
        <f t="shared" si="66"/>
        <v>0</v>
      </c>
      <c r="N63" s="270">
        <f t="shared" si="66"/>
        <v>0</v>
      </c>
      <c r="O63" s="270">
        <f t="shared" si="66"/>
        <v>0</v>
      </c>
      <c r="Q63" s="270">
        <f t="shared" ref="Q63:T63" si="67">IF(LEFT(Q56, 3)="25+", "25+", IF(LEFT(Q56, 3)="50+", "50+", IF(AND(LEFT(Q56, 3)&lt;&gt;"50+", MID(Q56, 2, 2)="0+"), LEFT(Q56, 3), IFERROR(_xlfn.NUMBERVALUE(LEFT(Q56, 3)), IFERROR(_xlfn.NUMBERVALUE(LEFT(Q56, 2)), _xlfn.NUMBERVALUE(LEFT(Q56, 1)))))))</f>
        <v>0</v>
      </c>
      <c r="R63" s="270">
        <f t="shared" si="67"/>
        <v>0</v>
      </c>
      <c r="S63" s="270">
        <f t="shared" si="67"/>
        <v>0</v>
      </c>
      <c r="T63" s="270">
        <f t="shared" si="67"/>
        <v>0</v>
      </c>
    </row>
    <row r="64" spans="2:20" x14ac:dyDescent="0.35">
      <c r="B64">
        <f t="shared" si="57"/>
        <v>0</v>
      </c>
      <c r="C64">
        <f t="shared" si="57"/>
        <v>0</v>
      </c>
      <c r="D64">
        <f>IF($E$58&gt;=17, 1, $E$58-16)</f>
        <v>-16</v>
      </c>
      <c r="E64">
        <f>IF($E$58&gt;=10, 2, $E$58-8)</f>
        <v>-8</v>
      </c>
      <c r="G64">
        <f>IF($G$58&gt;=10, 2, $G$58-8)</f>
        <v>-880</v>
      </c>
      <c r="H64">
        <f>IF($G$58&gt;=17, 1, $G$58-16)</f>
        <v>-888</v>
      </c>
      <c r="I64">
        <f t="shared" si="58"/>
        <v>0</v>
      </c>
      <c r="J64">
        <f t="shared" si="59"/>
        <v>0</v>
      </c>
      <c r="L64" s="270">
        <f t="shared" ref="L64:O64" si="68">IF(LEFT(L57, 3)="25+", "25+", IF(LEFT(L57, 3)="50+", "50+", IF(AND(LEFT(L57, 3)&lt;&gt;"50+", MID(L57, 2, 2)="0+"), LEFT(L57, 3), IFERROR(_xlfn.NUMBERVALUE(LEFT(L57, 3)), IFERROR(_xlfn.NUMBERVALUE(LEFT(L57, 2)), _xlfn.NUMBERVALUE(LEFT(L57, 1)))))))</f>
        <v>0</v>
      </c>
      <c r="M64" s="270">
        <f t="shared" si="68"/>
        <v>0</v>
      </c>
      <c r="N64" s="270">
        <f t="shared" si="68"/>
        <v>0</v>
      </c>
      <c r="O64" s="270">
        <f t="shared" si="68"/>
        <v>0</v>
      </c>
      <c r="P64" s="270"/>
      <c r="Q64" s="270">
        <f t="shared" ref="Q64:T64" si="69">IF(LEFT(Q57, 3)="25+", "25+", IF(LEFT(Q57, 3)="50+", "50+", IF(AND(LEFT(Q57, 3)&lt;&gt;"50+", MID(Q57, 2, 2)="0+"), LEFT(Q57, 3), IFERROR(_xlfn.NUMBERVALUE(LEFT(Q57, 3)), IFERROR(_xlfn.NUMBERVALUE(LEFT(Q57, 2)), _xlfn.NUMBERVALUE(LEFT(Q57, 1)))))))</f>
        <v>0</v>
      </c>
      <c r="R64" s="270">
        <f t="shared" si="69"/>
        <v>0</v>
      </c>
      <c r="S64" s="270">
        <f t="shared" si="69"/>
        <v>0</v>
      </c>
      <c r="T64" s="270">
        <f t="shared" si="69"/>
        <v>0</v>
      </c>
    </row>
    <row r="65" spans="2:20" x14ac:dyDescent="0.35">
      <c r="B65">
        <f t="shared" si="57"/>
        <v>0</v>
      </c>
      <c r="C65">
        <f t="shared" si="57"/>
        <v>0</v>
      </c>
      <c r="D65">
        <f>IF($E$58&gt;=18, 1, $E$58-17)</f>
        <v>-17</v>
      </c>
      <c r="E65">
        <f>IF($E$58&gt;=12, 2, $E$58-10)</f>
        <v>-10</v>
      </c>
      <c r="G65">
        <f>IF($G$58&gt;=12, 2, $G$58-10)</f>
        <v>-882</v>
      </c>
      <c r="H65">
        <f>IF($G$58&gt;=18, 1, $G$58-17)</f>
        <v>-889</v>
      </c>
      <c r="I65">
        <f t="shared" si="58"/>
        <v>0</v>
      </c>
      <c r="J65">
        <f t="shared" si="59"/>
        <v>0</v>
      </c>
    </row>
    <row r="66" spans="2:20" x14ac:dyDescent="0.35">
      <c r="L66" s="224">
        <f t="shared" ref="L66:O71" si="70">IF(AND(L59&gt;0, L59&lt;26), 1, IF(L59="25+", 0.5, 0))</f>
        <v>0</v>
      </c>
      <c r="M66" s="224">
        <f t="shared" si="70"/>
        <v>0</v>
      </c>
      <c r="N66" s="224">
        <f t="shared" si="70"/>
        <v>0</v>
      </c>
      <c r="O66" s="224">
        <f t="shared" si="70"/>
        <v>0</v>
      </c>
      <c r="P66" s="7">
        <f>SUM(Q66:T71)+SUM(L66:O71)</f>
        <v>2</v>
      </c>
      <c r="Q66" s="224">
        <f t="shared" ref="Q66:T71" si="71">IF(AND(Q59&gt;0, Q59&lt;26), 1, IF(Q59="25+", 0.5, 0))</f>
        <v>1</v>
      </c>
      <c r="R66" s="224">
        <f t="shared" si="71"/>
        <v>0</v>
      </c>
      <c r="S66" s="224">
        <f t="shared" si="71"/>
        <v>0</v>
      </c>
      <c r="T66" s="224">
        <f t="shared" si="71"/>
        <v>0</v>
      </c>
    </row>
    <row r="67" spans="2:20" x14ac:dyDescent="0.35">
      <c r="B67" s="1">
        <f t="shared" ref="B67:C72" si="72">B51</f>
        <v>0</v>
      </c>
      <c r="C67" s="1">
        <f t="shared" si="72"/>
        <v>0</v>
      </c>
      <c r="D67" s="1">
        <f t="shared" ref="D67:E72" si="73">D51+B60</f>
        <v>0</v>
      </c>
      <c r="E67" s="1">
        <f t="shared" si="73"/>
        <v>0</v>
      </c>
      <c r="F67" s="270"/>
      <c r="G67" s="4">
        <f>G51+I60</f>
        <v>0</v>
      </c>
      <c r="H67" s="4">
        <f>H51+J60</f>
        <v>0</v>
      </c>
      <c r="I67" s="4">
        <f>I51</f>
        <v>0</v>
      </c>
      <c r="J67" s="4">
        <f t="shared" ref="J67:J72" si="74">J51</f>
        <v>0</v>
      </c>
      <c r="L67" s="224">
        <f t="shared" si="70"/>
        <v>0</v>
      </c>
      <c r="M67" s="224">
        <f t="shared" si="70"/>
        <v>0</v>
      </c>
      <c r="N67" s="224">
        <f t="shared" si="70"/>
        <v>0</v>
      </c>
      <c r="O67" s="224">
        <f t="shared" si="70"/>
        <v>0</v>
      </c>
      <c r="Q67" s="224">
        <f t="shared" si="71"/>
        <v>1</v>
      </c>
      <c r="R67" s="224">
        <f t="shared" si="71"/>
        <v>0</v>
      </c>
      <c r="S67" s="224">
        <f t="shared" si="71"/>
        <v>0</v>
      </c>
      <c r="T67" s="224">
        <f t="shared" si="71"/>
        <v>0</v>
      </c>
    </row>
    <row r="68" spans="2:20" x14ac:dyDescent="0.35">
      <c r="B68" s="1">
        <f t="shared" si="72"/>
        <v>1</v>
      </c>
      <c r="C68" s="1">
        <f t="shared" si="72"/>
        <v>0</v>
      </c>
      <c r="D68" s="1">
        <f t="shared" si="73"/>
        <v>0</v>
      </c>
      <c r="E68" s="1">
        <f t="shared" si="73"/>
        <v>0</v>
      </c>
      <c r="F68" s="270"/>
      <c r="G68" s="4">
        <f t="shared" ref="G68:G72" si="75">G52+I61</f>
        <v>0</v>
      </c>
      <c r="H68" s="4">
        <f>H52+J61</f>
        <v>1</v>
      </c>
      <c r="I68" s="4">
        <f t="shared" ref="I68" si="76">I52</f>
        <v>0</v>
      </c>
      <c r="J68" s="4">
        <f t="shared" si="74"/>
        <v>1</v>
      </c>
      <c r="L68" s="224">
        <f t="shared" si="70"/>
        <v>0</v>
      </c>
      <c r="M68" s="224">
        <f t="shared" si="70"/>
        <v>0</v>
      </c>
      <c r="N68" s="224">
        <f t="shared" si="70"/>
        <v>0</v>
      </c>
      <c r="O68" s="224">
        <f t="shared" si="70"/>
        <v>0</v>
      </c>
      <c r="Q68" s="224">
        <f t="shared" si="71"/>
        <v>0</v>
      </c>
      <c r="R68" s="224">
        <f t="shared" si="71"/>
        <v>0</v>
      </c>
      <c r="S68" s="224">
        <f t="shared" si="71"/>
        <v>0</v>
      </c>
      <c r="T68" s="224">
        <f t="shared" si="71"/>
        <v>0</v>
      </c>
    </row>
    <row r="69" spans="2:20" x14ac:dyDescent="0.35">
      <c r="B69" s="1">
        <f t="shared" si="72"/>
        <v>0</v>
      </c>
      <c r="C69" s="1">
        <f t="shared" si="72"/>
        <v>1</v>
      </c>
      <c r="D69" s="1">
        <f t="shared" si="73"/>
        <v>0</v>
      </c>
      <c r="E69" s="1">
        <f t="shared" si="73"/>
        <v>0</v>
      </c>
      <c r="F69" s="270"/>
      <c r="G69" s="4">
        <f t="shared" si="75"/>
        <v>0</v>
      </c>
      <c r="H69" s="4">
        <f>H53+J62</f>
        <v>0</v>
      </c>
      <c r="I69" s="4">
        <f t="shared" ref="I69" si="77">I53</f>
        <v>0</v>
      </c>
      <c r="J69" s="4">
        <f t="shared" si="74"/>
        <v>0</v>
      </c>
      <c r="L69" s="224">
        <f t="shared" si="70"/>
        <v>0</v>
      </c>
      <c r="M69" s="224">
        <f t="shared" si="70"/>
        <v>0</v>
      </c>
      <c r="N69" s="224">
        <f t="shared" si="70"/>
        <v>0</v>
      </c>
      <c r="O69" s="224">
        <f t="shared" si="70"/>
        <v>0</v>
      </c>
      <c r="Q69" s="224">
        <f t="shared" si="71"/>
        <v>0</v>
      </c>
      <c r="R69" s="224">
        <f t="shared" si="71"/>
        <v>0</v>
      </c>
      <c r="S69" s="224">
        <f t="shared" si="71"/>
        <v>0</v>
      </c>
      <c r="T69" s="224">
        <f t="shared" si="71"/>
        <v>0</v>
      </c>
    </row>
    <row r="70" spans="2:20" x14ac:dyDescent="0.35">
      <c r="B70" s="1">
        <f t="shared" si="72"/>
        <v>0</v>
      </c>
      <c r="C70" s="1">
        <f t="shared" si="72"/>
        <v>0</v>
      </c>
      <c r="D70" s="1">
        <f t="shared" si="73"/>
        <v>1</v>
      </c>
      <c r="E70" s="1">
        <f t="shared" si="73"/>
        <v>0</v>
      </c>
      <c r="F70" s="270"/>
      <c r="G70" s="4">
        <f t="shared" si="75"/>
        <v>1</v>
      </c>
      <c r="H70" s="4">
        <f>H54+J63</f>
        <v>0</v>
      </c>
      <c r="I70" s="4">
        <f t="shared" ref="I70" si="78">I54</f>
        <v>1</v>
      </c>
      <c r="J70" s="4">
        <f t="shared" si="74"/>
        <v>0</v>
      </c>
      <c r="L70" s="224">
        <f t="shared" si="70"/>
        <v>0</v>
      </c>
      <c r="M70" s="224">
        <f t="shared" si="70"/>
        <v>0</v>
      </c>
      <c r="N70" s="224">
        <f t="shared" si="70"/>
        <v>0</v>
      </c>
      <c r="O70" s="224">
        <f t="shared" si="70"/>
        <v>0</v>
      </c>
      <c r="Q70" s="224">
        <f t="shared" si="71"/>
        <v>0</v>
      </c>
      <c r="R70" s="224">
        <f t="shared" si="71"/>
        <v>0</v>
      </c>
      <c r="S70" s="224">
        <f t="shared" si="71"/>
        <v>0</v>
      </c>
      <c r="T70" s="224">
        <f t="shared" si="71"/>
        <v>0</v>
      </c>
    </row>
    <row r="71" spans="2:20" x14ac:dyDescent="0.35">
      <c r="B71" s="1">
        <f t="shared" si="72"/>
        <v>0</v>
      </c>
      <c r="C71" s="1">
        <f t="shared" si="72"/>
        <v>0</v>
      </c>
      <c r="D71" s="1">
        <f t="shared" si="73"/>
        <v>0</v>
      </c>
      <c r="E71" s="1">
        <f t="shared" si="73"/>
        <v>1</v>
      </c>
      <c r="F71" s="270"/>
      <c r="G71" s="4">
        <f t="shared" si="75"/>
        <v>0</v>
      </c>
      <c r="H71" s="4">
        <f>H55+J64</f>
        <v>0</v>
      </c>
      <c r="I71" s="4">
        <f t="shared" ref="I71" si="79">I55</f>
        <v>0</v>
      </c>
      <c r="J71" s="4">
        <f t="shared" si="74"/>
        <v>0</v>
      </c>
      <c r="L71" s="270">
        <f t="shared" si="70"/>
        <v>0</v>
      </c>
      <c r="M71" s="270">
        <f t="shared" si="70"/>
        <v>0</v>
      </c>
      <c r="N71" s="270">
        <f t="shared" si="70"/>
        <v>0</v>
      </c>
      <c r="O71" s="270">
        <f t="shared" si="70"/>
        <v>0</v>
      </c>
      <c r="P71" s="270"/>
      <c r="Q71" s="270">
        <f t="shared" si="71"/>
        <v>0</v>
      </c>
      <c r="R71" s="270">
        <f t="shared" si="71"/>
        <v>0</v>
      </c>
      <c r="S71" s="270">
        <f t="shared" si="71"/>
        <v>0</v>
      </c>
      <c r="T71" s="270">
        <f t="shared" si="71"/>
        <v>0</v>
      </c>
    </row>
    <row r="72" spans="2:20" x14ac:dyDescent="0.35">
      <c r="B72" s="1">
        <f t="shared" si="72"/>
        <v>0</v>
      </c>
      <c r="C72" s="1">
        <f t="shared" si="72"/>
        <v>0</v>
      </c>
      <c r="D72" s="1">
        <f t="shared" si="73"/>
        <v>0</v>
      </c>
      <c r="E72" s="1">
        <f t="shared" si="73"/>
        <v>0</v>
      </c>
      <c r="F72" s="270"/>
      <c r="G72" s="4">
        <f t="shared" si="75"/>
        <v>0</v>
      </c>
      <c r="H72" s="4">
        <f>H56+J65</f>
        <v>1</v>
      </c>
      <c r="I72" s="4">
        <f t="shared" ref="I72" si="80">I56</f>
        <v>0</v>
      </c>
      <c r="J72" s="4">
        <f t="shared" si="74"/>
        <v>1</v>
      </c>
    </row>
    <row r="73" spans="2:20" x14ac:dyDescent="0.35">
      <c r="L73" s="224">
        <f t="shared" ref="L73:O76" si="81">IF(AND(L59&gt;25, L59&lt;51), 1, IF(L59="50+", 0.5, 0))</f>
        <v>0</v>
      </c>
      <c r="M73" s="224">
        <f t="shared" si="81"/>
        <v>0</v>
      </c>
      <c r="N73" s="224">
        <f t="shared" si="81"/>
        <v>0</v>
      </c>
      <c r="O73" s="224">
        <f t="shared" si="81"/>
        <v>0</v>
      </c>
      <c r="P73" s="224">
        <f>SUM(Q73:T78)+SUM(L73:O78)</f>
        <v>0</v>
      </c>
      <c r="Q73" s="224">
        <f t="shared" ref="Q73:T76" si="82">IF(AND(Q59&gt;25, Q59&lt;51), 1, IF(Q59="50+", 0.5, 0))</f>
        <v>0</v>
      </c>
      <c r="R73" s="224">
        <f t="shared" si="82"/>
        <v>0</v>
      </c>
      <c r="S73" s="224">
        <f t="shared" si="82"/>
        <v>0</v>
      </c>
      <c r="T73" s="224">
        <f t="shared" si="82"/>
        <v>0</v>
      </c>
    </row>
    <row r="74" spans="2:20" x14ac:dyDescent="0.35">
      <c r="L74" s="224">
        <f t="shared" si="81"/>
        <v>0</v>
      </c>
      <c r="M74" s="224">
        <f t="shared" si="81"/>
        <v>0</v>
      </c>
      <c r="N74" s="224">
        <f t="shared" si="81"/>
        <v>0</v>
      </c>
      <c r="O74" s="224">
        <f t="shared" si="81"/>
        <v>0</v>
      </c>
      <c r="P74" s="224"/>
      <c r="Q74" s="224">
        <f t="shared" si="82"/>
        <v>0</v>
      </c>
      <c r="R74" s="224">
        <f t="shared" si="82"/>
        <v>0</v>
      </c>
      <c r="S74" s="224">
        <f t="shared" si="82"/>
        <v>0</v>
      </c>
      <c r="T74" s="224">
        <f t="shared" si="82"/>
        <v>0</v>
      </c>
    </row>
    <row r="75" spans="2:20" x14ac:dyDescent="0.35">
      <c r="L75" s="224">
        <f t="shared" si="81"/>
        <v>0</v>
      </c>
      <c r="M75" s="224">
        <f t="shared" si="81"/>
        <v>0</v>
      </c>
      <c r="N75" s="224">
        <f t="shared" si="81"/>
        <v>0</v>
      </c>
      <c r="O75" s="224">
        <f t="shared" si="81"/>
        <v>0</v>
      </c>
      <c r="Q75" s="224">
        <f t="shared" si="82"/>
        <v>0</v>
      </c>
      <c r="R75" s="224">
        <f t="shared" si="82"/>
        <v>0</v>
      </c>
      <c r="S75" s="224">
        <f t="shared" si="82"/>
        <v>0</v>
      </c>
      <c r="T75" s="224">
        <f t="shared" si="82"/>
        <v>0</v>
      </c>
    </row>
    <row r="76" spans="2:20" x14ac:dyDescent="0.35">
      <c r="D76" s="270"/>
      <c r="L76" s="224">
        <f t="shared" si="81"/>
        <v>0</v>
      </c>
      <c r="M76" s="224">
        <f t="shared" si="81"/>
        <v>0</v>
      </c>
      <c r="N76" s="224">
        <f t="shared" si="81"/>
        <v>0</v>
      </c>
      <c r="O76" s="224">
        <f t="shared" si="81"/>
        <v>0</v>
      </c>
      <c r="Q76" s="224">
        <f t="shared" si="82"/>
        <v>0</v>
      </c>
      <c r="R76" s="224">
        <f t="shared" si="82"/>
        <v>0</v>
      </c>
      <c r="S76" s="224">
        <f t="shared" si="82"/>
        <v>0</v>
      </c>
      <c r="T76" s="224">
        <f t="shared" si="82"/>
        <v>0</v>
      </c>
    </row>
    <row r="77" spans="2:20" x14ac:dyDescent="0.35">
      <c r="L77" s="224">
        <f t="shared" ref="L77:O78" si="83">IF(AND(L63&gt;25, L63&lt;51), 1, IF(L63="50+", 0.5, 0))</f>
        <v>0</v>
      </c>
      <c r="M77" s="224">
        <f t="shared" si="83"/>
        <v>0</v>
      </c>
      <c r="N77" s="224">
        <f t="shared" si="83"/>
        <v>0</v>
      </c>
      <c r="O77" s="224">
        <f t="shared" si="83"/>
        <v>0</v>
      </c>
      <c r="Q77" s="224">
        <f t="shared" ref="Q77:T78" si="84">IF(AND(Q63&gt;25, Q63&lt;51), 1, IF(Q63="50+", 0.5, 0))</f>
        <v>0</v>
      </c>
      <c r="R77" s="224">
        <f t="shared" si="84"/>
        <v>0</v>
      </c>
      <c r="S77" s="224">
        <f t="shared" si="84"/>
        <v>0</v>
      </c>
      <c r="T77" s="224">
        <f t="shared" si="84"/>
        <v>0</v>
      </c>
    </row>
    <row r="78" spans="2:20" x14ac:dyDescent="0.35">
      <c r="L78" s="270">
        <f t="shared" si="83"/>
        <v>0</v>
      </c>
      <c r="M78" s="270">
        <f t="shared" si="83"/>
        <v>0</v>
      </c>
      <c r="N78" s="270">
        <f t="shared" si="83"/>
        <v>0</v>
      </c>
      <c r="O78" s="270">
        <f t="shared" si="83"/>
        <v>0</v>
      </c>
      <c r="P78" s="270"/>
      <c r="Q78" s="270">
        <f t="shared" si="84"/>
        <v>0</v>
      </c>
      <c r="R78" s="270">
        <f t="shared" si="84"/>
        <v>0</v>
      </c>
      <c r="S78" s="270">
        <f t="shared" si="84"/>
        <v>0</v>
      </c>
      <c r="T78" s="270">
        <f t="shared" si="84"/>
        <v>0</v>
      </c>
    </row>
    <row r="80" spans="2:20" x14ac:dyDescent="0.35">
      <c r="L80" s="224">
        <f t="shared" ref="L80:O85" si="85">IF(AND(L59&gt;(20+($K$8*10)), L59&lt;(31+($K$8*10))), 1, IF(L59=(CONCATENATE($K$8+3, "0+")), 0.5, 0))</f>
        <v>0</v>
      </c>
      <c r="M80" s="224">
        <f t="shared" si="85"/>
        <v>0</v>
      </c>
      <c r="N80" s="224">
        <f t="shared" si="85"/>
        <v>0</v>
      </c>
      <c r="O80" s="224">
        <f t="shared" si="85"/>
        <v>0</v>
      </c>
      <c r="P80" s="224">
        <f>SUM(Q80:T85)+SUM(L80:O85)</f>
        <v>0</v>
      </c>
      <c r="Q80" s="7">
        <f t="shared" ref="Q80:T85" si="86">IF(AND(Q59&gt;(20+($K$8*10)), Q59&lt;(31+($K$8*10))), 1, IF(Q59=(CONCATENATE($K$8+3, "0+")), 0.5, 0))</f>
        <v>0</v>
      </c>
      <c r="R80" s="224">
        <f t="shared" si="86"/>
        <v>0</v>
      </c>
      <c r="S80" s="224">
        <f t="shared" si="86"/>
        <v>0</v>
      </c>
      <c r="T80" s="224">
        <f t="shared" si="86"/>
        <v>0</v>
      </c>
    </row>
    <row r="81" spans="12:20" x14ac:dyDescent="0.35">
      <c r="L81" s="224">
        <f t="shared" si="85"/>
        <v>0</v>
      </c>
      <c r="M81" s="224">
        <f t="shared" si="85"/>
        <v>0</v>
      </c>
      <c r="N81" s="224">
        <f t="shared" si="85"/>
        <v>0</v>
      </c>
      <c r="O81" s="224">
        <f t="shared" si="85"/>
        <v>0</v>
      </c>
      <c r="P81" s="224"/>
      <c r="Q81" s="224">
        <f t="shared" si="86"/>
        <v>0</v>
      </c>
      <c r="R81" s="224">
        <f t="shared" si="86"/>
        <v>0</v>
      </c>
      <c r="S81" s="224">
        <f t="shared" si="86"/>
        <v>0</v>
      </c>
      <c r="T81" s="224">
        <f t="shared" si="86"/>
        <v>0</v>
      </c>
    </row>
    <row r="82" spans="12:20" x14ac:dyDescent="0.35">
      <c r="L82" s="224">
        <f t="shared" si="85"/>
        <v>0</v>
      </c>
      <c r="M82" s="224">
        <f t="shared" si="85"/>
        <v>0</v>
      </c>
      <c r="N82" s="224">
        <f t="shared" si="85"/>
        <v>0</v>
      </c>
      <c r="O82" s="224">
        <f t="shared" si="85"/>
        <v>0</v>
      </c>
      <c r="Q82" s="224">
        <f t="shared" si="86"/>
        <v>0</v>
      </c>
      <c r="R82" s="224">
        <f t="shared" si="86"/>
        <v>0</v>
      </c>
      <c r="S82" s="224">
        <f t="shared" si="86"/>
        <v>0</v>
      </c>
      <c r="T82" s="224">
        <f t="shared" si="86"/>
        <v>0</v>
      </c>
    </row>
    <row r="83" spans="12:20" x14ac:dyDescent="0.35">
      <c r="L83" s="224">
        <f t="shared" si="85"/>
        <v>0</v>
      </c>
      <c r="M83" s="224">
        <f t="shared" si="85"/>
        <v>0</v>
      </c>
      <c r="N83" s="224">
        <f t="shared" si="85"/>
        <v>0</v>
      </c>
      <c r="O83" s="224">
        <f t="shared" si="85"/>
        <v>0</v>
      </c>
      <c r="Q83" s="224">
        <f t="shared" si="86"/>
        <v>0</v>
      </c>
      <c r="R83" s="224">
        <f t="shared" si="86"/>
        <v>0</v>
      </c>
      <c r="S83" s="224">
        <f t="shared" si="86"/>
        <v>0</v>
      </c>
      <c r="T83" s="224">
        <f t="shared" si="86"/>
        <v>0</v>
      </c>
    </row>
    <row r="84" spans="12:20" x14ac:dyDescent="0.35">
      <c r="L84" s="224">
        <f t="shared" si="85"/>
        <v>0</v>
      </c>
      <c r="M84" s="224">
        <f t="shared" si="85"/>
        <v>0</v>
      </c>
      <c r="N84" s="224">
        <f t="shared" si="85"/>
        <v>0</v>
      </c>
      <c r="O84" s="224">
        <f t="shared" si="85"/>
        <v>0</v>
      </c>
      <c r="Q84" s="224">
        <f t="shared" si="86"/>
        <v>0</v>
      </c>
      <c r="R84" s="224">
        <f t="shared" si="86"/>
        <v>0</v>
      </c>
      <c r="S84" s="224">
        <f t="shared" si="86"/>
        <v>0</v>
      </c>
      <c r="T84" s="224">
        <f t="shared" si="86"/>
        <v>0</v>
      </c>
    </row>
    <row r="85" spans="12:20" x14ac:dyDescent="0.35">
      <c r="L85" s="270">
        <f t="shared" si="85"/>
        <v>0</v>
      </c>
      <c r="M85" s="270">
        <f t="shared" si="85"/>
        <v>0</v>
      </c>
      <c r="N85" s="270">
        <f t="shared" si="85"/>
        <v>0</v>
      </c>
      <c r="O85" s="270">
        <f t="shared" si="85"/>
        <v>0</v>
      </c>
      <c r="P85" s="270"/>
      <c r="Q85" s="270">
        <f t="shared" si="86"/>
        <v>0</v>
      </c>
      <c r="R85" s="270">
        <f t="shared" si="86"/>
        <v>0</v>
      </c>
      <c r="S85" s="270">
        <f t="shared" si="86"/>
        <v>0</v>
      </c>
      <c r="T85" s="270">
        <f t="shared" si="86"/>
        <v>0</v>
      </c>
    </row>
    <row r="87" spans="12:20" x14ac:dyDescent="0.35">
      <c r="L87" s="270">
        <f t="shared" ref="L87:L92" si="87">IF(OR(RIGHT(B6, 1)="!", RIGHT(B6, 1)="#", RIGHT(B6, 1)="$"), LEFT(B6, LEN(B6)-1), B6)</f>
        <v>0</v>
      </c>
      <c r="M87" s="270">
        <f t="shared" ref="M87:N87" si="88">IF(OR(RIGHT(C6, 1)="!", RIGHT(C6, 1)="#", RIGHT(C6, 1)="$"), LEFT(C6, LEN(C6)-1), C6)</f>
        <v>0</v>
      </c>
      <c r="N87" s="270">
        <f t="shared" si="88"/>
        <v>0</v>
      </c>
      <c r="O87" s="7">
        <f>IF(OR(RIGHT(E6, 1)="!", RIGHT(E6, 1)="#", RIGHT(E6, 1)="$"), LEFT(E6, LEN(E6)-1), E6)</f>
        <v>0</v>
      </c>
      <c r="Q87" s="7" t="str">
        <f>IF(OR(RIGHT(Q6, 1)="!", RIGHT(Q6, 1)="#", RIGHT(Q6, 1)="$"), LEFT(Q6, LEN(Q6)-1), Q6)</f>
        <v>2*2</v>
      </c>
      <c r="R87" s="270">
        <f t="shared" ref="R87:T87" si="89">IF(OR(RIGHT(R6, 1)="!", RIGHT(R6, 1)="#", RIGHT(R6, 1)="$"), LEFT(R6, LEN(R6)-1), R6)</f>
        <v>0</v>
      </c>
      <c r="S87" s="270">
        <f t="shared" si="89"/>
        <v>0</v>
      </c>
      <c r="T87" s="270">
        <f t="shared" si="89"/>
        <v>0</v>
      </c>
    </row>
    <row r="88" spans="12:20" x14ac:dyDescent="0.35">
      <c r="L88" s="270">
        <f t="shared" si="87"/>
        <v>0</v>
      </c>
      <c r="M88" s="270">
        <f t="shared" ref="M88:O88" si="90">IF(OR(RIGHT(C7, 1)="!", RIGHT(C7, 1)="#", RIGHT(C7, 1)="$"), LEFT(C7, LEN(C7)-1), C7)</f>
        <v>0</v>
      </c>
      <c r="N88" s="270">
        <f t="shared" si="90"/>
        <v>0</v>
      </c>
      <c r="O88" s="270">
        <f t="shared" si="90"/>
        <v>0</v>
      </c>
      <c r="Q88" s="270" t="str">
        <f t="shared" ref="Q88:T88" si="91">IF(OR(RIGHT(Q7, 1)="!", RIGHT(Q7, 1)="#", RIGHT(Q7, 1)="$"), LEFT(Q7, LEN(Q7)-1), Q7)</f>
        <v>2*4</v>
      </c>
      <c r="R88" s="270">
        <f t="shared" si="91"/>
        <v>0</v>
      </c>
      <c r="S88" s="270">
        <f t="shared" si="91"/>
        <v>0</v>
      </c>
      <c r="T88" s="270">
        <f t="shared" si="91"/>
        <v>0</v>
      </c>
    </row>
    <row r="89" spans="12:20" x14ac:dyDescent="0.35">
      <c r="L89" s="270">
        <f t="shared" si="87"/>
        <v>0</v>
      </c>
      <c r="M89" s="270">
        <f t="shared" ref="M89:O89" si="92">IF(OR(RIGHT(C8, 1)="!", RIGHT(C8, 1)="#", RIGHT(C8, 1)="$"), LEFT(C8, LEN(C8)-1), C8)</f>
        <v>0</v>
      </c>
      <c r="N89" s="270">
        <f t="shared" si="92"/>
        <v>0</v>
      </c>
      <c r="O89" s="270">
        <f t="shared" si="92"/>
        <v>0</v>
      </c>
      <c r="Q89" s="270">
        <f t="shared" ref="Q89:T89" si="93">IF(OR(RIGHT(Q8, 1)="!", RIGHT(Q8, 1)="#", RIGHT(Q8, 1)="$"), LEFT(Q8, LEN(Q8)-1), Q8)</f>
        <v>0</v>
      </c>
      <c r="R89" s="270">
        <f t="shared" si="93"/>
        <v>0</v>
      </c>
      <c r="S89" s="270">
        <f t="shared" si="93"/>
        <v>0</v>
      </c>
      <c r="T89" s="270">
        <f t="shared" si="93"/>
        <v>0</v>
      </c>
    </row>
    <row r="90" spans="12:20" x14ac:dyDescent="0.35">
      <c r="L90" s="270">
        <f t="shared" si="87"/>
        <v>0</v>
      </c>
      <c r="M90" s="270">
        <f t="shared" ref="M90:O90" si="94">IF(OR(RIGHT(C9, 1)="!", RIGHT(C9, 1)="#", RIGHT(C9, 1)="$"), LEFT(C9, LEN(C9)-1), C9)</f>
        <v>0</v>
      </c>
      <c r="N90" s="270">
        <f t="shared" si="94"/>
        <v>0</v>
      </c>
      <c r="O90" s="270">
        <f t="shared" si="94"/>
        <v>0</v>
      </c>
      <c r="Q90" s="270">
        <f t="shared" ref="Q90:T90" si="95">IF(OR(RIGHT(Q9, 1)="!", RIGHT(Q9, 1)="#", RIGHT(Q9, 1)="$"), LEFT(Q9, LEN(Q9)-1), Q9)</f>
        <v>0</v>
      </c>
      <c r="R90" s="270">
        <f t="shared" si="95"/>
        <v>0</v>
      </c>
      <c r="S90" s="270">
        <f t="shared" si="95"/>
        <v>0</v>
      </c>
      <c r="T90" s="270">
        <f t="shared" si="95"/>
        <v>0</v>
      </c>
    </row>
    <row r="91" spans="12:20" x14ac:dyDescent="0.35">
      <c r="L91" s="270">
        <f t="shared" si="87"/>
        <v>0</v>
      </c>
      <c r="M91" s="270">
        <f t="shared" ref="M91:O91" si="96">IF(OR(RIGHT(C10, 1)="!", RIGHT(C10, 1)="#", RIGHT(C10, 1)="$"), LEFT(C10, LEN(C10)-1), C10)</f>
        <v>0</v>
      </c>
      <c r="N91" s="270">
        <f t="shared" si="96"/>
        <v>0</v>
      </c>
      <c r="O91" s="270">
        <f t="shared" si="96"/>
        <v>0</v>
      </c>
      <c r="Q91" s="270">
        <f t="shared" ref="Q91:T91" si="97">IF(OR(RIGHT(Q10, 1)="!", RIGHT(Q10, 1)="#", RIGHT(Q10, 1)="$"), LEFT(Q10, LEN(Q10)-1), Q10)</f>
        <v>0</v>
      </c>
      <c r="R91" s="270">
        <f t="shared" si="97"/>
        <v>0</v>
      </c>
      <c r="S91" s="270">
        <f t="shared" si="97"/>
        <v>0</v>
      </c>
      <c r="T91" s="270">
        <f t="shared" si="97"/>
        <v>0</v>
      </c>
    </row>
    <row r="92" spans="12:20" x14ac:dyDescent="0.35">
      <c r="L92" s="270">
        <f t="shared" si="87"/>
        <v>0</v>
      </c>
      <c r="M92" s="270">
        <f t="shared" ref="M92:O92" si="98">IF(OR(RIGHT(C11, 1)="!", RIGHT(C11, 1)="#", RIGHT(C11, 1)="$"), LEFT(C11, LEN(C11)-1), C11)</f>
        <v>0</v>
      </c>
      <c r="N92" s="270">
        <f t="shared" si="98"/>
        <v>0</v>
      </c>
      <c r="O92" s="270">
        <f t="shared" si="98"/>
        <v>0</v>
      </c>
      <c r="Q92" s="270">
        <f t="shared" ref="Q92:T92" si="99">IF(OR(RIGHT(Q11, 1)="!", RIGHT(Q11, 1)="#", RIGHT(Q11, 1)="$"), LEFT(Q11, LEN(Q11)-1), Q11)</f>
        <v>0</v>
      </c>
      <c r="R92" s="270">
        <f t="shared" si="99"/>
        <v>0</v>
      </c>
      <c r="S92" s="270">
        <f t="shared" si="99"/>
        <v>0</v>
      </c>
      <c r="T92" s="270">
        <f t="shared" si="99"/>
        <v>0</v>
      </c>
    </row>
    <row r="94" spans="12:20" x14ac:dyDescent="0.35">
      <c r="L94" s="270">
        <f t="shared" ref="L94:N94" si="100">IF(MID(L87, 5, 1)="+", MID(L87, 3, 10), IF(MID(L87, 6, 1)="+", MID(L87, 3, 10), L59))</f>
        <v>0</v>
      </c>
      <c r="M94" s="270">
        <f t="shared" si="100"/>
        <v>0</v>
      </c>
      <c r="N94" s="270">
        <f t="shared" si="100"/>
        <v>0</v>
      </c>
      <c r="O94" s="7">
        <f>IF(MID(O87, 5, 1)="+", MID(O87, 3, 10), IF(MID(O87, 6, 1)="+", MID(O87, 3, 10), O59))</f>
        <v>0</v>
      </c>
      <c r="Q94" s="7">
        <f>IF(MID(Q87, 5, 1)="+", MID(Q87, 3, 10), IF(MID(Q87, 6, 1)="+", MID(Q87, 3, 10), Q59))</f>
        <v>2</v>
      </c>
      <c r="R94" s="270">
        <f t="shared" ref="R94:T94" si="101">IF(MID(R87, 5, 1)="+", MID(R87, 3, 10), IF(MID(R87, 6, 1)="+", MID(R87, 3, 10), R59))</f>
        <v>0</v>
      </c>
      <c r="S94" s="270">
        <f t="shared" si="101"/>
        <v>0</v>
      </c>
      <c r="T94" s="270">
        <f t="shared" si="101"/>
        <v>0</v>
      </c>
    </row>
    <row r="95" spans="12:20" x14ac:dyDescent="0.35">
      <c r="L95" s="270">
        <f t="shared" ref="L95:O95" si="102">IF(MID(L88, 5, 1)="+", MID(L88, 3, 10), IF(MID(L88, 6, 1)="+", MID(L88, 3, 10), L60))</f>
        <v>0</v>
      </c>
      <c r="M95" s="270">
        <f t="shared" si="102"/>
        <v>0</v>
      </c>
      <c r="N95" s="270">
        <f t="shared" si="102"/>
        <v>0</v>
      </c>
      <c r="O95" s="270">
        <f t="shared" si="102"/>
        <v>0</v>
      </c>
      <c r="Q95" s="270">
        <f t="shared" ref="Q95:T95" si="103">IF(MID(Q88, 5, 1)="+", MID(Q88, 3, 10), IF(MID(Q88, 6, 1)="+", MID(Q88, 3, 10), Q60))</f>
        <v>4</v>
      </c>
      <c r="R95" s="270">
        <f t="shared" si="103"/>
        <v>0</v>
      </c>
      <c r="S95" s="270">
        <f t="shared" si="103"/>
        <v>0</v>
      </c>
      <c r="T95" s="270">
        <f t="shared" si="103"/>
        <v>0</v>
      </c>
    </row>
    <row r="96" spans="12:20" x14ac:dyDescent="0.35">
      <c r="L96" s="270">
        <f t="shared" ref="L96:O96" si="104">IF(MID(L89, 5, 1)="+", MID(L89, 3, 10), IF(MID(L89, 6, 1)="+", MID(L89, 3, 10), L61))</f>
        <v>0</v>
      </c>
      <c r="M96" s="270">
        <f t="shared" si="104"/>
        <v>0</v>
      </c>
      <c r="N96" s="270">
        <f t="shared" si="104"/>
        <v>0</v>
      </c>
      <c r="O96" s="270">
        <f t="shared" si="104"/>
        <v>0</v>
      </c>
      <c r="Q96" s="270">
        <f t="shared" ref="Q96:T96" si="105">IF(MID(Q89, 5, 1)="+", MID(Q89, 3, 10), IF(MID(Q89, 6, 1)="+", MID(Q89, 3, 10), Q61))</f>
        <v>0</v>
      </c>
      <c r="R96" s="270">
        <f t="shared" si="105"/>
        <v>0</v>
      </c>
      <c r="S96" s="270">
        <f t="shared" si="105"/>
        <v>0</v>
      </c>
      <c r="T96" s="270">
        <f t="shared" si="105"/>
        <v>0</v>
      </c>
    </row>
    <row r="97" spans="2:24" x14ac:dyDescent="0.35">
      <c r="L97" s="270">
        <f t="shared" ref="L97:O97" si="106">IF(MID(L90, 5, 1)="+", MID(L90, 3, 10), IF(MID(L90, 6, 1)="+", MID(L90, 3, 10), L62))</f>
        <v>0</v>
      </c>
      <c r="M97" s="270">
        <f t="shared" si="106"/>
        <v>0</v>
      </c>
      <c r="N97" s="270">
        <f t="shared" si="106"/>
        <v>0</v>
      </c>
      <c r="O97" s="270">
        <f t="shared" si="106"/>
        <v>0</v>
      </c>
      <c r="Q97" s="270">
        <f t="shared" ref="Q97:T97" si="107">IF(MID(Q90, 5, 1)="+", MID(Q90, 3, 10), IF(MID(Q90, 6, 1)="+", MID(Q90, 3, 10), Q62))</f>
        <v>0</v>
      </c>
      <c r="R97" s="270">
        <f t="shared" si="107"/>
        <v>0</v>
      </c>
      <c r="S97" s="270">
        <f t="shared" si="107"/>
        <v>0</v>
      </c>
      <c r="T97" s="270">
        <f t="shared" si="107"/>
        <v>0</v>
      </c>
    </row>
    <row r="98" spans="2:24" x14ac:dyDescent="0.35">
      <c r="L98" s="270">
        <f t="shared" ref="L98:O98" si="108">IF(MID(L91, 5, 1)="+", MID(L91, 3, 10), IF(MID(L91, 6, 1)="+", MID(L91, 3, 10), L63))</f>
        <v>0</v>
      </c>
      <c r="M98" s="270">
        <f t="shared" si="108"/>
        <v>0</v>
      </c>
      <c r="N98" s="270">
        <f t="shared" si="108"/>
        <v>0</v>
      </c>
      <c r="O98" s="270">
        <f t="shared" si="108"/>
        <v>0</v>
      </c>
      <c r="Q98" s="270">
        <f t="shared" ref="Q98:T98" si="109">IF(MID(Q91, 5, 1)="+", MID(Q91, 3, 10), IF(MID(Q91, 6, 1)="+", MID(Q91, 3, 10), Q63))</f>
        <v>0</v>
      </c>
      <c r="R98" s="270">
        <f t="shared" si="109"/>
        <v>0</v>
      </c>
      <c r="S98" s="270">
        <f t="shared" si="109"/>
        <v>0</v>
      </c>
      <c r="T98" s="270">
        <f t="shared" si="109"/>
        <v>0</v>
      </c>
    </row>
    <row r="99" spans="2:24" x14ac:dyDescent="0.35">
      <c r="L99" s="270">
        <f t="shared" ref="L99:O99" si="110">IF(MID(L92, 5, 1)="+", MID(L92, 3, 10), IF(MID(L92, 6, 1)="+", MID(L92, 3, 10), L64))</f>
        <v>0</v>
      </c>
      <c r="M99" s="270">
        <f t="shared" si="110"/>
        <v>0</v>
      </c>
      <c r="N99" s="270">
        <f t="shared" si="110"/>
        <v>0</v>
      </c>
      <c r="O99" s="270">
        <f t="shared" si="110"/>
        <v>0</v>
      </c>
      <c r="Q99" s="270">
        <f t="shared" ref="Q99:T99" si="111">IF(MID(Q92, 5, 1)="+", MID(Q92, 3, 10), IF(MID(Q92, 6, 1)="+", MID(Q92, 3, 10), Q64))</f>
        <v>0</v>
      </c>
      <c r="R99" s="270">
        <f t="shared" si="111"/>
        <v>0</v>
      </c>
      <c r="S99" s="270">
        <f t="shared" si="111"/>
        <v>0</v>
      </c>
      <c r="T99" s="270">
        <f t="shared" si="111"/>
        <v>0</v>
      </c>
    </row>
    <row r="101" spans="2:24" x14ac:dyDescent="0.35">
      <c r="L101" s="4" t="s">
        <v>3391</v>
      </c>
      <c r="M101" s="7" t="str">
        <f>IF(OR(COUNT(C104:C127, G104:G127)&gt;MAX(O104:O152), ISERROR(SUM(P104:P152))), "DUPLIC.", "GOOD")</f>
        <v>GOOD</v>
      </c>
      <c r="O101" s="81">
        <f>O102/(O102+R102)</f>
        <v>6.25E-2</v>
      </c>
      <c r="Q101" s="7">
        <f>SUM(O102, R102)</f>
        <v>8</v>
      </c>
      <c r="R101" s="81">
        <f>R102/(O102+R102)</f>
        <v>0.9375</v>
      </c>
    </row>
    <row r="102" spans="2:24" x14ac:dyDescent="0.35">
      <c r="O102" s="7">
        <f>SUM(L104:L152)</f>
        <v>0.5</v>
      </c>
      <c r="P102" s="7" t="s">
        <v>3363</v>
      </c>
      <c r="Q102" s="7" t="s">
        <v>3364</v>
      </c>
      <c r="R102" s="270">
        <f>SUM(V104:V152)</f>
        <v>7.5</v>
      </c>
      <c r="X102" s="81">
        <f>SUM(X104:X152)/SUM(S104:S152)</f>
        <v>3</v>
      </c>
    </row>
    <row r="103" spans="2:24" x14ac:dyDescent="0.35">
      <c r="K103" s="7" t="s">
        <v>3371</v>
      </c>
      <c r="L103" s="7" t="s">
        <v>3372</v>
      </c>
      <c r="M103" s="7" t="s">
        <v>3369</v>
      </c>
      <c r="N103" s="7" t="s">
        <v>3367</v>
      </c>
      <c r="O103" s="7" t="s">
        <v>177</v>
      </c>
      <c r="P103" s="7" t="s">
        <v>3361</v>
      </c>
      <c r="Q103" s="7" t="s">
        <v>3362</v>
      </c>
      <c r="R103" s="7" t="s">
        <v>3365</v>
      </c>
      <c r="S103" s="7" t="s">
        <v>3368</v>
      </c>
      <c r="T103" s="7" t="s">
        <v>3366</v>
      </c>
      <c r="U103" s="7" t="s">
        <v>3370</v>
      </c>
      <c r="V103" s="270" t="s">
        <v>3373</v>
      </c>
      <c r="W103" s="7" t="s">
        <v>3376</v>
      </c>
      <c r="X103" s="7" t="s">
        <v>3377</v>
      </c>
    </row>
    <row r="104" spans="2:24" x14ac:dyDescent="0.35">
      <c r="B104" s="7">
        <v>1</v>
      </c>
      <c r="C104" s="7" t="str">
        <f>IFERROR(RANK(D104, (D$104:D$127, H$104:H$127), 1), "")</f>
        <v/>
      </c>
      <c r="D104" s="270" t="str">
        <f t="shared" ref="D104:D109" si="112">IFERROR(IF(MID(E104, 3, 1)="+", _xlfn.NUMBERVALUE(LEFT(E104, 2))+(_xlfn.NUMBERVALUE(MID(E104, 4, 2))/100), IF(MID(E104, 4, 1)="+", _xlfn.NUMBERVALUE(LEFT(E104, 3))+(_xlfn.NUMBERVALUE(MID(E104, 5, 2))/100), E104)), "")</f>
        <v/>
      </c>
      <c r="E104" s="7" t="str">
        <f t="shared" ref="E104:E109" si="113">IF(O94=0, "", O94)</f>
        <v/>
      </c>
      <c r="F104" s="270">
        <f t="shared" ref="F104:F109" si="114">O45</f>
        <v>0</v>
      </c>
      <c r="G104" s="7">
        <f>IFERROR(RANK(H104, (D$104:D$127, H$104:H$127), 1), "")</f>
        <v>1</v>
      </c>
      <c r="H104" s="270">
        <f t="shared" ref="H104:H127" si="115">IFERROR(IF(MID(I104, 3, 1)="+", _xlfn.NUMBERVALUE(LEFT(I104, 2))+(_xlfn.NUMBERVALUE(MID(I104, 4, 2))/100), IF(MID(I104, 4, 1)="+", _xlfn.NUMBERVALUE(LEFT(I104, 3))+(_xlfn.NUMBERVALUE(MID(I104, 5, 2))/100), I104)), "")</f>
        <v>2</v>
      </c>
      <c r="I104" s="270">
        <f t="shared" ref="I104:I109" si="116">IF(Q94=0, "", Q94)</f>
        <v>2</v>
      </c>
      <c r="J104" s="7">
        <f t="shared" ref="J104:J109" si="117">Q45</f>
        <v>2</v>
      </c>
      <c r="K104" s="295">
        <v>1</v>
      </c>
      <c r="L104" s="7">
        <f>IFERROR(M104*S104,"")</f>
        <v>0.5</v>
      </c>
      <c r="M104" s="270">
        <f t="shared" ref="M104:M128" si="118">IF(O104&lt;&gt;"", IF(N104&gt;T104, 1, IF(N104=T104, 0.5, 0)), "")</f>
        <v>0.5</v>
      </c>
      <c r="N104" s="7">
        <v>0</v>
      </c>
      <c r="O104" s="295">
        <v>0</v>
      </c>
      <c r="P104" s="295">
        <v>0</v>
      </c>
      <c r="Q104" s="296">
        <v>0</v>
      </c>
      <c r="R104" s="270" t="str">
        <f t="shared" ref="R104:R128" si="119">IF(Q104=1,P104,IF(Q104=1.5,(P104-25)*100+25, IF(Q104=2, P104+MAX(K$105:K$106), IF(Q104=2.5, (P104-50)*100+50+MAX(K$105:K$106), IF(Q104=3, P104+MAX(K$108:K$109), IF(Q104=3.5, (P104-60)*100+60+MAX(K$108:K$109), IF(Q104=4, P104+MAX(K$111:K$112), IF(Q104=4.5, (P104-70)*100+70+MAX(K$111:K$112), IF(Q104=5, P104+MAX(K$114:K$115), IF(Q104=5.5, (P104-80)*100+80+MAX(K$114:K$115), IF(Q104=6, P104+MAX(K$117:K$118), IF(Q104=6.5, (P104-90)*100+90+MAX(K$117:K$118), IF(Q104=7, P104+MAX(K$120:K$121), IF(Q104=7.5, (P104-100)*100+100+MAX(K$120:K$121), IF(Q104=8, P104+MAX(K$123:K$124), IF(Q104=8.5, (P104-110)*100+110+MAX(K$123:K$124), IF(Q104=9, P104+MAX(K$126:K$127), IF(Q104=9.5, (P104-120)*100+120+MAX(K$126:K$127), IF(Q104=10, P104+MAX(K$129:K$130), IF(Q104=10.5, (P104-130)*100+130+MAX(K$129:K$130), "X"))))))))))))))))))))</f>
        <v>X</v>
      </c>
      <c r="S104" s="297">
        <f>IFERROR(IF(Q104=0, R105-1, IFERROR(IFERROR(R105-R104, IF(Q104=2, R105-50+MAX(K$108:K$109), IF(ISODD(Q104*2), 3, COUNTIF(Q$104:Q$152, Q104)+3))),"")), 1)</f>
        <v>1</v>
      </c>
      <c r="T104" s="7">
        <v>0</v>
      </c>
      <c r="U104" s="270">
        <f t="shared" ref="U104:U128" si="120">IF(O104&lt;&gt;"", IF(T104&gt;N104, 1, IF(T104=N104, 0.5, 0)), "")</f>
        <v>0.5</v>
      </c>
      <c r="V104" s="7">
        <f>IFERROR(U104*S104,"")</f>
        <v>0.5</v>
      </c>
      <c r="W104" s="7">
        <f>IF(O104&lt;&gt;"", (T104-N104), "")</f>
        <v>0</v>
      </c>
      <c r="X104" s="7">
        <f>IFERROR(W104*S104, "")</f>
        <v>0</v>
      </c>
    </row>
    <row r="105" spans="2:24" x14ac:dyDescent="0.35">
      <c r="B105" s="7">
        <v>2</v>
      </c>
      <c r="C105" s="270" t="str">
        <f>IFERROR(RANK(D105, (D$104:D$127, H$104:H$127), 1), "")</f>
        <v/>
      </c>
      <c r="D105" s="270" t="str">
        <f t="shared" si="112"/>
        <v/>
      </c>
      <c r="E105" s="270" t="str">
        <f t="shared" si="113"/>
        <v/>
      </c>
      <c r="F105" s="270">
        <f t="shared" si="114"/>
        <v>0</v>
      </c>
      <c r="G105" s="270">
        <f>IFERROR(RANK(H105, (D$104:D$127, H$104:H$127), 1), "")</f>
        <v>2</v>
      </c>
      <c r="H105" s="270">
        <f t="shared" si="115"/>
        <v>4</v>
      </c>
      <c r="I105" s="270">
        <f t="shared" si="116"/>
        <v>4</v>
      </c>
      <c r="J105" s="270">
        <f t="shared" si="117"/>
        <v>2</v>
      </c>
      <c r="K105" s="7">
        <f>ROUNDUP(2+COUNTIF(Q$105:Q$128, K104)+(COUNTIF(Q$105:Q$128, K104+0.5)/2),0)</f>
        <v>4</v>
      </c>
      <c r="L105" s="270">
        <f>IFERROR(M105*S105,"")</f>
        <v>0</v>
      </c>
      <c r="M105" s="270">
        <f t="shared" si="118"/>
        <v>0</v>
      </c>
      <c r="N105" s="7">
        <f t="shared" ref="N105:N152" si="121">IFERROR(VLOOKUP(O105, C$104:F$127, 4, FALSE)+N104, N104)</f>
        <v>0</v>
      </c>
      <c r="O105" s="295">
        <f t="shared" ref="O105:O152" si="122">IFERROR(IF(MAX(C$104:C$127, G$104:G$127)&gt;=O104+1, O104+1, ""), "")</f>
        <v>1</v>
      </c>
      <c r="P105" s="295">
        <f t="shared" ref="P105:P152" si="123">IFERROR(VLOOKUP(O105, C$104:D$127, 2, FALSE), VLOOKUP(O105, G$104:H$127, 2, FALSE))</f>
        <v>2</v>
      </c>
      <c r="Q105" s="296">
        <f>IF(P105&lt;=25, 1, IF(P105&lt;26, 1.5, IF(P105&lt;=50, 2, IF(P105&lt;51, 2.5, IF(P105&lt;=60, 3, IF(P105&lt;61, 3.5, IF(P105&lt;=70, 4, IF(P105&lt;71, 4.5, IF(P105&lt;=80, 5, IF(P105&lt;81, 5.5, IF(P105&lt;=90, 6, IF(P105&lt;91, 6.5, IF(P105&lt;=100, 7, IF(P105&lt;101, 7.5, IF(P105&lt;=110, 8, IF(P105&lt;111, 8.5, IF(P105&lt;=120, 9, IF(P105&lt;121, 9.5, IF(P105&lt;=130, 10, IF(P105&lt;131, 10.5, IF(P105&lt;=140, 11, IF(P105&lt;141, 11.5, IF(P105&lt;=150, 12, IF(P105&lt;151, 12.5, ""))))))))))))))))))))))))</f>
        <v>1</v>
      </c>
      <c r="R105" s="270">
        <f>IF(Q105=1,P105,IF(Q105=1.5,(P105-25)*100+25, IF(Q105=2, P105+MAX(K$105:K$106), IF(Q105=2.5, (P105-50)*100+50+MAX(K$105:K$106), IF(Q105=3, P105+MAX(K$108:K$109), IF(Q105=3.5, (P105-60)*100+60+MAX(K$108:K$109), IF(Q105=4, P105+MAX(K$111:K$112), IF(Q105=4.5, (P105-70)*100+70+MAX(K$111:K$112), IF(Q105=5, P105+MAX(K$114:K$115), IF(Q105=5.5, (P105-80)*100+80+MAX(K$114:K$115), IF(Q105=6, P105+MAX(K$117:K$118), IF(Q105=6.5, (P105-90)*100+90+MAX(K$117:K$118), IF(Q105=7, P105+MAX(K$120:K$121), IF(Q105=7.5, (P105-100)*100+100+MAX(K$120:K$121), IF(Q105=8, P105+MAX(K$123:K$124), IF(Q105=8.5, (P105-110)*100+110+MAX(K$123:K$124), IF(Q105=9, P105+MAX(K$126:K$127), IF(Q105=9.5, (P105-120)*100+120+MAX(K$126:K$127), IF(Q105=10, P105+MAX(K$129:K$130), IF(Q105=10.5, (P105-130)*100+130+MAX(K$129:K$130), "X"))))))))))))))))))))</f>
        <v>2</v>
      </c>
      <c r="S105" s="297">
        <f t="shared" ref="S105:S152" si="124">IFERROR(IFERROR(R106-R105, IF(Q105=2, R106-50+MAX(K$108:K$109), IF(ISODD(Q105*2), 3, COUNTIF(Q$104:Q$152, Q105)+3))),"")</f>
        <v>2</v>
      </c>
      <c r="T105" s="7">
        <f t="shared" ref="T105:T152" si="125">IFERROR(VLOOKUP(O105, G$104:J$127, 4, FALSE)+T104, T104)</f>
        <v>2</v>
      </c>
      <c r="U105" s="7">
        <f t="shared" si="120"/>
        <v>1</v>
      </c>
      <c r="V105" s="270">
        <f t="shared" ref="V105:V128" si="126">IFERROR(U105*S105,"")</f>
        <v>2</v>
      </c>
      <c r="W105" s="270">
        <f t="shared" ref="W105:W152" si="127">IF(O105&lt;&gt;"", (T105-N105), "")</f>
        <v>2</v>
      </c>
      <c r="X105" s="270">
        <f t="shared" ref="X105:X152" si="128">IFERROR(W105*S105, "")</f>
        <v>4</v>
      </c>
    </row>
    <row r="106" spans="2:24" x14ac:dyDescent="0.35">
      <c r="B106" s="7">
        <v>3</v>
      </c>
      <c r="C106" s="270" t="str">
        <f>IFERROR(RANK(D106, (D$104:D$127, H$104:H$127), 1), "")</f>
        <v/>
      </c>
      <c r="D106" s="270" t="str">
        <f t="shared" si="112"/>
        <v/>
      </c>
      <c r="E106" s="270" t="str">
        <f t="shared" si="113"/>
        <v/>
      </c>
      <c r="F106" s="270">
        <f t="shared" si="114"/>
        <v>0</v>
      </c>
      <c r="G106" s="270" t="str">
        <f>IFERROR(RANK(H106, (D$104:D$127, H$104:H$127), 1), "")</f>
        <v/>
      </c>
      <c r="H106" s="270" t="str">
        <f t="shared" si="115"/>
        <v/>
      </c>
      <c r="I106" s="270" t="str">
        <f t="shared" si="116"/>
        <v/>
      </c>
      <c r="J106" s="270">
        <f t="shared" si="117"/>
        <v>0</v>
      </c>
      <c r="K106" s="7">
        <f>(INDEX(P$104:P$128, COUNTIF(P$104:P$128, "&lt;26"))-25)*100+2</f>
        <v>-2098</v>
      </c>
      <c r="L106" s="270">
        <f t="shared" ref="L106:L128" si="129">IFERROR(M106*S106,"")</f>
        <v>0</v>
      </c>
      <c r="M106" s="270">
        <f t="shared" si="118"/>
        <v>0</v>
      </c>
      <c r="N106" s="270">
        <f t="shared" si="121"/>
        <v>0</v>
      </c>
      <c r="O106" s="295">
        <f t="shared" si="122"/>
        <v>2</v>
      </c>
      <c r="P106" s="295">
        <f t="shared" si="123"/>
        <v>4</v>
      </c>
      <c r="Q106" s="296">
        <f t="shared" ref="Q106:Q128" si="130">IF(P106&lt;=25, 1, IF(P106&lt;26, 1.5, IF(P106&lt;=50, 2, IF(P106&lt;51, 2.5, IF(P106&lt;=60, 3, IF(P106&lt;61, 3.5, IF(P106&lt;=70, 4, IF(P106&lt;71, 4.5, IF(P106&lt;=80, 5, IF(P106&lt;81, 5.5, IF(P106&lt;=90, 6, IF(P106&lt;91, 6.5, IF(P106&lt;=100, 7, IF(P106&lt;101, 7.5, IF(P106&lt;=110, 8, IF(P106&lt;111, 8.5, IF(P106&lt;=120, 9, IF(P106&lt;121, 9.5, IF(P106&lt;=130, 10, IF(P106&lt;131, 10.5, IF(P106&lt;=140, 11, IF(P106&lt;141, 11.5, IF(P106&lt;=150, 12, IF(P106&lt;151, 12.5, ""))))))))))))))))))))))))</f>
        <v>1</v>
      </c>
      <c r="R106" s="270">
        <f t="shared" si="119"/>
        <v>4</v>
      </c>
      <c r="S106" s="297">
        <f t="shared" si="124"/>
        <v>5</v>
      </c>
      <c r="T106" s="270">
        <f t="shared" si="125"/>
        <v>4</v>
      </c>
      <c r="U106" s="270">
        <f t="shared" si="120"/>
        <v>1</v>
      </c>
      <c r="V106" s="270">
        <f t="shared" si="126"/>
        <v>5</v>
      </c>
      <c r="W106" s="270">
        <f t="shared" si="127"/>
        <v>4</v>
      </c>
      <c r="X106" s="270">
        <f t="shared" si="128"/>
        <v>20</v>
      </c>
    </row>
    <row r="107" spans="2:24" x14ac:dyDescent="0.35">
      <c r="B107" s="7">
        <v>4</v>
      </c>
      <c r="C107" s="270" t="str">
        <f>IFERROR(RANK(D107, (D$104:D$127, H$104:H$127), 1), "")</f>
        <v/>
      </c>
      <c r="D107" s="270" t="str">
        <f t="shared" si="112"/>
        <v/>
      </c>
      <c r="E107" s="270" t="str">
        <f t="shared" si="113"/>
        <v/>
      </c>
      <c r="F107" s="270">
        <f t="shared" si="114"/>
        <v>0</v>
      </c>
      <c r="G107" s="270" t="str">
        <f>IFERROR(RANK(H107, (D$104:D$127, H$104:H$127), 1), "")</f>
        <v/>
      </c>
      <c r="H107" s="270" t="str">
        <f t="shared" si="115"/>
        <v/>
      </c>
      <c r="I107" s="270" t="str">
        <f t="shared" si="116"/>
        <v/>
      </c>
      <c r="J107" s="270">
        <f t="shared" si="117"/>
        <v>0</v>
      </c>
      <c r="K107" s="295">
        <v>2</v>
      </c>
      <c r="L107" s="270" t="str">
        <f t="shared" si="129"/>
        <v/>
      </c>
      <c r="M107" s="270" t="str">
        <f t="shared" si="118"/>
        <v/>
      </c>
      <c r="N107" s="270">
        <f t="shared" si="121"/>
        <v>0</v>
      </c>
      <c r="O107" s="295" t="str">
        <f t="shared" si="122"/>
        <v/>
      </c>
      <c r="P107" s="295" t="str">
        <f t="shared" si="123"/>
        <v/>
      </c>
      <c r="Q107" s="296" t="str">
        <f t="shared" si="130"/>
        <v/>
      </c>
      <c r="R107" s="270" t="str">
        <f t="shared" si="119"/>
        <v>X</v>
      </c>
      <c r="S107" s="297" t="str">
        <f t="shared" si="124"/>
        <v/>
      </c>
      <c r="T107" s="270">
        <f t="shared" si="125"/>
        <v>4</v>
      </c>
      <c r="U107" s="270" t="str">
        <f t="shared" si="120"/>
        <v/>
      </c>
      <c r="V107" s="270" t="str">
        <f t="shared" si="126"/>
        <v/>
      </c>
      <c r="W107" s="270" t="str">
        <f t="shared" si="127"/>
        <v/>
      </c>
      <c r="X107" s="270" t="str">
        <f t="shared" si="128"/>
        <v/>
      </c>
    </row>
    <row r="108" spans="2:24" x14ac:dyDescent="0.35">
      <c r="B108" s="7">
        <v>5</v>
      </c>
      <c r="C108" s="270" t="str">
        <f>IFERROR(RANK(D108, (D$104:D$127, H$104:H$127), 1), "")</f>
        <v/>
      </c>
      <c r="D108" s="270" t="str">
        <f t="shared" si="112"/>
        <v/>
      </c>
      <c r="E108" s="270" t="str">
        <f t="shared" si="113"/>
        <v/>
      </c>
      <c r="F108" s="270">
        <f t="shared" si="114"/>
        <v>0</v>
      </c>
      <c r="G108" s="270" t="str">
        <f>IFERROR(RANK(H108, (D$104:D$127, H$104:H$127), 1), "")</f>
        <v/>
      </c>
      <c r="H108" s="270" t="str">
        <f t="shared" si="115"/>
        <v/>
      </c>
      <c r="I108" s="270" t="str">
        <f t="shared" si="116"/>
        <v/>
      </c>
      <c r="J108" s="270">
        <f t="shared" si="117"/>
        <v>0</v>
      </c>
      <c r="K108" s="270">
        <f>ROUNDUP(2+COUNTIF(Q$105:Q$128, K107)+(COUNTIF(Q$105:Q$128, K107+0.5)/2),0)+MAX(K105:K106)</f>
        <v>6</v>
      </c>
      <c r="L108" s="270" t="str">
        <f t="shared" si="129"/>
        <v/>
      </c>
      <c r="M108" s="270" t="str">
        <f t="shared" si="118"/>
        <v/>
      </c>
      <c r="N108" s="270">
        <f t="shared" si="121"/>
        <v>0</v>
      </c>
      <c r="O108" s="295" t="str">
        <f t="shared" si="122"/>
        <v/>
      </c>
      <c r="P108" s="295" t="str">
        <f t="shared" si="123"/>
        <v/>
      </c>
      <c r="Q108" s="296" t="str">
        <f t="shared" si="130"/>
        <v/>
      </c>
      <c r="R108" s="270" t="str">
        <f t="shared" si="119"/>
        <v>X</v>
      </c>
      <c r="S108" s="297" t="str">
        <f t="shared" si="124"/>
        <v/>
      </c>
      <c r="T108" s="270">
        <f t="shared" si="125"/>
        <v>4</v>
      </c>
      <c r="U108" s="270" t="str">
        <f t="shared" si="120"/>
        <v/>
      </c>
      <c r="V108" s="270" t="str">
        <f t="shared" si="126"/>
        <v/>
      </c>
      <c r="W108" s="270" t="str">
        <f t="shared" si="127"/>
        <v/>
      </c>
      <c r="X108" s="270" t="str">
        <f t="shared" si="128"/>
        <v/>
      </c>
    </row>
    <row r="109" spans="2:24" x14ac:dyDescent="0.35">
      <c r="B109" s="7">
        <v>6</v>
      </c>
      <c r="C109" s="270" t="str">
        <f>IFERROR(RANK(D109, (D$104:D$127, H$104:H$127), 1), "")</f>
        <v/>
      </c>
      <c r="D109" s="270" t="str">
        <f t="shared" si="112"/>
        <v/>
      </c>
      <c r="E109" s="270" t="str">
        <f t="shared" si="113"/>
        <v/>
      </c>
      <c r="F109" s="270">
        <f t="shared" si="114"/>
        <v>0</v>
      </c>
      <c r="G109" s="270" t="str">
        <f>IFERROR(RANK(H109, (D$104:D$127, H$104:H$127), 1), "")</f>
        <v/>
      </c>
      <c r="H109" s="270" t="str">
        <f t="shared" si="115"/>
        <v/>
      </c>
      <c r="I109" s="270" t="str">
        <f t="shared" si="116"/>
        <v/>
      </c>
      <c r="J109" s="270">
        <f t="shared" si="117"/>
        <v>0</v>
      </c>
      <c r="K109" s="270">
        <f>(INDEX(P$104:P$128, COUNTIF(P$104:P$128, "&lt;51"))-50)*100+2+(MAX(K105:K106))</f>
        <v>-4594</v>
      </c>
      <c r="L109" s="270" t="str">
        <f t="shared" si="129"/>
        <v/>
      </c>
      <c r="M109" s="270" t="str">
        <f t="shared" si="118"/>
        <v/>
      </c>
      <c r="N109" s="270">
        <f t="shared" si="121"/>
        <v>0</v>
      </c>
      <c r="O109" s="295" t="str">
        <f t="shared" si="122"/>
        <v/>
      </c>
      <c r="P109" s="295" t="str">
        <f t="shared" si="123"/>
        <v/>
      </c>
      <c r="Q109" s="296" t="str">
        <f t="shared" si="130"/>
        <v/>
      </c>
      <c r="R109" s="270" t="str">
        <f t="shared" si="119"/>
        <v>X</v>
      </c>
      <c r="S109" s="297" t="str">
        <f t="shared" si="124"/>
        <v/>
      </c>
      <c r="T109" s="270">
        <f t="shared" si="125"/>
        <v>4</v>
      </c>
      <c r="U109" s="270" t="str">
        <f t="shared" si="120"/>
        <v/>
      </c>
      <c r="V109" s="270" t="str">
        <f t="shared" si="126"/>
        <v/>
      </c>
      <c r="W109" s="270" t="str">
        <f t="shared" si="127"/>
        <v/>
      </c>
      <c r="X109" s="270" t="str">
        <f t="shared" si="128"/>
        <v/>
      </c>
    </row>
    <row r="110" spans="2:24" x14ac:dyDescent="0.35">
      <c r="B110" s="270">
        <v>7</v>
      </c>
      <c r="C110" s="270" t="str">
        <f>IFERROR(RANK(D110, (D$104:D$127, H$104:H$127), 1), "")</f>
        <v/>
      </c>
      <c r="D110" s="270" t="str">
        <f>IFERROR(IF(MID(E110, 3, 1)="+", _xlfn.NUMBERVALUE(LEFT(E110, 2))+(_xlfn.NUMBERVALUE(MID(E110, 4, 2))/100), IF(MID(E110, 4, 1)="+", _xlfn.NUMBERVALUE(LEFT(E110, 3))+(_xlfn.NUMBERVALUE(MID(E110, 5, 2))/100), E110)), "")</f>
        <v/>
      </c>
      <c r="E110" s="270" t="str">
        <f t="shared" ref="E110:E115" si="131">IF(N94=0, "", N94)</f>
        <v/>
      </c>
      <c r="F110" s="7">
        <f t="shared" ref="F110:F115" si="132">N45</f>
        <v>0</v>
      </c>
      <c r="G110" s="270" t="str">
        <f>IFERROR(RANK(H110, (D$104:D$127, H$104:H$127), 1), "")</f>
        <v/>
      </c>
      <c r="H110" s="270" t="str">
        <f t="shared" si="115"/>
        <v/>
      </c>
      <c r="I110" s="270" t="str">
        <f t="shared" ref="I110:I115" si="133">IF(R94=0, "", R94)</f>
        <v/>
      </c>
      <c r="J110" s="7">
        <f t="shared" ref="J110:J115" si="134">R45</f>
        <v>0</v>
      </c>
      <c r="K110" s="295">
        <v>3</v>
      </c>
      <c r="L110" s="270" t="str">
        <f t="shared" si="129"/>
        <v/>
      </c>
      <c r="M110" s="270" t="str">
        <f t="shared" si="118"/>
        <v/>
      </c>
      <c r="N110" s="270">
        <f t="shared" si="121"/>
        <v>0</v>
      </c>
      <c r="O110" s="295" t="str">
        <f t="shared" si="122"/>
        <v/>
      </c>
      <c r="P110" s="295" t="str">
        <f t="shared" si="123"/>
        <v/>
      </c>
      <c r="Q110" s="296" t="str">
        <f t="shared" si="130"/>
        <v/>
      </c>
      <c r="R110" s="270" t="str">
        <f t="shared" si="119"/>
        <v>X</v>
      </c>
      <c r="S110" s="297" t="str">
        <f t="shared" si="124"/>
        <v/>
      </c>
      <c r="T110" s="270">
        <f t="shared" si="125"/>
        <v>4</v>
      </c>
      <c r="U110" s="270" t="str">
        <f t="shared" si="120"/>
        <v/>
      </c>
      <c r="V110" s="270" t="str">
        <f t="shared" si="126"/>
        <v/>
      </c>
      <c r="W110" s="270" t="str">
        <f t="shared" si="127"/>
        <v/>
      </c>
      <c r="X110" s="270" t="str">
        <f t="shared" si="128"/>
        <v/>
      </c>
    </row>
    <row r="111" spans="2:24" x14ac:dyDescent="0.35">
      <c r="B111" s="270">
        <v>8</v>
      </c>
      <c r="C111" s="270" t="str">
        <f>IFERROR(RANK(D111, (D$104:D$127, H$104:H$127), 1), "")</f>
        <v/>
      </c>
      <c r="D111" s="270" t="str">
        <f t="shared" ref="D111:D127" si="135">IFERROR(IF(MID(E111, 3, 1)="+", _xlfn.NUMBERVALUE(LEFT(E111, 2))+(_xlfn.NUMBERVALUE(MID(E111, 4, 2))/100), IF(MID(E111, 4, 1)="+", _xlfn.NUMBERVALUE(LEFT(E111, 3))+(_xlfn.NUMBERVALUE(MID(E111, 5, 2))/100), E111)), "")</f>
        <v/>
      </c>
      <c r="E111" s="270" t="str">
        <f t="shared" si="131"/>
        <v/>
      </c>
      <c r="F111" s="270">
        <f t="shared" si="132"/>
        <v>0</v>
      </c>
      <c r="G111" s="270" t="str">
        <f>IFERROR(RANK(H111, (D$104:D$127, H$104:H$127), 1), "")</f>
        <v/>
      </c>
      <c r="H111" s="270" t="str">
        <f t="shared" si="115"/>
        <v/>
      </c>
      <c r="I111" s="270" t="str">
        <f t="shared" si="133"/>
        <v/>
      </c>
      <c r="J111" s="270">
        <f t="shared" si="134"/>
        <v>0</v>
      </c>
      <c r="K111" s="270">
        <f>ROUNDUP(2+COUNTIF(Q$105:Q$128, K110)+(COUNTIF(Q$105:Q$128, K110+0.5)/2),0)+MAX(K108:K109)</f>
        <v>8</v>
      </c>
      <c r="L111" s="270" t="str">
        <f t="shared" si="129"/>
        <v/>
      </c>
      <c r="M111" s="270" t="str">
        <f t="shared" si="118"/>
        <v/>
      </c>
      <c r="N111" s="270">
        <f t="shared" si="121"/>
        <v>0</v>
      </c>
      <c r="O111" s="295" t="str">
        <f t="shared" si="122"/>
        <v/>
      </c>
      <c r="P111" s="295" t="str">
        <f t="shared" si="123"/>
        <v/>
      </c>
      <c r="Q111" s="296" t="str">
        <f t="shared" si="130"/>
        <v/>
      </c>
      <c r="R111" s="270" t="str">
        <f t="shared" si="119"/>
        <v>X</v>
      </c>
      <c r="S111" s="297" t="str">
        <f t="shared" si="124"/>
        <v/>
      </c>
      <c r="T111" s="270">
        <f t="shared" si="125"/>
        <v>4</v>
      </c>
      <c r="U111" s="270" t="str">
        <f t="shared" si="120"/>
        <v/>
      </c>
      <c r="V111" s="270" t="str">
        <f t="shared" si="126"/>
        <v/>
      </c>
      <c r="W111" s="270" t="str">
        <f t="shared" si="127"/>
        <v/>
      </c>
      <c r="X111" s="270" t="str">
        <f t="shared" si="128"/>
        <v/>
      </c>
    </row>
    <row r="112" spans="2:24" x14ac:dyDescent="0.35">
      <c r="B112" s="270">
        <v>9</v>
      </c>
      <c r="C112" s="270" t="str">
        <f>IFERROR(RANK(D112, (D$104:D$127, H$104:H$127), 1), "")</f>
        <v/>
      </c>
      <c r="D112" s="270" t="str">
        <f t="shared" si="135"/>
        <v/>
      </c>
      <c r="E112" s="270" t="str">
        <f t="shared" si="131"/>
        <v/>
      </c>
      <c r="F112" s="270">
        <f t="shared" si="132"/>
        <v>0</v>
      </c>
      <c r="G112" s="270" t="str">
        <f>IFERROR(RANK(H112, (D$104:D$127, H$104:H$127), 1), "")</f>
        <v/>
      </c>
      <c r="H112" s="270" t="str">
        <f t="shared" si="115"/>
        <v/>
      </c>
      <c r="I112" s="270" t="str">
        <f t="shared" si="133"/>
        <v/>
      </c>
      <c r="J112" s="270">
        <f t="shared" si="134"/>
        <v>0</v>
      </c>
      <c r="K112" s="270">
        <f>(INDEX(P$104:P$128, COUNTIF(P$104:P$128, "&lt;61"))-60)*100+2+(MAX(K108:K109))</f>
        <v>-5592</v>
      </c>
      <c r="L112" s="270" t="str">
        <f t="shared" si="129"/>
        <v/>
      </c>
      <c r="M112" s="270" t="str">
        <f t="shared" si="118"/>
        <v/>
      </c>
      <c r="N112" s="270">
        <f t="shared" si="121"/>
        <v>0</v>
      </c>
      <c r="O112" s="295" t="str">
        <f t="shared" si="122"/>
        <v/>
      </c>
      <c r="P112" s="295" t="str">
        <f t="shared" si="123"/>
        <v/>
      </c>
      <c r="Q112" s="296" t="str">
        <f t="shared" si="130"/>
        <v/>
      </c>
      <c r="R112" s="270" t="str">
        <f t="shared" si="119"/>
        <v>X</v>
      </c>
      <c r="S112" s="297" t="str">
        <f t="shared" si="124"/>
        <v/>
      </c>
      <c r="T112" s="270">
        <f t="shared" si="125"/>
        <v>4</v>
      </c>
      <c r="U112" s="270" t="str">
        <f t="shared" si="120"/>
        <v/>
      </c>
      <c r="V112" s="270" t="str">
        <f t="shared" si="126"/>
        <v/>
      </c>
      <c r="W112" s="270" t="str">
        <f t="shared" si="127"/>
        <v/>
      </c>
      <c r="X112" s="270" t="str">
        <f t="shared" si="128"/>
        <v/>
      </c>
    </row>
    <row r="113" spans="2:24" x14ac:dyDescent="0.35">
      <c r="B113" s="270">
        <v>10</v>
      </c>
      <c r="C113" s="270" t="str">
        <f>IFERROR(RANK(D113, (D$104:D$127, H$104:H$127), 1), "")</f>
        <v/>
      </c>
      <c r="D113" s="270" t="str">
        <f t="shared" si="135"/>
        <v/>
      </c>
      <c r="E113" s="270" t="str">
        <f t="shared" si="131"/>
        <v/>
      </c>
      <c r="F113" s="270">
        <f t="shared" si="132"/>
        <v>0</v>
      </c>
      <c r="G113" s="270" t="str">
        <f>IFERROR(RANK(H113, (D$104:D$127, H$104:H$127), 1), "")</f>
        <v/>
      </c>
      <c r="H113" s="270" t="str">
        <f t="shared" si="115"/>
        <v/>
      </c>
      <c r="I113" s="270" t="str">
        <f t="shared" si="133"/>
        <v/>
      </c>
      <c r="J113" s="270">
        <f t="shared" si="134"/>
        <v>0</v>
      </c>
      <c r="K113" s="295">
        <v>4</v>
      </c>
      <c r="L113" s="270" t="str">
        <f t="shared" si="129"/>
        <v/>
      </c>
      <c r="M113" s="270" t="str">
        <f t="shared" si="118"/>
        <v/>
      </c>
      <c r="N113" s="270">
        <f t="shared" si="121"/>
        <v>0</v>
      </c>
      <c r="O113" s="295" t="str">
        <f t="shared" si="122"/>
        <v/>
      </c>
      <c r="P113" s="295" t="str">
        <f t="shared" si="123"/>
        <v/>
      </c>
      <c r="Q113" s="296" t="str">
        <f t="shared" si="130"/>
        <v/>
      </c>
      <c r="R113" s="270" t="str">
        <f t="shared" si="119"/>
        <v>X</v>
      </c>
      <c r="S113" s="297" t="str">
        <f>IFERROR(IFERROR(R114-R113, IF(Q113=2, R114-50+MAX(K$108:K$109), IF(ISODD(Q113*2), 3, COUNTIF(Q$104:Q$152, Q113)+3))),"")</f>
        <v/>
      </c>
      <c r="T113" s="270">
        <f t="shared" si="125"/>
        <v>4</v>
      </c>
      <c r="U113" s="270" t="str">
        <f t="shared" si="120"/>
        <v/>
      </c>
      <c r="V113" s="270" t="str">
        <f t="shared" si="126"/>
        <v/>
      </c>
      <c r="W113" s="270" t="str">
        <f t="shared" si="127"/>
        <v/>
      </c>
      <c r="X113" s="270" t="str">
        <f t="shared" si="128"/>
        <v/>
      </c>
    </row>
    <row r="114" spans="2:24" x14ac:dyDescent="0.35">
      <c r="B114" s="270">
        <v>11</v>
      </c>
      <c r="C114" s="270" t="str">
        <f>IFERROR(RANK(D114, (D$104:D$127, H$104:H$127), 1), "")</f>
        <v/>
      </c>
      <c r="D114" s="270" t="str">
        <f t="shared" si="135"/>
        <v/>
      </c>
      <c r="E114" s="270" t="str">
        <f t="shared" si="131"/>
        <v/>
      </c>
      <c r="F114" s="270">
        <f t="shared" si="132"/>
        <v>0</v>
      </c>
      <c r="G114" s="270" t="str">
        <f>IFERROR(RANK(H114, (D$104:D$127, H$104:H$127), 1), "")</f>
        <v/>
      </c>
      <c r="H114" s="270" t="str">
        <f t="shared" si="115"/>
        <v/>
      </c>
      <c r="I114" s="270" t="str">
        <f t="shared" si="133"/>
        <v/>
      </c>
      <c r="J114" s="270">
        <f t="shared" si="134"/>
        <v>0</v>
      </c>
      <c r="K114" s="270">
        <f>ROUNDUP(2+COUNTIF(Q$105:Q$128, K113)+(COUNTIF(Q$105:Q$128, K113+0.5)/2),0)+MAX(K111:K112)</f>
        <v>10</v>
      </c>
      <c r="L114" s="270" t="str">
        <f t="shared" si="129"/>
        <v/>
      </c>
      <c r="M114" s="270" t="str">
        <f t="shared" si="118"/>
        <v/>
      </c>
      <c r="N114" s="270">
        <f t="shared" si="121"/>
        <v>0</v>
      </c>
      <c r="O114" s="295" t="str">
        <f t="shared" si="122"/>
        <v/>
      </c>
      <c r="P114" s="295" t="str">
        <f t="shared" si="123"/>
        <v/>
      </c>
      <c r="Q114" s="296" t="str">
        <f t="shared" si="130"/>
        <v/>
      </c>
      <c r="R114" s="270" t="str">
        <f t="shared" si="119"/>
        <v>X</v>
      </c>
      <c r="S114" s="297" t="str">
        <f>IFERROR(IFERROR(R115-R114, IF(Q114=2, R115-50+MAX(K$108:K$109), IF(ISODD(Q114*2), 3, COUNTIF(Q$104:Q$152, Q114)+3))),"")</f>
        <v/>
      </c>
      <c r="T114" s="270">
        <f t="shared" si="125"/>
        <v>4</v>
      </c>
      <c r="U114" s="270" t="str">
        <f t="shared" si="120"/>
        <v/>
      </c>
      <c r="V114" s="270" t="str">
        <f t="shared" si="126"/>
        <v/>
      </c>
      <c r="W114" s="270" t="str">
        <f t="shared" si="127"/>
        <v/>
      </c>
      <c r="X114" s="270" t="str">
        <f t="shared" si="128"/>
        <v/>
      </c>
    </row>
    <row r="115" spans="2:24" x14ac:dyDescent="0.35">
      <c r="B115" s="270">
        <v>12</v>
      </c>
      <c r="C115" s="270" t="str">
        <f>IFERROR(RANK(D115, (D$104:D$127, H$104:H$127), 1), "")</f>
        <v/>
      </c>
      <c r="D115" s="270" t="str">
        <f t="shared" si="135"/>
        <v/>
      </c>
      <c r="E115" s="270" t="str">
        <f t="shared" si="131"/>
        <v/>
      </c>
      <c r="F115" s="270">
        <f t="shared" si="132"/>
        <v>0</v>
      </c>
      <c r="G115" s="270" t="str">
        <f>IFERROR(RANK(H115, (D$104:D$127, H$104:H$127), 1), "")</f>
        <v/>
      </c>
      <c r="H115" s="270" t="str">
        <f t="shared" si="115"/>
        <v/>
      </c>
      <c r="I115" s="270" t="str">
        <f t="shared" si="133"/>
        <v/>
      </c>
      <c r="J115" s="270">
        <f t="shared" si="134"/>
        <v>0</v>
      </c>
      <c r="K115" s="270">
        <f>(INDEX(P$104:P$128, COUNTIF(P$104:P$128, "&lt;71"))-70)*100+2+(MAX(K111:K112))</f>
        <v>-6590</v>
      </c>
      <c r="L115" s="270" t="str">
        <f t="shared" si="129"/>
        <v/>
      </c>
      <c r="M115" s="270" t="str">
        <f t="shared" si="118"/>
        <v/>
      </c>
      <c r="N115" s="270">
        <f t="shared" si="121"/>
        <v>0</v>
      </c>
      <c r="O115" s="295" t="str">
        <f t="shared" si="122"/>
        <v/>
      </c>
      <c r="P115" s="295" t="str">
        <f t="shared" si="123"/>
        <v/>
      </c>
      <c r="Q115" s="296" t="str">
        <f t="shared" si="130"/>
        <v/>
      </c>
      <c r="R115" s="270" t="str">
        <f t="shared" si="119"/>
        <v>X</v>
      </c>
      <c r="S115" s="297" t="str">
        <f t="shared" si="124"/>
        <v/>
      </c>
      <c r="T115" s="270">
        <f t="shared" si="125"/>
        <v>4</v>
      </c>
      <c r="U115" s="270" t="str">
        <f t="shared" si="120"/>
        <v/>
      </c>
      <c r="V115" s="270" t="str">
        <f t="shared" si="126"/>
        <v/>
      </c>
      <c r="W115" s="270" t="str">
        <f t="shared" si="127"/>
        <v/>
      </c>
      <c r="X115" s="270" t="str">
        <f t="shared" si="128"/>
        <v/>
      </c>
    </row>
    <row r="116" spans="2:24" x14ac:dyDescent="0.35">
      <c r="B116" s="270">
        <v>13</v>
      </c>
      <c r="C116" s="270" t="str">
        <f>IFERROR(RANK(D116, (D$104:D$127, H$104:H$127), 1), "")</f>
        <v/>
      </c>
      <c r="D116" s="270" t="str">
        <f t="shared" si="135"/>
        <v/>
      </c>
      <c r="E116" s="270" t="str">
        <f t="shared" ref="E116:E121" si="136">IF(M94=0, "", M94)</f>
        <v/>
      </c>
      <c r="F116" s="7">
        <f t="shared" ref="F116:F121" si="137">M45</f>
        <v>0</v>
      </c>
      <c r="G116" s="270" t="str">
        <f>IFERROR(RANK(H116, (D$104:D$127, H$104:H$127), 1), "")</f>
        <v/>
      </c>
      <c r="H116" s="270" t="str">
        <f t="shared" si="115"/>
        <v/>
      </c>
      <c r="I116" s="270" t="str">
        <f t="shared" ref="I116:I121" si="138">IF(S94=0, "", S94)</f>
        <v/>
      </c>
      <c r="J116" s="7">
        <f t="shared" ref="J116:J121" si="139">S45</f>
        <v>0</v>
      </c>
      <c r="K116" s="295">
        <v>5</v>
      </c>
      <c r="L116" s="270" t="str">
        <f t="shared" si="129"/>
        <v/>
      </c>
      <c r="M116" s="270" t="str">
        <f t="shared" si="118"/>
        <v/>
      </c>
      <c r="N116" s="270">
        <f t="shared" si="121"/>
        <v>0</v>
      </c>
      <c r="O116" s="295" t="str">
        <f t="shared" si="122"/>
        <v/>
      </c>
      <c r="P116" s="295" t="str">
        <f t="shared" si="123"/>
        <v/>
      </c>
      <c r="Q116" s="296" t="str">
        <f t="shared" si="130"/>
        <v/>
      </c>
      <c r="R116" s="270" t="str">
        <f t="shared" si="119"/>
        <v>X</v>
      </c>
      <c r="S116" s="297" t="str">
        <f t="shared" si="124"/>
        <v/>
      </c>
      <c r="T116" s="270">
        <f t="shared" si="125"/>
        <v>4</v>
      </c>
      <c r="U116" s="270" t="str">
        <f t="shared" si="120"/>
        <v/>
      </c>
      <c r="V116" s="270" t="str">
        <f t="shared" si="126"/>
        <v/>
      </c>
      <c r="W116" s="270" t="str">
        <f t="shared" si="127"/>
        <v/>
      </c>
      <c r="X116" s="270" t="str">
        <f t="shared" si="128"/>
        <v/>
      </c>
    </row>
    <row r="117" spans="2:24" x14ac:dyDescent="0.35">
      <c r="B117" s="270">
        <v>14</v>
      </c>
      <c r="C117" s="270" t="str">
        <f>IFERROR(RANK(D117, (D$104:D$127, H$104:H$127), 1), "")</f>
        <v/>
      </c>
      <c r="D117" s="270" t="str">
        <f t="shared" si="135"/>
        <v/>
      </c>
      <c r="E117" s="270" t="str">
        <f t="shared" si="136"/>
        <v/>
      </c>
      <c r="F117" s="270">
        <f t="shared" si="137"/>
        <v>0</v>
      </c>
      <c r="G117" s="270" t="str">
        <f>IFERROR(RANK(H117, (D$104:D$127, H$104:H$127), 1), "")</f>
        <v/>
      </c>
      <c r="H117" s="270" t="str">
        <f t="shared" si="115"/>
        <v/>
      </c>
      <c r="I117" s="270" t="str">
        <f t="shared" si="138"/>
        <v/>
      </c>
      <c r="J117" s="270">
        <f t="shared" si="139"/>
        <v>0</v>
      </c>
      <c r="K117" s="270">
        <f>ROUNDUP(2+COUNTIF(Q$105:Q$128, K116)+(COUNTIF(Q$105:Q$128, K116+0.5)/2),0)+MAX(K114:K115)</f>
        <v>12</v>
      </c>
      <c r="L117" s="270" t="str">
        <f t="shared" si="129"/>
        <v/>
      </c>
      <c r="M117" s="270" t="str">
        <f t="shared" si="118"/>
        <v/>
      </c>
      <c r="N117" s="270">
        <f t="shared" si="121"/>
        <v>0</v>
      </c>
      <c r="O117" s="295" t="str">
        <f t="shared" si="122"/>
        <v/>
      </c>
      <c r="P117" s="295" t="str">
        <f t="shared" si="123"/>
        <v/>
      </c>
      <c r="Q117" s="296" t="str">
        <f t="shared" si="130"/>
        <v/>
      </c>
      <c r="R117" s="270" t="str">
        <f t="shared" si="119"/>
        <v>X</v>
      </c>
      <c r="S117" s="297" t="str">
        <f t="shared" si="124"/>
        <v/>
      </c>
      <c r="T117" s="270">
        <f t="shared" si="125"/>
        <v>4</v>
      </c>
      <c r="U117" s="270" t="str">
        <f t="shared" si="120"/>
        <v/>
      </c>
      <c r="V117" s="270" t="str">
        <f t="shared" si="126"/>
        <v/>
      </c>
      <c r="W117" s="270" t="str">
        <f t="shared" si="127"/>
        <v/>
      </c>
      <c r="X117" s="270" t="str">
        <f t="shared" si="128"/>
        <v/>
      </c>
    </row>
    <row r="118" spans="2:24" x14ac:dyDescent="0.35">
      <c r="B118" s="270">
        <v>15</v>
      </c>
      <c r="C118" s="270" t="str">
        <f>IFERROR(RANK(D118, (D$104:D$127, H$104:H$127), 1), "")</f>
        <v/>
      </c>
      <c r="D118" s="270" t="str">
        <f t="shared" si="135"/>
        <v/>
      </c>
      <c r="E118" s="270" t="str">
        <f t="shared" si="136"/>
        <v/>
      </c>
      <c r="F118" s="270">
        <f t="shared" si="137"/>
        <v>0</v>
      </c>
      <c r="G118" s="270" t="str">
        <f>IFERROR(RANK(H118, (D$104:D$127, H$104:H$127), 1), "")</f>
        <v/>
      </c>
      <c r="H118" s="270" t="str">
        <f t="shared" si="115"/>
        <v/>
      </c>
      <c r="I118" s="270" t="str">
        <f t="shared" si="138"/>
        <v/>
      </c>
      <c r="J118" s="270">
        <f t="shared" si="139"/>
        <v>0</v>
      </c>
      <c r="K118" s="270">
        <f>(INDEX(P$104:P$128, COUNTIF(P$104:P$128, "&lt;81"))-80)*100+2+(MAX(K114:K115))</f>
        <v>-7588</v>
      </c>
      <c r="L118" s="270" t="str">
        <f t="shared" si="129"/>
        <v/>
      </c>
      <c r="M118" s="270" t="str">
        <f t="shared" si="118"/>
        <v/>
      </c>
      <c r="N118" s="270">
        <f t="shared" si="121"/>
        <v>0</v>
      </c>
      <c r="O118" s="295" t="str">
        <f t="shared" si="122"/>
        <v/>
      </c>
      <c r="P118" s="295" t="str">
        <f t="shared" si="123"/>
        <v/>
      </c>
      <c r="Q118" s="296" t="str">
        <f t="shared" si="130"/>
        <v/>
      </c>
      <c r="R118" s="270" t="str">
        <f t="shared" si="119"/>
        <v>X</v>
      </c>
      <c r="S118" s="297" t="str">
        <f t="shared" si="124"/>
        <v/>
      </c>
      <c r="T118" s="270">
        <f t="shared" si="125"/>
        <v>4</v>
      </c>
      <c r="U118" s="270" t="str">
        <f t="shared" si="120"/>
        <v/>
      </c>
      <c r="V118" s="270" t="str">
        <f t="shared" si="126"/>
        <v/>
      </c>
      <c r="W118" s="270" t="str">
        <f t="shared" si="127"/>
        <v/>
      </c>
      <c r="X118" s="270" t="str">
        <f t="shared" si="128"/>
        <v/>
      </c>
    </row>
    <row r="119" spans="2:24" x14ac:dyDescent="0.35">
      <c r="B119" s="270">
        <v>16</v>
      </c>
      <c r="C119" s="270" t="str">
        <f>IFERROR(RANK(D119, (D$104:D$127, H$104:H$127), 1), "")</f>
        <v/>
      </c>
      <c r="D119" s="270" t="str">
        <f t="shared" si="135"/>
        <v/>
      </c>
      <c r="E119" s="270" t="str">
        <f t="shared" si="136"/>
        <v/>
      </c>
      <c r="F119" s="270">
        <f t="shared" si="137"/>
        <v>0</v>
      </c>
      <c r="G119" s="270" t="str">
        <f>IFERROR(RANK(H119, (D$104:D$127, H$104:H$127), 1), "")</f>
        <v/>
      </c>
      <c r="H119" s="270" t="str">
        <f t="shared" si="115"/>
        <v/>
      </c>
      <c r="I119" s="270" t="str">
        <f t="shared" si="138"/>
        <v/>
      </c>
      <c r="J119" s="270">
        <f t="shared" si="139"/>
        <v>0</v>
      </c>
      <c r="K119" s="295">
        <v>6</v>
      </c>
      <c r="L119" s="270" t="str">
        <f t="shared" si="129"/>
        <v/>
      </c>
      <c r="M119" s="270" t="str">
        <f t="shared" si="118"/>
        <v/>
      </c>
      <c r="N119" s="270">
        <f t="shared" si="121"/>
        <v>0</v>
      </c>
      <c r="O119" s="295" t="str">
        <f t="shared" si="122"/>
        <v/>
      </c>
      <c r="P119" s="295" t="str">
        <f t="shared" si="123"/>
        <v/>
      </c>
      <c r="Q119" s="296" t="str">
        <f t="shared" si="130"/>
        <v/>
      </c>
      <c r="R119" s="270" t="str">
        <f t="shared" si="119"/>
        <v>X</v>
      </c>
      <c r="S119" s="297" t="str">
        <f t="shared" si="124"/>
        <v/>
      </c>
      <c r="T119" s="270">
        <f t="shared" si="125"/>
        <v>4</v>
      </c>
      <c r="U119" s="270" t="str">
        <f t="shared" si="120"/>
        <v/>
      </c>
      <c r="V119" s="270" t="str">
        <f t="shared" si="126"/>
        <v/>
      </c>
      <c r="W119" s="270" t="str">
        <f t="shared" si="127"/>
        <v/>
      </c>
      <c r="X119" s="270" t="str">
        <f t="shared" si="128"/>
        <v/>
      </c>
    </row>
    <row r="120" spans="2:24" x14ac:dyDescent="0.35">
      <c r="B120" s="270">
        <v>17</v>
      </c>
      <c r="C120" s="270" t="str">
        <f>IFERROR(RANK(D120, (D$104:D$127, H$104:H$127), 1), "")</f>
        <v/>
      </c>
      <c r="D120" s="270" t="str">
        <f t="shared" si="135"/>
        <v/>
      </c>
      <c r="E120" s="270" t="str">
        <f t="shared" si="136"/>
        <v/>
      </c>
      <c r="F120" s="270">
        <f t="shared" si="137"/>
        <v>0</v>
      </c>
      <c r="G120" s="270" t="str">
        <f>IFERROR(RANK(H120, (D$104:D$127, H$104:H$127), 1), "")</f>
        <v/>
      </c>
      <c r="H120" s="270" t="str">
        <f t="shared" si="115"/>
        <v/>
      </c>
      <c r="I120" s="270" t="str">
        <f t="shared" si="138"/>
        <v/>
      </c>
      <c r="J120" s="270">
        <f t="shared" si="139"/>
        <v>0</v>
      </c>
      <c r="K120" s="270">
        <f>ROUNDUP(2+COUNTIF(Q$105:Q$128, K119)+(COUNTIF(Q$105:Q$128, K119+0.5)/2),0)+MAX(K117:K118)</f>
        <v>14</v>
      </c>
      <c r="L120" s="270" t="str">
        <f t="shared" si="129"/>
        <v/>
      </c>
      <c r="M120" s="270" t="str">
        <f t="shared" si="118"/>
        <v/>
      </c>
      <c r="N120" s="270">
        <f t="shared" si="121"/>
        <v>0</v>
      </c>
      <c r="O120" s="295" t="str">
        <f t="shared" si="122"/>
        <v/>
      </c>
      <c r="P120" s="295" t="str">
        <f t="shared" si="123"/>
        <v/>
      </c>
      <c r="Q120" s="296" t="str">
        <f t="shared" si="130"/>
        <v/>
      </c>
      <c r="R120" s="270" t="str">
        <f t="shared" si="119"/>
        <v>X</v>
      </c>
      <c r="S120" s="297" t="str">
        <f t="shared" si="124"/>
        <v/>
      </c>
      <c r="T120" s="270">
        <f t="shared" si="125"/>
        <v>4</v>
      </c>
      <c r="U120" s="270" t="str">
        <f t="shared" si="120"/>
        <v/>
      </c>
      <c r="V120" s="270" t="str">
        <f t="shared" si="126"/>
        <v/>
      </c>
      <c r="W120" s="270" t="str">
        <f t="shared" si="127"/>
        <v/>
      </c>
      <c r="X120" s="270" t="str">
        <f t="shared" si="128"/>
        <v/>
      </c>
    </row>
    <row r="121" spans="2:24" x14ac:dyDescent="0.35">
      <c r="B121" s="270">
        <v>18</v>
      </c>
      <c r="C121" s="270" t="str">
        <f>IFERROR(RANK(D121, (D$104:D$127, H$104:H$127), 1), "")</f>
        <v/>
      </c>
      <c r="D121" s="270" t="str">
        <f t="shared" si="135"/>
        <v/>
      </c>
      <c r="E121" s="270" t="str">
        <f t="shared" si="136"/>
        <v/>
      </c>
      <c r="F121" s="270">
        <f t="shared" si="137"/>
        <v>0</v>
      </c>
      <c r="G121" s="270" t="str">
        <f>IFERROR(RANK(H121, (D$104:D$127, H$104:H$127), 1), "")</f>
        <v/>
      </c>
      <c r="H121" s="270" t="str">
        <f t="shared" si="115"/>
        <v/>
      </c>
      <c r="I121" s="270" t="str">
        <f t="shared" si="138"/>
        <v/>
      </c>
      <c r="J121" s="270">
        <f t="shared" si="139"/>
        <v>0</v>
      </c>
      <c r="K121" s="270">
        <f>(INDEX(P$104:P$128, COUNTIF(P$104:P$128, "&lt;91"))-90)*100+2+(MAX(K117:K118))</f>
        <v>-8586</v>
      </c>
      <c r="L121" s="270" t="str">
        <f t="shared" si="129"/>
        <v/>
      </c>
      <c r="M121" s="270" t="str">
        <f t="shared" si="118"/>
        <v/>
      </c>
      <c r="N121" s="270">
        <f t="shared" si="121"/>
        <v>0</v>
      </c>
      <c r="O121" s="295" t="str">
        <f t="shared" si="122"/>
        <v/>
      </c>
      <c r="P121" s="295" t="str">
        <f t="shared" si="123"/>
        <v/>
      </c>
      <c r="Q121" s="296" t="str">
        <f t="shared" si="130"/>
        <v/>
      </c>
      <c r="R121" s="270" t="str">
        <f t="shared" si="119"/>
        <v>X</v>
      </c>
      <c r="S121" s="297" t="str">
        <f t="shared" si="124"/>
        <v/>
      </c>
      <c r="T121" s="270">
        <f t="shared" si="125"/>
        <v>4</v>
      </c>
      <c r="U121" s="270" t="str">
        <f t="shared" si="120"/>
        <v/>
      </c>
      <c r="V121" s="270" t="str">
        <f t="shared" si="126"/>
        <v/>
      </c>
      <c r="W121" s="270" t="str">
        <f t="shared" si="127"/>
        <v/>
      </c>
      <c r="X121" s="270" t="str">
        <f t="shared" si="128"/>
        <v/>
      </c>
    </row>
    <row r="122" spans="2:24" x14ac:dyDescent="0.35">
      <c r="B122" s="270">
        <v>19</v>
      </c>
      <c r="C122" s="270" t="str">
        <f>IFERROR(RANK(D122, (D$104:D$127, H$104:H$127), 1), "")</f>
        <v/>
      </c>
      <c r="D122" s="270" t="str">
        <f t="shared" si="135"/>
        <v/>
      </c>
      <c r="E122" s="270" t="str">
        <f t="shared" ref="E122:E127" si="140">IF(L94=0, "", L94)</f>
        <v/>
      </c>
      <c r="F122" s="7">
        <f t="shared" ref="F122:F127" si="141">L45</f>
        <v>0</v>
      </c>
      <c r="G122" s="270" t="str">
        <f>IFERROR(RANK(H122, (D$104:D$127, H$104:H$127), 1), "")</f>
        <v/>
      </c>
      <c r="H122" s="270" t="str">
        <f t="shared" si="115"/>
        <v/>
      </c>
      <c r="I122" s="270" t="str">
        <f t="shared" ref="I122:I127" si="142">IF(T94=0, "", T94)</f>
        <v/>
      </c>
      <c r="J122" s="7">
        <f t="shared" ref="J122:J127" si="143">T45</f>
        <v>0</v>
      </c>
      <c r="K122" s="295">
        <v>7</v>
      </c>
      <c r="L122" s="270" t="str">
        <f t="shared" si="129"/>
        <v/>
      </c>
      <c r="M122" s="270" t="str">
        <f t="shared" si="118"/>
        <v/>
      </c>
      <c r="N122" s="270">
        <f t="shared" si="121"/>
        <v>0</v>
      </c>
      <c r="O122" s="295" t="str">
        <f t="shared" si="122"/>
        <v/>
      </c>
      <c r="P122" s="295" t="str">
        <f t="shared" si="123"/>
        <v/>
      </c>
      <c r="Q122" s="296" t="str">
        <f t="shared" si="130"/>
        <v/>
      </c>
      <c r="R122" s="270" t="str">
        <f t="shared" si="119"/>
        <v>X</v>
      </c>
      <c r="S122" s="297" t="str">
        <f t="shared" si="124"/>
        <v/>
      </c>
      <c r="T122" s="270">
        <f t="shared" si="125"/>
        <v>4</v>
      </c>
      <c r="U122" s="270" t="str">
        <f t="shared" si="120"/>
        <v/>
      </c>
      <c r="V122" s="270" t="str">
        <f t="shared" si="126"/>
        <v/>
      </c>
      <c r="W122" s="270" t="str">
        <f t="shared" si="127"/>
        <v/>
      </c>
      <c r="X122" s="270" t="str">
        <f t="shared" si="128"/>
        <v/>
      </c>
    </row>
    <row r="123" spans="2:24" x14ac:dyDescent="0.35">
      <c r="B123" s="270">
        <v>20</v>
      </c>
      <c r="C123" s="270" t="str">
        <f>IFERROR(RANK(D123, (D$104:D$127, H$104:H$127), 1), "")</f>
        <v/>
      </c>
      <c r="D123" s="270" t="str">
        <f t="shared" si="135"/>
        <v/>
      </c>
      <c r="E123" s="270" t="str">
        <f t="shared" si="140"/>
        <v/>
      </c>
      <c r="F123" s="270">
        <f t="shared" si="141"/>
        <v>0</v>
      </c>
      <c r="G123" s="270" t="str">
        <f>IFERROR(RANK(H123, (D$104:D$127, H$104:H$127), 1), "")</f>
        <v/>
      </c>
      <c r="H123" s="270" t="str">
        <f t="shared" si="115"/>
        <v/>
      </c>
      <c r="I123" s="270" t="str">
        <f t="shared" si="142"/>
        <v/>
      </c>
      <c r="J123" s="270">
        <f t="shared" si="143"/>
        <v>0</v>
      </c>
      <c r="K123" s="270">
        <f>ROUNDUP(2+COUNTIF(Q$105:Q$128, K122)+(COUNTIF(Q$105:Q$128, K122+0.5)/2),0)+MAX(K120:K121)</f>
        <v>16</v>
      </c>
      <c r="L123" s="270" t="str">
        <f t="shared" si="129"/>
        <v/>
      </c>
      <c r="M123" s="270" t="str">
        <f t="shared" si="118"/>
        <v/>
      </c>
      <c r="N123" s="270">
        <f t="shared" si="121"/>
        <v>0</v>
      </c>
      <c r="O123" s="295" t="str">
        <f t="shared" si="122"/>
        <v/>
      </c>
      <c r="P123" s="295" t="str">
        <f t="shared" si="123"/>
        <v/>
      </c>
      <c r="Q123" s="296" t="str">
        <f t="shared" si="130"/>
        <v/>
      </c>
      <c r="R123" s="270" t="str">
        <f t="shared" si="119"/>
        <v>X</v>
      </c>
      <c r="S123" s="297" t="str">
        <f t="shared" si="124"/>
        <v/>
      </c>
      <c r="T123" s="270">
        <f t="shared" si="125"/>
        <v>4</v>
      </c>
      <c r="U123" s="270" t="str">
        <f t="shared" si="120"/>
        <v/>
      </c>
      <c r="V123" s="270" t="str">
        <f t="shared" si="126"/>
        <v/>
      </c>
      <c r="W123" s="270" t="str">
        <f t="shared" si="127"/>
        <v/>
      </c>
      <c r="X123" s="270" t="str">
        <f t="shared" si="128"/>
        <v/>
      </c>
    </row>
    <row r="124" spans="2:24" x14ac:dyDescent="0.35">
      <c r="B124" s="270">
        <v>21</v>
      </c>
      <c r="C124" s="270" t="str">
        <f>IFERROR(RANK(D124, (D$104:D$127, H$104:H$127), 1), "")</f>
        <v/>
      </c>
      <c r="D124" s="270" t="str">
        <f t="shared" si="135"/>
        <v/>
      </c>
      <c r="E124" s="270" t="str">
        <f t="shared" si="140"/>
        <v/>
      </c>
      <c r="F124" s="270">
        <f t="shared" si="141"/>
        <v>0</v>
      </c>
      <c r="G124" s="270" t="str">
        <f>IFERROR(RANK(H124, (D$104:D$127, H$104:H$127), 1), "")</f>
        <v/>
      </c>
      <c r="H124" s="270" t="str">
        <f t="shared" si="115"/>
        <v/>
      </c>
      <c r="I124" s="270" t="str">
        <f t="shared" si="142"/>
        <v/>
      </c>
      <c r="J124" s="270">
        <f t="shared" si="143"/>
        <v>0</v>
      </c>
      <c r="K124" s="270">
        <f>(INDEX(P$104:P$128, COUNTIF(P$104:P$128, "&lt;101"))-100)*100+2+(MAX(K120:K121))</f>
        <v>-9584</v>
      </c>
      <c r="L124" s="270" t="str">
        <f t="shared" si="129"/>
        <v/>
      </c>
      <c r="M124" s="270" t="str">
        <f t="shared" si="118"/>
        <v/>
      </c>
      <c r="N124" s="270">
        <f t="shared" si="121"/>
        <v>0</v>
      </c>
      <c r="O124" s="295" t="str">
        <f t="shared" si="122"/>
        <v/>
      </c>
      <c r="P124" s="295" t="str">
        <f t="shared" si="123"/>
        <v/>
      </c>
      <c r="Q124" s="296" t="str">
        <f t="shared" si="130"/>
        <v/>
      </c>
      <c r="R124" s="270" t="str">
        <f t="shared" si="119"/>
        <v>X</v>
      </c>
      <c r="S124" s="297" t="str">
        <f t="shared" si="124"/>
        <v/>
      </c>
      <c r="T124" s="270">
        <f t="shared" si="125"/>
        <v>4</v>
      </c>
      <c r="U124" s="270" t="str">
        <f t="shared" si="120"/>
        <v/>
      </c>
      <c r="V124" s="270" t="str">
        <f t="shared" si="126"/>
        <v/>
      </c>
      <c r="W124" s="270" t="str">
        <f t="shared" si="127"/>
        <v/>
      </c>
      <c r="X124" s="270" t="str">
        <f t="shared" si="128"/>
        <v/>
      </c>
    </row>
    <row r="125" spans="2:24" x14ac:dyDescent="0.35">
      <c r="B125" s="270">
        <v>22</v>
      </c>
      <c r="C125" s="270" t="str">
        <f>IFERROR(RANK(D125, (D$104:D$127, H$104:H$127), 1), "")</f>
        <v/>
      </c>
      <c r="D125" s="270" t="str">
        <f t="shared" si="135"/>
        <v/>
      </c>
      <c r="E125" s="270" t="str">
        <f t="shared" si="140"/>
        <v/>
      </c>
      <c r="F125" s="270">
        <f t="shared" si="141"/>
        <v>0</v>
      </c>
      <c r="G125" s="270" t="str">
        <f>IFERROR(RANK(H125, (D$104:D$127, H$104:H$127), 1), "")</f>
        <v/>
      </c>
      <c r="H125" s="270" t="str">
        <f t="shared" si="115"/>
        <v/>
      </c>
      <c r="I125" s="270" t="str">
        <f t="shared" si="142"/>
        <v/>
      </c>
      <c r="J125" s="270">
        <f t="shared" si="143"/>
        <v>0</v>
      </c>
      <c r="K125" s="295">
        <v>8</v>
      </c>
      <c r="L125" s="270" t="str">
        <f t="shared" si="129"/>
        <v/>
      </c>
      <c r="M125" s="270" t="str">
        <f t="shared" si="118"/>
        <v/>
      </c>
      <c r="N125" s="270">
        <f t="shared" si="121"/>
        <v>0</v>
      </c>
      <c r="O125" s="295" t="str">
        <f t="shared" si="122"/>
        <v/>
      </c>
      <c r="P125" s="295" t="str">
        <f t="shared" si="123"/>
        <v/>
      </c>
      <c r="Q125" s="296" t="str">
        <f t="shared" si="130"/>
        <v/>
      </c>
      <c r="R125" s="270" t="str">
        <f t="shared" si="119"/>
        <v>X</v>
      </c>
      <c r="S125" s="297" t="str">
        <f t="shared" si="124"/>
        <v/>
      </c>
      <c r="T125" s="270">
        <f t="shared" si="125"/>
        <v>4</v>
      </c>
      <c r="U125" s="270" t="str">
        <f t="shared" si="120"/>
        <v/>
      </c>
      <c r="V125" s="270" t="str">
        <f t="shared" si="126"/>
        <v/>
      </c>
      <c r="W125" s="270" t="str">
        <f t="shared" si="127"/>
        <v/>
      </c>
      <c r="X125" s="270" t="str">
        <f t="shared" si="128"/>
        <v/>
      </c>
    </row>
    <row r="126" spans="2:24" x14ac:dyDescent="0.35">
      <c r="B126" s="270">
        <v>23</v>
      </c>
      <c r="C126" s="270" t="str">
        <f>IFERROR(RANK(D126, (D$104:D$127, H$104:H$127), 1), "")</f>
        <v/>
      </c>
      <c r="D126" s="270" t="str">
        <f t="shared" si="135"/>
        <v/>
      </c>
      <c r="E126" s="270" t="str">
        <f t="shared" si="140"/>
        <v/>
      </c>
      <c r="F126" s="270">
        <f t="shared" si="141"/>
        <v>0</v>
      </c>
      <c r="G126" s="270" t="str">
        <f>IFERROR(RANK(H126, (D$104:D$127, H$104:H$127), 1), "")</f>
        <v/>
      </c>
      <c r="H126" s="270" t="str">
        <f t="shared" si="115"/>
        <v/>
      </c>
      <c r="I126" s="270" t="str">
        <f t="shared" si="142"/>
        <v/>
      </c>
      <c r="J126" s="270">
        <f t="shared" si="143"/>
        <v>0</v>
      </c>
      <c r="K126" s="270">
        <f>ROUNDUP(2+COUNTIF(Q$105:Q$128, K125)+(COUNTIF(Q$105:Q$128, K125+0.5)/2),0)+MAX(K123:K124)</f>
        <v>18</v>
      </c>
      <c r="L126" s="270" t="str">
        <f t="shared" si="129"/>
        <v/>
      </c>
      <c r="M126" s="270" t="str">
        <f t="shared" si="118"/>
        <v/>
      </c>
      <c r="N126" s="270">
        <f t="shared" si="121"/>
        <v>0</v>
      </c>
      <c r="O126" s="295" t="str">
        <f t="shared" si="122"/>
        <v/>
      </c>
      <c r="P126" s="295" t="str">
        <f t="shared" si="123"/>
        <v/>
      </c>
      <c r="Q126" s="296" t="str">
        <f t="shared" si="130"/>
        <v/>
      </c>
      <c r="R126" s="270" t="str">
        <f t="shared" si="119"/>
        <v>X</v>
      </c>
      <c r="S126" s="297" t="str">
        <f t="shared" si="124"/>
        <v/>
      </c>
      <c r="T126" s="270">
        <f t="shared" si="125"/>
        <v>4</v>
      </c>
      <c r="U126" s="270" t="str">
        <f t="shared" si="120"/>
        <v/>
      </c>
      <c r="V126" s="270" t="str">
        <f t="shared" si="126"/>
        <v/>
      </c>
      <c r="W126" s="270" t="str">
        <f t="shared" si="127"/>
        <v/>
      </c>
      <c r="X126" s="270" t="str">
        <f t="shared" si="128"/>
        <v/>
      </c>
    </row>
    <row r="127" spans="2:24" x14ac:dyDescent="0.35">
      <c r="B127" s="270">
        <v>24</v>
      </c>
      <c r="C127" s="270" t="str">
        <f>IFERROR(RANK(D127, (D$104:D$127, H$104:H$127), 1), "")</f>
        <v/>
      </c>
      <c r="D127" s="270" t="str">
        <f t="shared" si="135"/>
        <v/>
      </c>
      <c r="E127" s="270" t="str">
        <f t="shared" si="140"/>
        <v/>
      </c>
      <c r="F127" s="270">
        <f t="shared" si="141"/>
        <v>0</v>
      </c>
      <c r="G127" s="270" t="str">
        <f>IFERROR(RANK(H127, (D$104:D$127, H$104:H$127), 1), "")</f>
        <v/>
      </c>
      <c r="H127" s="270" t="str">
        <f t="shared" si="115"/>
        <v/>
      </c>
      <c r="I127" s="270" t="str">
        <f t="shared" si="142"/>
        <v/>
      </c>
      <c r="J127" s="270">
        <f t="shared" si="143"/>
        <v>0</v>
      </c>
      <c r="K127" s="270">
        <f>(INDEX(P$104:P$128, COUNTIF(P$104:P$128, "&lt;111"))-110)*100+2+(MAX(K123:K124))</f>
        <v>-10582</v>
      </c>
      <c r="L127" s="270" t="str">
        <f t="shared" si="129"/>
        <v/>
      </c>
      <c r="M127" s="270" t="str">
        <f t="shared" si="118"/>
        <v/>
      </c>
      <c r="N127" s="270">
        <f t="shared" si="121"/>
        <v>0</v>
      </c>
      <c r="O127" s="295" t="str">
        <f t="shared" si="122"/>
        <v/>
      </c>
      <c r="P127" s="295" t="str">
        <f t="shared" si="123"/>
        <v/>
      </c>
      <c r="Q127" s="296" t="str">
        <f t="shared" si="130"/>
        <v/>
      </c>
      <c r="R127" s="270" t="str">
        <f t="shared" si="119"/>
        <v>X</v>
      </c>
      <c r="S127" s="297" t="str">
        <f t="shared" si="124"/>
        <v/>
      </c>
      <c r="T127" s="270">
        <f t="shared" si="125"/>
        <v>4</v>
      </c>
      <c r="U127" s="270" t="str">
        <f t="shared" si="120"/>
        <v/>
      </c>
      <c r="V127" s="270" t="str">
        <f t="shared" si="126"/>
        <v/>
      </c>
      <c r="W127" s="270" t="str">
        <f t="shared" si="127"/>
        <v/>
      </c>
      <c r="X127" s="270" t="str">
        <f t="shared" si="128"/>
        <v/>
      </c>
    </row>
    <row r="128" spans="2:24" x14ac:dyDescent="0.35">
      <c r="J128" s="270"/>
      <c r="K128" s="295">
        <v>9</v>
      </c>
      <c r="L128" s="270" t="str">
        <f t="shared" si="129"/>
        <v/>
      </c>
      <c r="M128" s="270" t="str">
        <f t="shared" si="118"/>
        <v/>
      </c>
      <c r="N128" s="270">
        <f t="shared" si="121"/>
        <v>0</v>
      </c>
      <c r="O128" s="295" t="str">
        <f t="shared" si="122"/>
        <v/>
      </c>
      <c r="P128" s="295" t="str">
        <f t="shared" si="123"/>
        <v/>
      </c>
      <c r="Q128" s="296" t="str">
        <f t="shared" si="130"/>
        <v/>
      </c>
      <c r="R128" s="270" t="str">
        <f t="shared" si="119"/>
        <v>X</v>
      </c>
      <c r="S128" s="297" t="str">
        <f t="shared" si="124"/>
        <v/>
      </c>
      <c r="T128" s="270">
        <f t="shared" si="125"/>
        <v>4</v>
      </c>
      <c r="U128" s="270" t="str">
        <f t="shared" si="120"/>
        <v/>
      </c>
      <c r="V128" s="270" t="str">
        <f t="shared" si="126"/>
        <v/>
      </c>
      <c r="W128" s="270" t="str">
        <f t="shared" si="127"/>
        <v/>
      </c>
      <c r="X128" s="270" t="str">
        <f t="shared" si="128"/>
        <v/>
      </c>
    </row>
    <row r="129" spans="10:24" x14ac:dyDescent="0.35">
      <c r="J129" s="270"/>
      <c r="K129" s="270">
        <f>ROUNDUP(2+COUNTIF(Q$105:Q$128, K128)+(COUNTIF(Q$105:Q$128, K128+0.5)/2),0)+MAX(K126:K127)</f>
        <v>20</v>
      </c>
      <c r="L129" s="270" t="str">
        <f t="shared" ref="L129:L152" si="144">IFERROR(M129*S129,"")</f>
        <v/>
      </c>
      <c r="M129" s="270" t="str">
        <f t="shared" ref="M129:M152" si="145">IF(O129&lt;&gt;"", IF(N129&gt;T129, 1, IF(N129=T129, 0.5, 0)), "")</f>
        <v/>
      </c>
      <c r="N129" s="270">
        <f t="shared" si="121"/>
        <v>0</v>
      </c>
      <c r="O129" s="295" t="str">
        <f t="shared" si="122"/>
        <v/>
      </c>
      <c r="P129" s="295" t="str">
        <f t="shared" si="123"/>
        <v/>
      </c>
      <c r="Q129" s="296" t="str">
        <f t="shared" ref="Q129:Q152" si="146">IF(P129&lt;=25, 1, IF(P129&lt;26, 1.5, IF(P129&lt;=50, 2, IF(P129&lt;51, 2.5, IF(P129&lt;=60, 3, IF(P129&lt;61, 3.5, IF(P129&lt;=70, 4, IF(P129&lt;71, 4.5, IF(P129&lt;=80, 5, IF(P129&lt;81, 5.5, IF(P129&lt;=90, 6, IF(P129&lt;91, 6.5, IF(P129&lt;=100, 7, IF(P129&lt;101, 7.5, IF(P129&lt;=110, 8, IF(P129&lt;111, 8.5, IF(P129&lt;=120, 9, IF(P129&lt;121, 9.5, IF(P129&lt;=130, 10, IF(P129&lt;131, 10.5, IF(P129&lt;=140, 11, IF(P129&lt;141, 11.5, IF(P129&lt;=150, 12, IF(P129&lt;151, 12.5, ""))))))))))))))))))))))))</f>
        <v/>
      </c>
      <c r="R129" s="270" t="str">
        <f>IF(Q129=1,P129,IF(Q129=1.5,(P129-25)*100+25, IF(Q129=2, P129+MAX(K$105:K$106), IF(Q129=2.5, (P129-50)*100+50+MAX(K$105:K$106), IF(Q129=3, P129+MAX(K$108:K$109), IF(Q129=3.5, (P129-60)*100+60+MAX(K$108:K$109), IF(Q129=4, P129+MAX(K$111:K$112), IF(Q129=4.5, (P129-70)*100+70+MAX(K$111:K$112), IF(Q129=5, P129+MAX(K$114:K$115), IF(Q129=5.5, (P129-80)*100+80+MAX(K$114:K$115), IF(Q129=6, P129+MAX(K$117:K$118), IF(Q129=6.5, (P129-90)*100+90+MAX(K$117:K$118), IF(Q129=7, P129+MAX(K$120:K$121), IF(Q129=7.5, (P129-100)*100+100+MAX(K$120:K$121), IF(Q129=8, P129+MAX(K$123:K$124), IF(Q129=8.5, (P129-110)*100+110+MAX(K$123:K$124), IF(Q129=9, P129+MAX(K$126:K$127), IF(Q129=9.5, (P129-120)*100+120+MAX(K$126:K$127), IF(Q129=10, P129+MAX(K$129:K$130), IF(Q129=10.5, (P129-130)*100+130+MAX(K$129:K$130), "X"))))))))))))))))))))</f>
        <v>X</v>
      </c>
      <c r="S129" s="297" t="str">
        <f t="shared" si="124"/>
        <v/>
      </c>
      <c r="T129" s="270">
        <f t="shared" si="125"/>
        <v>4</v>
      </c>
      <c r="U129" s="270" t="str">
        <f t="shared" ref="U129:U152" si="147">IF(O129&lt;&gt;"", IF(T129&gt;N129, 1, IF(T129=N129, 0.5, 0)), "")</f>
        <v/>
      </c>
      <c r="V129" s="270" t="str">
        <f t="shared" ref="V129:V152" si="148">IFERROR(U129*S129,"")</f>
        <v/>
      </c>
      <c r="W129" s="270" t="str">
        <f t="shared" si="127"/>
        <v/>
      </c>
      <c r="X129" s="270" t="str">
        <f t="shared" si="128"/>
        <v/>
      </c>
    </row>
    <row r="130" spans="10:24" x14ac:dyDescent="0.35">
      <c r="J130" s="270"/>
      <c r="K130" s="270">
        <f>(INDEX(P$104:P$128, COUNTIF(P$104:P$128, "&lt;121"))-120)*100+2+(MAX(K126:K127))</f>
        <v>-11580</v>
      </c>
      <c r="L130" s="270" t="str">
        <f t="shared" si="144"/>
        <v/>
      </c>
      <c r="M130" s="270" t="str">
        <f t="shared" si="145"/>
        <v/>
      </c>
      <c r="N130" s="270">
        <f t="shared" si="121"/>
        <v>0</v>
      </c>
      <c r="O130" s="295" t="str">
        <f t="shared" si="122"/>
        <v/>
      </c>
      <c r="P130" s="295" t="str">
        <f t="shared" si="123"/>
        <v/>
      </c>
      <c r="Q130" s="296" t="str">
        <f t="shared" si="146"/>
        <v/>
      </c>
      <c r="R130" s="270" t="str">
        <f t="shared" ref="R130:R152" si="149">IF(Q130=1,P130,IF(Q130=1.5,(P130-25)*100+25, IF(Q130=2, P130+MAX(K$105:K$106), IF(Q130=2.5, (P130-50)*100+50+MAX(K$105:K$106), IF(Q130=3, P130+MAX(K$108:K$109), IF(Q130=3.5, (P130-60)*100+60+MAX(K$108:K$109), IF(Q130=4, P130+MAX(K$111:K$112), IF(Q130=4.5, (P130-70)*100+70+MAX(K$111:K$112), IF(Q130=5, P130+MAX(K$114:K$115), IF(Q130=5.5, (P130-80)*100+80+MAX(K$114:K$115), IF(Q130=6, P130+MAX(K$117:K$118), IF(Q130=6.5, (P130-90)*100+90+MAX(K$117:K$118), IF(Q130=7, P130+MAX(K$120:K$121), IF(Q130=7.5, (P130-100)*100+100+MAX(K$120:K$121), IF(Q130=8, P130+MAX(K$123:K$124), IF(Q130=8.5, (P130-110)*100+110+MAX(K$123:K$124), IF(Q130=9, P130+MAX(K$126:K$127), IF(Q130=9.5, (P130-120)*100+120+MAX(K$126:K$127), IF(Q130=10, P130+MAX(K$129:K$130), IF(Q130=10.5, (P130-130)*100+130+MAX(K$129:K$130), "X"))))))))))))))))))))</f>
        <v>X</v>
      </c>
      <c r="S130" s="297" t="str">
        <f t="shared" si="124"/>
        <v/>
      </c>
      <c r="T130" s="270">
        <f t="shared" si="125"/>
        <v>4</v>
      </c>
      <c r="U130" s="270" t="str">
        <f t="shared" si="147"/>
        <v/>
      </c>
      <c r="V130" s="270" t="str">
        <f t="shared" si="148"/>
        <v/>
      </c>
      <c r="W130" s="270" t="str">
        <f t="shared" si="127"/>
        <v/>
      </c>
      <c r="X130" s="270" t="str">
        <f t="shared" si="128"/>
        <v/>
      </c>
    </row>
    <row r="131" spans="10:24" x14ac:dyDescent="0.35">
      <c r="J131" s="270"/>
      <c r="K131" s="295">
        <v>10</v>
      </c>
      <c r="L131" s="270" t="str">
        <f t="shared" si="144"/>
        <v/>
      </c>
      <c r="M131" s="270" t="str">
        <f t="shared" si="145"/>
        <v/>
      </c>
      <c r="N131" s="270">
        <f t="shared" si="121"/>
        <v>0</v>
      </c>
      <c r="O131" s="295" t="str">
        <f t="shared" si="122"/>
        <v/>
      </c>
      <c r="P131" s="295" t="str">
        <f t="shared" si="123"/>
        <v/>
      </c>
      <c r="Q131" s="296" t="str">
        <f t="shared" si="146"/>
        <v/>
      </c>
      <c r="R131" s="270" t="str">
        <f t="shared" si="149"/>
        <v>X</v>
      </c>
      <c r="S131" s="297" t="str">
        <f t="shared" si="124"/>
        <v/>
      </c>
      <c r="T131" s="270">
        <f t="shared" si="125"/>
        <v>4</v>
      </c>
      <c r="U131" s="270" t="str">
        <f t="shared" si="147"/>
        <v/>
      </c>
      <c r="V131" s="270" t="str">
        <f t="shared" si="148"/>
        <v/>
      </c>
      <c r="W131" s="270" t="str">
        <f t="shared" si="127"/>
        <v/>
      </c>
      <c r="X131" s="270" t="str">
        <f t="shared" si="128"/>
        <v/>
      </c>
    </row>
    <row r="132" spans="10:24" x14ac:dyDescent="0.35">
      <c r="J132" s="270"/>
      <c r="K132" s="270">
        <f>ROUNDUP(2+COUNTIF(Q$105:Q$128, K131)+(COUNTIF(Q$105:Q$128, K131+0.5)/2),0)+MAX(K129:K130)</f>
        <v>22</v>
      </c>
      <c r="L132" s="270" t="str">
        <f t="shared" si="144"/>
        <v/>
      </c>
      <c r="M132" s="270" t="str">
        <f t="shared" si="145"/>
        <v/>
      </c>
      <c r="N132" s="270">
        <f t="shared" si="121"/>
        <v>0</v>
      </c>
      <c r="O132" s="295" t="str">
        <f t="shared" si="122"/>
        <v/>
      </c>
      <c r="P132" s="295" t="str">
        <f t="shared" si="123"/>
        <v/>
      </c>
      <c r="Q132" s="296" t="str">
        <f t="shared" si="146"/>
        <v/>
      </c>
      <c r="R132" s="270" t="str">
        <f t="shared" si="149"/>
        <v>X</v>
      </c>
      <c r="S132" s="297" t="str">
        <f t="shared" si="124"/>
        <v/>
      </c>
      <c r="T132" s="270">
        <f t="shared" si="125"/>
        <v>4</v>
      </c>
      <c r="U132" s="270" t="str">
        <f t="shared" si="147"/>
        <v/>
      </c>
      <c r="V132" s="270" t="str">
        <f t="shared" si="148"/>
        <v/>
      </c>
      <c r="W132" s="270" t="str">
        <f t="shared" si="127"/>
        <v/>
      </c>
      <c r="X132" s="270" t="str">
        <f t="shared" si="128"/>
        <v/>
      </c>
    </row>
    <row r="133" spans="10:24" x14ac:dyDescent="0.35">
      <c r="J133" s="270"/>
      <c r="K133" s="270">
        <f>(INDEX(P$104:P$128, COUNTIF(P$104:P$128, "&lt;131"))-130)*100+2+(MAX(K129:K130))</f>
        <v>-12578</v>
      </c>
      <c r="L133" s="270" t="str">
        <f t="shared" si="144"/>
        <v/>
      </c>
      <c r="M133" s="270" t="str">
        <f t="shared" si="145"/>
        <v/>
      </c>
      <c r="N133" s="270">
        <f t="shared" si="121"/>
        <v>0</v>
      </c>
      <c r="O133" s="295" t="str">
        <f t="shared" si="122"/>
        <v/>
      </c>
      <c r="P133" s="295" t="str">
        <f t="shared" si="123"/>
        <v/>
      </c>
      <c r="Q133" s="296" t="str">
        <f t="shared" si="146"/>
        <v/>
      </c>
      <c r="R133" s="270" t="str">
        <f t="shared" si="149"/>
        <v>X</v>
      </c>
      <c r="S133" s="297" t="str">
        <f t="shared" si="124"/>
        <v/>
      </c>
      <c r="T133" s="270">
        <f t="shared" si="125"/>
        <v>4</v>
      </c>
      <c r="U133" s="270" t="str">
        <f t="shared" si="147"/>
        <v/>
      </c>
      <c r="V133" s="270" t="str">
        <f t="shared" si="148"/>
        <v/>
      </c>
      <c r="W133" s="270" t="str">
        <f t="shared" si="127"/>
        <v/>
      </c>
      <c r="X133" s="270" t="str">
        <f t="shared" si="128"/>
        <v/>
      </c>
    </row>
    <row r="134" spans="10:24" x14ac:dyDescent="0.35">
      <c r="J134" s="270"/>
      <c r="K134" s="295">
        <v>11</v>
      </c>
      <c r="L134" s="270" t="str">
        <f t="shared" si="144"/>
        <v/>
      </c>
      <c r="M134" s="270" t="str">
        <f t="shared" si="145"/>
        <v/>
      </c>
      <c r="N134" s="270">
        <f t="shared" si="121"/>
        <v>0</v>
      </c>
      <c r="O134" s="295" t="str">
        <f t="shared" si="122"/>
        <v/>
      </c>
      <c r="P134" s="295" t="str">
        <f t="shared" si="123"/>
        <v/>
      </c>
      <c r="Q134" s="296" t="str">
        <f t="shared" si="146"/>
        <v/>
      </c>
      <c r="R134" s="270" t="str">
        <f t="shared" si="149"/>
        <v>X</v>
      </c>
      <c r="S134" s="297" t="str">
        <f t="shared" si="124"/>
        <v/>
      </c>
      <c r="T134" s="270">
        <f t="shared" si="125"/>
        <v>4</v>
      </c>
      <c r="U134" s="270" t="str">
        <f t="shared" si="147"/>
        <v/>
      </c>
      <c r="V134" s="270" t="str">
        <f t="shared" si="148"/>
        <v/>
      </c>
      <c r="W134" s="270" t="str">
        <f t="shared" si="127"/>
        <v/>
      </c>
      <c r="X134" s="270" t="str">
        <f t="shared" si="128"/>
        <v/>
      </c>
    </row>
    <row r="135" spans="10:24" x14ac:dyDescent="0.35">
      <c r="J135" s="270"/>
      <c r="K135" s="270">
        <f>ROUNDUP(2+COUNTIF(Q$105:Q$128, K134)+(COUNTIF(Q$105:Q$128, K134+0.5)/2),0)+MAX(K132:K133)</f>
        <v>24</v>
      </c>
      <c r="L135" s="270" t="str">
        <f t="shared" si="144"/>
        <v/>
      </c>
      <c r="M135" s="270" t="str">
        <f t="shared" si="145"/>
        <v/>
      </c>
      <c r="N135" s="270">
        <f t="shared" si="121"/>
        <v>0</v>
      </c>
      <c r="O135" s="295" t="str">
        <f t="shared" si="122"/>
        <v/>
      </c>
      <c r="P135" s="295" t="str">
        <f t="shared" si="123"/>
        <v/>
      </c>
      <c r="Q135" s="296" t="str">
        <f t="shared" si="146"/>
        <v/>
      </c>
      <c r="R135" s="270" t="str">
        <f t="shared" si="149"/>
        <v>X</v>
      </c>
      <c r="S135" s="297" t="str">
        <f t="shared" si="124"/>
        <v/>
      </c>
      <c r="T135" s="270">
        <f t="shared" si="125"/>
        <v>4</v>
      </c>
      <c r="U135" s="270" t="str">
        <f t="shared" si="147"/>
        <v/>
      </c>
      <c r="V135" s="270" t="str">
        <f t="shared" si="148"/>
        <v/>
      </c>
      <c r="W135" s="270" t="str">
        <f t="shared" si="127"/>
        <v/>
      </c>
      <c r="X135" s="270" t="str">
        <f t="shared" si="128"/>
        <v/>
      </c>
    </row>
    <row r="136" spans="10:24" x14ac:dyDescent="0.35">
      <c r="J136" s="270"/>
      <c r="K136" s="270">
        <f>(INDEX(P$104:P$128, COUNTIF(P$104:P$128, "&lt;141"))-140)*100+2+(MAX(K132:K133))</f>
        <v>-13576</v>
      </c>
      <c r="L136" s="270" t="str">
        <f t="shared" si="144"/>
        <v/>
      </c>
      <c r="M136" s="270" t="str">
        <f t="shared" si="145"/>
        <v/>
      </c>
      <c r="N136" s="270">
        <f t="shared" si="121"/>
        <v>0</v>
      </c>
      <c r="O136" s="295" t="str">
        <f t="shared" si="122"/>
        <v/>
      </c>
      <c r="P136" s="295" t="str">
        <f t="shared" si="123"/>
        <v/>
      </c>
      <c r="Q136" s="296" t="str">
        <f t="shared" si="146"/>
        <v/>
      </c>
      <c r="R136" s="270" t="str">
        <f t="shared" si="149"/>
        <v>X</v>
      </c>
      <c r="S136" s="297" t="str">
        <f t="shared" si="124"/>
        <v/>
      </c>
      <c r="T136" s="270">
        <f t="shared" si="125"/>
        <v>4</v>
      </c>
      <c r="U136" s="270" t="str">
        <f t="shared" si="147"/>
        <v/>
      </c>
      <c r="V136" s="270" t="str">
        <f t="shared" si="148"/>
        <v/>
      </c>
      <c r="W136" s="270" t="str">
        <f t="shared" si="127"/>
        <v/>
      </c>
      <c r="X136" s="270" t="str">
        <f t="shared" si="128"/>
        <v/>
      </c>
    </row>
    <row r="137" spans="10:24" x14ac:dyDescent="0.35">
      <c r="J137" s="270"/>
      <c r="K137" s="295">
        <v>12</v>
      </c>
      <c r="L137" s="270" t="str">
        <f t="shared" si="144"/>
        <v/>
      </c>
      <c r="M137" s="270" t="str">
        <f t="shared" si="145"/>
        <v/>
      </c>
      <c r="N137" s="270">
        <f t="shared" si="121"/>
        <v>0</v>
      </c>
      <c r="O137" s="295" t="str">
        <f t="shared" si="122"/>
        <v/>
      </c>
      <c r="P137" s="295" t="str">
        <f t="shared" si="123"/>
        <v/>
      </c>
      <c r="Q137" s="296" t="str">
        <f t="shared" si="146"/>
        <v/>
      </c>
      <c r="R137" s="270" t="str">
        <f t="shared" si="149"/>
        <v>X</v>
      </c>
      <c r="S137" s="297" t="str">
        <f t="shared" si="124"/>
        <v/>
      </c>
      <c r="T137" s="270">
        <f t="shared" si="125"/>
        <v>4</v>
      </c>
      <c r="U137" s="270" t="str">
        <f t="shared" si="147"/>
        <v/>
      </c>
      <c r="V137" s="270" t="str">
        <f t="shared" si="148"/>
        <v/>
      </c>
      <c r="W137" s="270" t="str">
        <f t="shared" si="127"/>
        <v/>
      </c>
      <c r="X137" s="270" t="str">
        <f t="shared" si="128"/>
        <v/>
      </c>
    </row>
    <row r="138" spans="10:24" x14ac:dyDescent="0.35">
      <c r="J138" s="270"/>
      <c r="K138" s="270">
        <f>ROUNDUP(2+COUNTIF(Q$105:Q$128, K137)+(COUNTIF(Q$105:Q$128, K137+0.5)/2),0)+MAX(K135:K136)</f>
        <v>26</v>
      </c>
      <c r="L138" s="270" t="str">
        <f t="shared" si="144"/>
        <v/>
      </c>
      <c r="M138" s="270" t="str">
        <f t="shared" si="145"/>
        <v/>
      </c>
      <c r="N138" s="270">
        <f t="shared" si="121"/>
        <v>0</v>
      </c>
      <c r="O138" s="295" t="str">
        <f t="shared" si="122"/>
        <v/>
      </c>
      <c r="P138" s="295" t="str">
        <f t="shared" si="123"/>
        <v/>
      </c>
      <c r="Q138" s="296" t="str">
        <f t="shared" si="146"/>
        <v/>
      </c>
      <c r="R138" s="270" t="str">
        <f t="shared" si="149"/>
        <v>X</v>
      </c>
      <c r="S138" s="297" t="str">
        <f t="shared" si="124"/>
        <v/>
      </c>
      <c r="T138" s="270">
        <f t="shared" si="125"/>
        <v>4</v>
      </c>
      <c r="U138" s="270" t="str">
        <f t="shared" si="147"/>
        <v/>
      </c>
      <c r="V138" s="270" t="str">
        <f t="shared" si="148"/>
        <v/>
      </c>
      <c r="W138" s="270" t="str">
        <f t="shared" si="127"/>
        <v/>
      </c>
      <c r="X138" s="270" t="str">
        <f t="shared" si="128"/>
        <v/>
      </c>
    </row>
    <row r="139" spans="10:24" x14ac:dyDescent="0.35">
      <c r="J139" s="270"/>
      <c r="K139" s="270">
        <f>(INDEX(P$104:P$128, COUNTIF(P$104:P$128, "&lt;151"))-150)*100+2+(MAX(K135:K136))</f>
        <v>-14574</v>
      </c>
      <c r="L139" s="270" t="str">
        <f t="shared" si="144"/>
        <v/>
      </c>
      <c r="M139" s="270" t="str">
        <f t="shared" si="145"/>
        <v/>
      </c>
      <c r="N139" s="270">
        <f t="shared" si="121"/>
        <v>0</v>
      </c>
      <c r="O139" s="295" t="str">
        <f t="shared" si="122"/>
        <v/>
      </c>
      <c r="P139" s="295" t="str">
        <f t="shared" si="123"/>
        <v/>
      </c>
      <c r="Q139" s="296" t="str">
        <f t="shared" si="146"/>
        <v/>
      </c>
      <c r="R139" s="270" t="str">
        <f t="shared" si="149"/>
        <v>X</v>
      </c>
      <c r="S139" s="297" t="str">
        <f t="shared" si="124"/>
        <v/>
      </c>
      <c r="T139" s="270">
        <f t="shared" si="125"/>
        <v>4</v>
      </c>
      <c r="U139" s="270" t="str">
        <f t="shared" si="147"/>
        <v/>
      </c>
      <c r="V139" s="270" t="str">
        <f t="shared" si="148"/>
        <v/>
      </c>
      <c r="W139" s="270" t="str">
        <f t="shared" si="127"/>
        <v/>
      </c>
      <c r="X139" s="270" t="str">
        <f t="shared" si="128"/>
        <v/>
      </c>
    </row>
    <row r="140" spans="10:24" x14ac:dyDescent="0.35">
      <c r="J140" s="270"/>
      <c r="L140" s="270" t="str">
        <f t="shared" si="144"/>
        <v/>
      </c>
      <c r="M140" s="270" t="str">
        <f t="shared" si="145"/>
        <v/>
      </c>
      <c r="N140" s="270">
        <f t="shared" si="121"/>
        <v>0</v>
      </c>
      <c r="O140" s="295" t="str">
        <f t="shared" si="122"/>
        <v/>
      </c>
      <c r="P140" s="295" t="str">
        <f t="shared" si="123"/>
        <v/>
      </c>
      <c r="Q140" s="296" t="str">
        <f t="shared" si="146"/>
        <v/>
      </c>
      <c r="R140" s="270" t="str">
        <f t="shared" si="149"/>
        <v>X</v>
      </c>
      <c r="S140" s="297" t="str">
        <f t="shared" si="124"/>
        <v/>
      </c>
      <c r="T140" s="270">
        <f t="shared" si="125"/>
        <v>4</v>
      </c>
      <c r="U140" s="270" t="str">
        <f t="shared" si="147"/>
        <v/>
      </c>
      <c r="V140" s="270" t="str">
        <f t="shared" si="148"/>
        <v/>
      </c>
      <c r="W140" s="270" t="str">
        <f t="shared" si="127"/>
        <v/>
      </c>
      <c r="X140" s="270" t="str">
        <f t="shared" si="128"/>
        <v/>
      </c>
    </row>
    <row r="141" spans="10:24" x14ac:dyDescent="0.35">
      <c r="J141" s="270"/>
      <c r="L141" s="270" t="str">
        <f t="shared" si="144"/>
        <v/>
      </c>
      <c r="M141" s="270" t="str">
        <f t="shared" si="145"/>
        <v/>
      </c>
      <c r="N141" s="270">
        <f t="shared" si="121"/>
        <v>0</v>
      </c>
      <c r="O141" s="295" t="str">
        <f t="shared" si="122"/>
        <v/>
      </c>
      <c r="P141" s="295" t="str">
        <f t="shared" si="123"/>
        <v/>
      </c>
      <c r="Q141" s="296" t="str">
        <f t="shared" si="146"/>
        <v/>
      </c>
      <c r="R141" s="270" t="str">
        <f t="shared" si="149"/>
        <v>X</v>
      </c>
      <c r="S141" s="297" t="str">
        <f t="shared" si="124"/>
        <v/>
      </c>
      <c r="T141" s="270">
        <f t="shared" si="125"/>
        <v>4</v>
      </c>
      <c r="U141" s="270" t="str">
        <f t="shared" si="147"/>
        <v/>
      </c>
      <c r="V141" s="270" t="str">
        <f t="shared" si="148"/>
        <v/>
      </c>
      <c r="W141" s="270" t="str">
        <f t="shared" si="127"/>
        <v/>
      </c>
      <c r="X141" s="270" t="str">
        <f t="shared" si="128"/>
        <v/>
      </c>
    </row>
    <row r="142" spans="10:24" x14ac:dyDescent="0.35">
      <c r="J142" s="270"/>
      <c r="L142" s="270" t="str">
        <f t="shared" si="144"/>
        <v/>
      </c>
      <c r="M142" s="270" t="str">
        <f t="shared" si="145"/>
        <v/>
      </c>
      <c r="N142" s="270">
        <f t="shared" si="121"/>
        <v>0</v>
      </c>
      <c r="O142" s="295" t="str">
        <f t="shared" si="122"/>
        <v/>
      </c>
      <c r="P142" s="295" t="str">
        <f t="shared" si="123"/>
        <v/>
      </c>
      <c r="Q142" s="296" t="str">
        <f t="shared" si="146"/>
        <v/>
      </c>
      <c r="R142" s="270" t="str">
        <f t="shared" si="149"/>
        <v>X</v>
      </c>
      <c r="S142" s="297" t="str">
        <f t="shared" si="124"/>
        <v/>
      </c>
      <c r="T142" s="270">
        <f t="shared" si="125"/>
        <v>4</v>
      </c>
      <c r="U142" s="270" t="str">
        <f t="shared" si="147"/>
        <v/>
      </c>
      <c r="V142" s="270" t="str">
        <f t="shared" si="148"/>
        <v/>
      </c>
      <c r="W142" s="270" t="str">
        <f t="shared" si="127"/>
        <v/>
      </c>
      <c r="X142" s="270" t="str">
        <f t="shared" si="128"/>
        <v/>
      </c>
    </row>
    <row r="143" spans="10:24" x14ac:dyDescent="0.35">
      <c r="J143" s="270"/>
      <c r="L143" s="270" t="str">
        <f t="shared" si="144"/>
        <v/>
      </c>
      <c r="M143" s="270" t="str">
        <f t="shared" si="145"/>
        <v/>
      </c>
      <c r="N143" s="270">
        <f t="shared" si="121"/>
        <v>0</v>
      </c>
      <c r="O143" s="295" t="str">
        <f t="shared" si="122"/>
        <v/>
      </c>
      <c r="P143" s="295" t="str">
        <f t="shared" si="123"/>
        <v/>
      </c>
      <c r="Q143" s="296" t="str">
        <f t="shared" si="146"/>
        <v/>
      </c>
      <c r="R143" s="270" t="str">
        <f t="shared" si="149"/>
        <v>X</v>
      </c>
      <c r="S143" s="297" t="str">
        <f t="shared" si="124"/>
        <v/>
      </c>
      <c r="T143" s="270">
        <f t="shared" si="125"/>
        <v>4</v>
      </c>
      <c r="U143" s="270" t="str">
        <f t="shared" si="147"/>
        <v/>
      </c>
      <c r="V143" s="270" t="str">
        <f t="shared" si="148"/>
        <v/>
      </c>
      <c r="W143" s="270" t="str">
        <f t="shared" si="127"/>
        <v/>
      </c>
      <c r="X143" s="270" t="str">
        <f t="shared" si="128"/>
        <v/>
      </c>
    </row>
    <row r="144" spans="10:24" x14ac:dyDescent="0.35">
      <c r="J144" s="270"/>
      <c r="L144" s="270" t="str">
        <f t="shared" si="144"/>
        <v/>
      </c>
      <c r="M144" s="270" t="str">
        <f t="shared" si="145"/>
        <v/>
      </c>
      <c r="N144" s="270">
        <f t="shared" si="121"/>
        <v>0</v>
      </c>
      <c r="O144" s="295" t="str">
        <f t="shared" si="122"/>
        <v/>
      </c>
      <c r="P144" s="295" t="str">
        <f t="shared" si="123"/>
        <v/>
      </c>
      <c r="Q144" s="296" t="str">
        <f t="shared" si="146"/>
        <v/>
      </c>
      <c r="R144" s="270" t="str">
        <f t="shared" si="149"/>
        <v>X</v>
      </c>
      <c r="S144" s="297" t="str">
        <f t="shared" si="124"/>
        <v/>
      </c>
      <c r="T144" s="270">
        <f t="shared" si="125"/>
        <v>4</v>
      </c>
      <c r="U144" s="270" t="str">
        <f t="shared" si="147"/>
        <v/>
      </c>
      <c r="V144" s="270" t="str">
        <f t="shared" si="148"/>
        <v/>
      </c>
      <c r="W144" s="270" t="str">
        <f t="shared" si="127"/>
        <v/>
      </c>
      <c r="X144" s="270" t="str">
        <f t="shared" si="128"/>
        <v/>
      </c>
    </row>
    <row r="145" spans="10:24" x14ac:dyDescent="0.35">
      <c r="J145" s="270"/>
      <c r="L145" s="270" t="str">
        <f t="shared" si="144"/>
        <v/>
      </c>
      <c r="M145" s="270" t="str">
        <f t="shared" si="145"/>
        <v/>
      </c>
      <c r="N145" s="270">
        <f t="shared" si="121"/>
        <v>0</v>
      </c>
      <c r="O145" s="295" t="str">
        <f t="shared" si="122"/>
        <v/>
      </c>
      <c r="P145" s="295" t="str">
        <f t="shared" si="123"/>
        <v/>
      </c>
      <c r="Q145" s="296" t="str">
        <f t="shared" si="146"/>
        <v/>
      </c>
      <c r="R145" s="270" t="str">
        <f t="shared" si="149"/>
        <v>X</v>
      </c>
      <c r="S145" s="297" t="str">
        <f t="shared" si="124"/>
        <v/>
      </c>
      <c r="T145" s="270">
        <f t="shared" si="125"/>
        <v>4</v>
      </c>
      <c r="U145" s="270" t="str">
        <f t="shared" si="147"/>
        <v/>
      </c>
      <c r="V145" s="270" t="str">
        <f t="shared" si="148"/>
        <v/>
      </c>
      <c r="W145" s="270" t="str">
        <f t="shared" si="127"/>
        <v/>
      </c>
      <c r="X145" s="270" t="str">
        <f t="shared" si="128"/>
        <v/>
      </c>
    </row>
    <row r="146" spans="10:24" x14ac:dyDescent="0.35">
      <c r="J146" s="270"/>
      <c r="L146" s="270" t="str">
        <f t="shared" si="144"/>
        <v/>
      </c>
      <c r="M146" s="270" t="str">
        <f t="shared" si="145"/>
        <v/>
      </c>
      <c r="N146" s="270">
        <f t="shared" si="121"/>
        <v>0</v>
      </c>
      <c r="O146" s="295" t="str">
        <f t="shared" si="122"/>
        <v/>
      </c>
      <c r="P146" s="295" t="str">
        <f t="shared" si="123"/>
        <v/>
      </c>
      <c r="Q146" s="296" t="str">
        <f t="shared" si="146"/>
        <v/>
      </c>
      <c r="R146" s="270" t="str">
        <f t="shared" si="149"/>
        <v>X</v>
      </c>
      <c r="S146" s="297" t="str">
        <f t="shared" si="124"/>
        <v/>
      </c>
      <c r="T146" s="270">
        <f t="shared" si="125"/>
        <v>4</v>
      </c>
      <c r="U146" s="270" t="str">
        <f t="shared" si="147"/>
        <v/>
      </c>
      <c r="V146" s="270" t="str">
        <f t="shared" si="148"/>
        <v/>
      </c>
      <c r="W146" s="270" t="str">
        <f t="shared" si="127"/>
        <v/>
      </c>
      <c r="X146" s="270" t="str">
        <f t="shared" si="128"/>
        <v/>
      </c>
    </row>
    <row r="147" spans="10:24" x14ac:dyDescent="0.35">
      <c r="J147" s="270"/>
      <c r="L147" s="270" t="str">
        <f t="shared" si="144"/>
        <v/>
      </c>
      <c r="M147" s="270" t="str">
        <f t="shared" si="145"/>
        <v/>
      </c>
      <c r="N147" s="270">
        <f t="shared" si="121"/>
        <v>0</v>
      </c>
      <c r="O147" s="295" t="str">
        <f t="shared" si="122"/>
        <v/>
      </c>
      <c r="P147" s="295" t="str">
        <f t="shared" si="123"/>
        <v/>
      </c>
      <c r="Q147" s="296" t="str">
        <f t="shared" si="146"/>
        <v/>
      </c>
      <c r="R147" s="270" t="str">
        <f t="shared" si="149"/>
        <v>X</v>
      </c>
      <c r="S147" s="297" t="str">
        <f t="shared" si="124"/>
        <v/>
      </c>
      <c r="T147" s="270">
        <f t="shared" si="125"/>
        <v>4</v>
      </c>
      <c r="U147" s="270" t="str">
        <f t="shared" si="147"/>
        <v/>
      </c>
      <c r="V147" s="270" t="str">
        <f t="shared" si="148"/>
        <v/>
      </c>
      <c r="W147" s="270" t="str">
        <f t="shared" si="127"/>
        <v/>
      </c>
      <c r="X147" s="270" t="str">
        <f t="shared" si="128"/>
        <v/>
      </c>
    </row>
    <row r="148" spans="10:24" x14ac:dyDescent="0.35">
      <c r="J148" s="270"/>
      <c r="L148" s="270" t="str">
        <f t="shared" si="144"/>
        <v/>
      </c>
      <c r="M148" s="270" t="str">
        <f t="shared" si="145"/>
        <v/>
      </c>
      <c r="N148" s="270">
        <f t="shared" si="121"/>
        <v>0</v>
      </c>
      <c r="O148" s="295" t="str">
        <f t="shared" si="122"/>
        <v/>
      </c>
      <c r="P148" s="295" t="str">
        <f t="shared" si="123"/>
        <v/>
      </c>
      <c r="Q148" s="296" t="str">
        <f t="shared" si="146"/>
        <v/>
      </c>
      <c r="R148" s="270" t="str">
        <f t="shared" si="149"/>
        <v>X</v>
      </c>
      <c r="S148" s="297" t="str">
        <f t="shared" si="124"/>
        <v/>
      </c>
      <c r="T148" s="270">
        <f t="shared" si="125"/>
        <v>4</v>
      </c>
      <c r="U148" s="270" t="str">
        <f t="shared" si="147"/>
        <v/>
      </c>
      <c r="V148" s="270" t="str">
        <f t="shared" si="148"/>
        <v/>
      </c>
      <c r="W148" s="270" t="str">
        <f t="shared" si="127"/>
        <v/>
      </c>
      <c r="X148" s="270" t="str">
        <f t="shared" si="128"/>
        <v/>
      </c>
    </row>
    <row r="149" spans="10:24" x14ac:dyDescent="0.35">
      <c r="J149" s="270"/>
      <c r="L149" s="270" t="str">
        <f t="shared" si="144"/>
        <v/>
      </c>
      <c r="M149" s="270" t="str">
        <f t="shared" si="145"/>
        <v/>
      </c>
      <c r="N149" s="270">
        <f t="shared" si="121"/>
        <v>0</v>
      </c>
      <c r="O149" s="295" t="str">
        <f t="shared" si="122"/>
        <v/>
      </c>
      <c r="P149" s="295" t="str">
        <f t="shared" si="123"/>
        <v/>
      </c>
      <c r="Q149" s="296" t="str">
        <f t="shared" si="146"/>
        <v/>
      </c>
      <c r="R149" s="270" t="str">
        <f t="shared" si="149"/>
        <v>X</v>
      </c>
      <c r="S149" s="297" t="str">
        <f t="shared" si="124"/>
        <v/>
      </c>
      <c r="T149" s="270">
        <f t="shared" si="125"/>
        <v>4</v>
      </c>
      <c r="U149" s="270" t="str">
        <f t="shared" si="147"/>
        <v/>
      </c>
      <c r="V149" s="270" t="str">
        <f t="shared" si="148"/>
        <v/>
      </c>
      <c r="W149" s="270" t="str">
        <f t="shared" si="127"/>
        <v/>
      </c>
      <c r="X149" s="270" t="str">
        <f t="shared" si="128"/>
        <v/>
      </c>
    </row>
    <row r="150" spans="10:24" x14ac:dyDescent="0.35">
      <c r="J150" s="270"/>
      <c r="L150" s="270" t="str">
        <f t="shared" si="144"/>
        <v/>
      </c>
      <c r="M150" s="270" t="str">
        <f t="shared" si="145"/>
        <v/>
      </c>
      <c r="N150" s="270">
        <f t="shared" si="121"/>
        <v>0</v>
      </c>
      <c r="O150" s="295" t="str">
        <f t="shared" si="122"/>
        <v/>
      </c>
      <c r="P150" s="295" t="str">
        <f t="shared" si="123"/>
        <v/>
      </c>
      <c r="Q150" s="296" t="str">
        <f t="shared" si="146"/>
        <v/>
      </c>
      <c r="R150" s="270" t="str">
        <f t="shared" si="149"/>
        <v>X</v>
      </c>
      <c r="S150" s="297" t="str">
        <f t="shared" si="124"/>
        <v/>
      </c>
      <c r="T150" s="270">
        <f t="shared" si="125"/>
        <v>4</v>
      </c>
      <c r="U150" s="270" t="str">
        <f t="shared" si="147"/>
        <v/>
      </c>
      <c r="V150" s="270" t="str">
        <f t="shared" si="148"/>
        <v/>
      </c>
      <c r="W150" s="270" t="str">
        <f t="shared" si="127"/>
        <v/>
      </c>
      <c r="X150" s="270" t="str">
        <f t="shared" si="128"/>
        <v/>
      </c>
    </row>
    <row r="151" spans="10:24" x14ac:dyDescent="0.35">
      <c r="J151" s="270"/>
      <c r="L151" s="270" t="str">
        <f t="shared" si="144"/>
        <v/>
      </c>
      <c r="M151" s="270" t="str">
        <f t="shared" si="145"/>
        <v/>
      </c>
      <c r="N151" s="270">
        <f t="shared" si="121"/>
        <v>0</v>
      </c>
      <c r="O151" s="295" t="str">
        <f t="shared" si="122"/>
        <v/>
      </c>
      <c r="P151" s="295" t="str">
        <f t="shared" si="123"/>
        <v/>
      </c>
      <c r="Q151" s="296" t="str">
        <f t="shared" si="146"/>
        <v/>
      </c>
      <c r="R151" s="270" t="str">
        <f t="shared" si="149"/>
        <v>X</v>
      </c>
      <c r="S151" s="297" t="str">
        <f t="shared" si="124"/>
        <v/>
      </c>
      <c r="T151" s="270">
        <f t="shared" si="125"/>
        <v>4</v>
      </c>
      <c r="U151" s="270" t="str">
        <f t="shared" si="147"/>
        <v/>
      </c>
      <c r="V151" s="270" t="str">
        <f t="shared" si="148"/>
        <v/>
      </c>
      <c r="W151" s="270" t="str">
        <f t="shared" si="127"/>
        <v/>
      </c>
      <c r="X151" s="270" t="str">
        <f t="shared" si="128"/>
        <v/>
      </c>
    </row>
    <row r="152" spans="10:24" x14ac:dyDescent="0.35">
      <c r="J152" s="270"/>
      <c r="L152" s="270" t="str">
        <f t="shared" si="144"/>
        <v/>
      </c>
      <c r="M152" s="270" t="str">
        <f t="shared" si="145"/>
        <v/>
      </c>
      <c r="N152" s="270">
        <f t="shared" si="121"/>
        <v>0</v>
      </c>
      <c r="O152" s="295" t="str">
        <f t="shared" si="122"/>
        <v/>
      </c>
      <c r="P152" s="295" t="str">
        <f t="shared" si="123"/>
        <v/>
      </c>
      <c r="Q152" s="296" t="str">
        <f t="shared" si="146"/>
        <v/>
      </c>
      <c r="R152" s="270" t="str">
        <f t="shared" si="149"/>
        <v>X</v>
      </c>
      <c r="S152" s="297" t="str">
        <f t="shared" si="124"/>
        <v/>
      </c>
      <c r="T152" s="270">
        <f t="shared" si="125"/>
        <v>4</v>
      </c>
      <c r="U152" s="270" t="str">
        <f t="shared" si="147"/>
        <v/>
      </c>
      <c r="V152" s="270" t="str">
        <f t="shared" si="148"/>
        <v/>
      </c>
      <c r="W152" s="270" t="str">
        <f t="shared" si="127"/>
        <v/>
      </c>
      <c r="X152" s="270" t="str">
        <f t="shared" si="128"/>
        <v/>
      </c>
    </row>
  </sheetData>
  <mergeCells count="18">
    <mergeCell ref="N2:T4"/>
    <mergeCell ref="J6:J7"/>
    <mergeCell ref="K6:L7"/>
    <mergeCell ref="J9:K11"/>
    <mergeCell ref="L9:L11"/>
    <mergeCell ref="M10:M11"/>
    <mergeCell ref="M6:M7"/>
    <mergeCell ref="J3:L3"/>
    <mergeCell ref="B2:H4"/>
    <mergeCell ref="J2:L2"/>
    <mergeCell ref="K15:K16"/>
    <mergeCell ref="F6:H11"/>
    <mergeCell ref="I6:I7"/>
    <mergeCell ref="B24:H24"/>
    <mergeCell ref="J15:J16"/>
    <mergeCell ref="L15:L16"/>
    <mergeCell ref="N25:T25"/>
    <mergeCell ref="N6:P11"/>
  </mergeCells>
  <conditionalFormatting sqref="I4 M4">
    <cfRule type="cellIs" dxfId="376" priority="108" operator="lessThan">
      <formula>26</formula>
    </cfRule>
  </conditionalFormatting>
  <conditionalFormatting sqref="J4">
    <cfRule type="iconSet" priority="52">
      <iconSet iconSet="3Arrows">
        <cfvo type="percent" val="0"/>
        <cfvo type="formula" val="$C$1^2"/>
        <cfvo type="formula" val="$C$1^2"/>
      </iconSet>
    </cfRule>
    <cfRule type="cellIs" dxfId="375" priority="107" operator="greaterThan">
      <formula>100</formula>
    </cfRule>
  </conditionalFormatting>
  <conditionalFormatting sqref="L4">
    <cfRule type="cellIs" dxfId="374" priority="102" operator="greaterThan">
      <formula>100</formula>
    </cfRule>
  </conditionalFormatting>
  <conditionalFormatting sqref="L15:L16">
    <cfRule type="expression" dxfId="373" priority="101">
      <formula>AND(L15="", K8&gt;1)</formula>
    </cfRule>
  </conditionalFormatting>
  <conditionalFormatting sqref="J15:J16">
    <cfRule type="expression" dxfId="372" priority="100">
      <formula>AND(J15="", K8&gt;1)</formula>
    </cfRule>
  </conditionalFormatting>
  <conditionalFormatting sqref="N2:T4">
    <cfRule type="expression" dxfId="371" priority="89">
      <formula>$Q$36=7</formula>
    </cfRule>
    <cfRule type="expression" dxfId="370" priority="90">
      <formula>$Q$36=6</formula>
    </cfRule>
    <cfRule type="expression" dxfId="369" priority="91">
      <formula>$Q$36=5</formula>
    </cfRule>
    <cfRule type="expression" dxfId="368" priority="92">
      <formula>$Q$36=4</formula>
    </cfRule>
    <cfRule type="expression" dxfId="367" priority="93">
      <formula>$Q$36=3</formula>
    </cfRule>
    <cfRule type="expression" dxfId="366" priority="94">
      <formula>$Q$36=2</formula>
    </cfRule>
    <cfRule type="expression" dxfId="365" priority="95">
      <formula>$Q$36=1</formula>
    </cfRule>
  </conditionalFormatting>
  <conditionalFormatting sqref="B2:H4">
    <cfRule type="expression" dxfId="364" priority="82">
      <formula>$O$36=7</formula>
    </cfRule>
    <cfRule type="expression" dxfId="363" priority="83">
      <formula>$O$36=6</formula>
    </cfRule>
    <cfRule type="expression" dxfId="362" priority="84">
      <formula>$O$36=5</formula>
    </cfRule>
    <cfRule type="expression" dxfId="361" priority="85">
      <formula>$O$36=4</formula>
    </cfRule>
    <cfRule type="expression" dxfId="360" priority="86">
      <formula>$O$36=3</formula>
    </cfRule>
    <cfRule type="expression" dxfId="359" priority="87">
      <formula>$O$36=2</formula>
    </cfRule>
    <cfRule type="expression" dxfId="358" priority="88">
      <formula>$O$36=1</formula>
    </cfRule>
  </conditionalFormatting>
  <conditionalFormatting sqref="T13">
    <cfRule type="expression" dxfId="357" priority="75">
      <formula>$Q$36=7</formula>
    </cfRule>
    <cfRule type="expression" dxfId="356" priority="76">
      <formula>$Q$36=6</formula>
    </cfRule>
    <cfRule type="expression" dxfId="355" priority="77">
      <formula>$Q$36=5</formula>
    </cfRule>
    <cfRule type="expression" dxfId="354" priority="78">
      <formula>$Q$36=4</formula>
    </cfRule>
    <cfRule type="expression" dxfId="353" priority="79">
      <formula>$Q$36=3</formula>
    </cfRule>
    <cfRule type="expression" dxfId="352" priority="80">
      <formula>$Q$36=2</formula>
    </cfRule>
    <cfRule type="expression" dxfId="351" priority="81">
      <formula>$Q$36=1</formula>
    </cfRule>
  </conditionalFormatting>
  <conditionalFormatting sqref="B13">
    <cfRule type="expression" dxfId="350" priority="68">
      <formula>$Q$36=7</formula>
    </cfRule>
    <cfRule type="expression" dxfId="349" priority="69">
      <formula>$Q$36=6</formula>
    </cfRule>
    <cfRule type="expression" dxfId="348" priority="70">
      <formula>$Q$36=5</formula>
    </cfRule>
    <cfRule type="expression" dxfId="347" priority="71">
      <formula>$Q$36=4</formula>
    </cfRule>
    <cfRule type="expression" dxfId="346" priority="72">
      <formula>$Q$36=3</formula>
    </cfRule>
    <cfRule type="expression" dxfId="345" priority="73">
      <formula>$Q$36=2</formula>
    </cfRule>
    <cfRule type="expression" dxfId="344" priority="74">
      <formula>$Q$36=1</formula>
    </cfRule>
  </conditionalFormatting>
  <conditionalFormatting sqref="N6">
    <cfRule type="expression" dxfId="343" priority="61">
      <formula>$Q$36=7</formula>
    </cfRule>
    <cfRule type="expression" dxfId="342" priority="62">
      <formula>$Q$36=6</formula>
    </cfRule>
    <cfRule type="expression" dxfId="341" priority="63">
      <formula>$Q$36=5</formula>
    </cfRule>
    <cfRule type="expression" dxfId="340" priority="64">
      <formula>$Q$36=4</formula>
    </cfRule>
    <cfRule type="expression" dxfId="339" priority="65">
      <formula>$Q$36=3</formula>
    </cfRule>
    <cfRule type="expression" dxfId="338" priority="66">
      <formula>$Q$36=2</formula>
    </cfRule>
    <cfRule type="expression" dxfId="337" priority="67">
      <formula>$Q$36=1</formula>
    </cfRule>
  </conditionalFormatting>
  <conditionalFormatting sqref="F6">
    <cfRule type="expression" dxfId="336" priority="54">
      <formula>$O$36=7</formula>
    </cfRule>
    <cfRule type="expression" dxfId="335" priority="55">
      <formula>$O$36=6</formula>
    </cfRule>
    <cfRule type="expression" dxfId="334" priority="56">
      <formula>$O$36=5</formula>
    </cfRule>
    <cfRule type="expression" dxfId="333" priority="57">
      <formula>$O$36=4</formula>
    </cfRule>
    <cfRule type="expression" dxfId="332" priority="58">
      <formula>$O$36=3</formula>
    </cfRule>
    <cfRule type="expression" dxfId="331" priority="59">
      <formula>$O$36=2</formula>
    </cfRule>
    <cfRule type="expression" dxfId="330" priority="60">
      <formula>$O$36=1</formula>
    </cfRule>
  </conditionalFormatting>
  <conditionalFormatting sqref="S13">
    <cfRule type="expression" dxfId="329" priority="41">
      <formula>$Q$36=7</formula>
    </cfRule>
    <cfRule type="expression" dxfId="328" priority="42">
      <formula>$Q$36=6</formula>
    </cfRule>
    <cfRule type="expression" dxfId="327" priority="43">
      <formula>$Q$36=5</formula>
    </cfRule>
    <cfRule type="expression" dxfId="326" priority="44">
      <formula>$Q$36=4</formula>
    </cfRule>
    <cfRule type="expression" dxfId="325" priority="45">
      <formula>$Q$36=3</formula>
    </cfRule>
    <cfRule type="expression" dxfId="324" priority="46">
      <formula>$Q$36=2</formula>
    </cfRule>
    <cfRule type="expression" dxfId="323" priority="47">
      <formula>$Q$36=1</formula>
    </cfRule>
  </conditionalFormatting>
  <conditionalFormatting sqref="C13:R13">
    <cfRule type="expression" dxfId="322" priority="34">
      <formula>$Q$36=7</formula>
    </cfRule>
    <cfRule type="expression" dxfId="321" priority="35">
      <formula>$Q$36=6</formula>
    </cfRule>
    <cfRule type="expression" dxfId="320" priority="36">
      <formula>$Q$36=5</formula>
    </cfRule>
    <cfRule type="expression" dxfId="319" priority="37">
      <formula>$Q$36=4</formula>
    </cfRule>
    <cfRule type="expression" dxfId="318" priority="38">
      <formula>$Q$36=3</formula>
    </cfRule>
    <cfRule type="expression" dxfId="317" priority="39">
      <formula>$Q$36=2</formula>
    </cfRule>
    <cfRule type="expression" dxfId="316" priority="40">
      <formula>$Q$36=1</formula>
    </cfRule>
  </conditionalFormatting>
  <conditionalFormatting sqref="J9:K11">
    <cfRule type="cellIs" dxfId="315" priority="33" operator="greaterThan">
      <formula>M10*10+10</formula>
    </cfRule>
  </conditionalFormatting>
  <conditionalFormatting sqref="L9:L11">
    <cfRule type="expression" dxfId="314" priority="32">
      <formula>J9&gt;(M10*10+10)</formula>
    </cfRule>
  </conditionalFormatting>
  <conditionalFormatting sqref="K15">
    <cfRule type="expression" dxfId="313" priority="25">
      <formula>$Q$36=7</formula>
    </cfRule>
    <cfRule type="expression" dxfId="312" priority="26">
      <formula>$Q$36=6</formula>
    </cfRule>
    <cfRule type="expression" dxfId="311" priority="27">
      <formula>$Q$36=5</formula>
    </cfRule>
    <cfRule type="expression" dxfId="310" priority="28">
      <formula>$Q$36=4</formula>
    </cfRule>
    <cfRule type="expression" dxfId="309" priority="29">
      <formula>$Q$36=3</formula>
    </cfRule>
    <cfRule type="expression" dxfId="308" priority="30">
      <formula>$Q$36=2</formula>
    </cfRule>
    <cfRule type="expression" dxfId="307" priority="31">
      <formula>$Q$36=1</formula>
    </cfRule>
  </conditionalFormatting>
  <conditionalFormatting sqref="Q5">
    <cfRule type="containsText" dxfId="306" priority="24" operator="containsText" text="[---]">
      <formula>NOT(ISERROR(SEARCH("[---]",Q5)))</formula>
    </cfRule>
  </conditionalFormatting>
  <conditionalFormatting sqref="E5">
    <cfRule type="containsText" dxfId="305" priority="23" operator="containsText" text="[---]">
      <formula>NOT(ISERROR(SEARCH("[---]",E5)))</formula>
    </cfRule>
  </conditionalFormatting>
  <conditionalFormatting sqref="B6:E11">
    <cfRule type="expression" dxfId="304" priority="17">
      <formula>B67=4</formula>
    </cfRule>
    <cfRule type="expression" dxfId="303" priority="20">
      <formula>B67=3</formula>
    </cfRule>
    <cfRule type="expression" dxfId="302" priority="21">
      <formula>B67=2</formula>
    </cfRule>
    <cfRule type="expression" dxfId="301" priority="22">
      <formula>B67=1</formula>
    </cfRule>
  </conditionalFormatting>
  <conditionalFormatting sqref="E7">
    <cfRule type="expression" dxfId="300" priority="13">
      <formula>E68=4</formula>
    </cfRule>
    <cfRule type="expression" dxfId="299" priority="14">
      <formula>E68=3</formula>
    </cfRule>
    <cfRule type="expression" dxfId="298" priority="15">
      <formula>E68=2</formula>
    </cfRule>
    <cfRule type="expression" dxfId="297" priority="16">
      <formula>E68=1</formula>
    </cfRule>
  </conditionalFormatting>
  <conditionalFormatting sqref="Q6:T11">
    <cfRule type="expression" dxfId="296" priority="9">
      <formula>G67=4</formula>
    </cfRule>
    <cfRule type="expression" dxfId="295" priority="10">
      <formula>G67=3</formula>
    </cfRule>
    <cfRule type="expression" dxfId="294" priority="11">
      <formula>G67=2</formula>
    </cfRule>
    <cfRule type="expression" dxfId="293" priority="12">
      <formula>G67=1</formula>
    </cfRule>
  </conditionalFormatting>
  <conditionalFormatting sqref="J8">
    <cfRule type="containsText" dxfId="292" priority="1" operator="containsText" text="DUPLIC.">
      <formula>NOT(ISERROR(SEARCH("DUPLIC.",J8)))</formula>
    </cfRule>
    <cfRule type="cellIs" dxfId="291" priority="5" operator="equal">
      <formula>"&gt;&gt;&gt;&gt;"</formula>
    </cfRule>
    <cfRule type="cellIs" dxfId="290" priority="6" operator="equal">
      <formula>"&lt;&lt;&lt;&lt;"</formula>
    </cfRule>
  </conditionalFormatting>
  <conditionalFormatting sqref="B5">
    <cfRule type="expression" dxfId="289" priority="3">
      <formula>$A$3="WCS"</formula>
    </cfRule>
  </conditionalFormatting>
  <conditionalFormatting sqref="T5">
    <cfRule type="expression" dxfId="288" priority="2">
      <formula>$A$3="WCS"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3" id="{D9FC4A34-FFD6-40AB-90E2-A3C196BC442E}">
            <x14:iconSet iconSet="3Triangles" custom="1">
              <x14:cfvo type="percent">
                <xm:f>0</xm:f>
              </x14:cfvo>
              <x14:cfvo type="formula">
                <xm:f>$S$1^2</xm:f>
              </x14:cfvo>
              <x14:cfvo type="formula">
                <xm:f>$S$1^2</xm:f>
              </x14:cfvo>
              <x14:cfIcon iconSet="3Arrows" iconId="0"/>
              <x14:cfIcon iconSet="3Arrows" iconId="1"/>
              <x14:cfIcon iconSet="3Arrows" iconId="2"/>
            </x14:iconSet>
          </x14:cfRule>
          <xm:sqref>L4</xm:sqref>
        </x14:conditionalFormatting>
        <x14:conditionalFormatting xmlns:xm="http://schemas.microsoft.com/office/excel/2006/main">
          <x14:cfRule type="iconSet" priority="48" id="{DED021C0-D771-4DB2-80E7-D631B6B4B7FD}">
            <x14:iconSet iconSet="3Star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U6</xm:sqref>
        </x14:conditionalFormatting>
        <x14:conditionalFormatting xmlns:xm="http://schemas.microsoft.com/office/excel/2006/main">
          <x14:cfRule type="containsText" priority="4" operator="containsText" id="{A41DA7D4-1A71-43EB-919C-785B50112942}">
            <xm:f>NOT(ISERROR(SEARCH("+",L8)))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2" tint="-0.249977111117893"/>
  </sheetPr>
  <dimension ref="A1:W1463"/>
  <sheetViews>
    <sheetView tabSelected="1" zoomScaleNormal="100" workbookViewId="0">
      <pane ySplit="1" topLeftCell="A1197" activePane="bottomLeft" state="frozen"/>
      <selection pane="bottomLeft" activeCell="B1211" sqref="B1211"/>
    </sheetView>
  </sheetViews>
  <sheetFormatPr defaultRowHeight="14.5" x14ac:dyDescent="0.35"/>
  <cols>
    <col min="1" max="1" width="8.90625" style="6"/>
    <col min="2" max="2" width="30.54296875" style="46" customWidth="1"/>
    <col min="3" max="3" width="7" style="237" customWidth="1"/>
    <col min="4" max="4" width="4.08984375" style="266" customWidth="1"/>
    <col min="5" max="5" width="2.453125" style="402" customWidth="1"/>
    <col min="6" max="6" width="4.08984375" style="402" customWidth="1"/>
    <col min="7" max="7" width="17.81640625" style="1" customWidth="1"/>
    <col min="8" max="8" width="5.90625" style="402" bestFit="1" customWidth="1"/>
    <col min="9" max="9" width="5.90625" style="63" bestFit="1" customWidth="1"/>
    <col min="10" max="10" width="17.81640625" style="235" customWidth="1"/>
    <col min="11" max="11" width="4.08984375" style="140" customWidth="1"/>
    <col min="12" max="12" width="6.6328125" customWidth="1"/>
    <col min="13" max="13" width="15.1796875" bestFit="1" customWidth="1"/>
    <col min="14" max="14" width="4.81640625" customWidth="1"/>
    <col min="15" max="15" width="41.81640625" style="85" customWidth="1"/>
    <col min="16" max="16" width="6.453125" customWidth="1"/>
    <col min="17" max="17" width="3.81640625" customWidth="1"/>
    <col min="18" max="19" width="5.81640625" customWidth="1"/>
    <col min="20" max="21" width="5.453125" customWidth="1"/>
    <col min="22" max="23" width="7.453125" customWidth="1"/>
  </cols>
  <sheetData>
    <row r="1" spans="1:23" s="1" customFormat="1" x14ac:dyDescent="0.35">
      <c r="B1" s="10"/>
      <c r="C1" s="256">
        <f>IF(ScoreboardNCAA!J18&gt;=0, ScoreboardNCAA!J17, ScoreboardNCAA!L17)</f>
        <v>-872.04655602813216</v>
      </c>
      <c r="D1" s="264">
        <f>ScoreboardNCAA!J1</f>
        <v>647.04354950339734</v>
      </c>
      <c r="E1" s="201" t="str">
        <f>IF(G1=ScoreboardNCAA!B2, "A", "H")</f>
        <v>H</v>
      </c>
      <c r="F1" s="194">
        <f>IF(ScoreboardNCAA!J18&gt;=0, ScoreboardNCAA!I4, ScoreboardNCAA!M4)</f>
        <v>1</v>
      </c>
      <c r="G1" s="195" t="str">
        <f>IF(ScoreboardNCAA!J18&gt;=0, ScoreboardNCAA!B2,ScoreboardNCAA!N2)</f>
        <v>Cianwood City</v>
      </c>
      <c r="H1" s="198">
        <f>MAX(ScoreboardNCAA!F6, ScoreboardNCAA!N6)</f>
        <v>4</v>
      </c>
      <c r="I1" s="197">
        <f>MIN(ScoreboardNCAA!F6, ScoreboardNCAA!N6)</f>
        <v>0</v>
      </c>
      <c r="J1" s="196" t="str">
        <f>IF(ScoreboardNCAA!J18&lt;0, ScoreboardNCAA!B2,ScoreboardNCAA!N2)</f>
        <v>Goldenrod City</v>
      </c>
      <c r="K1" s="194">
        <f>IF(ScoreboardNCAA!J18&lt;0, ScoreboardNCAA!I4, ScoreboardNCAA!M4)</f>
        <v>3</v>
      </c>
      <c r="L1" s="195" t="str">
        <f>IF(ScoreboardNCAA!J18&gt;=0,CONCATENATE("[",COUNTA(ScoreboardNCAA!B6:E11),"-",COUNTA(ScoreboardNCAA!Q6:T11),"]"),CONCATENATE("[",COUNTA(ScoreboardNCAA!Q6:T11),"-",COUNTA(ScoreboardNCAA!B6:E11),"]"))</f>
        <v>[2-0]</v>
      </c>
      <c r="M1" s="195" t="str">
        <f>IF(ScoreboardNCAA!J18&gt;=0,CONCATENATE("{", ROUND(ScoreboardNCAA!J4, 3), "-", ROUND(ScoreboardNCAA!L4, 3), "}"),CONCATENATE("{", ROUND(ScoreboardNCAA!L4, 3), "-", ROUND(ScoreboardNCAA!J4, 3), "}"))</f>
        <v>{89.206-0}</v>
      </c>
      <c r="N1" s="195" t="str">
        <f>IF(OR(MID(M1, 5, 1)=".", MID(M1, 6, 1)="."), "MAX", "")</f>
        <v/>
      </c>
      <c r="O1" s="84" t="s">
        <v>4121</v>
      </c>
      <c r="R1" s="260"/>
    </row>
    <row r="2" spans="1:23" x14ac:dyDescent="0.35">
      <c r="A2" s="6" t="s">
        <v>1794</v>
      </c>
      <c r="B2" s="46" t="s">
        <v>1962</v>
      </c>
      <c r="C2" s="237">
        <v>3.4870000000000001</v>
      </c>
      <c r="D2" s="261">
        <v>12.241428571428569</v>
      </c>
      <c r="F2" s="402">
        <v>79</v>
      </c>
      <c r="G2" s="1" t="s">
        <v>29</v>
      </c>
      <c r="H2" s="402">
        <v>11</v>
      </c>
      <c r="I2" s="63">
        <v>9</v>
      </c>
      <c r="J2" s="235" t="s">
        <v>27</v>
      </c>
      <c r="K2" s="140">
        <v>112</v>
      </c>
      <c r="L2" t="s">
        <v>453</v>
      </c>
      <c r="M2" t="s">
        <v>1403</v>
      </c>
      <c r="O2" s="85" t="s">
        <v>1399</v>
      </c>
    </row>
    <row r="3" spans="1:23" x14ac:dyDescent="0.35">
      <c r="C3" s="237">
        <v>1.077</v>
      </c>
      <c r="D3" s="261">
        <v>8.6057142857142832</v>
      </c>
      <c r="F3" s="402">
        <v>93</v>
      </c>
      <c r="G3" s="1" t="s">
        <v>61</v>
      </c>
      <c r="H3" s="402">
        <v>14</v>
      </c>
      <c r="I3" s="63">
        <v>11</v>
      </c>
      <c r="J3" s="235" t="s">
        <v>72</v>
      </c>
      <c r="K3" s="140">
        <v>110</v>
      </c>
      <c r="L3" t="s">
        <v>190</v>
      </c>
      <c r="M3" t="s">
        <v>1404</v>
      </c>
    </row>
    <row r="4" spans="1:23" x14ac:dyDescent="0.35">
      <c r="C4" s="237">
        <v>-2.0059999999999998</v>
      </c>
      <c r="D4" s="261">
        <v>13.039999999999996</v>
      </c>
      <c r="F4" s="402">
        <v>109</v>
      </c>
      <c r="G4" s="1" t="s">
        <v>64</v>
      </c>
      <c r="H4" s="402">
        <v>15</v>
      </c>
      <c r="I4" s="63">
        <v>11</v>
      </c>
      <c r="J4" s="235" t="s">
        <v>65</v>
      </c>
      <c r="K4" s="140">
        <v>89</v>
      </c>
      <c r="L4" t="s">
        <v>337</v>
      </c>
      <c r="M4" t="s">
        <v>1413</v>
      </c>
      <c r="P4" s="260"/>
      <c r="Q4" s="260"/>
      <c r="R4" s="260"/>
      <c r="S4" s="260"/>
      <c r="T4" s="260"/>
      <c r="U4" s="260"/>
      <c r="V4" s="260"/>
      <c r="W4" s="260"/>
    </row>
    <row r="5" spans="1:23" x14ac:dyDescent="0.35">
      <c r="C5" s="237">
        <v>4.0590000000000002</v>
      </c>
      <c r="D5" s="261">
        <v>36.431071428571428</v>
      </c>
      <c r="F5" s="402">
        <v>43</v>
      </c>
      <c r="G5" s="1" t="s">
        <v>50</v>
      </c>
      <c r="H5" s="402">
        <v>20</v>
      </c>
      <c r="I5" s="63">
        <v>15</v>
      </c>
      <c r="J5" s="235" t="s">
        <v>51</v>
      </c>
      <c r="K5" s="140">
        <v>108</v>
      </c>
      <c r="L5" t="s">
        <v>337</v>
      </c>
      <c r="M5" t="s">
        <v>1412</v>
      </c>
      <c r="P5" s="260"/>
      <c r="Q5" s="260"/>
      <c r="R5" s="260"/>
      <c r="S5" s="260"/>
      <c r="T5" s="260"/>
      <c r="U5" s="260"/>
      <c r="V5" s="260"/>
      <c r="W5" s="260"/>
    </row>
    <row r="6" spans="1:23" x14ac:dyDescent="0.35">
      <c r="C6" s="237">
        <v>2.1579999999999999</v>
      </c>
      <c r="D6" s="261">
        <v>34.369285714285702</v>
      </c>
      <c r="F6" s="402">
        <v>55</v>
      </c>
      <c r="G6" s="1" t="s">
        <v>45</v>
      </c>
      <c r="H6" s="402">
        <v>22</v>
      </c>
      <c r="I6" s="63">
        <v>16</v>
      </c>
      <c r="J6" s="235" t="s">
        <v>44</v>
      </c>
      <c r="K6" s="140">
        <v>107</v>
      </c>
      <c r="L6" t="s">
        <v>347</v>
      </c>
      <c r="M6" t="s">
        <v>1411</v>
      </c>
      <c r="O6" t="s">
        <v>849</v>
      </c>
      <c r="P6" s="260"/>
      <c r="Q6" s="260"/>
      <c r="R6" s="260"/>
      <c r="S6" s="260"/>
      <c r="T6" s="260"/>
      <c r="U6" s="260"/>
      <c r="V6" s="260"/>
      <c r="W6" s="260"/>
    </row>
    <row r="7" spans="1:23" x14ac:dyDescent="0.35">
      <c r="C7" s="257">
        <v>-0.16</v>
      </c>
      <c r="D7" s="261">
        <v>6.8107142857142815</v>
      </c>
      <c r="E7" s="138"/>
      <c r="F7" s="402">
        <v>103</v>
      </c>
      <c r="G7" s="1" t="s">
        <v>115</v>
      </c>
      <c r="H7" s="402">
        <v>16</v>
      </c>
      <c r="I7" s="63">
        <v>15</v>
      </c>
      <c r="J7" s="235" t="s">
        <v>63</v>
      </c>
      <c r="K7" s="140">
        <v>106</v>
      </c>
      <c r="L7" t="s">
        <v>296</v>
      </c>
      <c r="M7" t="s">
        <v>1410</v>
      </c>
      <c r="P7" s="260"/>
      <c r="Q7" s="260"/>
      <c r="R7" s="260"/>
      <c r="S7" s="260"/>
      <c r="T7" s="260"/>
      <c r="U7" s="260"/>
      <c r="V7" s="260"/>
      <c r="W7" s="260"/>
    </row>
    <row r="8" spans="1:23" x14ac:dyDescent="0.35">
      <c r="C8" s="237">
        <v>3.919</v>
      </c>
      <c r="D8" s="261">
        <v>40.14714285714286</v>
      </c>
      <c r="F8" s="402">
        <v>37</v>
      </c>
      <c r="G8" s="1" t="s">
        <v>77</v>
      </c>
      <c r="H8" s="402">
        <v>19</v>
      </c>
      <c r="I8" s="63">
        <v>18</v>
      </c>
      <c r="J8" s="235" t="s">
        <v>76</v>
      </c>
      <c r="K8" s="140">
        <v>105</v>
      </c>
      <c r="L8" t="s">
        <v>488</v>
      </c>
      <c r="M8" t="s">
        <v>1409</v>
      </c>
      <c r="P8" s="260"/>
      <c r="Q8" s="260"/>
      <c r="R8" s="260"/>
      <c r="S8" s="260"/>
      <c r="T8" s="260"/>
      <c r="U8" s="260"/>
      <c r="V8" s="260"/>
      <c r="W8" s="260"/>
    </row>
    <row r="9" spans="1:23" x14ac:dyDescent="0.35">
      <c r="C9" s="237">
        <v>-2.9180000000000001</v>
      </c>
      <c r="D9" s="261">
        <v>37.798571428571435</v>
      </c>
      <c r="F9" s="402">
        <v>104</v>
      </c>
      <c r="G9" s="1" t="s">
        <v>908</v>
      </c>
      <c r="H9" s="402">
        <v>15</v>
      </c>
      <c r="I9" s="63">
        <v>13</v>
      </c>
      <c r="J9" s="235" t="s">
        <v>786</v>
      </c>
      <c r="K9" s="140">
        <v>56</v>
      </c>
      <c r="L9" t="s">
        <v>186</v>
      </c>
      <c r="M9" t="s">
        <v>1408</v>
      </c>
      <c r="P9" s="260"/>
      <c r="Q9" s="260"/>
      <c r="R9" s="260"/>
      <c r="S9" s="260"/>
      <c r="T9" s="260"/>
      <c r="U9" s="260"/>
      <c r="V9" s="260"/>
      <c r="W9" s="260"/>
    </row>
    <row r="10" spans="1:23" x14ac:dyDescent="0.35">
      <c r="C10" s="237">
        <v>4.8250000000000002</v>
      </c>
      <c r="D10" s="261">
        <v>55.839285714285715</v>
      </c>
      <c r="F10" s="402">
        <v>12</v>
      </c>
      <c r="G10" s="1" t="s">
        <v>783</v>
      </c>
      <c r="H10" s="402">
        <v>19</v>
      </c>
      <c r="I10" s="63">
        <v>14</v>
      </c>
      <c r="J10" s="235" t="s">
        <v>796</v>
      </c>
      <c r="K10" s="140">
        <v>102</v>
      </c>
      <c r="L10" t="s">
        <v>493</v>
      </c>
      <c r="M10" t="s">
        <v>1414</v>
      </c>
      <c r="P10" s="260"/>
      <c r="Q10" s="260"/>
      <c r="R10" s="260"/>
      <c r="S10" s="260"/>
      <c r="T10" s="260"/>
      <c r="U10" s="260"/>
      <c r="V10" s="260"/>
      <c r="W10" s="260"/>
    </row>
    <row r="11" spans="1:23" x14ac:dyDescent="0.35">
      <c r="C11" s="237">
        <v>-2.1230000000000002</v>
      </c>
      <c r="D11" s="261">
        <v>29.195000000000004</v>
      </c>
      <c r="F11" s="402">
        <v>99</v>
      </c>
      <c r="G11" s="1" t="s">
        <v>960</v>
      </c>
      <c r="H11" s="402">
        <v>16</v>
      </c>
      <c r="I11" s="63">
        <v>10</v>
      </c>
      <c r="J11" s="235" t="s">
        <v>1308</v>
      </c>
      <c r="K11" s="140">
        <v>63</v>
      </c>
      <c r="L11" t="s">
        <v>450</v>
      </c>
      <c r="M11" t="s">
        <v>1416</v>
      </c>
      <c r="O11" s="85" t="s">
        <v>1415</v>
      </c>
      <c r="P11" s="260"/>
      <c r="Q11" s="260"/>
      <c r="R11" s="260"/>
      <c r="S11" s="260"/>
      <c r="T11" s="260"/>
      <c r="U11" s="260"/>
      <c r="V11" s="260"/>
      <c r="W11" s="260"/>
    </row>
    <row r="12" spans="1:23" x14ac:dyDescent="0.35">
      <c r="C12" s="257">
        <v>4.53</v>
      </c>
      <c r="D12" s="261">
        <v>55.335714285714289</v>
      </c>
      <c r="E12" s="138"/>
      <c r="F12" s="402">
        <v>18</v>
      </c>
      <c r="G12" s="1" t="s">
        <v>966</v>
      </c>
      <c r="H12" s="402">
        <v>12</v>
      </c>
      <c r="I12" s="63">
        <v>10</v>
      </c>
      <c r="J12" s="235" t="s">
        <v>1343</v>
      </c>
      <c r="K12" s="140">
        <v>98</v>
      </c>
      <c r="L12" t="s">
        <v>403</v>
      </c>
      <c r="M12" t="s">
        <v>1417</v>
      </c>
      <c r="P12" s="260"/>
      <c r="Q12" s="260"/>
      <c r="R12" s="260"/>
      <c r="S12" s="260"/>
      <c r="T12" s="260"/>
      <c r="U12" s="260"/>
      <c r="V12" s="260"/>
      <c r="W12" s="260"/>
    </row>
    <row r="13" spans="1:23" x14ac:dyDescent="0.35">
      <c r="A13" s="6" t="s">
        <v>1795</v>
      </c>
      <c r="C13" s="237">
        <v>-0.499</v>
      </c>
      <c r="D13" s="261">
        <v>23.124285714285708</v>
      </c>
      <c r="F13" s="402">
        <v>97</v>
      </c>
      <c r="G13" s="1" t="s">
        <v>23</v>
      </c>
      <c r="H13" s="402">
        <v>16</v>
      </c>
      <c r="I13" s="63">
        <v>14</v>
      </c>
      <c r="J13" s="235" t="s">
        <v>25</v>
      </c>
      <c r="K13" s="140">
        <v>76</v>
      </c>
      <c r="L13" t="s">
        <v>443</v>
      </c>
      <c r="M13" t="s">
        <v>1419</v>
      </c>
      <c r="O13" s="85" t="s">
        <v>1418</v>
      </c>
      <c r="P13" s="260"/>
      <c r="Q13" s="260"/>
      <c r="R13" s="260"/>
      <c r="S13" s="260"/>
      <c r="T13" s="260"/>
      <c r="U13" s="260"/>
      <c r="V13" s="260"/>
      <c r="W13" s="260"/>
    </row>
    <row r="14" spans="1:23" x14ac:dyDescent="0.35">
      <c r="C14" s="237">
        <v>1.8340000000000001</v>
      </c>
      <c r="D14" s="261">
        <v>41.636428571428574</v>
      </c>
      <c r="F14" s="402">
        <v>46</v>
      </c>
      <c r="G14" s="1" t="s">
        <v>118</v>
      </c>
      <c r="H14" s="402">
        <v>24</v>
      </c>
      <c r="I14" s="63">
        <v>12</v>
      </c>
      <c r="J14" s="235" t="s">
        <v>56</v>
      </c>
      <c r="K14" s="140">
        <v>96</v>
      </c>
      <c r="L14" t="s">
        <v>299</v>
      </c>
      <c r="M14" t="s">
        <v>1421</v>
      </c>
      <c r="O14" s="85" t="s">
        <v>1420</v>
      </c>
      <c r="P14" s="260"/>
      <c r="Q14" s="260"/>
      <c r="R14" s="260"/>
      <c r="S14" s="260"/>
      <c r="T14" s="260"/>
      <c r="U14" s="260"/>
      <c r="V14" s="260"/>
      <c r="W14" s="260"/>
    </row>
    <row r="15" spans="1:23" x14ac:dyDescent="0.35">
      <c r="C15" s="237">
        <v>3.077</v>
      </c>
      <c r="D15" s="261">
        <v>42.757500000000007</v>
      </c>
      <c r="F15" s="402">
        <v>42</v>
      </c>
      <c r="G15" s="1" t="s">
        <v>145</v>
      </c>
      <c r="H15" s="402">
        <v>14</v>
      </c>
      <c r="I15" s="63">
        <v>10</v>
      </c>
      <c r="J15" s="235" t="s">
        <v>117</v>
      </c>
      <c r="K15" s="140">
        <v>95</v>
      </c>
      <c r="L15" t="s">
        <v>295</v>
      </c>
      <c r="M15" t="s">
        <v>1422</v>
      </c>
      <c r="P15" s="260"/>
      <c r="Q15" s="260"/>
      <c r="R15" s="260"/>
      <c r="S15" s="260"/>
      <c r="T15" s="260"/>
      <c r="U15" s="260"/>
      <c r="V15" s="260"/>
      <c r="W15" s="260"/>
    </row>
    <row r="16" spans="1:23" x14ac:dyDescent="0.35">
      <c r="C16" s="237">
        <v>4.556</v>
      </c>
      <c r="D16" s="261">
        <v>58.53142857142857</v>
      </c>
      <c r="F16" s="402">
        <v>15</v>
      </c>
      <c r="G16" s="1" t="s">
        <v>58</v>
      </c>
      <c r="H16" s="402">
        <v>21</v>
      </c>
      <c r="I16" s="63">
        <v>15</v>
      </c>
      <c r="J16" s="235" t="s">
        <v>48</v>
      </c>
      <c r="K16" s="140">
        <v>92</v>
      </c>
      <c r="L16" t="s">
        <v>533</v>
      </c>
      <c r="M16" t="s">
        <v>1423</v>
      </c>
      <c r="P16" s="260"/>
      <c r="Q16" s="260"/>
      <c r="R16" s="260"/>
      <c r="S16" s="260"/>
      <c r="T16" s="260"/>
      <c r="U16" s="260"/>
      <c r="V16" s="260"/>
      <c r="W16" s="260"/>
    </row>
    <row r="17" spans="1:21" x14ac:dyDescent="0.35">
      <c r="C17" s="237">
        <v>2.452</v>
      </c>
      <c r="D17" s="261">
        <v>50.436071428571424</v>
      </c>
      <c r="F17" s="402">
        <v>28</v>
      </c>
      <c r="G17" s="1" t="s">
        <v>962</v>
      </c>
      <c r="H17" s="402">
        <v>20</v>
      </c>
      <c r="I17" s="63">
        <v>11</v>
      </c>
      <c r="J17" s="235" t="s">
        <v>964</v>
      </c>
      <c r="K17" s="140">
        <v>91</v>
      </c>
      <c r="L17" t="s">
        <v>201</v>
      </c>
      <c r="M17" t="s">
        <v>1424</v>
      </c>
      <c r="R17" s="260"/>
      <c r="S17" s="205"/>
      <c r="T17" s="70"/>
      <c r="U17" s="70"/>
    </row>
    <row r="18" spans="1:21" x14ac:dyDescent="0.35">
      <c r="C18" s="237">
        <v>-4.0190000000000001</v>
      </c>
      <c r="D18" s="261">
        <v>63.942142857142855</v>
      </c>
      <c r="F18" s="402">
        <v>90</v>
      </c>
      <c r="G18" s="1" t="s">
        <v>1858</v>
      </c>
      <c r="H18" s="402">
        <v>16</v>
      </c>
      <c r="I18" s="63">
        <v>12</v>
      </c>
      <c r="J18" s="235" t="s">
        <v>46</v>
      </c>
      <c r="K18" s="140">
        <v>19</v>
      </c>
      <c r="L18" t="s">
        <v>334</v>
      </c>
      <c r="M18" t="s">
        <v>1425</v>
      </c>
      <c r="R18" s="260"/>
      <c r="S18" s="205"/>
      <c r="T18" s="70"/>
      <c r="U18" s="70"/>
    </row>
    <row r="19" spans="1:21" x14ac:dyDescent="0.35">
      <c r="C19" s="237">
        <v>-1.2809999999999999</v>
      </c>
      <c r="D19" s="261">
        <v>29.932857142857149</v>
      </c>
      <c r="F19" s="402">
        <v>87</v>
      </c>
      <c r="G19" s="1" t="s">
        <v>85</v>
      </c>
      <c r="H19" s="402">
        <v>18</v>
      </c>
      <c r="I19" s="63">
        <v>16</v>
      </c>
      <c r="J19" s="235" t="s">
        <v>81</v>
      </c>
      <c r="K19" s="140">
        <v>72</v>
      </c>
      <c r="L19" t="s">
        <v>347</v>
      </c>
      <c r="M19" t="s">
        <v>1426</v>
      </c>
      <c r="R19" s="260"/>
      <c r="S19" s="205"/>
      <c r="T19" s="70"/>
      <c r="U19" s="70"/>
    </row>
    <row r="20" spans="1:21" x14ac:dyDescent="0.35">
      <c r="C20" s="237">
        <v>-1.288</v>
      </c>
      <c r="D20" s="261">
        <v>47.080714285714286</v>
      </c>
      <c r="F20" s="402">
        <v>86</v>
      </c>
      <c r="G20" s="1" t="s">
        <v>791</v>
      </c>
      <c r="H20" s="402">
        <v>18</v>
      </c>
      <c r="I20" s="63">
        <v>15</v>
      </c>
      <c r="J20" s="235" t="s">
        <v>794</v>
      </c>
      <c r="K20" s="140">
        <v>48</v>
      </c>
      <c r="L20" t="s">
        <v>301</v>
      </c>
      <c r="M20" t="s">
        <v>1428</v>
      </c>
      <c r="O20" s="85" t="s">
        <v>1427</v>
      </c>
      <c r="R20" s="260"/>
      <c r="S20" s="205"/>
      <c r="T20" s="70"/>
      <c r="U20" s="70"/>
    </row>
    <row r="21" spans="1:21" x14ac:dyDescent="0.35">
      <c r="C21" s="237">
        <v>-2.3370000000000002</v>
      </c>
      <c r="D21" s="261">
        <v>49.838928571428575</v>
      </c>
      <c r="F21" s="402">
        <v>85</v>
      </c>
      <c r="G21" s="1" t="s">
        <v>32</v>
      </c>
      <c r="H21" s="402">
        <v>20</v>
      </c>
      <c r="I21" s="63">
        <v>12</v>
      </c>
      <c r="J21" s="235" t="s">
        <v>292</v>
      </c>
      <c r="K21" s="140">
        <v>44</v>
      </c>
      <c r="L21" t="s">
        <v>404</v>
      </c>
      <c r="M21" t="s">
        <v>1429</v>
      </c>
      <c r="R21" s="260"/>
      <c r="S21" s="205"/>
      <c r="T21" s="70"/>
      <c r="U21" s="70"/>
    </row>
    <row r="22" spans="1:21" x14ac:dyDescent="0.35">
      <c r="C22" s="237">
        <v>3.323</v>
      </c>
      <c r="D22" s="261">
        <v>59.055</v>
      </c>
      <c r="F22" s="402">
        <v>24</v>
      </c>
      <c r="G22" s="1" t="s">
        <v>1302</v>
      </c>
      <c r="H22" s="402">
        <v>17</v>
      </c>
      <c r="I22" s="63">
        <v>14</v>
      </c>
      <c r="J22" s="235" t="s">
        <v>958</v>
      </c>
      <c r="K22" s="140">
        <v>84</v>
      </c>
      <c r="L22" t="s">
        <v>179</v>
      </c>
      <c r="M22" t="s">
        <v>1430</v>
      </c>
      <c r="N22" s="92" t="s">
        <v>2954</v>
      </c>
      <c r="R22" s="260"/>
      <c r="S22" s="205"/>
      <c r="T22" s="70"/>
      <c r="U22" s="70"/>
    </row>
    <row r="23" spans="1:21" x14ac:dyDescent="0.35">
      <c r="C23" s="237">
        <v>-1.6579999999999999</v>
      </c>
      <c r="D23" s="261">
        <v>54.57714285714286</v>
      </c>
      <c r="F23" s="402">
        <v>83</v>
      </c>
      <c r="G23" s="1" t="s">
        <v>39</v>
      </c>
      <c r="H23" s="402">
        <v>13</v>
      </c>
      <c r="I23" s="63">
        <v>9</v>
      </c>
      <c r="J23" s="235" t="s">
        <v>37</v>
      </c>
      <c r="K23" s="140">
        <v>33</v>
      </c>
      <c r="L23" t="s">
        <v>187</v>
      </c>
      <c r="M23" t="s">
        <v>1431</v>
      </c>
      <c r="R23" s="260"/>
      <c r="S23" s="205"/>
      <c r="T23" s="70"/>
      <c r="U23" s="70"/>
    </row>
    <row r="24" spans="1:21" x14ac:dyDescent="0.35">
      <c r="C24" s="237">
        <v>1.9430000000000001</v>
      </c>
      <c r="D24" s="261">
        <v>46.781785714285718</v>
      </c>
      <c r="F24" s="402">
        <v>47</v>
      </c>
      <c r="G24" s="1" t="s">
        <v>33</v>
      </c>
      <c r="H24" s="402">
        <v>16</v>
      </c>
      <c r="I24" s="403">
        <v>0</v>
      </c>
      <c r="J24" s="235" t="s">
        <v>22</v>
      </c>
      <c r="K24" s="140">
        <v>82</v>
      </c>
      <c r="L24" t="s">
        <v>1432</v>
      </c>
      <c r="M24" s="1" t="s">
        <v>1434</v>
      </c>
      <c r="N24" s="1" t="s">
        <v>2953</v>
      </c>
      <c r="O24" s="84" t="s">
        <v>2955</v>
      </c>
      <c r="R24" s="260"/>
      <c r="S24" s="205"/>
      <c r="T24" s="70"/>
      <c r="U24" s="70"/>
    </row>
    <row r="25" spans="1:21" x14ac:dyDescent="0.35">
      <c r="C25" s="257">
        <v>1.39</v>
      </c>
      <c r="D25" s="261">
        <v>51.998214285714283</v>
      </c>
      <c r="E25" s="138"/>
      <c r="F25" s="402">
        <v>36</v>
      </c>
      <c r="G25" s="1" t="s">
        <v>40</v>
      </c>
      <c r="H25" s="402">
        <v>15</v>
      </c>
      <c r="I25" s="63">
        <v>13</v>
      </c>
      <c r="J25" s="235" t="s">
        <v>2011</v>
      </c>
      <c r="K25" s="140">
        <v>81</v>
      </c>
      <c r="L25" t="s">
        <v>296</v>
      </c>
      <c r="M25" t="s">
        <v>1433</v>
      </c>
      <c r="R25" s="260"/>
      <c r="S25" s="205"/>
      <c r="U25" s="70"/>
    </row>
    <row r="26" spans="1:21" x14ac:dyDescent="0.35">
      <c r="A26" s="6" t="s">
        <v>1796</v>
      </c>
      <c r="C26" s="237">
        <v>-1.5509999999999999</v>
      </c>
      <c r="D26" s="261">
        <v>55.304285714285719</v>
      </c>
      <c r="F26" s="402">
        <v>80</v>
      </c>
      <c r="G26" s="1" t="s">
        <v>71</v>
      </c>
      <c r="H26" s="402">
        <v>21</v>
      </c>
      <c r="I26" s="63">
        <v>15</v>
      </c>
      <c r="J26" s="235" t="s">
        <v>62</v>
      </c>
      <c r="K26" s="140">
        <v>34</v>
      </c>
      <c r="L26" t="s">
        <v>285</v>
      </c>
      <c r="M26" t="s">
        <v>1435</v>
      </c>
      <c r="R26" s="260"/>
      <c r="S26" s="205"/>
      <c r="U26" s="70"/>
    </row>
    <row r="27" spans="1:21" x14ac:dyDescent="0.35">
      <c r="C27" s="237">
        <v>-5.8999999999999997E-2</v>
      </c>
      <c r="D27" s="261">
        <v>34.863571428571426</v>
      </c>
      <c r="F27" s="402">
        <v>68</v>
      </c>
      <c r="G27" s="1" t="s">
        <v>28</v>
      </c>
      <c r="H27" s="402">
        <v>14</v>
      </c>
      <c r="I27" s="63">
        <v>13</v>
      </c>
      <c r="J27" s="235" t="s">
        <v>30</v>
      </c>
      <c r="K27" s="140">
        <v>78</v>
      </c>
      <c r="L27" t="s">
        <v>299</v>
      </c>
      <c r="M27" t="s">
        <v>1436</v>
      </c>
      <c r="R27" s="260"/>
      <c r="S27" s="205"/>
      <c r="U27" s="70"/>
    </row>
    <row r="28" spans="1:21" x14ac:dyDescent="0.35">
      <c r="C28" s="257">
        <v>-2.1800000000000002</v>
      </c>
      <c r="D28" s="261">
        <v>55.351785714285718</v>
      </c>
      <c r="E28" s="138"/>
      <c r="F28" s="402">
        <v>77</v>
      </c>
      <c r="G28" s="1" t="s">
        <v>900</v>
      </c>
      <c r="H28" s="402">
        <v>16</v>
      </c>
      <c r="I28" s="63">
        <v>14</v>
      </c>
      <c r="J28" s="235" t="s">
        <v>35</v>
      </c>
      <c r="K28" s="140">
        <v>38</v>
      </c>
      <c r="L28" t="s">
        <v>296</v>
      </c>
      <c r="M28" t="s">
        <v>1437</v>
      </c>
      <c r="R28" s="260"/>
      <c r="S28" s="205"/>
      <c r="U28" s="70"/>
    </row>
    <row r="29" spans="1:21" x14ac:dyDescent="0.35">
      <c r="A29" s="6" t="s">
        <v>1797</v>
      </c>
      <c r="C29" s="237">
        <v>1.5109999999999999</v>
      </c>
      <c r="D29" s="261">
        <v>56.331428571428567</v>
      </c>
      <c r="F29" s="402">
        <v>31</v>
      </c>
      <c r="G29" s="1" t="s">
        <v>79</v>
      </c>
      <c r="H29" s="402">
        <v>19</v>
      </c>
      <c r="I29" s="63">
        <v>15</v>
      </c>
      <c r="J29" s="235" t="s">
        <v>73</v>
      </c>
      <c r="K29" s="140">
        <v>75</v>
      </c>
      <c r="L29" t="s">
        <v>347</v>
      </c>
      <c r="M29" t="s">
        <v>1438</v>
      </c>
      <c r="R29" s="260"/>
      <c r="S29" s="205"/>
      <c r="U29" s="70"/>
    </row>
    <row r="30" spans="1:21" x14ac:dyDescent="0.35">
      <c r="C30" s="237">
        <v>-1.4730000000000001</v>
      </c>
      <c r="D30" s="261">
        <v>59.266428571428563</v>
      </c>
      <c r="F30" s="402">
        <v>74</v>
      </c>
      <c r="G30" s="1" t="s">
        <v>785</v>
      </c>
      <c r="H30" s="402">
        <v>18</v>
      </c>
      <c r="I30" s="63">
        <v>12</v>
      </c>
      <c r="J30" s="235" t="s">
        <v>795</v>
      </c>
      <c r="K30" s="140">
        <v>30</v>
      </c>
      <c r="L30" t="s">
        <v>186</v>
      </c>
      <c r="M30" t="s">
        <v>1439</v>
      </c>
      <c r="R30" s="260"/>
      <c r="S30" s="205"/>
    </row>
    <row r="31" spans="1:21" x14ac:dyDescent="0.35">
      <c r="C31" s="237">
        <v>3.5190000000000001</v>
      </c>
      <c r="D31" s="261">
        <v>65.700714285714284</v>
      </c>
      <c r="F31" s="402">
        <v>16</v>
      </c>
      <c r="G31" s="1" t="s">
        <v>57</v>
      </c>
      <c r="H31" s="402">
        <v>18</v>
      </c>
      <c r="I31" s="63">
        <v>15</v>
      </c>
      <c r="J31" s="235" t="s">
        <v>47</v>
      </c>
      <c r="K31" s="140">
        <v>73</v>
      </c>
      <c r="L31" t="s">
        <v>301</v>
      </c>
      <c r="M31" t="s">
        <v>1440</v>
      </c>
      <c r="R31" s="260"/>
      <c r="S31" s="205"/>
    </row>
    <row r="32" spans="1:21" x14ac:dyDescent="0.35">
      <c r="C32" s="237">
        <v>-2.0640000000000001</v>
      </c>
      <c r="D32" s="261">
        <v>58.884999999999998</v>
      </c>
      <c r="F32" s="402">
        <v>71</v>
      </c>
      <c r="G32" s="1" t="s">
        <v>1344</v>
      </c>
      <c r="H32" s="402">
        <v>18</v>
      </c>
      <c r="I32" s="63">
        <v>13</v>
      </c>
      <c r="J32" s="235" t="s">
        <v>965</v>
      </c>
      <c r="K32" s="140">
        <v>35</v>
      </c>
      <c r="L32" t="s">
        <v>281</v>
      </c>
      <c r="M32" t="s">
        <v>1441</v>
      </c>
      <c r="R32" s="260"/>
      <c r="S32" s="205"/>
    </row>
    <row r="33" spans="1:19" x14ac:dyDescent="0.35">
      <c r="C33" s="237">
        <v>0.623</v>
      </c>
      <c r="D33" s="261">
        <v>39.287142857142854</v>
      </c>
      <c r="F33" s="402">
        <v>65</v>
      </c>
      <c r="G33" s="1" t="s">
        <v>787</v>
      </c>
      <c r="H33" s="402">
        <v>24</v>
      </c>
      <c r="I33" s="63">
        <v>9</v>
      </c>
      <c r="J33" s="235" t="s">
        <v>909</v>
      </c>
      <c r="K33" s="140">
        <v>70</v>
      </c>
      <c r="L33" t="s">
        <v>331</v>
      </c>
      <c r="M33" s="1" t="s">
        <v>1442</v>
      </c>
      <c r="N33" s="1" t="s">
        <v>2953</v>
      </c>
      <c r="R33" s="260"/>
      <c r="S33" s="205"/>
    </row>
    <row r="34" spans="1:19" x14ac:dyDescent="0.35">
      <c r="C34" s="237">
        <v>0.626</v>
      </c>
      <c r="D34" s="261">
        <v>40.177857142857142</v>
      </c>
      <c r="F34" s="402">
        <v>64</v>
      </c>
      <c r="G34" s="1" t="s">
        <v>793</v>
      </c>
      <c r="H34" s="402">
        <v>16</v>
      </c>
      <c r="I34" s="63">
        <v>8</v>
      </c>
      <c r="J34" s="235" t="s">
        <v>784</v>
      </c>
      <c r="K34" s="140">
        <v>69</v>
      </c>
      <c r="L34" t="s">
        <v>201</v>
      </c>
      <c r="M34" t="s">
        <v>1443</v>
      </c>
      <c r="R34" s="260"/>
      <c r="S34" s="205"/>
    </row>
    <row r="35" spans="1:19" x14ac:dyDescent="0.35">
      <c r="C35" s="237">
        <v>-0.69499999999999995</v>
      </c>
      <c r="D35" s="261">
        <v>57.505357142857136</v>
      </c>
      <c r="F35" s="402">
        <v>67</v>
      </c>
      <c r="G35" s="1" t="s">
        <v>83</v>
      </c>
      <c r="H35" s="402">
        <v>17</v>
      </c>
      <c r="I35" s="63">
        <v>9</v>
      </c>
      <c r="J35" s="235" t="s">
        <v>86</v>
      </c>
      <c r="K35" s="140">
        <v>40</v>
      </c>
      <c r="L35" t="s">
        <v>178</v>
      </c>
      <c r="M35" t="s">
        <v>1444</v>
      </c>
      <c r="R35" s="260"/>
      <c r="S35" s="205"/>
    </row>
    <row r="36" spans="1:19" x14ac:dyDescent="0.35">
      <c r="C36" s="237">
        <v>1.0289999999999999</v>
      </c>
      <c r="D36" s="261">
        <v>51.854285714285723</v>
      </c>
      <c r="F36" s="402">
        <v>52</v>
      </c>
      <c r="G36" s="1" t="s">
        <v>74</v>
      </c>
      <c r="H36" s="402">
        <v>9</v>
      </c>
      <c r="I36" s="63">
        <v>8</v>
      </c>
      <c r="J36" s="235" t="s">
        <v>80</v>
      </c>
      <c r="K36" s="140">
        <v>66</v>
      </c>
      <c r="L36" t="s">
        <v>561</v>
      </c>
      <c r="M36" t="s">
        <v>1445</v>
      </c>
      <c r="R36" s="260"/>
      <c r="S36" s="205"/>
    </row>
    <row r="37" spans="1:19" x14ac:dyDescent="0.35">
      <c r="C37" s="237">
        <v>0.16400000000000001</v>
      </c>
      <c r="D37" s="261">
        <v>55.284642857142849</v>
      </c>
      <c r="F37" s="402">
        <v>49</v>
      </c>
      <c r="G37" s="1" t="s">
        <v>82</v>
      </c>
      <c r="H37" s="402">
        <v>15</v>
      </c>
      <c r="I37" s="63">
        <v>10</v>
      </c>
      <c r="J37" s="235" t="s">
        <v>84</v>
      </c>
      <c r="K37" s="140">
        <v>62</v>
      </c>
      <c r="L37" t="s">
        <v>360</v>
      </c>
      <c r="M37" t="s">
        <v>1446</v>
      </c>
      <c r="R37" s="260"/>
      <c r="S37" s="205"/>
    </row>
    <row r="38" spans="1:19" x14ac:dyDescent="0.35">
      <c r="C38" s="237">
        <v>1.0049999999999999</v>
      </c>
      <c r="D38" s="261">
        <v>61.916071428571428</v>
      </c>
      <c r="F38" s="402">
        <v>32</v>
      </c>
      <c r="G38" s="1" t="s">
        <v>53</v>
      </c>
      <c r="H38" s="402">
        <v>13</v>
      </c>
      <c r="I38" s="63">
        <v>10</v>
      </c>
      <c r="J38" s="235" t="s">
        <v>55</v>
      </c>
      <c r="K38" s="140">
        <v>61</v>
      </c>
      <c r="L38" t="s">
        <v>190</v>
      </c>
      <c r="M38" t="s">
        <v>1447</v>
      </c>
      <c r="R38" s="260"/>
      <c r="S38" s="205"/>
    </row>
    <row r="39" spans="1:19" x14ac:dyDescent="0.35">
      <c r="C39" s="237">
        <v>-2.0920000000000001</v>
      </c>
      <c r="D39" s="261">
        <v>65.73535714285714</v>
      </c>
      <c r="F39" s="402">
        <v>60</v>
      </c>
      <c r="G39" s="1" t="s">
        <v>790</v>
      </c>
      <c r="H39" s="402">
        <v>24</v>
      </c>
      <c r="I39" s="63">
        <v>13</v>
      </c>
      <c r="J39" s="235" t="s">
        <v>792</v>
      </c>
      <c r="K39" s="140">
        <v>29</v>
      </c>
      <c r="L39" t="s">
        <v>359</v>
      </c>
      <c r="M39" s="1" t="s">
        <v>1448</v>
      </c>
      <c r="N39" s="1" t="s">
        <v>2953</v>
      </c>
      <c r="R39" s="260"/>
      <c r="S39" s="205"/>
    </row>
    <row r="40" spans="1:19" x14ac:dyDescent="0.35">
      <c r="C40" s="237">
        <v>4.383</v>
      </c>
      <c r="D40" s="261">
        <v>72.583571428571432</v>
      </c>
      <c r="F40" s="402">
        <v>9</v>
      </c>
      <c r="G40" s="1" t="s">
        <v>42</v>
      </c>
      <c r="H40" s="402">
        <v>21</v>
      </c>
      <c r="I40" s="63">
        <v>20</v>
      </c>
      <c r="J40" s="235" t="s">
        <v>1859</v>
      </c>
      <c r="K40" s="140">
        <v>59</v>
      </c>
      <c r="L40" t="s">
        <v>194</v>
      </c>
      <c r="M40" t="s">
        <v>1449</v>
      </c>
      <c r="N40" s="92" t="s">
        <v>2954</v>
      </c>
      <c r="R40" s="260"/>
      <c r="S40" s="205"/>
    </row>
    <row r="41" spans="1:19" x14ac:dyDescent="0.35">
      <c r="C41" s="237">
        <v>-2.6680000000000001</v>
      </c>
      <c r="D41" s="261">
        <v>74.405714285714282</v>
      </c>
      <c r="F41" s="402">
        <v>57</v>
      </c>
      <c r="G41" s="1" t="s">
        <v>963</v>
      </c>
      <c r="H41" s="402">
        <v>23</v>
      </c>
      <c r="I41" s="63">
        <v>13</v>
      </c>
      <c r="J41" s="235" t="s">
        <v>1342</v>
      </c>
      <c r="K41" s="140">
        <v>20</v>
      </c>
      <c r="L41" t="s">
        <v>745</v>
      </c>
      <c r="M41" s="1" t="s">
        <v>1450</v>
      </c>
      <c r="N41" s="1" t="s">
        <v>2953</v>
      </c>
      <c r="O41" s="85" t="s">
        <v>2956</v>
      </c>
      <c r="R41" s="260"/>
      <c r="S41" s="205"/>
    </row>
    <row r="42" spans="1:19" x14ac:dyDescent="0.35">
      <c r="A42" s="6" t="s">
        <v>1798</v>
      </c>
      <c r="C42" s="237">
        <v>-1.266</v>
      </c>
      <c r="D42" s="261">
        <v>73.404285714285706</v>
      </c>
      <c r="F42" s="402">
        <v>54</v>
      </c>
      <c r="G42" s="1" t="s">
        <v>78</v>
      </c>
      <c r="H42" s="402">
        <v>14</v>
      </c>
      <c r="I42" s="63">
        <v>9</v>
      </c>
      <c r="J42" s="235" t="s">
        <v>75</v>
      </c>
      <c r="K42" s="140">
        <v>23</v>
      </c>
      <c r="L42" t="s">
        <v>339</v>
      </c>
      <c r="M42" t="s">
        <v>1451</v>
      </c>
      <c r="R42" s="260"/>
      <c r="S42" s="205"/>
    </row>
    <row r="43" spans="1:19" x14ac:dyDescent="0.35">
      <c r="C43" s="257">
        <v>-0.9</v>
      </c>
      <c r="D43" s="261">
        <v>68.5</v>
      </c>
      <c r="E43" s="138"/>
      <c r="F43" s="402">
        <v>53</v>
      </c>
      <c r="G43" s="1" t="s">
        <v>1301</v>
      </c>
      <c r="H43" s="402">
        <v>14</v>
      </c>
      <c r="I43" s="63">
        <v>11</v>
      </c>
      <c r="J43" s="235" t="s">
        <v>959</v>
      </c>
      <c r="K43" s="140">
        <v>27</v>
      </c>
      <c r="L43" t="s">
        <v>331</v>
      </c>
      <c r="M43" s="6" t="s">
        <v>1453</v>
      </c>
      <c r="O43" s="85" t="s">
        <v>1452</v>
      </c>
      <c r="R43" s="260"/>
      <c r="S43" s="205"/>
    </row>
    <row r="44" spans="1:19" x14ac:dyDescent="0.35">
      <c r="C44" s="237">
        <v>-2.8260000000000001</v>
      </c>
      <c r="D44" s="261">
        <v>81.161428571428601</v>
      </c>
      <c r="F44" s="402">
        <v>50</v>
      </c>
      <c r="G44" s="1" t="s">
        <v>67</v>
      </c>
      <c r="H44" s="402">
        <v>22</v>
      </c>
      <c r="I44" s="63">
        <v>18</v>
      </c>
      <c r="J44" s="235" t="s">
        <v>70</v>
      </c>
      <c r="K44" s="140">
        <v>14</v>
      </c>
      <c r="L44" t="s">
        <v>1455</v>
      </c>
      <c r="M44" s="6" t="s">
        <v>1456</v>
      </c>
      <c r="O44" t="s">
        <v>1454</v>
      </c>
      <c r="R44" s="260"/>
      <c r="S44" s="205"/>
    </row>
    <row r="45" spans="1:19" x14ac:dyDescent="0.35">
      <c r="C45" s="237">
        <v>0.501</v>
      </c>
      <c r="D45" s="261">
        <v>74.642142857142858</v>
      </c>
      <c r="F45" s="402">
        <v>25</v>
      </c>
      <c r="G45" s="1" t="s">
        <v>59</v>
      </c>
      <c r="H45" s="402">
        <v>19</v>
      </c>
      <c r="I45" s="63">
        <v>8</v>
      </c>
      <c r="J45" s="235" t="s">
        <v>114</v>
      </c>
      <c r="K45" s="140">
        <v>45</v>
      </c>
      <c r="L45" t="s">
        <v>507</v>
      </c>
      <c r="M45" s="1" t="s">
        <v>1457</v>
      </c>
      <c r="N45" s="1" t="s">
        <v>2953</v>
      </c>
      <c r="R45" s="260"/>
      <c r="S45" s="205"/>
    </row>
    <row r="46" spans="1:19" x14ac:dyDescent="0.35">
      <c r="C46" s="237">
        <v>-0.56200000000000006</v>
      </c>
      <c r="D46" s="261">
        <v>68.258571428571429</v>
      </c>
      <c r="F46" s="402">
        <v>41</v>
      </c>
      <c r="G46" s="1" t="s">
        <v>60</v>
      </c>
      <c r="H46" s="402">
        <v>14</v>
      </c>
      <c r="I46" s="63">
        <v>13</v>
      </c>
      <c r="J46" s="235" t="s">
        <v>66</v>
      </c>
      <c r="K46" s="140">
        <v>39</v>
      </c>
      <c r="L46" t="s">
        <v>337</v>
      </c>
      <c r="M46" s="6" t="s">
        <v>1458</v>
      </c>
      <c r="R46" s="260"/>
      <c r="S46" s="205"/>
    </row>
    <row r="47" spans="1:19" x14ac:dyDescent="0.35">
      <c r="C47" s="257">
        <v>-0.56999999999999995</v>
      </c>
      <c r="D47" s="261">
        <v>86.969642857142858</v>
      </c>
      <c r="E47" s="138"/>
      <c r="F47" s="402">
        <v>22</v>
      </c>
      <c r="G47" s="1" t="s">
        <v>961</v>
      </c>
      <c r="H47" s="402">
        <v>23</v>
      </c>
      <c r="I47" s="63">
        <v>14</v>
      </c>
      <c r="J47" s="235" t="s">
        <v>3913</v>
      </c>
      <c r="K47" s="140">
        <v>21</v>
      </c>
      <c r="L47" t="s">
        <v>290</v>
      </c>
      <c r="M47" s="6" t="s">
        <v>1459</v>
      </c>
      <c r="R47" s="260"/>
      <c r="S47" s="205"/>
    </row>
    <row r="48" spans="1:19" x14ac:dyDescent="0.35">
      <c r="C48" s="257">
        <v>6.02</v>
      </c>
      <c r="D48" s="261">
        <v>51.414285714285725</v>
      </c>
      <c r="E48" s="138"/>
      <c r="F48" s="402">
        <v>13</v>
      </c>
      <c r="G48" s="1" t="s">
        <v>36</v>
      </c>
      <c r="H48" s="402">
        <v>24</v>
      </c>
      <c r="I48" s="63">
        <v>5</v>
      </c>
      <c r="J48" s="235" t="s">
        <v>38</v>
      </c>
      <c r="K48" s="140">
        <v>111</v>
      </c>
      <c r="L48" t="s">
        <v>642</v>
      </c>
      <c r="M48" s="1" t="s">
        <v>1460</v>
      </c>
      <c r="N48" s="1" t="s">
        <v>2953</v>
      </c>
      <c r="R48" s="260"/>
      <c r="S48" s="205"/>
    </row>
    <row r="49" spans="1:20" x14ac:dyDescent="0.35">
      <c r="C49" s="257">
        <v>6.16</v>
      </c>
      <c r="D49" s="261">
        <v>59.528571428571432</v>
      </c>
      <c r="E49" s="138"/>
      <c r="F49" s="402">
        <v>7</v>
      </c>
      <c r="G49" s="1" t="s">
        <v>26</v>
      </c>
      <c r="H49" s="402">
        <v>26</v>
      </c>
      <c r="I49" s="63">
        <v>15</v>
      </c>
      <c r="J49" s="235" t="s">
        <v>1860</v>
      </c>
      <c r="K49" s="140">
        <v>94</v>
      </c>
      <c r="L49" t="s">
        <v>347</v>
      </c>
      <c r="M49" s="6" t="s">
        <v>1461</v>
      </c>
      <c r="R49" s="260"/>
      <c r="S49" s="205"/>
    </row>
    <row r="50" spans="1:20" x14ac:dyDescent="0.35">
      <c r="C50" s="237">
        <v>4.1360000000000001</v>
      </c>
      <c r="D50" s="261">
        <v>59.54571428571429</v>
      </c>
      <c r="F50" s="402">
        <v>17</v>
      </c>
      <c r="G50" s="1" t="s">
        <v>788</v>
      </c>
      <c r="H50" s="402">
        <v>16</v>
      </c>
      <c r="I50" s="63">
        <v>12</v>
      </c>
      <c r="J50" s="235" t="s">
        <v>789</v>
      </c>
      <c r="K50" s="140">
        <v>88</v>
      </c>
      <c r="L50" t="s">
        <v>186</v>
      </c>
      <c r="M50" s="6" t="s">
        <v>1462</v>
      </c>
      <c r="N50" s="92" t="s">
        <v>2954</v>
      </c>
      <c r="R50" s="260"/>
      <c r="S50" s="205"/>
    </row>
    <row r="51" spans="1:20" x14ac:dyDescent="0.35">
      <c r="C51" s="237">
        <v>-0.41399999999999998</v>
      </c>
      <c r="D51" s="261">
        <v>94.670714285714283</v>
      </c>
      <c r="F51" s="402">
        <v>8</v>
      </c>
      <c r="G51" s="1" t="s">
        <v>87</v>
      </c>
      <c r="H51" s="402">
        <v>17</v>
      </c>
      <c r="I51" s="63">
        <v>8</v>
      </c>
      <c r="J51" s="235" t="s">
        <v>88</v>
      </c>
      <c r="K51" s="140">
        <v>10</v>
      </c>
      <c r="L51" t="s">
        <v>447</v>
      </c>
      <c r="M51" s="6" t="s">
        <v>1463</v>
      </c>
      <c r="R51" s="260"/>
      <c r="S51" s="205"/>
    </row>
    <row r="52" spans="1:20" x14ac:dyDescent="0.35">
      <c r="C52" s="237">
        <v>7.1529999999999996</v>
      </c>
      <c r="D52" s="261">
        <v>57.390714285714296</v>
      </c>
      <c r="F52" s="402">
        <v>4</v>
      </c>
      <c r="G52" s="1" t="s">
        <v>49</v>
      </c>
      <c r="H52" s="402">
        <v>22</v>
      </c>
      <c r="I52" s="63">
        <v>10</v>
      </c>
      <c r="J52" s="235" t="s">
        <v>52</v>
      </c>
      <c r="K52" s="140">
        <v>101</v>
      </c>
      <c r="L52" t="s">
        <v>331</v>
      </c>
      <c r="M52" s="6" t="s">
        <v>1464</v>
      </c>
      <c r="R52" s="260"/>
      <c r="S52" s="205"/>
      <c r="T52" s="70"/>
    </row>
    <row r="53" spans="1:20" x14ac:dyDescent="0.35">
      <c r="C53" s="237">
        <v>-1.2030000000000001</v>
      </c>
      <c r="D53" s="261">
        <v>95.859285714285718</v>
      </c>
      <c r="F53" s="402">
        <v>11</v>
      </c>
      <c r="G53" s="1" t="s">
        <v>119</v>
      </c>
      <c r="H53" s="402">
        <v>28</v>
      </c>
      <c r="I53" s="63">
        <v>14</v>
      </c>
      <c r="J53" s="235" t="s">
        <v>31</v>
      </c>
      <c r="K53" s="140">
        <v>5</v>
      </c>
      <c r="L53" t="s">
        <v>722</v>
      </c>
      <c r="M53" s="1" t="s">
        <v>1465</v>
      </c>
      <c r="N53" s="1" t="s">
        <v>2953</v>
      </c>
      <c r="R53" s="260"/>
      <c r="S53" s="205"/>
      <c r="T53" s="70"/>
    </row>
    <row r="54" spans="1:20" x14ac:dyDescent="0.35">
      <c r="C54" s="237">
        <v>4.2939999999999996</v>
      </c>
      <c r="D54" s="261">
        <v>75.147142857142853</v>
      </c>
      <c r="F54" s="402">
        <v>3</v>
      </c>
      <c r="G54" s="1" t="s">
        <v>300</v>
      </c>
      <c r="H54" s="402">
        <v>18</v>
      </c>
      <c r="I54" s="63">
        <v>3</v>
      </c>
      <c r="J54" s="235" t="s">
        <v>54</v>
      </c>
      <c r="K54" s="140">
        <v>58</v>
      </c>
      <c r="L54" t="s">
        <v>744</v>
      </c>
      <c r="M54" s="1" t="s">
        <v>1466</v>
      </c>
      <c r="N54" s="1" t="s">
        <v>2953</v>
      </c>
      <c r="R54" s="260"/>
      <c r="S54" s="205"/>
      <c r="T54" s="70"/>
    </row>
    <row r="55" spans="1:20" x14ac:dyDescent="0.35">
      <c r="C55" s="237">
        <v>6.6280000000000001</v>
      </c>
      <c r="D55" s="261">
        <v>57.408571428571435</v>
      </c>
      <c r="F55" s="402">
        <v>6</v>
      </c>
      <c r="G55" s="1" t="s">
        <v>69</v>
      </c>
      <c r="H55" s="402">
        <v>21</v>
      </c>
      <c r="I55" s="63">
        <v>8</v>
      </c>
      <c r="J55" s="235" t="s">
        <v>68</v>
      </c>
      <c r="K55" s="140">
        <v>100</v>
      </c>
      <c r="L55" t="s">
        <v>297</v>
      </c>
      <c r="M55" s="6" t="s">
        <v>1467</v>
      </c>
      <c r="P55" s="205"/>
      <c r="Q55" s="205"/>
      <c r="R55" s="260"/>
      <c r="S55" s="205"/>
    </row>
    <row r="56" spans="1:20" x14ac:dyDescent="0.35">
      <c r="C56" s="257">
        <v>3.4</v>
      </c>
      <c r="D56" s="261">
        <v>87.571428571428569</v>
      </c>
      <c r="E56" s="138"/>
      <c r="F56" s="402">
        <v>2</v>
      </c>
      <c r="G56" s="1" t="s">
        <v>41</v>
      </c>
      <c r="H56" s="402">
        <v>14</v>
      </c>
      <c r="I56" s="63">
        <v>11</v>
      </c>
      <c r="J56" s="235" t="s">
        <v>43</v>
      </c>
      <c r="K56" s="140">
        <v>26</v>
      </c>
      <c r="L56" t="s">
        <v>488</v>
      </c>
      <c r="M56" s="6" t="s">
        <v>1468</v>
      </c>
      <c r="N56" s="92" t="s">
        <v>2954</v>
      </c>
      <c r="O56" s="85" t="s">
        <v>4164</v>
      </c>
      <c r="R56" s="260"/>
      <c r="S56" s="205"/>
    </row>
    <row r="57" spans="1:20" ht="15" thickBot="1" x14ac:dyDescent="0.4">
      <c r="B57" s="57"/>
      <c r="C57" s="258">
        <v>5.3129999999999997</v>
      </c>
      <c r="D57" s="262">
        <v>77.633571428571429</v>
      </c>
      <c r="E57" s="381"/>
      <c r="F57" s="381">
        <v>1</v>
      </c>
      <c r="G57" s="44" t="s">
        <v>34</v>
      </c>
      <c r="H57" s="381">
        <v>16</v>
      </c>
      <c r="I57" s="56">
        <v>11</v>
      </c>
      <c r="J57" s="57" t="s">
        <v>24</v>
      </c>
      <c r="K57" s="141">
        <v>51</v>
      </c>
      <c r="L57" s="12" t="s">
        <v>400</v>
      </c>
      <c r="M57" s="12" t="s">
        <v>1469</v>
      </c>
      <c r="N57" s="86"/>
      <c r="O57" s="86"/>
      <c r="R57" s="260"/>
      <c r="S57" s="205"/>
    </row>
    <row r="58" spans="1:20" x14ac:dyDescent="0.35">
      <c r="B58" s="46" t="s">
        <v>1963</v>
      </c>
      <c r="C58" s="237">
        <v>2.823</v>
      </c>
      <c r="D58" s="261">
        <v>10.930000000000007</v>
      </c>
      <c r="F58" s="402">
        <v>83</v>
      </c>
      <c r="G58" s="1" t="s">
        <v>2011</v>
      </c>
      <c r="H58" s="402">
        <v>13</v>
      </c>
      <c r="I58" s="63">
        <v>7</v>
      </c>
      <c r="J58" s="235" t="s">
        <v>38</v>
      </c>
      <c r="K58" s="140">
        <v>112</v>
      </c>
      <c r="L58" s="14" t="s">
        <v>190</v>
      </c>
      <c r="M58" s="14" t="s">
        <v>1486</v>
      </c>
      <c r="R58" s="260"/>
      <c r="S58" s="205"/>
    </row>
    <row r="59" spans="1:20" x14ac:dyDescent="0.35">
      <c r="C59" s="237">
        <v>-2.0640000000000001</v>
      </c>
      <c r="D59" s="261">
        <v>10.402857142857137</v>
      </c>
      <c r="F59" s="402">
        <v>111</v>
      </c>
      <c r="G59" s="1" t="s">
        <v>22</v>
      </c>
      <c r="H59" s="402">
        <v>17</v>
      </c>
      <c r="I59" s="63">
        <v>16</v>
      </c>
      <c r="J59" s="235" t="s">
        <v>25</v>
      </c>
      <c r="K59" s="140">
        <v>93</v>
      </c>
      <c r="L59" s="14" t="s">
        <v>301</v>
      </c>
      <c r="M59" s="14" t="s">
        <v>1487</v>
      </c>
      <c r="R59" s="260"/>
      <c r="S59" s="205"/>
    </row>
    <row r="60" spans="1:20" x14ac:dyDescent="0.35">
      <c r="C60" s="237">
        <v>0.104</v>
      </c>
      <c r="D60" s="261">
        <v>5.282857142857134</v>
      </c>
      <c r="F60" s="402">
        <v>110</v>
      </c>
      <c r="G60" s="1" t="s">
        <v>56</v>
      </c>
      <c r="H60" s="402">
        <v>22</v>
      </c>
      <c r="I60" s="63">
        <v>12</v>
      </c>
      <c r="J60" s="235" t="s">
        <v>54</v>
      </c>
      <c r="K60" s="140">
        <v>102</v>
      </c>
      <c r="L60" s="14" t="s">
        <v>950</v>
      </c>
      <c r="M60" s="14" t="s">
        <v>1488</v>
      </c>
      <c r="R60" s="260"/>
      <c r="S60" s="205"/>
    </row>
    <row r="61" spans="1:20" x14ac:dyDescent="0.35">
      <c r="C61" s="237">
        <v>-3.9649999999999999</v>
      </c>
      <c r="D61" s="261">
        <v>37.341071428571425</v>
      </c>
      <c r="F61" s="402">
        <v>109</v>
      </c>
      <c r="G61" s="1" t="s">
        <v>68</v>
      </c>
      <c r="H61" s="402">
        <v>20</v>
      </c>
      <c r="I61" s="63">
        <v>16</v>
      </c>
      <c r="J61" s="235" t="s">
        <v>61</v>
      </c>
      <c r="K61" s="140">
        <v>54</v>
      </c>
      <c r="L61" s="14" t="s">
        <v>184</v>
      </c>
      <c r="M61" s="14" t="s">
        <v>1489</v>
      </c>
      <c r="R61" s="260"/>
      <c r="S61" s="205"/>
    </row>
    <row r="62" spans="1:20" x14ac:dyDescent="0.35">
      <c r="A62" s="6" t="s">
        <v>1799</v>
      </c>
      <c r="C62" s="237">
        <v>-2.0289999999999999</v>
      </c>
      <c r="D62" s="261">
        <v>19.86</v>
      </c>
      <c r="F62" s="402">
        <v>108</v>
      </c>
      <c r="G62" s="1" t="s">
        <v>52</v>
      </c>
      <c r="H62" s="402">
        <v>17</v>
      </c>
      <c r="I62" s="63">
        <v>15</v>
      </c>
      <c r="J62" s="235" t="s">
        <v>47</v>
      </c>
      <c r="K62" s="140">
        <v>77</v>
      </c>
      <c r="L62" s="14" t="s">
        <v>178</v>
      </c>
      <c r="M62" s="14" t="s">
        <v>1491</v>
      </c>
      <c r="O62" t="s">
        <v>1490</v>
      </c>
      <c r="R62" s="260"/>
      <c r="S62" s="205"/>
    </row>
    <row r="63" spans="1:20" x14ac:dyDescent="0.35">
      <c r="C63" s="237">
        <v>-1.9059999999999999</v>
      </c>
      <c r="D63" s="261">
        <v>20.557857142857149</v>
      </c>
      <c r="F63" s="402">
        <v>107</v>
      </c>
      <c r="G63" s="1" t="s">
        <v>909</v>
      </c>
      <c r="H63" s="402">
        <v>22</v>
      </c>
      <c r="I63" s="63">
        <v>13</v>
      </c>
      <c r="J63" s="235" t="s">
        <v>794</v>
      </c>
      <c r="K63" s="140">
        <v>74</v>
      </c>
      <c r="L63" s="14" t="s">
        <v>337</v>
      </c>
      <c r="M63" s="14" t="s">
        <v>1492</v>
      </c>
      <c r="R63" s="260"/>
      <c r="S63" s="205"/>
    </row>
    <row r="64" spans="1:20" x14ac:dyDescent="0.35">
      <c r="C64" s="237">
        <v>4.4059999999999997</v>
      </c>
      <c r="D64" s="261">
        <v>40.60285714285714</v>
      </c>
      <c r="F64" s="402">
        <v>34</v>
      </c>
      <c r="G64" s="1" t="s">
        <v>71</v>
      </c>
      <c r="H64" s="402">
        <v>14</v>
      </c>
      <c r="I64" s="63">
        <v>13</v>
      </c>
      <c r="J64" s="235" t="s">
        <v>65</v>
      </c>
      <c r="K64" s="140">
        <v>106</v>
      </c>
      <c r="L64" s="14" t="s">
        <v>1493</v>
      </c>
      <c r="M64" s="14" t="s">
        <v>1494</v>
      </c>
      <c r="N64" s="92" t="s">
        <v>2954</v>
      </c>
      <c r="O64" s="85" t="s">
        <v>2957</v>
      </c>
      <c r="R64" s="260"/>
      <c r="S64" s="205"/>
    </row>
    <row r="65" spans="1:19" x14ac:dyDescent="0.35">
      <c r="C65" s="257">
        <v>-4.55</v>
      </c>
      <c r="D65" s="261">
        <v>49.410714285714285</v>
      </c>
      <c r="E65" s="138"/>
      <c r="F65" s="402">
        <v>105</v>
      </c>
      <c r="G65" s="1" t="s">
        <v>27</v>
      </c>
      <c r="H65" s="402">
        <v>31</v>
      </c>
      <c r="I65" s="63">
        <v>14</v>
      </c>
      <c r="J65" s="235" t="s">
        <v>32</v>
      </c>
      <c r="K65" s="140">
        <v>29</v>
      </c>
      <c r="L65" s="14" t="s">
        <v>526</v>
      </c>
      <c r="M65" s="43" t="s">
        <v>1495</v>
      </c>
      <c r="N65" s="1" t="s">
        <v>2953</v>
      </c>
      <c r="R65" s="260"/>
      <c r="S65" s="205"/>
    </row>
    <row r="66" spans="1:19" x14ac:dyDescent="0.35">
      <c r="C66" s="237">
        <v>-5.3739999999999997</v>
      </c>
      <c r="D66" s="261">
        <v>66.552857142857107</v>
      </c>
      <c r="F66" s="402">
        <v>104</v>
      </c>
      <c r="G66" s="1" t="s">
        <v>72</v>
      </c>
      <c r="H66" s="402">
        <v>21</v>
      </c>
      <c r="I66" s="63">
        <v>20</v>
      </c>
      <c r="J66" s="235" t="s">
        <v>69</v>
      </c>
      <c r="K66" s="140">
        <v>6</v>
      </c>
      <c r="L66" s="14" t="s">
        <v>1496</v>
      </c>
      <c r="M66" s="14" t="s">
        <v>1497</v>
      </c>
      <c r="O66" t="s">
        <v>1498</v>
      </c>
      <c r="R66" s="260"/>
      <c r="S66" s="205"/>
    </row>
    <row r="67" spans="1:19" x14ac:dyDescent="0.35">
      <c r="C67" s="237">
        <v>-3.6339999999999999</v>
      </c>
      <c r="D67" s="261">
        <v>47.149285714285718</v>
      </c>
      <c r="F67" s="402">
        <v>103</v>
      </c>
      <c r="G67" s="1" t="s">
        <v>44</v>
      </c>
      <c r="H67" s="402">
        <v>19</v>
      </c>
      <c r="I67" s="63">
        <v>11</v>
      </c>
      <c r="J67" s="235" t="s">
        <v>42</v>
      </c>
      <c r="K67" s="140">
        <v>35</v>
      </c>
      <c r="L67" s="14" t="s">
        <v>297</v>
      </c>
      <c r="M67" s="14" t="s">
        <v>1499</v>
      </c>
      <c r="R67" s="260"/>
      <c r="S67" s="205"/>
    </row>
    <row r="68" spans="1:19" x14ac:dyDescent="0.35">
      <c r="A68" s="6" t="s">
        <v>1800</v>
      </c>
      <c r="C68" s="237">
        <v>6.0270000000000001</v>
      </c>
      <c r="D68" s="261">
        <v>58.123571428571395</v>
      </c>
      <c r="F68" s="402">
        <v>7</v>
      </c>
      <c r="G68" s="1" t="s">
        <v>34</v>
      </c>
      <c r="H68" s="402">
        <v>16</v>
      </c>
      <c r="I68" s="63">
        <v>14</v>
      </c>
      <c r="J68" s="235" t="s">
        <v>1860</v>
      </c>
      <c r="K68" s="140">
        <v>101</v>
      </c>
      <c r="L68" s="14" t="s">
        <v>186</v>
      </c>
      <c r="M68" s="14" t="s">
        <v>1500</v>
      </c>
      <c r="N68" s="92" t="s">
        <v>2954</v>
      </c>
      <c r="O68" t="s">
        <v>2958</v>
      </c>
      <c r="R68" s="260"/>
      <c r="S68" s="205"/>
    </row>
    <row r="69" spans="1:19" x14ac:dyDescent="0.35">
      <c r="C69" s="237">
        <v>-0.73399999999999999</v>
      </c>
      <c r="D69" s="261">
        <v>13.917142857142849</v>
      </c>
      <c r="F69" s="402">
        <v>100</v>
      </c>
      <c r="G69" s="1" t="s">
        <v>51</v>
      </c>
      <c r="H69" s="402">
        <v>19</v>
      </c>
      <c r="I69" s="63">
        <v>13</v>
      </c>
      <c r="J69" s="235" t="s">
        <v>48</v>
      </c>
      <c r="K69" s="140">
        <v>94</v>
      </c>
      <c r="L69" s="14" t="s">
        <v>404</v>
      </c>
      <c r="M69" s="14" t="s">
        <v>1501</v>
      </c>
      <c r="R69" s="260"/>
      <c r="S69" s="205"/>
    </row>
    <row r="70" spans="1:19" x14ac:dyDescent="0.35">
      <c r="C70" s="237">
        <v>0.59399999999999997</v>
      </c>
      <c r="D70" s="261">
        <v>25.914999999999999</v>
      </c>
      <c r="F70" s="402">
        <v>66</v>
      </c>
      <c r="G70" s="1" t="s">
        <v>66</v>
      </c>
      <c r="H70" s="402">
        <v>18</v>
      </c>
      <c r="I70" s="63">
        <v>13</v>
      </c>
      <c r="J70" s="235" t="s">
        <v>63</v>
      </c>
      <c r="K70" s="140">
        <v>99</v>
      </c>
      <c r="L70" s="14" t="s">
        <v>337</v>
      </c>
      <c r="M70" s="14" t="s">
        <v>1503</v>
      </c>
      <c r="O70" s="85" t="s">
        <v>1502</v>
      </c>
      <c r="R70" s="260"/>
      <c r="S70" s="205"/>
    </row>
    <row r="71" spans="1:19" x14ac:dyDescent="0.35">
      <c r="C71" s="237">
        <v>3.9569999999999999</v>
      </c>
      <c r="D71" s="261">
        <v>40.52178571428572</v>
      </c>
      <c r="F71" s="402">
        <v>43</v>
      </c>
      <c r="G71" s="1" t="s">
        <v>966</v>
      </c>
      <c r="H71" s="402">
        <v>13</v>
      </c>
      <c r="I71" s="63">
        <v>12</v>
      </c>
      <c r="J71" s="235" t="s">
        <v>964</v>
      </c>
      <c r="K71" s="140">
        <v>98</v>
      </c>
      <c r="L71" s="14" t="s">
        <v>578</v>
      </c>
      <c r="M71" s="14" t="s">
        <v>1504</v>
      </c>
      <c r="N71" s="92" t="s">
        <v>2954</v>
      </c>
      <c r="R71" s="260"/>
      <c r="S71" s="205"/>
    </row>
    <row r="72" spans="1:19" x14ac:dyDescent="0.35">
      <c r="C72" s="237">
        <v>4.016</v>
      </c>
      <c r="D72" s="261">
        <v>53.559999999999995</v>
      </c>
      <c r="F72" s="402">
        <v>25</v>
      </c>
      <c r="G72" s="1" t="s">
        <v>785</v>
      </c>
      <c r="H72" s="402">
        <v>16</v>
      </c>
      <c r="I72" s="63">
        <v>6</v>
      </c>
      <c r="J72" s="235" t="s">
        <v>796</v>
      </c>
      <c r="K72" s="140">
        <v>97</v>
      </c>
      <c r="L72" s="14" t="s">
        <v>181</v>
      </c>
      <c r="M72" s="14" t="s">
        <v>1505</v>
      </c>
      <c r="R72" s="260"/>
      <c r="S72" s="205"/>
    </row>
    <row r="73" spans="1:19" x14ac:dyDescent="0.35">
      <c r="C73" s="237">
        <v>-3.5070000000000001</v>
      </c>
      <c r="D73" s="261">
        <v>52.478214285714294</v>
      </c>
      <c r="F73" s="402">
        <v>96</v>
      </c>
      <c r="G73" s="1" t="s">
        <v>117</v>
      </c>
      <c r="H73" s="402">
        <v>16</v>
      </c>
      <c r="I73" s="63">
        <v>14</v>
      </c>
      <c r="J73" s="235" t="s">
        <v>53</v>
      </c>
      <c r="K73" s="140">
        <v>31</v>
      </c>
      <c r="L73" s="14" t="s">
        <v>334</v>
      </c>
      <c r="M73" s="14" t="s">
        <v>1506</v>
      </c>
      <c r="O73" t="s">
        <v>1507</v>
      </c>
      <c r="R73" s="260"/>
      <c r="S73" s="205"/>
    </row>
    <row r="74" spans="1:19" x14ac:dyDescent="0.35">
      <c r="C74" s="237">
        <v>2.915</v>
      </c>
      <c r="D74" s="261">
        <v>39.25714285714286</v>
      </c>
      <c r="F74" s="402">
        <v>51</v>
      </c>
      <c r="G74" s="1" t="s">
        <v>908</v>
      </c>
      <c r="H74" s="402">
        <v>14</v>
      </c>
      <c r="I74" s="63">
        <v>12</v>
      </c>
      <c r="J74" s="235" t="s">
        <v>784</v>
      </c>
      <c r="K74" s="140">
        <v>95</v>
      </c>
      <c r="L74" s="14" t="s">
        <v>294</v>
      </c>
      <c r="M74" s="14" t="s">
        <v>1508</v>
      </c>
      <c r="N74" s="92" t="s">
        <v>2954</v>
      </c>
      <c r="R74" s="260"/>
      <c r="S74" s="205"/>
    </row>
    <row r="75" spans="1:19" x14ac:dyDescent="0.35">
      <c r="C75" s="237">
        <v>3.5339999999999998</v>
      </c>
      <c r="D75" s="261">
        <v>49.663214285714282</v>
      </c>
      <c r="F75" s="402">
        <v>27</v>
      </c>
      <c r="G75" s="1" t="s">
        <v>79</v>
      </c>
      <c r="H75" s="402">
        <v>20</v>
      </c>
      <c r="I75" s="63">
        <v>11</v>
      </c>
      <c r="J75" s="235" t="s">
        <v>76</v>
      </c>
      <c r="K75" s="140">
        <v>92</v>
      </c>
      <c r="L75" s="14" t="s">
        <v>296</v>
      </c>
      <c r="M75" s="14" t="s">
        <v>1509</v>
      </c>
      <c r="R75" s="260"/>
      <c r="S75" s="205"/>
    </row>
    <row r="76" spans="1:19" x14ac:dyDescent="0.35">
      <c r="A76" s="6" t="s">
        <v>1801</v>
      </c>
      <c r="C76" s="237">
        <v>4.0069999999999997</v>
      </c>
      <c r="D76" s="261">
        <v>58.20928571428572</v>
      </c>
      <c r="F76" s="402">
        <v>18</v>
      </c>
      <c r="G76" s="1" t="s">
        <v>962</v>
      </c>
      <c r="H76" s="402">
        <v>17</v>
      </c>
      <c r="I76" s="63">
        <v>12</v>
      </c>
      <c r="J76" s="235" t="s">
        <v>1343</v>
      </c>
      <c r="K76" s="140">
        <v>91</v>
      </c>
      <c r="L76" s="14" t="s">
        <v>281</v>
      </c>
      <c r="M76" s="14" t="s">
        <v>1511</v>
      </c>
      <c r="R76" s="260"/>
      <c r="S76" s="205"/>
    </row>
    <row r="77" spans="1:19" x14ac:dyDescent="0.35">
      <c r="C77" s="237">
        <v>-0.22800000000000001</v>
      </c>
      <c r="D77" s="261">
        <v>31.859285714285711</v>
      </c>
      <c r="F77" s="402">
        <v>90</v>
      </c>
      <c r="G77" s="1" t="s">
        <v>114</v>
      </c>
      <c r="H77" s="402">
        <v>14</v>
      </c>
      <c r="I77" s="63">
        <v>13</v>
      </c>
      <c r="J77" s="235" t="s">
        <v>70</v>
      </c>
      <c r="K77" s="140">
        <v>63</v>
      </c>
      <c r="L77" s="14" t="s">
        <v>533</v>
      </c>
      <c r="M77" s="14" t="s">
        <v>1512</v>
      </c>
      <c r="R77" s="260"/>
      <c r="S77" s="205"/>
    </row>
    <row r="78" spans="1:19" x14ac:dyDescent="0.35">
      <c r="C78" s="237">
        <v>4.0540000000000003</v>
      </c>
      <c r="D78" s="261">
        <v>46.479285714285709</v>
      </c>
      <c r="F78" s="402">
        <v>37</v>
      </c>
      <c r="G78" s="1" t="s">
        <v>1302</v>
      </c>
      <c r="H78" s="402">
        <v>17</v>
      </c>
      <c r="I78" s="63">
        <v>15</v>
      </c>
      <c r="J78" s="235" t="s">
        <v>1308</v>
      </c>
      <c r="K78" s="140">
        <v>89</v>
      </c>
      <c r="L78" s="14" t="s">
        <v>299</v>
      </c>
      <c r="M78" s="14" t="s">
        <v>1513</v>
      </c>
      <c r="N78" s="92" t="s">
        <v>2954</v>
      </c>
      <c r="R78" s="260"/>
      <c r="S78" s="205"/>
    </row>
    <row r="79" spans="1:19" x14ac:dyDescent="0.35">
      <c r="C79" s="237">
        <v>5.7560000000000002</v>
      </c>
      <c r="D79" s="261">
        <v>60.888571428571424</v>
      </c>
      <c r="F79" s="402">
        <v>10</v>
      </c>
      <c r="G79" s="1" t="s">
        <v>790</v>
      </c>
      <c r="H79" s="402">
        <v>19</v>
      </c>
      <c r="I79" s="63">
        <v>11</v>
      </c>
      <c r="J79" s="235" t="s">
        <v>789</v>
      </c>
      <c r="K79" s="140">
        <v>88</v>
      </c>
      <c r="L79" s="14" t="s">
        <v>295</v>
      </c>
      <c r="M79" s="14" t="s">
        <v>1514</v>
      </c>
      <c r="R79" s="260"/>
      <c r="S79" s="205"/>
    </row>
    <row r="80" spans="1:19" x14ac:dyDescent="0.35">
      <c r="C80" s="237">
        <v>-0.151</v>
      </c>
      <c r="D80" s="261">
        <v>33.589999999999996</v>
      </c>
      <c r="F80" s="402">
        <v>87</v>
      </c>
      <c r="G80" s="1" t="s">
        <v>30</v>
      </c>
      <c r="H80" s="402">
        <v>24</v>
      </c>
      <c r="I80" s="63">
        <v>21</v>
      </c>
      <c r="J80" s="235" t="s">
        <v>31</v>
      </c>
      <c r="K80" s="140">
        <v>62</v>
      </c>
      <c r="L80" s="14" t="s">
        <v>504</v>
      </c>
      <c r="M80" s="14" t="s">
        <v>1515</v>
      </c>
      <c r="O80" s="85" t="s">
        <v>1516</v>
      </c>
      <c r="R80" s="260"/>
      <c r="S80" s="205"/>
    </row>
    <row r="81" spans="1:20" x14ac:dyDescent="0.35">
      <c r="C81" s="237">
        <v>0.80300000000000005</v>
      </c>
      <c r="D81" s="261">
        <v>24.872857142857143</v>
      </c>
      <c r="F81" s="402">
        <v>81</v>
      </c>
      <c r="G81" s="1" t="s">
        <v>81</v>
      </c>
      <c r="H81" s="402">
        <v>14</v>
      </c>
      <c r="I81" s="63">
        <v>9</v>
      </c>
      <c r="J81" s="235" t="s">
        <v>84</v>
      </c>
      <c r="K81" s="140">
        <v>86</v>
      </c>
      <c r="L81" s="14" t="s">
        <v>331</v>
      </c>
      <c r="M81" s="14" t="s">
        <v>1517</v>
      </c>
      <c r="R81" s="260"/>
      <c r="S81" s="205"/>
    </row>
    <row r="82" spans="1:20" x14ac:dyDescent="0.35">
      <c r="C82" s="237">
        <v>-3.6589999999999998</v>
      </c>
      <c r="D82" s="261">
        <v>64.39928571428571</v>
      </c>
      <c r="F82" s="402">
        <v>85</v>
      </c>
      <c r="G82" s="1" t="s">
        <v>792</v>
      </c>
      <c r="H82" s="402">
        <v>21</v>
      </c>
      <c r="I82" s="63">
        <v>17</v>
      </c>
      <c r="J82" s="235" t="s">
        <v>788</v>
      </c>
      <c r="K82" s="140">
        <v>22</v>
      </c>
      <c r="L82" s="14" t="s">
        <v>290</v>
      </c>
      <c r="M82" s="14" t="s">
        <v>1518</v>
      </c>
      <c r="R82" s="260"/>
      <c r="S82" s="205"/>
    </row>
    <row r="83" spans="1:20" x14ac:dyDescent="0.35">
      <c r="C83" s="237">
        <v>6.4980000000000002</v>
      </c>
      <c r="D83" s="261">
        <v>64.287142857142854</v>
      </c>
      <c r="F83" s="402">
        <v>3</v>
      </c>
      <c r="G83" s="1" t="s">
        <v>87</v>
      </c>
      <c r="H83" s="402">
        <v>33</v>
      </c>
      <c r="I83" s="63">
        <v>20</v>
      </c>
      <c r="J83" s="235" t="s">
        <v>86</v>
      </c>
      <c r="K83" s="140">
        <v>84</v>
      </c>
      <c r="L83" s="14" t="s">
        <v>1519</v>
      </c>
      <c r="M83" s="14" t="s">
        <v>1520</v>
      </c>
      <c r="O83" s="85" t="s">
        <v>1521</v>
      </c>
      <c r="R83" s="260"/>
      <c r="S83" s="205"/>
    </row>
    <row r="84" spans="1:20" x14ac:dyDescent="0.35">
      <c r="C84" s="237">
        <v>2.4460000000000002</v>
      </c>
      <c r="D84" s="261">
        <v>46.422499999999999</v>
      </c>
      <c r="F84" s="402">
        <v>47</v>
      </c>
      <c r="G84" s="1" t="s">
        <v>960</v>
      </c>
      <c r="H84" s="402">
        <v>17</v>
      </c>
      <c r="I84" s="63">
        <v>11</v>
      </c>
      <c r="J84" s="235" t="s">
        <v>958</v>
      </c>
      <c r="K84" s="140">
        <v>82</v>
      </c>
      <c r="L84" s="14" t="s">
        <v>286</v>
      </c>
      <c r="M84" s="14" t="s">
        <v>1522</v>
      </c>
      <c r="R84" s="260"/>
      <c r="S84" s="205"/>
    </row>
    <row r="85" spans="1:20" x14ac:dyDescent="0.35">
      <c r="C85" s="257">
        <v>-2.41</v>
      </c>
      <c r="D85" s="261">
        <v>47.078571428571422</v>
      </c>
      <c r="E85" s="138"/>
      <c r="F85" s="402">
        <v>80</v>
      </c>
      <c r="G85" s="1" t="s">
        <v>292</v>
      </c>
      <c r="H85" s="402">
        <v>17</v>
      </c>
      <c r="I85" s="63">
        <v>16</v>
      </c>
      <c r="J85" s="235" t="s">
        <v>29</v>
      </c>
      <c r="K85" s="140">
        <v>56</v>
      </c>
      <c r="L85" s="14" t="s">
        <v>186</v>
      </c>
      <c r="M85" s="14" t="s">
        <v>1524</v>
      </c>
      <c r="O85" s="85" t="s">
        <v>1523</v>
      </c>
      <c r="R85" s="260"/>
      <c r="S85" s="205"/>
    </row>
    <row r="86" spans="1:20" x14ac:dyDescent="0.35">
      <c r="C86" s="237">
        <v>4.4459999999999997</v>
      </c>
      <c r="D86" s="261">
        <v>53.029642857142868</v>
      </c>
      <c r="F86" s="402">
        <v>30</v>
      </c>
      <c r="G86" s="1" t="s">
        <v>793</v>
      </c>
      <c r="H86" s="402">
        <v>27</v>
      </c>
      <c r="I86" s="63">
        <v>11</v>
      </c>
      <c r="J86" s="235" t="s">
        <v>786</v>
      </c>
      <c r="K86" s="140">
        <v>79</v>
      </c>
      <c r="L86" s="14" t="s">
        <v>334</v>
      </c>
      <c r="M86" s="14" t="s">
        <v>1525</v>
      </c>
      <c r="R86" s="260"/>
      <c r="S86" s="205"/>
    </row>
    <row r="87" spans="1:20" x14ac:dyDescent="0.35">
      <c r="C87" s="237">
        <v>3.101</v>
      </c>
      <c r="D87" s="261">
        <v>47.160000000000004</v>
      </c>
      <c r="F87" s="402">
        <v>48</v>
      </c>
      <c r="G87" s="1" t="s">
        <v>77</v>
      </c>
      <c r="H87" s="402">
        <v>19</v>
      </c>
      <c r="I87" s="63">
        <v>15</v>
      </c>
      <c r="J87" s="235" t="s">
        <v>73</v>
      </c>
      <c r="K87" s="140">
        <v>78</v>
      </c>
      <c r="L87" s="14" t="s">
        <v>443</v>
      </c>
      <c r="M87" s="14" t="s">
        <v>1526</v>
      </c>
      <c r="R87" s="260"/>
      <c r="S87" s="205"/>
    </row>
    <row r="88" spans="1:20" x14ac:dyDescent="0.35">
      <c r="C88" s="237">
        <v>3.105</v>
      </c>
      <c r="D88" s="261">
        <v>48.764285714285712</v>
      </c>
      <c r="F88" s="402">
        <v>46</v>
      </c>
      <c r="G88" s="1" t="s">
        <v>145</v>
      </c>
      <c r="H88" s="402">
        <v>15</v>
      </c>
      <c r="I88" s="63">
        <v>13</v>
      </c>
      <c r="J88" s="235" t="s">
        <v>55</v>
      </c>
      <c r="K88" s="140">
        <v>76</v>
      </c>
      <c r="L88" s="14" t="s">
        <v>181</v>
      </c>
      <c r="M88" s="14" t="s">
        <v>1527</v>
      </c>
      <c r="N88" s="92" t="s">
        <v>2954</v>
      </c>
      <c r="R88" s="260"/>
      <c r="S88" s="205"/>
    </row>
    <row r="89" spans="1:20" x14ac:dyDescent="0.35">
      <c r="A89" s="6" t="s">
        <v>1528</v>
      </c>
      <c r="C89" s="237">
        <v>0.623</v>
      </c>
      <c r="D89" s="261">
        <v>34.376428571428562</v>
      </c>
      <c r="F89" s="402">
        <v>71</v>
      </c>
      <c r="G89" s="1" t="s">
        <v>965</v>
      </c>
      <c r="H89" s="402">
        <v>18</v>
      </c>
      <c r="I89" s="63">
        <v>15</v>
      </c>
      <c r="J89" s="235" t="s">
        <v>1342</v>
      </c>
      <c r="K89" s="140">
        <v>75</v>
      </c>
      <c r="L89" s="14" t="s">
        <v>185</v>
      </c>
      <c r="M89" s="14" t="s">
        <v>1529</v>
      </c>
      <c r="R89" s="260"/>
      <c r="S89" s="205"/>
    </row>
    <row r="90" spans="1:20" x14ac:dyDescent="0.35">
      <c r="C90" s="237">
        <v>-4.4889999999999999</v>
      </c>
      <c r="D90" s="261">
        <v>71.063571428571422</v>
      </c>
      <c r="F90" s="402">
        <v>73</v>
      </c>
      <c r="G90" s="1" t="s">
        <v>795</v>
      </c>
      <c r="H90" s="402">
        <v>25</v>
      </c>
      <c r="I90" s="63">
        <v>13</v>
      </c>
      <c r="J90" s="235" t="s">
        <v>783</v>
      </c>
      <c r="K90" s="140">
        <v>17</v>
      </c>
      <c r="L90" s="14" t="s">
        <v>1530</v>
      </c>
      <c r="M90" s="43" t="s">
        <v>1531</v>
      </c>
      <c r="N90" s="1" t="s">
        <v>2953</v>
      </c>
      <c r="O90" s="85" t="s">
        <v>2956</v>
      </c>
      <c r="R90" s="260"/>
      <c r="S90" s="205"/>
    </row>
    <row r="91" spans="1:20" x14ac:dyDescent="0.35">
      <c r="C91" s="237">
        <v>2.552</v>
      </c>
      <c r="D91" s="261">
        <v>47.953928571428563</v>
      </c>
      <c r="F91" s="402">
        <v>53</v>
      </c>
      <c r="G91" s="1" t="s">
        <v>64</v>
      </c>
      <c r="H91" s="402">
        <v>21</v>
      </c>
      <c r="I91" s="63">
        <v>19</v>
      </c>
      <c r="J91" s="235" t="s">
        <v>62</v>
      </c>
      <c r="K91" s="140">
        <v>72</v>
      </c>
      <c r="L91" s="14" t="s">
        <v>443</v>
      </c>
      <c r="M91" s="14" t="s">
        <v>1532</v>
      </c>
      <c r="N91" s="92" t="s">
        <v>2954</v>
      </c>
      <c r="R91" s="260"/>
      <c r="S91" s="205"/>
      <c r="T91" s="70"/>
    </row>
    <row r="92" spans="1:20" x14ac:dyDescent="0.35">
      <c r="C92" s="237">
        <v>2.4769999999999999</v>
      </c>
      <c r="D92" s="261">
        <v>54.837857142857139</v>
      </c>
      <c r="F92" s="402">
        <v>38</v>
      </c>
      <c r="G92" s="1" t="s">
        <v>39</v>
      </c>
      <c r="H92" s="402">
        <v>14</v>
      </c>
      <c r="I92" s="63">
        <v>9</v>
      </c>
      <c r="J92" s="235" t="s">
        <v>35</v>
      </c>
      <c r="K92" s="140">
        <v>70</v>
      </c>
      <c r="L92" s="14" t="s">
        <v>186</v>
      </c>
      <c r="M92" s="14" t="s">
        <v>1533</v>
      </c>
      <c r="R92" s="260"/>
      <c r="S92" s="205"/>
      <c r="T92" s="70"/>
    </row>
    <row r="93" spans="1:20" x14ac:dyDescent="0.35">
      <c r="A93" s="6" t="s">
        <v>1537</v>
      </c>
      <c r="C93" s="237">
        <v>3.266</v>
      </c>
      <c r="D93" s="261">
        <v>53.872499999999988</v>
      </c>
      <c r="F93" s="402">
        <v>40</v>
      </c>
      <c r="G93" s="1" t="s">
        <v>900</v>
      </c>
      <c r="H93" s="402">
        <v>20</v>
      </c>
      <c r="I93" s="63">
        <v>8</v>
      </c>
      <c r="J93" s="235" t="s">
        <v>37</v>
      </c>
      <c r="K93" s="140">
        <v>69</v>
      </c>
      <c r="L93" s="14" t="s">
        <v>201</v>
      </c>
      <c r="M93" s="14" t="s">
        <v>1534</v>
      </c>
      <c r="R93" s="260"/>
      <c r="S93" s="205"/>
      <c r="T93" s="70"/>
    </row>
    <row r="94" spans="1:20" x14ac:dyDescent="0.35">
      <c r="C94" s="257">
        <v>0.72</v>
      </c>
      <c r="D94" s="261">
        <v>41.896428571428565</v>
      </c>
      <c r="E94" s="138"/>
      <c r="F94" s="402">
        <v>61</v>
      </c>
      <c r="G94" s="1" t="s">
        <v>75</v>
      </c>
      <c r="H94" s="402">
        <v>18</v>
      </c>
      <c r="I94" s="63">
        <v>17</v>
      </c>
      <c r="J94" s="235" t="s">
        <v>80</v>
      </c>
      <c r="K94" s="140">
        <v>68</v>
      </c>
      <c r="L94" s="14" t="s">
        <v>443</v>
      </c>
      <c r="M94" s="14" t="s">
        <v>1536</v>
      </c>
      <c r="O94" s="85" t="s">
        <v>1535</v>
      </c>
      <c r="R94" s="260"/>
      <c r="S94" s="205"/>
      <c r="T94" s="70"/>
    </row>
    <row r="95" spans="1:20" x14ac:dyDescent="0.35">
      <c r="C95" s="237">
        <v>-1.329</v>
      </c>
      <c r="D95" s="261">
        <v>45.145714285714277</v>
      </c>
      <c r="F95" s="402">
        <v>67</v>
      </c>
      <c r="G95" s="1" t="s">
        <v>46</v>
      </c>
      <c r="H95" s="402">
        <v>12</v>
      </c>
      <c r="I95" s="63">
        <v>7</v>
      </c>
      <c r="J95" s="235" t="s">
        <v>43</v>
      </c>
      <c r="K95" s="140">
        <v>58</v>
      </c>
      <c r="L95" s="14" t="s">
        <v>447</v>
      </c>
      <c r="M95" s="14" t="s">
        <v>1538</v>
      </c>
      <c r="R95" s="260"/>
      <c r="S95" s="205"/>
      <c r="T95" s="70"/>
    </row>
    <row r="96" spans="1:20" x14ac:dyDescent="0.35">
      <c r="C96" s="237">
        <v>2.919</v>
      </c>
      <c r="D96" s="261">
        <v>67.915000000000006</v>
      </c>
      <c r="F96" s="402">
        <v>19</v>
      </c>
      <c r="G96" s="1" t="s">
        <v>26</v>
      </c>
      <c r="H96" s="402">
        <v>17</v>
      </c>
      <c r="I96" s="63">
        <v>12</v>
      </c>
      <c r="J96" s="235" t="s">
        <v>24</v>
      </c>
      <c r="K96" s="140">
        <v>65</v>
      </c>
      <c r="L96" s="14" t="s">
        <v>299</v>
      </c>
      <c r="M96" s="14" t="s">
        <v>1539</v>
      </c>
      <c r="R96" s="260"/>
      <c r="S96" s="205"/>
      <c r="T96" s="70"/>
    </row>
    <row r="97" spans="1:20" x14ac:dyDescent="0.35">
      <c r="C97" s="257">
        <v>3.42</v>
      </c>
      <c r="D97" s="261">
        <v>58.583928571428579</v>
      </c>
      <c r="E97" s="138"/>
      <c r="F97" s="402">
        <v>33</v>
      </c>
      <c r="G97" s="1" t="s">
        <v>1301</v>
      </c>
      <c r="H97" s="402">
        <v>22</v>
      </c>
      <c r="I97" s="63">
        <v>9</v>
      </c>
      <c r="J97" s="235" t="s">
        <v>3913</v>
      </c>
      <c r="K97" s="140">
        <v>64</v>
      </c>
      <c r="L97" s="14" t="s">
        <v>347</v>
      </c>
      <c r="M97" s="43" t="s">
        <v>1540</v>
      </c>
      <c r="N97" s="1" t="s">
        <v>2953</v>
      </c>
      <c r="R97" s="260"/>
      <c r="S97" s="205"/>
      <c r="T97" s="70"/>
    </row>
    <row r="98" spans="1:20" x14ac:dyDescent="0.35">
      <c r="C98" s="257">
        <v>3.89</v>
      </c>
      <c r="D98" s="261">
        <v>74.007142857142853</v>
      </c>
      <c r="E98" s="138"/>
      <c r="F98" s="402">
        <v>5</v>
      </c>
      <c r="G98" s="1" t="s">
        <v>961</v>
      </c>
      <c r="H98" s="402">
        <v>19</v>
      </c>
      <c r="I98" s="63">
        <v>8</v>
      </c>
      <c r="J98" s="235" t="s">
        <v>959</v>
      </c>
      <c r="K98" s="140">
        <v>60</v>
      </c>
      <c r="L98" s="14" t="s">
        <v>297</v>
      </c>
      <c r="M98" s="14" t="s">
        <v>1541</v>
      </c>
      <c r="R98" s="260"/>
      <c r="S98" s="205"/>
      <c r="T98" s="70"/>
    </row>
    <row r="99" spans="1:20" x14ac:dyDescent="0.35">
      <c r="C99" s="237">
        <v>2.2120000000000002</v>
      </c>
      <c r="D99" s="261">
        <v>58.241428571428578</v>
      </c>
      <c r="F99" s="402">
        <v>41</v>
      </c>
      <c r="G99" s="1" t="s">
        <v>45</v>
      </c>
      <c r="H99" s="402">
        <v>14</v>
      </c>
      <c r="I99" s="63">
        <v>10</v>
      </c>
      <c r="J99" s="235" t="s">
        <v>1859</v>
      </c>
      <c r="K99" s="140">
        <v>59</v>
      </c>
      <c r="L99" s="14" t="s">
        <v>400</v>
      </c>
      <c r="M99" s="14" t="s">
        <v>1542</v>
      </c>
      <c r="R99" s="260"/>
      <c r="S99" s="205"/>
      <c r="T99" s="70"/>
    </row>
    <row r="100" spans="1:20" x14ac:dyDescent="0.35">
      <c r="C100" s="257">
        <v>2.68</v>
      </c>
      <c r="D100" s="261">
        <v>70.228571428571428</v>
      </c>
      <c r="E100" s="138"/>
      <c r="F100" s="402">
        <v>21</v>
      </c>
      <c r="G100" s="1" t="s">
        <v>83</v>
      </c>
      <c r="H100" s="402">
        <v>18</v>
      </c>
      <c r="I100" s="63">
        <v>14</v>
      </c>
      <c r="J100" s="235" t="s">
        <v>88</v>
      </c>
      <c r="K100" s="140">
        <v>57</v>
      </c>
      <c r="L100" s="14" t="s">
        <v>299</v>
      </c>
      <c r="M100" s="14" t="s">
        <v>1543</v>
      </c>
      <c r="R100" s="260"/>
      <c r="S100" s="205"/>
      <c r="T100" s="70"/>
    </row>
    <row r="101" spans="1:20" x14ac:dyDescent="0.35">
      <c r="C101" s="237">
        <v>-1.369</v>
      </c>
      <c r="D101" s="261">
        <v>72.763571428571424</v>
      </c>
      <c r="F101" s="402">
        <v>55</v>
      </c>
      <c r="G101" s="1" t="s">
        <v>115</v>
      </c>
      <c r="H101" s="402">
        <v>16</v>
      </c>
      <c r="I101" s="63">
        <v>11</v>
      </c>
      <c r="J101" s="235" t="s">
        <v>60</v>
      </c>
      <c r="K101" s="140">
        <v>24</v>
      </c>
      <c r="L101" s="14" t="s">
        <v>186</v>
      </c>
      <c r="M101" s="14" t="s">
        <v>1544</v>
      </c>
      <c r="R101" s="260"/>
      <c r="S101" s="205"/>
      <c r="T101" s="70"/>
    </row>
    <row r="102" spans="1:20" x14ac:dyDescent="0.35">
      <c r="C102" s="237">
        <v>1.591</v>
      </c>
      <c r="D102" s="261">
        <v>75.64928571428571</v>
      </c>
      <c r="F102" s="402">
        <v>13</v>
      </c>
      <c r="G102" s="1" t="s">
        <v>33</v>
      </c>
      <c r="H102" s="402">
        <v>18</v>
      </c>
      <c r="I102" s="63">
        <v>17</v>
      </c>
      <c r="J102" s="235" t="s">
        <v>23</v>
      </c>
      <c r="K102" s="140">
        <v>52</v>
      </c>
      <c r="L102" s="14" t="s">
        <v>443</v>
      </c>
      <c r="M102" s="14" t="s">
        <v>1545</v>
      </c>
      <c r="N102" s="92" t="s">
        <v>2954</v>
      </c>
      <c r="R102" s="260"/>
      <c r="S102" s="205"/>
      <c r="T102" s="70"/>
    </row>
    <row r="103" spans="1:20" x14ac:dyDescent="0.35">
      <c r="C103" s="237">
        <v>-0.376</v>
      </c>
      <c r="D103" s="261">
        <v>68.929285714285712</v>
      </c>
      <c r="F103" s="402">
        <v>50</v>
      </c>
      <c r="G103" s="1" t="s">
        <v>85</v>
      </c>
      <c r="H103" s="402">
        <v>13</v>
      </c>
      <c r="I103" s="63">
        <v>11</v>
      </c>
      <c r="J103" s="235" t="s">
        <v>82</v>
      </c>
      <c r="K103" s="140">
        <v>28</v>
      </c>
      <c r="L103" s="14" t="s">
        <v>294</v>
      </c>
      <c r="M103" s="14" t="s">
        <v>1546</v>
      </c>
      <c r="R103" s="260"/>
      <c r="S103" s="205"/>
      <c r="T103" s="70"/>
    </row>
    <row r="104" spans="1:20" x14ac:dyDescent="0.35">
      <c r="C104" s="237">
        <v>2.9590000000000001</v>
      </c>
      <c r="D104" s="261">
        <v>80.02928571428572</v>
      </c>
      <c r="F104" s="402">
        <v>1</v>
      </c>
      <c r="G104" s="1" t="s">
        <v>119</v>
      </c>
      <c r="H104" s="402">
        <v>19</v>
      </c>
      <c r="I104" s="63">
        <v>4</v>
      </c>
      <c r="J104" s="235" t="s">
        <v>28</v>
      </c>
      <c r="K104" s="140">
        <v>49</v>
      </c>
      <c r="L104" s="14" t="s">
        <v>447</v>
      </c>
      <c r="M104" s="43" t="s">
        <v>1552</v>
      </c>
      <c r="N104" s="1" t="s">
        <v>2953</v>
      </c>
      <c r="R104" s="260"/>
      <c r="S104" s="205"/>
      <c r="T104" s="70"/>
    </row>
    <row r="105" spans="1:20" x14ac:dyDescent="0.35">
      <c r="C105" s="237">
        <v>-1.4259999999999999</v>
      </c>
      <c r="D105" s="261">
        <v>81.018571428571434</v>
      </c>
      <c r="F105" s="402">
        <v>45</v>
      </c>
      <c r="G105" s="1" t="s">
        <v>791</v>
      </c>
      <c r="H105" s="402">
        <v>20</v>
      </c>
      <c r="I105" s="63">
        <v>18</v>
      </c>
      <c r="J105" s="235" t="s">
        <v>787</v>
      </c>
      <c r="K105" s="140">
        <v>11</v>
      </c>
      <c r="L105" s="14" t="s">
        <v>621</v>
      </c>
      <c r="M105" s="14" t="s">
        <v>1553</v>
      </c>
      <c r="R105" s="260"/>
      <c r="S105" s="205"/>
      <c r="T105" s="70"/>
    </row>
    <row r="106" spans="1:20" x14ac:dyDescent="0.35">
      <c r="C106" s="237">
        <v>1.659</v>
      </c>
      <c r="D106" s="261">
        <v>74.886428571428581</v>
      </c>
      <c r="F106" s="402">
        <v>23</v>
      </c>
      <c r="G106" s="1" t="s">
        <v>78</v>
      </c>
      <c r="H106" s="402">
        <v>18</v>
      </c>
      <c r="I106" s="63">
        <v>14</v>
      </c>
      <c r="J106" s="235" t="s">
        <v>74</v>
      </c>
      <c r="K106" s="140">
        <v>44</v>
      </c>
      <c r="L106" s="14" t="s">
        <v>358</v>
      </c>
      <c r="M106" s="14" t="s">
        <v>1554</v>
      </c>
      <c r="R106" s="260"/>
      <c r="S106" s="205"/>
      <c r="T106" s="70"/>
    </row>
    <row r="107" spans="1:20" x14ac:dyDescent="0.35">
      <c r="C107" s="237">
        <v>-1.3640000000000001</v>
      </c>
      <c r="D107" s="261">
        <v>78.831428571428575</v>
      </c>
      <c r="F107" s="402">
        <v>42</v>
      </c>
      <c r="G107" s="1" t="s">
        <v>50</v>
      </c>
      <c r="H107" s="402">
        <v>19</v>
      </c>
      <c r="I107" s="63">
        <v>17</v>
      </c>
      <c r="J107" s="235" t="s">
        <v>58</v>
      </c>
      <c r="K107" s="140">
        <v>20</v>
      </c>
      <c r="L107" s="14" t="s">
        <v>347</v>
      </c>
      <c r="M107" s="14" t="s">
        <v>1555</v>
      </c>
      <c r="R107" s="260"/>
      <c r="S107" s="205"/>
      <c r="T107" s="70"/>
    </row>
    <row r="108" spans="1:20" x14ac:dyDescent="0.35">
      <c r="C108" s="237">
        <v>1.7210000000000001</v>
      </c>
      <c r="D108" s="261">
        <v>81.627857142857138</v>
      </c>
      <c r="F108" s="402">
        <v>9</v>
      </c>
      <c r="G108" s="1" t="s">
        <v>41</v>
      </c>
      <c r="H108" s="402">
        <v>13</v>
      </c>
      <c r="I108" s="63">
        <v>9</v>
      </c>
      <c r="J108" s="235" t="s">
        <v>1858</v>
      </c>
      <c r="K108" s="140">
        <v>39</v>
      </c>
      <c r="L108" s="14" t="s">
        <v>578</v>
      </c>
      <c r="M108" s="14" t="s">
        <v>1556</v>
      </c>
      <c r="R108" s="260"/>
      <c r="S108" s="205"/>
      <c r="T108" s="70"/>
    </row>
    <row r="109" spans="1:20" x14ac:dyDescent="0.35">
      <c r="C109" s="257">
        <v>-1.19</v>
      </c>
      <c r="D109" s="261">
        <v>85.135714285714286</v>
      </c>
      <c r="E109" s="138"/>
      <c r="F109" s="402">
        <v>36</v>
      </c>
      <c r="G109" s="1" t="s">
        <v>40</v>
      </c>
      <c r="H109" s="402">
        <v>24</v>
      </c>
      <c r="I109" s="63">
        <v>19</v>
      </c>
      <c r="J109" s="235" t="s">
        <v>36</v>
      </c>
      <c r="K109" s="140">
        <v>8</v>
      </c>
      <c r="L109" s="14" t="s">
        <v>184</v>
      </c>
      <c r="M109" s="14" t="s">
        <v>1557</v>
      </c>
      <c r="R109" s="260"/>
      <c r="S109" s="205"/>
      <c r="T109" s="70"/>
    </row>
    <row r="110" spans="1:20" x14ac:dyDescent="0.35">
      <c r="A110" s="6" t="s">
        <v>1558</v>
      </c>
      <c r="C110" s="237">
        <v>-0.35599999999999998</v>
      </c>
      <c r="D110" s="261">
        <v>83.468571428571423</v>
      </c>
      <c r="F110" s="402">
        <v>32</v>
      </c>
      <c r="G110" s="1" t="s">
        <v>57</v>
      </c>
      <c r="H110" s="402">
        <v>14</v>
      </c>
      <c r="I110" s="63">
        <v>10</v>
      </c>
      <c r="J110" s="235" t="s">
        <v>49</v>
      </c>
      <c r="K110" s="140">
        <v>15</v>
      </c>
      <c r="L110" s="14" t="s">
        <v>347</v>
      </c>
      <c r="M110" s="14" t="s">
        <v>1559</v>
      </c>
      <c r="R110" s="260"/>
      <c r="S110" s="205"/>
      <c r="T110" s="70"/>
    </row>
    <row r="111" spans="1:20" x14ac:dyDescent="0.35">
      <c r="C111" s="237">
        <v>-0.51500000000000001</v>
      </c>
      <c r="D111" s="261">
        <v>86.796428571428578</v>
      </c>
      <c r="F111" s="402">
        <v>26</v>
      </c>
      <c r="G111" s="1" t="s">
        <v>1344</v>
      </c>
      <c r="H111" s="402">
        <v>21</v>
      </c>
      <c r="I111" s="63">
        <v>12</v>
      </c>
      <c r="J111" s="235" t="s">
        <v>963</v>
      </c>
      <c r="K111" s="140">
        <v>12</v>
      </c>
      <c r="L111" s="14" t="s">
        <v>201</v>
      </c>
      <c r="M111" s="14" t="s">
        <v>1560</v>
      </c>
      <c r="R111" s="260"/>
      <c r="S111" s="205"/>
      <c r="T111" s="70"/>
    </row>
    <row r="112" spans="1:20" x14ac:dyDescent="0.35">
      <c r="C112" s="237">
        <v>1.655</v>
      </c>
      <c r="D112" s="261">
        <v>92.56785714285715</v>
      </c>
      <c r="F112" s="402">
        <v>4</v>
      </c>
      <c r="G112" s="1" t="s">
        <v>59</v>
      </c>
      <c r="H112" s="402">
        <v>18</v>
      </c>
      <c r="I112" s="63">
        <v>2</v>
      </c>
      <c r="J112" s="235" t="s">
        <v>67</v>
      </c>
      <c r="K112" s="140">
        <v>16</v>
      </c>
      <c r="L112" s="14" t="s">
        <v>1561</v>
      </c>
      <c r="M112" s="43" t="s">
        <v>1562</v>
      </c>
      <c r="N112" s="1" t="s">
        <v>2953</v>
      </c>
      <c r="R112" s="260"/>
      <c r="S112" s="205"/>
      <c r="T112" s="70"/>
    </row>
    <row r="113" spans="1:20" ht="15" thickBot="1" x14ac:dyDescent="0.4">
      <c r="B113" s="57"/>
      <c r="C113" s="258">
        <v>-0.67700000000000005</v>
      </c>
      <c r="D113" s="262">
        <v>95.483571428571423</v>
      </c>
      <c r="E113" s="381"/>
      <c r="F113" s="381">
        <v>14</v>
      </c>
      <c r="G113" s="44" t="s">
        <v>118</v>
      </c>
      <c r="H113" s="381">
        <v>18</v>
      </c>
      <c r="I113" s="56">
        <v>13</v>
      </c>
      <c r="J113" s="57" t="s">
        <v>300</v>
      </c>
      <c r="K113" s="141">
        <v>2</v>
      </c>
      <c r="L113" s="12" t="s">
        <v>443</v>
      </c>
      <c r="M113" s="12" t="s">
        <v>1563</v>
      </c>
      <c r="N113" s="86"/>
      <c r="O113" s="86"/>
      <c r="R113" s="260"/>
      <c r="S113" s="205"/>
      <c r="T113" s="70"/>
    </row>
    <row r="114" spans="1:20" x14ac:dyDescent="0.35">
      <c r="A114" s="6" t="s">
        <v>1595</v>
      </c>
      <c r="B114" s="46" t="s">
        <v>1964</v>
      </c>
      <c r="C114" s="257">
        <v>-3.08</v>
      </c>
      <c r="D114" s="261">
        <v>14.253571428571432</v>
      </c>
      <c r="E114" s="138" t="s">
        <v>396</v>
      </c>
      <c r="F114" s="402">
        <v>112</v>
      </c>
      <c r="G114" s="1" t="s">
        <v>38</v>
      </c>
      <c r="H114" s="402">
        <v>15</v>
      </c>
      <c r="I114" s="63">
        <v>14</v>
      </c>
      <c r="J114" s="235" t="s">
        <v>55</v>
      </c>
      <c r="K114" s="140">
        <v>85</v>
      </c>
      <c r="L114" s="14" t="s">
        <v>179</v>
      </c>
      <c r="M114" s="14" t="s">
        <v>1583</v>
      </c>
      <c r="R114" s="260"/>
      <c r="S114" s="205"/>
      <c r="T114" s="70"/>
    </row>
    <row r="115" spans="1:20" x14ac:dyDescent="0.35">
      <c r="C115" s="237">
        <v>3.5510000000000002</v>
      </c>
      <c r="D115" s="261">
        <v>14.427857142857137</v>
      </c>
      <c r="E115" s="402" t="s">
        <v>395</v>
      </c>
      <c r="F115" s="402">
        <v>75</v>
      </c>
      <c r="G115" s="1" t="s">
        <v>29</v>
      </c>
      <c r="H115" s="402">
        <v>15</v>
      </c>
      <c r="I115" s="63">
        <v>13</v>
      </c>
      <c r="J115" s="235" t="s">
        <v>796</v>
      </c>
      <c r="K115" s="140">
        <v>111</v>
      </c>
      <c r="L115" s="14" t="s">
        <v>179</v>
      </c>
      <c r="M115" s="14" t="s">
        <v>1584</v>
      </c>
      <c r="R115" s="260"/>
      <c r="S115" s="205"/>
      <c r="T115" s="70"/>
    </row>
    <row r="116" spans="1:20" x14ac:dyDescent="0.35">
      <c r="C116" s="237">
        <v>-1.4159999999999999</v>
      </c>
      <c r="D116" s="261">
        <v>12.279285714285699</v>
      </c>
      <c r="E116" s="402" t="s">
        <v>396</v>
      </c>
      <c r="F116" s="402">
        <v>110</v>
      </c>
      <c r="G116" s="1" t="s">
        <v>54</v>
      </c>
      <c r="H116" s="402">
        <v>16</v>
      </c>
      <c r="I116" s="63">
        <v>13</v>
      </c>
      <c r="J116" s="235" t="s">
        <v>37</v>
      </c>
      <c r="K116" s="140">
        <v>91</v>
      </c>
      <c r="L116" s="14" t="s">
        <v>337</v>
      </c>
      <c r="M116" s="14" t="s">
        <v>1586</v>
      </c>
      <c r="O116" t="s">
        <v>1585</v>
      </c>
      <c r="R116" s="260"/>
      <c r="S116" s="205"/>
    </row>
    <row r="117" spans="1:20" x14ac:dyDescent="0.35">
      <c r="C117" s="237">
        <v>-1.9159999999999999</v>
      </c>
      <c r="D117" s="261">
        <v>16.654285714285699</v>
      </c>
      <c r="E117" s="402" t="s">
        <v>396</v>
      </c>
      <c r="F117" s="402">
        <v>109</v>
      </c>
      <c r="G117" s="1" t="s">
        <v>63</v>
      </c>
      <c r="H117" s="402">
        <v>23</v>
      </c>
      <c r="I117" s="63">
        <v>21</v>
      </c>
      <c r="J117" s="235" t="s">
        <v>959</v>
      </c>
      <c r="K117" s="140">
        <v>83</v>
      </c>
      <c r="L117" s="14" t="s">
        <v>633</v>
      </c>
      <c r="M117" s="14" t="s">
        <v>1588</v>
      </c>
      <c r="O117" t="s">
        <v>1587</v>
      </c>
      <c r="R117" s="260"/>
      <c r="S117" s="205"/>
    </row>
    <row r="118" spans="1:20" x14ac:dyDescent="0.35">
      <c r="C118" s="237">
        <v>5.4139999999999997</v>
      </c>
      <c r="D118" s="261">
        <v>35.061428571428564</v>
      </c>
      <c r="E118" s="402" t="s">
        <v>395</v>
      </c>
      <c r="F118" s="402">
        <v>44</v>
      </c>
      <c r="G118" s="1" t="s">
        <v>792</v>
      </c>
      <c r="H118" s="402">
        <v>18</v>
      </c>
      <c r="I118" s="63">
        <v>11</v>
      </c>
      <c r="J118" s="235" t="s">
        <v>76</v>
      </c>
      <c r="K118" s="140">
        <v>108</v>
      </c>
      <c r="L118" s="14" t="s">
        <v>294</v>
      </c>
      <c r="M118" s="14" t="s">
        <v>1589</v>
      </c>
      <c r="R118" s="260"/>
      <c r="S118" s="205"/>
    </row>
    <row r="119" spans="1:20" x14ac:dyDescent="0.35">
      <c r="C119" s="237">
        <v>5.0510000000000002</v>
      </c>
      <c r="D119" s="261">
        <v>32.909999999999997</v>
      </c>
      <c r="E119" s="402" t="s">
        <v>395</v>
      </c>
      <c r="F119" s="402">
        <v>51</v>
      </c>
      <c r="G119" s="1" t="s">
        <v>965</v>
      </c>
      <c r="H119" s="402">
        <v>14</v>
      </c>
      <c r="I119" s="63">
        <v>2</v>
      </c>
      <c r="J119" s="235" t="s">
        <v>48</v>
      </c>
      <c r="K119" s="140">
        <v>107</v>
      </c>
      <c r="L119" s="14" t="s">
        <v>542</v>
      </c>
      <c r="M119" s="43" t="s">
        <v>1590</v>
      </c>
      <c r="N119" s="1" t="s">
        <v>2953</v>
      </c>
      <c r="R119" s="260"/>
      <c r="S119" s="205"/>
    </row>
    <row r="120" spans="1:20" x14ac:dyDescent="0.35">
      <c r="A120" s="6" t="s">
        <v>1596</v>
      </c>
      <c r="C120" s="237">
        <v>4.3570000000000002</v>
      </c>
      <c r="D120" s="261">
        <v>23.227142857142859</v>
      </c>
      <c r="E120" s="402" t="s">
        <v>395</v>
      </c>
      <c r="F120" s="402">
        <v>59</v>
      </c>
      <c r="G120" s="1" t="s">
        <v>44</v>
      </c>
      <c r="H120" s="402">
        <v>24</v>
      </c>
      <c r="I120" s="63">
        <v>12</v>
      </c>
      <c r="J120" s="235" t="s">
        <v>25</v>
      </c>
      <c r="K120" s="140">
        <v>106</v>
      </c>
      <c r="L120" s="14" t="s">
        <v>201</v>
      </c>
      <c r="M120" s="14" t="s">
        <v>1591</v>
      </c>
      <c r="R120" s="260"/>
      <c r="S120" s="205"/>
    </row>
    <row r="121" spans="1:20" x14ac:dyDescent="0.35">
      <c r="C121" s="257">
        <v>3.67</v>
      </c>
      <c r="D121" s="261">
        <v>18.360714285714288</v>
      </c>
      <c r="E121" s="138" t="s">
        <v>395</v>
      </c>
      <c r="F121" s="402">
        <v>72</v>
      </c>
      <c r="G121" s="1" t="s">
        <v>32</v>
      </c>
      <c r="H121" s="402">
        <v>18</v>
      </c>
      <c r="I121" s="63">
        <v>12</v>
      </c>
      <c r="J121" s="235" t="s">
        <v>786</v>
      </c>
      <c r="K121" s="140">
        <v>105</v>
      </c>
      <c r="L121" s="14" t="s">
        <v>507</v>
      </c>
      <c r="M121" s="14" t="s">
        <v>1592</v>
      </c>
      <c r="R121" s="260"/>
      <c r="S121" s="205"/>
    </row>
    <row r="122" spans="1:20" x14ac:dyDescent="0.35">
      <c r="C122" s="237">
        <v>0.94699999999999995</v>
      </c>
      <c r="D122" s="261">
        <v>10.037857142857142</v>
      </c>
      <c r="E122" s="402" t="s">
        <v>395</v>
      </c>
      <c r="F122" s="402">
        <v>96</v>
      </c>
      <c r="G122" s="1" t="s">
        <v>958</v>
      </c>
      <c r="H122" s="402">
        <v>23</v>
      </c>
      <c r="I122" s="63">
        <v>5</v>
      </c>
      <c r="J122" s="235" t="s">
        <v>65</v>
      </c>
      <c r="K122" s="140">
        <v>104</v>
      </c>
      <c r="L122" s="14" t="s">
        <v>547</v>
      </c>
      <c r="M122" s="43" t="s">
        <v>1593</v>
      </c>
      <c r="N122" s="1" t="s">
        <v>2953</v>
      </c>
      <c r="R122" s="260"/>
      <c r="S122" s="205"/>
    </row>
    <row r="123" spans="1:20" x14ac:dyDescent="0.35">
      <c r="C123" s="237">
        <v>-1.3240000000000001</v>
      </c>
      <c r="D123" s="261">
        <v>16.570714285714281</v>
      </c>
      <c r="E123" s="402" t="s">
        <v>396</v>
      </c>
      <c r="F123" s="402">
        <v>103</v>
      </c>
      <c r="G123" s="1" t="s">
        <v>789</v>
      </c>
      <c r="H123" s="402">
        <v>21</v>
      </c>
      <c r="I123" s="63">
        <v>15</v>
      </c>
      <c r="J123" s="235" t="s">
        <v>80</v>
      </c>
      <c r="K123" s="140">
        <v>86</v>
      </c>
      <c r="L123" s="14" t="s">
        <v>886</v>
      </c>
      <c r="M123" s="14" t="s">
        <v>1594</v>
      </c>
      <c r="R123" s="260"/>
      <c r="S123" s="205"/>
    </row>
    <row r="124" spans="1:20" x14ac:dyDescent="0.35">
      <c r="A124" s="6" t="s">
        <v>1599</v>
      </c>
      <c r="C124" s="237">
        <v>2.665</v>
      </c>
      <c r="D124" s="261">
        <v>19.632142857142902</v>
      </c>
      <c r="E124" s="402" t="s">
        <v>395</v>
      </c>
      <c r="F124" s="402">
        <v>76</v>
      </c>
      <c r="G124" s="1" t="s">
        <v>28</v>
      </c>
      <c r="H124" s="402">
        <v>19</v>
      </c>
      <c r="I124" s="63">
        <v>17</v>
      </c>
      <c r="J124" s="235" t="s">
        <v>784</v>
      </c>
      <c r="K124" s="140">
        <v>102</v>
      </c>
      <c r="L124" s="14" t="s">
        <v>644</v>
      </c>
      <c r="M124" s="14" t="s">
        <v>1597</v>
      </c>
      <c r="N124" s="92" t="s">
        <v>2954</v>
      </c>
      <c r="O124" t="s">
        <v>2959</v>
      </c>
      <c r="R124" s="260"/>
      <c r="S124" s="205"/>
    </row>
    <row r="125" spans="1:20" x14ac:dyDescent="0.35">
      <c r="C125" s="237">
        <v>-3.718</v>
      </c>
      <c r="D125" s="261">
        <v>27.655714285714282</v>
      </c>
      <c r="E125" s="402" t="s">
        <v>396</v>
      </c>
      <c r="F125" s="402">
        <v>101</v>
      </c>
      <c r="G125" s="1" t="s">
        <v>84</v>
      </c>
      <c r="H125" s="402">
        <v>20</v>
      </c>
      <c r="I125" s="63">
        <v>15</v>
      </c>
      <c r="J125" s="235" t="s">
        <v>68</v>
      </c>
      <c r="K125" s="140">
        <v>67</v>
      </c>
      <c r="L125" s="14" t="s">
        <v>186</v>
      </c>
      <c r="M125" s="14" t="s">
        <v>1598</v>
      </c>
      <c r="R125" s="260"/>
      <c r="S125" s="205"/>
    </row>
    <row r="126" spans="1:20" x14ac:dyDescent="0.35">
      <c r="C126" s="237">
        <v>3.367</v>
      </c>
      <c r="D126" s="261">
        <v>21.70214285714286</v>
      </c>
      <c r="E126" s="402" t="s">
        <v>395</v>
      </c>
      <c r="F126" s="402">
        <v>70</v>
      </c>
      <c r="G126" s="1" t="s">
        <v>51</v>
      </c>
      <c r="H126" s="402">
        <v>15</v>
      </c>
      <c r="I126" s="63">
        <v>12</v>
      </c>
      <c r="J126" s="235" t="s">
        <v>964</v>
      </c>
      <c r="K126" s="140">
        <v>100</v>
      </c>
      <c r="L126" s="14" t="s">
        <v>365</v>
      </c>
      <c r="M126" s="14" t="s">
        <v>1600</v>
      </c>
      <c r="O126" s="85" t="s">
        <v>1601</v>
      </c>
      <c r="R126" s="260"/>
      <c r="S126" s="205"/>
    </row>
    <row r="127" spans="1:20" x14ac:dyDescent="0.35">
      <c r="C127" s="237">
        <v>3.5430000000000001</v>
      </c>
      <c r="D127" s="261">
        <v>24.254999999999992</v>
      </c>
      <c r="E127" s="402" t="s">
        <v>395</v>
      </c>
      <c r="F127" s="402">
        <v>65</v>
      </c>
      <c r="G127" s="1" t="s">
        <v>1858</v>
      </c>
      <c r="H127" s="402">
        <v>21</v>
      </c>
      <c r="I127" s="63">
        <v>19</v>
      </c>
      <c r="J127" s="235" t="s">
        <v>1860</v>
      </c>
      <c r="K127" s="140">
        <v>99</v>
      </c>
      <c r="L127" s="14" t="s">
        <v>577</v>
      </c>
      <c r="M127" s="14" t="s">
        <v>1602</v>
      </c>
      <c r="N127" s="92" t="s">
        <v>2954</v>
      </c>
      <c r="R127" s="260"/>
      <c r="S127" s="205"/>
    </row>
    <row r="128" spans="1:20" x14ac:dyDescent="0.35">
      <c r="C128" s="237">
        <v>4.7089999999999996</v>
      </c>
      <c r="D128" s="261">
        <v>37.975714285714282</v>
      </c>
      <c r="E128" s="402" t="s">
        <v>395</v>
      </c>
      <c r="F128" s="402">
        <v>48</v>
      </c>
      <c r="G128" s="1" t="s">
        <v>75</v>
      </c>
      <c r="H128" s="402">
        <v>18</v>
      </c>
      <c r="I128" s="63">
        <v>10</v>
      </c>
      <c r="J128" s="235" t="s">
        <v>794</v>
      </c>
      <c r="K128" s="140">
        <v>98</v>
      </c>
      <c r="L128" s="14" t="s">
        <v>179</v>
      </c>
      <c r="M128" s="14" t="s">
        <v>1603</v>
      </c>
      <c r="R128" s="260"/>
      <c r="S128" s="205"/>
    </row>
    <row r="129" spans="1:20" x14ac:dyDescent="0.35">
      <c r="C129" s="237">
        <v>-0.60499999999999998</v>
      </c>
      <c r="D129" s="261">
        <v>14.717857142857149</v>
      </c>
      <c r="E129" s="402" t="s">
        <v>396</v>
      </c>
      <c r="F129" s="402">
        <v>97</v>
      </c>
      <c r="G129" s="1" t="s">
        <v>1343</v>
      </c>
      <c r="H129" s="402">
        <v>26</v>
      </c>
      <c r="I129" s="63">
        <v>12</v>
      </c>
      <c r="J129" s="235" t="s">
        <v>47</v>
      </c>
      <c r="K129" s="140">
        <v>95</v>
      </c>
      <c r="L129" s="14" t="s">
        <v>526</v>
      </c>
      <c r="M129" s="14" t="s">
        <v>1604</v>
      </c>
      <c r="R129" s="260"/>
      <c r="S129" s="205"/>
    </row>
    <row r="130" spans="1:20" x14ac:dyDescent="0.35">
      <c r="C130" s="237">
        <v>-3.5920000000000001</v>
      </c>
      <c r="D130" s="261">
        <v>34.708571428571432</v>
      </c>
      <c r="E130" s="402" t="s">
        <v>396</v>
      </c>
      <c r="F130" s="402">
        <v>94</v>
      </c>
      <c r="G130" s="1" t="s">
        <v>73</v>
      </c>
      <c r="H130" s="402">
        <v>17</v>
      </c>
      <c r="I130" s="63">
        <v>15</v>
      </c>
      <c r="J130" s="235" t="s">
        <v>909</v>
      </c>
      <c r="K130" s="140">
        <v>58</v>
      </c>
      <c r="L130" s="14" t="s">
        <v>334</v>
      </c>
      <c r="M130" s="14" t="s">
        <v>1611</v>
      </c>
      <c r="R130" s="260"/>
      <c r="S130" s="205"/>
    </row>
    <row r="131" spans="1:20" x14ac:dyDescent="0.35">
      <c r="C131" s="237">
        <v>-1.1719999999999999</v>
      </c>
      <c r="D131" s="261">
        <v>23.158571428571427</v>
      </c>
      <c r="E131" s="402" t="s">
        <v>396</v>
      </c>
      <c r="F131" s="402">
        <v>93</v>
      </c>
      <c r="G131" s="1" t="s">
        <v>86</v>
      </c>
      <c r="H131" s="402">
        <v>14</v>
      </c>
      <c r="I131" s="63">
        <v>13</v>
      </c>
      <c r="J131" s="235" t="s">
        <v>70</v>
      </c>
      <c r="K131" s="140">
        <v>81</v>
      </c>
      <c r="L131" s="14" t="s">
        <v>178</v>
      </c>
      <c r="M131" s="14" t="s">
        <v>1613</v>
      </c>
      <c r="O131" s="85" t="s">
        <v>1612</v>
      </c>
      <c r="R131" s="260"/>
      <c r="S131" s="205"/>
    </row>
    <row r="132" spans="1:20" x14ac:dyDescent="0.35">
      <c r="C132" s="257">
        <v>3.97</v>
      </c>
      <c r="D132" s="261">
        <v>38.503571428571426</v>
      </c>
      <c r="E132" s="138" t="s">
        <v>395</v>
      </c>
      <c r="F132" s="402">
        <v>54</v>
      </c>
      <c r="G132" s="1" t="s">
        <v>60</v>
      </c>
      <c r="H132" s="402">
        <v>20</v>
      </c>
      <c r="I132" s="63">
        <v>11</v>
      </c>
      <c r="J132" s="235" t="s">
        <v>3913</v>
      </c>
      <c r="K132" s="140">
        <v>92</v>
      </c>
      <c r="L132" s="14" t="s">
        <v>191</v>
      </c>
      <c r="M132" s="14" t="s">
        <v>1614</v>
      </c>
      <c r="R132" s="260"/>
      <c r="S132" s="205"/>
    </row>
    <row r="133" spans="1:20" x14ac:dyDescent="0.35">
      <c r="C133" s="237">
        <v>1.4390000000000001</v>
      </c>
      <c r="D133" s="261">
        <v>23.079285714285724</v>
      </c>
      <c r="E133" s="402" t="s">
        <v>395</v>
      </c>
      <c r="F133" s="402">
        <v>80</v>
      </c>
      <c r="G133" s="1" t="s">
        <v>62</v>
      </c>
      <c r="H133" s="402">
        <v>22</v>
      </c>
      <c r="I133" s="63">
        <v>10</v>
      </c>
      <c r="J133" s="235" t="s">
        <v>1308</v>
      </c>
      <c r="K133" s="140">
        <v>90</v>
      </c>
      <c r="L133" s="14" t="s">
        <v>289</v>
      </c>
      <c r="M133" s="43" t="s">
        <v>1615</v>
      </c>
      <c r="N133" s="1" t="s">
        <v>2953</v>
      </c>
      <c r="R133" s="260"/>
      <c r="S133" s="205"/>
    </row>
    <row r="134" spans="1:20" x14ac:dyDescent="0.35">
      <c r="C134" s="237">
        <v>0.83399999999999996</v>
      </c>
      <c r="D134" s="261">
        <v>22.172142857142852</v>
      </c>
      <c r="E134" s="402" t="s">
        <v>395</v>
      </c>
      <c r="F134" s="402">
        <v>84</v>
      </c>
      <c r="G134" s="1" t="s">
        <v>43</v>
      </c>
      <c r="H134" s="402">
        <v>14</v>
      </c>
      <c r="I134" s="63">
        <v>10</v>
      </c>
      <c r="J134" s="235" t="s">
        <v>24</v>
      </c>
      <c r="K134" s="140">
        <v>89</v>
      </c>
      <c r="L134" s="14" t="s">
        <v>294</v>
      </c>
      <c r="M134" s="14" t="s">
        <v>1616</v>
      </c>
      <c r="R134" s="260"/>
      <c r="S134" s="205"/>
    </row>
    <row r="135" spans="1:20" x14ac:dyDescent="0.35">
      <c r="C135" s="257">
        <v>-3.25</v>
      </c>
      <c r="D135" s="261">
        <v>34.910714285714285</v>
      </c>
      <c r="E135" s="138" t="s">
        <v>396</v>
      </c>
      <c r="F135" s="402">
        <v>88</v>
      </c>
      <c r="G135" s="1" t="s">
        <v>35</v>
      </c>
      <c r="H135" s="402">
        <v>34</v>
      </c>
      <c r="I135" s="63">
        <v>21</v>
      </c>
      <c r="J135" s="235" t="s">
        <v>117</v>
      </c>
      <c r="K135" s="140">
        <v>63</v>
      </c>
      <c r="L135" s="14" t="s">
        <v>413</v>
      </c>
      <c r="M135" s="14" t="s">
        <v>1618</v>
      </c>
      <c r="O135" s="85" t="s">
        <v>1617</v>
      </c>
      <c r="R135" s="260"/>
      <c r="S135" s="205"/>
    </row>
    <row r="136" spans="1:20" x14ac:dyDescent="0.35">
      <c r="C136" s="257">
        <v>2.2999999999999998</v>
      </c>
      <c r="D136" s="261">
        <v>26.928571428571434</v>
      </c>
      <c r="E136" s="138" t="s">
        <v>395</v>
      </c>
      <c r="F136" s="402">
        <v>73</v>
      </c>
      <c r="G136" s="1" t="s">
        <v>52</v>
      </c>
      <c r="H136" s="402">
        <v>16</v>
      </c>
      <c r="I136" s="63">
        <v>5</v>
      </c>
      <c r="J136" s="235" t="s">
        <v>1342</v>
      </c>
      <c r="K136" s="140">
        <v>87</v>
      </c>
      <c r="L136" s="14" t="s">
        <v>744</v>
      </c>
      <c r="M136" s="14" t="s">
        <v>1619</v>
      </c>
      <c r="R136" s="260"/>
      <c r="S136" s="205"/>
    </row>
    <row r="137" spans="1:20" x14ac:dyDescent="0.35">
      <c r="C137" s="237">
        <v>-1.5209999999999999</v>
      </c>
      <c r="D137" s="261">
        <v>31.443571428571428</v>
      </c>
      <c r="E137" s="402" t="s">
        <v>396</v>
      </c>
      <c r="F137" s="402">
        <v>82</v>
      </c>
      <c r="G137" s="1" t="s">
        <v>1859</v>
      </c>
      <c r="H137" s="402">
        <v>23</v>
      </c>
      <c r="I137" s="63">
        <v>11</v>
      </c>
      <c r="J137" s="235" t="s">
        <v>22</v>
      </c>
      <c r="K137" s="140">
        <v>74</v>
      </c>
      <c r="L137" s="14" t="s">
        <v>465</v>
      </c>
      <c r="M137" s="14" t="s">
        <v>1620</v>
      </c>
      <c r="R137" s="260"/>
      <c r="S137" s="205"/>
    </row>
    <row r="138" spans="1:20" x14ac:dyDescent="0.35">
      <c r="C138" s="237">
        <v>3.6640000000000001</v>
      </c>
      <c r="D138" s="261">
        <v>50.373928571428571</v>
      </c>
      <c r="E138" s="402" t="s">
        <v>395</v>
      </c>
      <c r="F138" s="402">
        <v>38</v>
      </c>
      <c r="G138" s="1" t="s">
        <v>908</v>
      </c>
      <c r="H138" s="402">
        <v>11</v>
      </c>
      <c r="I138" s="63">
        <v>9</v>
      </c>
      <c r="J138" s="235" t="s">
        <v>31</v>
      </c>
      <c r="K138" s="140">
        <v>79</v>
      </c>
      <c r="L138" s="14" t="s">
        <v>519</v>
      </c>
      <c r="M138" s="14" t="s">
        <v>1621</v>
      </c>
      <c r="R138" s="260"/>
      <c r="S138" s="205"/>
    </row>
    <row r="139" spans="1:20" x14ac:dyDescent="0.35">
      <c r="C139" s="237">
        <v>1.7030000000000001</v>
      </c>
      <c r="D139" s="261">
        <v>33.158571428571427</v>
      </c>
      <c r="E139" s="402" t="s">
        <v>395</v>
      </c>
      <c r="F139" s="402">
        <v>69</v>
      </c>
      <c r="G139" s="1" t="s">
        <v>72</v>
      </c>
      <c r="H139" s="402">
        <v>14</v>
      </c>
      <c r="I139" s="63">
        <v>9</v>
      </c>
      <c r="J139" s="235" t="s">
        <v>88</v>
      </c>
      <c r="K139" s="140">
        <v>78</v>
      </c>
      <c r="L139" s="14" t="s">
        <v>187</v>
      </c>
      <c r="M139" s="14" t="s">
        <v>1622</v>
      </c>
      <c r="R139" s="260"/>
      <c r="S139" s="205"/>
    </row>
    <row r="140" spans="1:20" x14ac:dyDescent="0.35">
      <c r="C140" s="237">
        <v>-1.917</v>
      </c>
      <c r="D140" s="261">
        <v>39.762142857142855</v>
      </c>
      <c r="E140" s="402" t="s">
        <v>396</v>
      </c>
      <c r="F140" s="402">
        <v>77</v>
      </c>
      <c r="G140" s="1" t="s">
        <v>61</v>
      </c>
      <c r="H140" s="402">
        <v>17</v>
      </c>
      <c r="I140" s="63">
        <v>8</v>
      </c>
      <c r="J140" s="235" t="s">
        <v>81</v>
      </c>
      <c r="K140" s="140">
        <v>61</v>
      </c>
      <c r="L140" s="14" t="s">
        <v>404</v>
      </c>
      <c r="M140" s="14" t="s">
        <v>1623</v>
      </c>
      <c r="R140" s="260"/>
      <c r="S140" s="205"/>
    </row>
    <row r="141" spans="1:20" x14ac:dyDescent="0.35">
      <c r="A141" s="6" t="s">
        <v>1627</v>
      </c>
      <c r="C141" s="237">
        <v>0.52400000000000002</v>
      </c>
      <c r="D141" s="261">
        <v>37.57214285714285</v>
      </c>
      <c r="E141" s="402" t="s">
        <v>395</v>
      </c>
      <c r="F141" s="402">
        <v>68</v>
      </c>
      <c r="G141" s="1" t="s">
        <v>2011</v>
      </c>
      <c r="H141" s="402">
        <v>11</v>
      </c>
      <c r="I141" s="63">
        <v>9</v>
      </c>
      <c r="J141" s="235" t="s">
        <v>56</v>
      </c>
      <c r="K141" s="140">
        <v>71</v>
      </c>
      <c r="L141" s="14" t="s">
        <v>186</v>
      </c>
      <c r="M141" s="14" t="s">
        <v>1624</v>
      </c>
      <c r="R141" s="260"/>
      <c r="S141" s="205"/>
    </row>
    <row r="142" spans="1:20" x14ac:dyDescent="0.35">
      <c r="C142" s="237">
        <v>4.9779999999999998</v>
      </c>
      <c r="D142" s="261">
        <v>71.444285714285712</v>
      </c>
      <c r="E142" s="402" t="s">
        <v>395</v>
      </c>
      <c r="F142" s="402">
        <v>4</v>
      </c>
      <c r="G142" s="1" t="s">
        <v>41</v>
      </c>
      <c r="H142" s="402">
        <v>16</v>
      </c>
      <c r="I142" s="63">
        <v>12</v>
      </c>
      <c r="J142" s="235" t="s">
        <v>23</v>
      </c>
      <c r="K142" s="140">
        <v>66</v>
      </c>
      <c r="L142" s="14" t="s">
        <v>179</v>
      </c>
      <c r="M142" s="14" t="s">
        <v>1625</v>
      </c>
      <c r="R142" s="260"/>
      <c r="S142" s="205"/>
      <c r="T142" s="70"/>
    </row>
    <row r="143" spans="1:20" x14ac:dyDescent="0.35">
      <c r="C143" s="237">
        <v>5.7359999999999998</v>
      </c>
      <c r="D143" s="261">
        <v>71.974285714285728</v>
      </c>
      <c r="E143" s="402" t="s">
        <v>395</v>
      </c>
      <c r="F143" s="402">
        <v>3</v>
      </c>
      <c r="G143" s="1" t="s">
        <v>87</v>
      </c>
      <c r="H143" s="402">
        <v>30</v>
      </c>
      <c r="I143" s="63">
        <v>8</v>
      </c>
      <c r="J143" s="235" t="s">
        <v>114</v>
      </c>
      <c r="K143" s="140">
        <v>64</v>
      </c>
      <c r="L143" s="14" t="s">
        <v>404</v>
      </c>
      <c r="M143" s="43" t="s">
        <v>1626</v>
      </c>
      <c r="N143" s="1" t="s">
        <v>2953</v>
      </c>
      <c r="R143" s="260"/>
      <c r="S143" s="205"/>
      <c r="T143" s="70"/>
    </row>
    <row r="144" spans="1:20" x14ac:dyDescent="0.35">
      <c r="C144" s="237">
        <v>2.0590000000000002</v>
      </c>
      <c r="D144" s="261">
        <v>58.145357142857101</v>
      </c>
      <c r="E144" s="402" t="s">
        <v>395</v>
      </c>
      <c r="F144" s="402">
        <v>41</v>
      </c>
      <c r="G144" s="1" t="s">
        <v>787</v>
      </c>
      <c r="H144" s="402">
        <v>19</v>
      </c>
      <c r="I144" s="63">
        <v>15</v>
      </c>
      <c r="J144" s="235" t="s">
        <v>74</v>
      </c>
      <c r="K144" s="140">
        <v>62</v>
      </c>
      <c r="L144" s="14" t="s">
        <v>185</v>
      </c>
      <c r="M144" s="14" t="s">
        <v>1628</v>
      </c>
      <c r="O144" t="s">
        <v>940</v>
      </c>
      <c r="R144" s="260"/>
      <c r="S144" s="205"/>
    </row>
    <row r="145" spans="1:19" x14ac:dyDescent="0.35">
      <c r="C145" s="237">
        <v>-4.1360000000000001</v>
      </c>
      <c r="D145" s="261">
        <v>76.882857142857148</v>
      </c>
      <c r="E145" s="402" t="s">
        <v>396</v>
      </c>
      <c r="F145" s="402">
        <v>60</v>
      </c>
      <c r="G145" s="1" t="s">
        <v>30</v>
      </c>
      <c r="H145" s="402">
        <v>21</v>
      </c>
      <c r="I145" s="63">
        <v>18</v>
      </c>
      <c r="J145" s="235" t="s">
        <v>793</v>
      </c>
      <c r="K145" s="140">
        <v>13</v>
      </c>
      <c r="L145" s="14" t="s">
        <v>178</v>
      </c>
      <c r="M145" s="14" t="s">
        <v>1629</v>
      </c>
      <c r="R145" s="260"/>
      <c r="S145" s="205"/>
    </row>
    <row r="146" spans="1:19" x14ac:dyDescent="0.35">
      <c r="C146" s="257">
        <v>3.05</v>
      </c>
      <c r="D146" s="261">
        <v>69.607142857142861</v>
      </c>
      <c r="E146" s="138" t="s">
        <v>395</v>
      </c>
      <c r="F146" s="402">
        <v>22</v>
      </c>
      <c r="G146" s="1" t="s">
        <v>83</v>
      </c>
      <c r="H146" s="402">
        <v>24</v>
      </c>
      <c r="I146" s="63">
        <v>20</v>
      </c>
      <c r="J146" s="235" t="s">
        <v>67</v>
      </c>
      <c r="K146" s="140">
        <v>57</v>
      </c>
      <c r="L146" s="14" t="s">
        <v>416</v>
      </c>
      <c r="M146" s="14" t="s">
        <v>1630</v>
      </c>
      <c r="R146" s="260"/>
      <c r="S146" s="205"/>
    </row>
    <row r="147" spans="1:19" x14ac:dyDescent="0.35">
      <c r="C147" s="237">
        <v>-2.5150000000000001</v>
      </c>
      <c r="D147" s="261">
        <v>66.841071428571425</v>
      </c>
      <c r="E147" s="402" t="s">
        <v>396</v>
      </c>
      <c r="F147" s="402">
        <v>56</v>
      </c>
      <c r="G147" s="1" t="s">
        <v>53</v>
      </c>
      <c r="H147" s="402">
        <v>13</v>
      </c>
      <c r="I147" s="63">
        <v>12</v>
      </c>
      <c r="J147" s="235" t="s">
        <v>39</v>
      </c>
      <c r="K147" s="140">
        <v>31</v>
      </c>
      <c r="L147" s="14" t="s">
        <v>194</v>
      </c>
      <c r="M147" s="14" t="s">
        <v>1631</v>
      </c>
      <c r="R147" s="260"/>
      <c r="S147" s="205"/>
    </row>
    <row r="148" spans="1:19" x14ac:dyDescent="0.35">
      <c r="C148" s="237">
        <v>-2.3359999999999999</v>
      </c>
      <c r="D148" s="261">
        <v>65.909642857142856</v>
      </c>
      <c r="E148" s="402" t="s">
        <v>396</v>
      </c>
      <c r="F148" s="402">
        <v>55</v>
      </c>
      <c r="G148" s="1" t="s">
        <v>82</v>
      </c>
      <c r="H148" s="402">
        <v>27</v>
      </c>
      <c r="I148" s="63">
        <v>21</v>
      </c>
      <c r="J148" s="235" t="s">
        <v>69</v>
      </c>
      <c r="K148" s="140">
        <v>34</v>
      </c>
      <c r="L148" s="14" t="s">
        <v>199</v>
      </c>
      <c r="M148" s="14" t="s">
        <v>1632</v>
      </c>
      <c r="R148" s="260"/>
      <c r="S148" s="205"/>
    </row>
    <row r="149" spans="1:19" x14ac:dyDescent="0.35">
      <c r="C149" s="237">
        <v>3.944</v>
      </c>
      <c r="D149" s="261">
        <v>75.397142857142853</v>
      </c>
      <c r="E149" s="402" t="s">
        <v>395</v>
      </c>
      <c r="F149" s="402">
        <v>8</v>
      </c>
      <c r="G149" s="1" t="s">
        <v>26</v>
      </c>
      <c r="H149" s="402">
        <v>23</v>
      </c>
      <c r="I149" s="63">
        <v>10</v>
      </c>
      <c r="J149" s="235" t="s">
        <v>42</v>
      </c>
      <c r="K149" s="140">
        <v>53</v>
      </c>
      <c r="L149" s="14" t="s">
        <v>191</v>
      </c>
      <c r="M149" s="14" t="s">
        <v>1633</v>
      </c>
      <c r="R149" s="260"/>
      <c r="S149" s="205"/>
    </row>
    <row r="150" spans="1:19" x14ac:dyDescent="0.35">
      <c r="C150" s="237">
        <v>1.222</v>
      </c>
      <c r="D150" s="261">
        <v>60.153928571428573</v>
      </c>
      <c r="E150" s="402" t="s">
        <v>395</v>
      </c>
      <c r="F150" s="402">
        <v>45</v>
      </c>
      <c r="G150" s="1" t="s">
        <v>27</v>
      </c>
      <c r="H150" s="402">
        <v>13</v>
      </c>
      <c r="I150" s="63">
        <v>10</v>
      </c>
      <c r="J150" s="235" t="s">
        <v>783</v>
      </c>
      <c r="K150" s="140">
        <v>52</v>
      </c>
      <c r="L150" s="14" t="s">
        <v>299</v>
      </c>
      <c r="M150" s="14" t="s">
        <v>1634</v>
      </c>
      <c r="R150" s="260"/>
      <c r="S150" s="205"/>
    </row>
    <row r="151" spans="1:19" x14ac:dyDescent="0.35">
      <c r="C151" s="237">
        <v>2.931</v>
      </c>
      <c r="D151" s="261">
        <v>74.97785714285709</v>
      </c>
      <c r="E151" s="402" t="s">
        <v>395</v>
      </c>
      <c r="F151" s="402">
        <v>17</v>
      </c>
      <c r="G151" s="1" t="s">
        <v>785</v>
      </c>
      <c r="H151" s="402">
        <v>21</v>
      </c>
      <c r="I151" s="63">
        <v>16</v>
      </c>
      <c r="J151" s="235" t="s">
        <v>292</v>
      </c>
      <c r="K151" s="140">
        <v>50</v>
      </c>
      <c r="L151" s="14" t="s">
        <v>347</v>
      </c>
      <c r="M151" s="14" t="s">
        <v>1635</v>
      </c>
      <c r="O151" t="s">
        <v>944</v>
      </c>
      <c r="R151" s="260"/>
      <c r="S151" s="205"/>
    </row>
    <row r="152" spans="1:19" x14ac:dyDescent="0.35">
      <c r="A152" s="6" t="s">
        <v>1639</v>
      </c>
      <c r="C152" s="237">
        <v>-4.335</v>
      </c>
      <c r="D152" s="261">
        <v>83.810714285714283</v>
      </c>
      <c r="E152" s="402" t="s">
        <v>396</v>
      </c>
      <c r="F152" s="402">
        <v>49</v>
      </c>
      <c r="G152" s="1" t="s">
        <v>66</v>
      </c>
      <c r="H152" s="402">
        <v>15</v>
      </c>
      <c r="I152" s="63">
        <v>9</v>
      </c>
      <c r="J152" s="235" t="s">
        <v>961</v>
      </c>
      <c r="K152" s="140">
        <v>5</v>
      </c>
      <c r="L152" s="14" t="s">
        <v>196</v>
      </c>
      <c r="M152" s="14" t="s">
        <v>1636</v>
      </c>
      <c r="R152" s="260"/>
      <c r="S152" s="205"/>
    </row>
    <row r="153" spans="1:19" x14ac:dyDescent="0.35">
      <c r="C153" s="237">
        <v>-2.4260000000000002</v>
      </c>
      <c r="D153" s="261">
        <v>79.161428571428601</v>
      </c>
      <c r="E153" s="402" t="s">
        <v>396</v>
      </c>
      <c r="F153" s="402">
        <v>47</v>
      </c>
      <c r="G153" s="1" t="s">
        <v>963</v>
      </c>
      <c r="H153" s="402">
        <v>16</v>
      </c>
      <c r="I153" s="63">
        <v>15</v>
      </c>
      <c r="J153" s="235" t="s">
        <v>50</v>
      </c>
      <c r="K153" s="140">
        <v>19</v>
      </c>
      <c r="L153" s="14" t="s">
        <v>361</v>
      </c>
      <c r="M153" s="14" t="s">
        <v>1638</v>
      </c>
      <c r="O153" t="s">
        <v>1637</v>
      </c>
      <c r="R153" s="260"/>
      <c r="S153" s="205"/>
    </row>
    <row r="154" spans="1:19" x14ac:dyDescent="0.35">
      <c r="C154" s="237">
        <v>-3.073</v>
      </c>
      <c r="D154" s="261">
        <v>80.409285714285716</v>
      </c>
      <c r="E154" s="402" t="s">
        <v>396</v>
      </c>
      <c r="F154" s="402">
        <v>46</v>
      </c>
      <c r="G154" s="1" t="s">
        <v>788</v>
      </c>
      <c r="H154" s="402">
        <v>19</v>
      </c>
      <c r="I154" s="63">
        <v>11</v>
      </c>
      <c r="J154" s="235" t="s">
        <v>79</v>
      </c>
      <c r="K154" s="140">
        <v>15</v>
      </c>
      <c r="L154" s="14" t="s">
        <v>290</v>
      </c>
      <c r="M154" s="14" t="s">
        <v>1640</v>
      </c>
      <c r="R154" s="260"/>
      <c r="S154" s="205"/>
    </row>
    <row r="155" spans="1:19" x14ac:dyDescent="0.35">
      <c r="C155" s="237">
        <v>-3.4159999999999999</v>
      </c>
      <c r="D155" s="261">
        <v>83.868571428571428</v>
      </c>
      <c r="E155" s="402" t="s">
        <v>396</v>
      </c>
      <c r="F155" s="402">
        <v>43</v>
      </c>
      <c r="G155" s="1" t="s">
        <v>46</v>
      </c>
      <c r="H155" s="402">
        <v>20</v>
      </c>
      <c r="I155" s="63">
        <v>13</v>
      </c>
      <c r="J155" s="235" t="s">
        <v>33</v>
      </c>
      <c r="K155" s="140">
        <v>9</v>
      </c>
      <c r="L155" s="14" t="s">
        <v>332</v>
      </c>
      <c r="M155" s="14" t="s">
        <v>1641</v>
      </c>
      <c r="R155" s="260"/>
      <c r="S155" s="205"/>
    </row>
    <row r="156" spans="1:19" x14ac:dyDescent="0.35">
      <c r="C156" s="237">
        <v>3.0760000000000001</v>
      </c>
      <c r="D156" s="261">
        <v>78.517142857142858</v>
      </c>
      <c r="E156" s="402" t="s">
        <v>395</v>
      </c>
      <c r="F156" s="402">
        <v>12</v>
      </c>
      <c r="G156" s="1" t="s">
        <v>1344</v>
      </c>
      <c r="H156" s="402">
        <v>12</v>
      </c>
      <c r="I156" s="63">
        <v>11</v>
      </c>
      <c r="J156" s="235" t="s">
        <v>58</v>
      </c>
      <c r="K156" s="140">
        <v>42</v>
      </c>
      <c r="L156" s="14" t="s">
        <v>186</v>
      </c>
      <c r="M156" s="14" t="s">
        <v>1642</v>
      </c>
      <c r="R156" s="260"/>
      <c r="S156" s="205"/>
    </row>
    <row r="157" spans="1:19" x14ac:dyDescent="0.35">
      <c r="C157" s="257">
        <v>-2.74</v>
      </c>
      <c r="D157" s="261">
        <v>82.671428571428578</v>
      </c>
      <c r="E157" s="138" t="s">
        <v>396</v>
      </c>
      <c r="F157" s="402">
        <v>40</v>
      </c>
      <c r="G157" s="1" t="s">
        <v>64</v>
      </c>
      <c r="H157" s="402">
        <v>16</v>
      </c>
      <c r="I157" s="63">
        <v>7</v>
      </c>
      <c r="J157" s="235" t="s">
        <v>1301</v>
      </c>
      <c r="K157" s="140">
        <v>14</v>
      </c>
      <c r="L157" s="14" t="s">
        <v>297</v>
      </c>
      <c r="M157" s="14" t="s">
        <v>1643</v>
      </c>
      <c r="R157" s="260"/>
      <c r="S157" s="205"/>
    </row>
    <row r="158" spans="1:19" x14ac:dyDescent="0.35">
      <c r="C158" s="237">
        <v>-2.2839999999999998</v>
      </c>
      <c r="D158" s="261">
        <v>81.27428571428571</v>
      </c>
      <c r="E158" s="402" t="s">
        <v>396</v>
      </c>
      <c r="F158" s="402">
        <v>39</v>
      </c>
      <c r="G158" s="1" t="s">
        <v>49</v>
      </c>
      <c r="H158" s="402">
        <v>19</v>
      </c>
      <c r="I158" s="63">
        <v>11</v>
      </c>
      <c r="J158" s="235" t="s">
        <v>962</v>
      </c>
      <c r="K158" s="140">
        <v>18</v>
      </c>
      <c r="L158" s="14" t="s">
        <v>359</v>
      </c>
      <c r="M158" s="14" t="s">
        <v>1644</v>
      </c>
      <c r="R158" s="260"/>
      <c r="S158" s="205"/>
    </row>
    <row r="159" spans="1:19" x14ac:dyDescent="0.35">
      <c r="C159" s="237">
        <v>0.91400000000000003</v>
      </c>
      <c r="D159" s="261">
        <v>73.632857142857148</v>
      </c>
      <c r="E159" s="402" t="s">
        <v>395</v>
      </c>
      <c r="F159" s="402">
        <v>27</v>
      </c>
      <c r="G159" s="1" t="s">
        <v>300</v>
      </c>
      <c r="H159" s="402">
        <v>15</v>
      </c>
      <c r="I159" s="63">
        <v>11</v>
      </c>
      <c r="J159" s="235" t="s">
        <v>36</v>
      </c>
      <c r="K159" s="140">
        <v>37</v>
      </c>
      <c r="L159" s="14" t="s">
        <v>331</v>
      </c>
      <c r="M159" s="14" t="s">
        <v>1645</v>
      </c>
      <c r="R159" s="260"/>
      <c r="S159" s="205"/>
    </row>
    <row r="160" spans="1:19" x14ac:dyDescent="0.35">
      <c r="C160" s="237">
        <v>-0.61599999999999999</v>
      </c>
      <c r="D160" s="261">
        <v>75.529285714285706</v>
      </c>
      <c r="E160" s="402" t="s">
        <v>396</v>
      </c>
      <c r="F160" s="402">
        <v>36</v>
      </c>
      <c r="G160" s="1" t="s">
        <v>115</v>
      </c>
      <c r="H160" s="402">
        <v>19</v>
      </c>
      <c r="I160" s="63">
        <v>8</v>
      </c>
      <c r="J160" s="235" t="s">
        <v>1302</v>
      </c>
      <c r="K160" s="140">
        <v>26</v>
      </c>
      <c r="L160" s="14" t="s">
        <v>360</v>
      </c>
      <c r="M160" s="43" t="s">
        <v>1646</v>
      </c>
      <c r="N160" s="1" t="s">
        <v>2953</v>
      </c>
      <c r="R160" s="260"/>
      <c r="S160" s="205"/>
    </row>
    <row r="161" spans="1:20" x14ac:dyDescent="0.35">
      <c r="C161" s="237">
        <v>3.6819999999999999</v>
      </c>
      <c r="D161" s="261">
        <v>84.155714285714282</v>
      </c>
      <c r="E161" s="402" t="s">
        <v>395</v>
      </c>
      <c r="F161" s="402">
        <v>2</v>
      </c>
      <c r="G161" s="1" t="s">
        <v>59</v>
      </c>
      <c r="H161" s="402">
        <v>18</v>
      </c>
      <c r="I161" s="63">
        <v>5</v>
      </c>
      <c r="J161" s="235" t="s">
        <v>85</v>
      </c>
      <c r="K161" s="140">
        <v>35</v>
      </c>
      <c r="L161" s="14" t="s">
        <v>291</v>
      </c>
      <c r="M161" s="14" t="s">
        <v>1647</v>
      </c>
      <c r="R161" s="260"/>
      <c r="S161" s="205"/>
      <c r="T161" s="70"/>
    </row>
    <row r="162" spans="1:20" x14ac:dyDescent="0.35">
      <c r="C162" s="237">
        <v>0.47399999999999998</v>
      </c>
      <c r="D162" s="261">
        <v>74.348928571428573</v>
      </c>
      <c r="E162" s="402" t="s">
        <v>395</v>
      </c>
      <c r="F162" s="402">
        <v>30</v>
      </c>
      <c r="G162" s="1" t="s">
        <v>71</v>
      </c>
      <c r="H162" s="402">
        <v>10</v>
      </c>
      <c r="I162" s="63">
        <v>9</v>
      </c>
      <c r="J162" s="235" t="s">
        <v>960</v>
      </c>
      <c r="K162" s="140">
        <v>33</v>
      </c>
      <c r="L162" s="14" t="s">
        <v>187</v>
      </c>
      <c r="M162" s="14" t="s">
        <v>1648</v>
      </c>
      <c r="R162" s="260"/>
      <c r="S162" s="205"/>
      <c r="T162" s="70"/>
    </row>
    <row r="163" spans="1:20" x14ac:dyDescent="0.35">
      <c r="C163" s="237">
        <v>-4.1740000000000004</v>
      </c>
      <c r="D163" s="261">
        <v>91.195714285714288</v>
      </c>
      <c r="E163" s="402" t="s">
        <v>396</v>
      </c>
      <c r="F163" s="402">
        <v>32</v>
      </c>
      <c r="G163" s="1" t="s">
        <v>795</v>
      </c>
      <c r="H163" s="402">
        <v>20</v>
      </c>
      <c r="I163" s="63">
        <v>13</v>
      </c>
      <c r="J163" s="235" t="s">
        <v>119</v>
      </c>
      <c r="K163" s="140">
        <v>1</v>
      </c>
      <c r="L163" s="14" t="s">
        <v>334</v>
      </c>
      <c r="M163" s="14" t="s">
        <v>1649</v>
      </c>
      <c r="R163" s="260"/>
      <c r="S163" s="205"/>
      <c r="T163" s="70"/>
    </row>
    <row r="164" spans="1:20" x14ac:dyDescent="0.35">
      <c r="C164" s="257">
        <v>0.96</v>
      </c>
      <c r="D164" s="261">
        <v>81.457142857142856</v>
      </c>
      <c r="E164" s="138" t="s">
        <v>395</v>
      </c>
      <c r="F164" s="402">
        <v>21</v>
      </c>
      <c r="G164" s="1" t="s">
        <v>78</v>
      </c>
      <c r="H164" s="402">
        <v>24</v>
      </c>
      <c r="I164" s="63">
        <v>13</v>
      </c>
      <c r="J164" s="235" t="s">
        <v>791</v>
      </c>
      <c r="K164" s="140">
        <v>29</v>
      </c>
      <c r="L164" s="14" t="s">
        <v>347</v>
      </c>
      <c r="M164" s="43" t="s">
        <v>1650</v>
      </c>
      <c r="N164" s="1" t="s">
        <v>2953</v>
      </c>
      <c r="R164" s="260"/>
      <c r="S164" s="205"/>
      <c r="T164" s="70"/>
    </row>
    <row r="165" spans="1:20" x14ac:dyDescent="0.35">
      <c r="C165" s="237">
        <v>2.0289999999999999</v>
      </c>
      <c r="D165" s="261">
        <v>84.622142857142862</v>
      </c>
      <c r="E165" s="402" t="s">
        <v>395</v>
      </c>
      <c r="F165" s="402">
        <v>11</v>
      </c>
      <c r="G165" s="1" t="s">
        <v>40</v>
      </c>
      <c r="H165" s="402">
        <v>18</v>
      </c>
      <c r="I165" s="63">
        <v>9</v>
      </c>
      <c r="J165" s="235" t="s">
        <v>145</v>
      </c>
      <c r="K165" s="140">
        <v>28</v>
      </c>
      <c r="L165" s="14" t="s">
        <v>339</v>
      </c>
      <c r="M165" s="14" t="s">
        <v>1651</v>
      </c>
      <c r="R165" s="260"/>
      <c r="S165" s="205"/>
      <c r="T165" s="70"/>
    </row>
    <row r="166" spans="1:20" x14ac:dyDescent="0.35">
      <c r="C166" s="237">
        <v>-1.827</v>
      </c>
      <c r="D166" s="261">
        <v>91.305000000000007</v>
      </c>
      <c r="E166" s="402" t="s">
        <v>396</v>
      </c>
      <c r="F166" s="402">
        <v>25</v>
      </c>
      <c r="G166" s="1" t="s">
        <v>45</v>
      </c>
      <c r="H166" s="402">
        <v>17</v>
      </c>
      <c r="I166" s="63">
        <v>8</v>
      </c>
      <c r="J166" s="235" t="s">
        <v>34</v>
      </c>
      <c r="K166" s="140">
        <v>7</v>
      </c>
      <c r="L166" s="14" t="s">
        <v>286</v>
      </c>
      <c r="M166" s="14" t="s">
        <v>1652</v>
      </c>
      <c r="R166" s="260"/>
      <c r="S166" s="205"/>
      <c r="T166" s="70"/>
    </row>
    <row r="167" spans="1:20" x14ac:dyDescent="0.35">
      <c r="C167" s="257">
        <v>-1.7</v>
      </c>
      <c r="D167" s="261">
        <v>88.714285714285708</v>
      </c>
      <c r="E167" s="138" t="s">
        <v>396</v>
      </c>
      <c r="F167" s="402">
        <v>24</v>
      </c>
      <c r="G167" s="1" t="s">
        <v>966</v>
      </c>
      <c r="H167" s="402">
        <v>22</v>
      </c>
      <c r="I167" s="63">
        <v>11</v>
      </c>
      <c r="J167" s="235" t="s">
        <v>57</v>
      </c>
      <c r="K167" s="140">
        <v>16</v>
      </c>
      <c r="L167" s="14" t="s">
        <v>507</v>
      </c>
      <c r="M167" s="43" t="s">
        <v>1653</v>
      </c>
      <c r="N167" s="1" t="s">
        <v>2953</v>
      </c>
      <c r="R167" s="260"/>
      <c r="S167" s="205"/>
      <c r="T167" s="70"/>
    </row>
    <row r="168" spans="1:20" x14ac:dyDescent="0.35">
      <c r="C168" s="237">
        <v>1.8049999999999999</v>
      </c>
      <c r="D168" s="261">
        <v>88.398214285714289</v>
      </c>
      <c r="E168" s="402" t="s">
        <v>395</v>
      </c>
      <c r="F168" s="402">
        <v>10</v>
      </c>
      <c r="G168" s="1" t="s">
        <v>790</v>
      </c>
      <c r="H168" s="402">
        <v>16</v>
      </c>
      <c r="I168" s="63">
        <v>13</v>
      </c>
      <c r="J168" s="235" t="s">
        <v>77</v>
      </c>
      <c r="K168" s="140">
        <v>23</v>
      </c>
      <c r="L168" s="14" t="s">
        <v>191</v>
      </c>
      <c r="M168" s="14" t="s">
        <v>1654</v>
      </c>
      <c r="R168" s="260"/>
      <c r="S168" s="205"/>
      <c r="T168" s="70"/>
    </row>
    <row r="169" spans="1:20" ht="15" thickBot="1" x14ac:dyDescent="0.4">
      <c r="B169" s="57"/>
      <c r="C169" s="258">
        <v>1.7929999999999999</v>
      </c>
      <c r="D169" s="262">
        <v>90.594285714285718</v>
      </c>
      <c r="E169" s="381" t="s">
        <v>395</v>
      </c>
      <c r="F169" s="381">
        <v>6</v>
      </c>
      <c r="G169" s="44" t="s">
        <v>118</v>
      </c>
      <c r="H169" s="381">
        <v>25</v>
      </c>
      <c r="I169" s="56">
        <v>9</v>
      </c>
      <c r="J169" s="57" t="s">
        <v>900</v>
      </c>
      <c r="K169" s="141">
        <v>20</v>
      </c>
      <c r="L169" s="12" t="s">
        <v>546</v>
      </c>
      <c r="M169" s="44" t="s">
        <v>1655</v>
      </c>
      <c r="N169" s="274" t="s">
        <v>2953</v>
      </c>
      <c r="O169" s="86"/>
      <c r="R169" s="260"/>
      <c r="S169" s="205"/>
      <c r="T169" s="70"/>
    </row>
    <row r="170" spans="1:20" x14ac:dyDescent="0.35">
      <c r="A170" s="6" t="s">
        <v>1664</v>
      </c>
      <c r="B170" s="46" t="s">
        <v>1965</v>
      </c>
      <c r="C170" s="237">
        <v>2.5920000000000001</v>
      </c>
      <c r="D170" s="261">
        <v>9.3092857142857195</v>
      </c>
      <c r="F170" s="402">
        <v>87</v>
      </c>
      <c r="G170" s="1" t="s">
        <v>114</v>
      </c>
      <c r="H170" s="402">
        <v>21</v>
      </c>
      <c r="I170" s="63">
        <v>10</v>
      </c>
      <c r="J170" s="235" t="s">
        <v>65</v>
      </c>
      <c r="K170" s="140">
        <v>112</v>
      </c>
      <c r="L170" s="14" t="s">
        <v>297</v>
      </c>
      <c r="M170" s="14" t="s">
        <v>1659</v>
      </c>
      <c r="R170" s="260"/>
      <c r="S170" s="205"/>
      <c r="T170" s="70"/>
    </row>
    <row r="171" spans="1:20" x14ac:dyDescent="0.35">
      <c r="B171" s="237" t="s">
        <v>2765</v>
      </c>
      <c r="C171" s="237">
        <v>-6.9139999999999997</v>
      </c>
      <c r="D171" s="261">
        <v>45.072500000000005</v>
      </c>
      <c r="F171" s="402">
        <v>111</v>
      </c>
      <c r="G171" s="1" t="s">
        <v>796</v>
      </c>
      <c r="H171" s="402">
        <v>21</v>
      </c>
      <c r="I171" s="63">
        <v>15</v>
      </c>
      <c r="J171" s="235" t="s">
        <v>792</v>
      </c>
      <c r="K171" s="140">
        <v>38</v>
      </c>
      <c r="L171" s="14" t="s">
        <v>397</v>
      </c>
      <c r="M171" s="162" t="s">
        <v>1660</v>
      </c>
      <c r="R171" s="260"/>
      <c r="S171" s="205"/>
      <c r="T171" s="70"/>
    </row>
    <row r="172" spans="1:20" x14ac:dyDescent="0.35">
      <c r="A172" s="6" t="s">
        <v>1665</v>
      </c>
      <c r="C172" s="237">
        <v>10.502000000000001</v>
      </c>
      <c r="D172" s="261">
        <v>52.141428571428584</v>
      </c>
      <c r="F172" s="402">
        <v>3</v>
      </c>
      <c r="G172" s="1" t="s">
        <v>118</v>
      </c>
      <c r="H172" s="402">
        <v>25</v>
      </c>
      <c r="I172" s="63">
        <v>11</v>
      </c>
      <c r="J172" s="235" t="s">
        <v>48</v>
      </c>
      <c r="K172" s="140">
        <v>110</v>
      </c>
      <c r="L172" s="14" t="s">
        <v>179</v>
      </c>
      <c r="M172" s="162" t="s">
        <v>1662</v>
      </c>
      <c r="O172" s="85" t="s">
        <v>1661</v>
      </c>
      <c r="R172" s="260"/>
      <c r="S172" s="205"/>
      <c r="T172" s="70"/>
    </row>
    <row r="173" spans="1:20" x14ac:dyDescent="0.35">
      <c r="C173" s="257">
        <v>11.18</v>
      </c>
      <c r="D173" s="261">
        <v>52.728571428571428</v>
      </c>
      <c r="E173" s="138"/>
      <c r="F173" s="402">
        <v>1</v>
      </c>
      <c r="G173" s="1" t="s">
        <v>87</v>
      </c>
      <c r="H173" s="402">
        <v>23</v>
      </c>
      <c r="I173" s="63">
        <v>14</v>
      </c>
      <c r="J173" s="235" t="s">
        <v>76</v>
      </c>
      <c r="K173" s="140">
        <v>109</v>
      </c>
      <c r="L173" s="14" t="s">
        <v>488</v>
      </c>
      <c r="M173" s="162" t="s">
        <v>1663</v>
      </c>
      <c r="O173" s="85" t="s">
        <v>1807</v>
      </c>
      <c r="R173" s="260"/>
      <c r="S173" s="205"/>
      <c r="T173" s="70"/>
    </row>
    <row r="174" spans="1:20" x14ac:dyDescent="0.35">
      <c r="A174" s="6" t="s">
        <v>1666</v>
      </c>
      <c r="C174" s="237">
        <v>-3.6230000000000002</v>
      </c>
      <c r="D174" s="261">
        <v>18.212857142857143</v>
      </c>
      <c r="F174" s="402">
        <v>108</v>
      </c>
      <c r="G174" s="1" t="s">
        <v>47</v>
      </c>
      <c r="H174" s="402">
        <v>15</v>
      </c>
      <c r="I174" s="63">
        <v>11</v>
      </c>
      <c r="J174" s="235" t="s">
        <v>117</v>
      </c>
      <c r="K174" s="140">
        <v>81</v>
      </c>
      <c r="L174" s="14" t="s">
        <v>281</v>
      </c>
      <c r="M174" s="162" t="s">
        <v>1667</v>
      </c>
      <c r="R174" s="260"/>
      <c r="S174" s="205"/>
      <c r="T174" s="70"/>
    </row>
    <row r="175" spans="1:20" x14ac:dyDescent="0.35">
      <c r="C175" s="237">
        <v>1.135</v>
      </c>
      <c r="D175" s="261">
        <v>8.5642857142857238</v>
      </c>
      <c r="F175" s="402">
        <v>96</v>
      </c>
      <c r="G175" s="1" t="s">
        <v>1342</v>
      </c>
      <c r="H175" s="402">
        <v>14</v>
      </c>
      <c r="I175" s="63">
        <v>12</v>
      </c>
      <c r="J175" s="235" t="s">
        <v>1308</v>
      </c>
      <c r="K175" s="140">
        <v>107</v>
      </c>
      <c r="L175" s="14" t="s">
        <v>400</v>
      </c>
      <c r="M175" s="162" t="s">
        <v>1668</v>
      </c>
      <c r="R175" s="260"/>
      <c r="S175" s="205"/>
      <c r="T175" s="70"/>
    </row>
    <row r="176" spans="1:20" x14ac:dyDescent="0.35">
      <c r="C176" s="237">
        <v>-5.835</v>
      </c>
      <c r="D176" s="261">
        <v>41.891071428571422</v>
      </c>
      <c r="F176" s="402">
        <v>106</v>
      </c>
      <c r="G176" s="1" t="s">
        <v>25</v>
      </c>
      <c r="H176" s="402">
        <v>24</v>
      </c>
      <c r="I176" s="63">
        <v>23</v>
      </c>
      <c r="J176" s="235" t="s">
        <v>27</v>
      </c>
      <c r="K176" s="140">
        <v>49</v>
      </c>
      <c r="L176" s="14" t="s">
        <v>199</v>
      </c>
      <c r="M176" s="162" t="s">
        <v>1669</v>
      </c>
      <c r="R176" s="260"/>
      <c r="S176" s="205"/>
      <c r="T176" s="70"/>
    </row>
    <row r="177" spans="1:20" x14ac:dyDescent="0.35">
      <c r="A177" s="6" t="s">
        <v>1670</v>
      </c>
      <c r="C177" s="257">
        <v>-6.6</v>
      </c>
      <c r="D177" s="261">
        <v>49.267857142857139</v>
      </c>
      <c r="E177" s="138"/>
      <c r="F177" s="402">
        <v>105</v>
      </c>
      <c r="G177" s="1" t="s">
        <v>786</v>
      </c>
      <c r="H177" s="402">
        <v>20</v>
      </c>
      <c r="I177" s="63">
        <v>19</v>
      </c>
      <c r="J177" s="235" t="s">
        <v>787</v>
      </c>
      <c r="K177" s="140">
        <v>33</v>
      </c>
      <c r="L177" s="14" t="s">
        <v>621</v>
      </c>
      <c r="M177" s="162" t="s">
        <v>1672</v>
      </c>
      <c r="O177" s="85" t="s">
        <v>1671</v>
      </c>
      <c r="R177" s="260"/>
      <c r="S177" s="205"/>
      <c r="T177" s="70"/>
    </row>
    <row r="178" spans="1:20" x14ac:dyDescent="0.35">
      <c r="C178" s="237">
        <v>-0.28199999999999997</v>
      </c>
      <c r="D178" s="261">
        <v>7.7907142857142953</v>
      </c>
      <c r="F178" s="402">
        <v>103</v>
      </c>
      <c r="G178" s="1" t="s">
        <v>784</v>
      </c>
      <c r="H178" s="402">
        <v>28</v>
      </c>
      <c r="I178" s="63">
        <v>10</v>
      </c>
      <c r="J178" s="235" t="s">
        <v>794</v>
      </c>
      <c r="K178" s="140">
        <v>104</v>
      </c>
      <c r="L178" s="14" t="s">
        <v>332</v>
      </c>
      <c r="M178" s="43" t="s">
        <v>1673</v>
      </c>
      <c r="N178" s="1" t="s">
        <v>2953</v>
      </c>
      <c r="R178" s="260"/>
      <c r="S178" s="205"/>
      <c r="T178" s="70"/>
    </row>
    <row r="179" spans="1:20" x14ac:dyDescent="0.35">
      <c r="C179" s="237">
        <v>-0.56200000000000006</v>
      </c>
      <c r="D179" s="261">
        <v>10.222857142857144</v>
      </c>
      <c r="F179" s="402">
        <v>100</v>
      </c>
      <c r="G179" s="1" t="s">
        <v>3913</v>
      </c>
      <c r="H179" s="402">
        <v>23</v>
      </c>
      <c r="I179" s="63">
        <v>9</v>
      </c>
      <c r="J179" s="235" t="s">
        <v>964</v>
      </c>
      <c r="K179" s="140">
        <v>102</v>
      </c>
      <c r="L179" s="14" t="s">
        <v>359</v>
      </c>
      <c r="M179" s="162" t="s">
        <v>1674</v>
      </c>
      <c r="R179" s="260"/>
      <c r="S179" s="205"/>
      <c r="T179" s="70"/>
    </row>
    <row r="180" spans="1:20" x14ac:dyDescent="0.35">
      <c r="C180" s="237">
        <v>5.577</v>
      </c>
      <c r="D180" s="261">
        <v>38.7575</v>
      </c>
      <c r="F180" s="402">
        <v>44</v>
      </c>
      <c r="G180" s="1" t="s">
        <v>30</v>
      </c>
      <c r="H180" s="402">
        <v>22</v>
      </c>
      <c r="I180" s="63">
        <v>21</v>
      </c>
      <c r="J180" s="235" t="s">
        <v>24</v>
      </c>
      <c r="K180" s="140">
        <v>101</v>
      </c>
      <c r="L180" s="14" t="s">
        <v>577</v>
      </c>
      <c r="M180" s="162" t="s">
        <v>1675</v>
      </c>
      <c r="N180" s="92" t="s">
        <v>2954</v>
      </c>
      <c r="O180" t="s">
        <v>1719</v>
      </c>
      <c r="R180" s="260"/>
      <c r="S180" s="205"/>
    </row>
    <row r="181" spans="1:20" x14ac:dyDescent="0.35">
      <c r="C181" s="237">
        <v>8.4160000000000004</v>
      </c>
      <c r="D181" s="261">
        <v>56.131428571428565</v>
      </c>
      <c r="F181" s="402">
        <v>7</v>
      </c>
      <c r="G181" s="1" t="s">
        <v>119</v>
      </c>
      <c r="H181" s="402">
        <v>19</v>
      </c>
      <c r="I181" s="63">
        <v>7</v>
      </c>
      <c r="J181" s="235" t="s">
        <v>1860</v>
      </c>
      <c r="K181" s="140">
        <v>99</v>
      </c>
      <c r="L181" s="14" t="s">
        <v>281</v>
      </c>
      <c r="M181" s="162" t="s">
        <v>1676</v>
      </c>
      <c r="R181" s="260"/>
      <c r="S181" s="205"/>
    </row>
    <row r="182" spans="1:20" x14ac:dyDescent="0.35">
      <c r="A182" s="6" t="s">
        <v>1677</v>
      </c>
      <c r="C182" s="237">
        <v>4.3470000000000004</v>
      </c>
      <c r="D182" s="261">
        <v>26.805714285714288</v>
      </c>
      <c r="F182" s="402">
        <v>59</v>
      </c>
      <c r="G182" s="1" t="s">
        <v>1858</v>
      </c>
      <c r="H182" s="402">
        <v>16</v>
      </c>
      <c r="I182" s="63">
        <v>14</v>
      </c>
      <c r="J182" s="235" t="s">
        <v>37</v>
      </c>
      <c r="K182" s="140">
        <v>98</v>
      </c>
      <c r="L182" s="14" t="s">
        <v>183</v>
      </c>
      <c r="M182" s="162" t="s">
        <v>1678</v>
      </c>
      <c r="R182" s="260"/>
      <c r="S182" s="205"/>
    </row>
    <row r="183" spans="1:20" x14ac:dyDescent="0.35">
      <c r="C183" s="237">
        <v>5.9320000000000004</v>
      </c>
      <c r="D183" s="261">
        <v>43.128928571428574</v>
      </c>
      <c r="F183" s="402">
        <v>34</v>
      </c>
      <c r="G183" s="1" t="s">
        <v>82</v>
      </c>
      <c r="H183" s="402">
        <v>27</v>
      </c>
      <c r="I183" s="63">
        <v>12</v>
      </c>
      <c r="J183" s="235" t="s">
        <v>80</v>
      </c>
      <c r="K183" s="140">
        <v>97</v>
      </c>
      <c r="L183" s="14" t="s">
        <v>546</v>
      </c>
      <c r="M183" s="162" t="s">
        <v>1679</v>
      </c>
      <c r="R183" s="260"/>
      <c r="S183" s="205"/>
    </row>
    <row r="184" spans="1:20" x14ac:dyDescent="0.35">
      <c r="C184" s="237">
        <v>5.423</v>
      </c>
      <c r="D184" s="261">
        <v>55.412142857142854</v>
      </c>
      <c r="F184" s="402">
        <v>19</v>
      </c>
      <c r="G184" s="1" t="s">
        <v>49</v>
      </c>
      <c r="H184" s="402">
        <v>18</v>
      </c>
      <c r="I184" s="63">
        <v>11</v>
      </c>
      <c r="J184" s="235" t="s">
        <v>55</v>
      </c>
      <c r="K184" s="140">
        <v>95</v>
      </c>
      <c r="L184" s="14" t="s">
        <v>450</v>
      </c>
      <c r="M184" s="162" t="s">
        <v>1680</v>
      </c>
      <c r="R184" s="260"/>
      <c r="S184" s="205"/>
    </row>
    <row r="185" spans="1:20" x14ac:dyDescent="0.35">
      <c r="C185" s="237">
        <v>2.8780000000000001</v>
      </c>
      <c r="D185" s="261">
        <v>23.051428571428602</v>
      </c>
      <c r="F185" s="402">
        <v>76</v>
      </c>
      <c r="G185" s="1" t="s">
        <v>1343</v>
      </c>
      <c r="H185" s="402">
        <v>18</v>
      </c>
      <c r="I185" s="63">
        <v>16</v>
      </c>
      <c r="J185" s="235" t="s">
        <v>959</v>
      </c>
      <c r="K185" s="140">
        <v>94</v>
      </c>
      <c r="L185" s="14" t="s">
        <v>369</v>
      </c>
      <c r="M185" s="162" t="s">
        <v>1681</v>
      </c>
      <c r="O185" t="s">
        <v>1682</v>
      </c>
      <c r="R185" s="260"/>
      <c r="S185" s="205"/>
    </row>
    <row r="186" spans="1:20" x14ac:dyDescent="0.35">
      <c r="C186" s="237">
        <v>2.8180000000000001</v>
      </c>
      <c r="D186" s="261">
        <v>25.219285714285711</v>
      </c>
      <c r="F186" s="402">
        <v>70</v>
      </c>
      <c r="G186" s="1" t="s">
        <v>42</v>
      </c>
      <c r="H186" s="402">
        <v>16</v>
      </c>
      <c r="I186" s="63">
        <v>7</v>
      </c>
      <c r="J186" s="235" t="s">
        <v>38</v>
      </c>
      <c r="K186" s="140">
        <v>93</v>
      </c>
      <c r="L186" s="14" t="s">
        <v>450</v>
      </c>
      <c r="M186" s="162" t="s">
        <v>1683</v>
      </c>
      <c r="R186" s="260"/>
      <c r="S186" s="205"/>
    </row>
    <row r="187" spans="1:20" x14ac:dyDescent="0.35">
      <c r="C187" s="237">
        <v>6.032</v>
      </c>
      <c r="D187" s="261">
        <v>55.334285714285713</v>
      </c>
      <c r="F187" s="402">
        <v>21</v>
      </c>
      <c r="G187" s="1" t="s">
        <v>71</v>
      </c>
      <c r="H187" s="402">
        <v>21</v>
      </c>
      <c r="I187" s="63">
        <v>20</v>
      </c>
      <c r="J187" s="235" t="s">
        <v>70</v>
      </c>
      <c r="K187" s="140">
        <v>92</v>
      </c>
      <c r="L187" s="14" t="s">
        <v>507</v>
      </c>
      <c r="M187" s="162" t="s">
        <v>1684</v>
      </c>
      <c r="N187" s="92" t="s">
        <v>2954</v>
      </c>
      <c r="R187" s="260"/>
      <c r="S187" s="205"/>
    </row>
    <row r="188" spans="1:20" x14ac:dyDescent="0.35">
      <c r="A188" s="6" t="s">
        <v>1720</v>
      </c>
      <c r="C188" s="237">
        <v>-2.7370000000000001</v>
      </c>
      <c r="D188" s="261">
        <v>33.7585714285714</v>
      </c>
      <c r="F188" s="402">
        <v>91</v>
      </c>
      <c r="G188" s="1" t="s">
        <v>22</v>
      </c>
      <c r="H188" s="402">
        <v>20</v>
      </c>
      <c r="I188" s="63">
        <v>16</v>
      </c>
      <c r="J188" s="235" t="s">
        <v>32</v>
      </c>
      <c r="K188" s="140">
        <v>64</v>
      </c>
      <c r="L188" s="14" t="s">
        <v>507</v>
      </c>
      <c r="M188" s="162" t="s">
        <v>1721</v>
      </c>
      <c r="O188" t="s">
        <v>1719</v>
      </c>
      <c r="R188" s="260"/>
      <c r="S188" s="205"/>
    </row>
    <row r="189" spans="1:20" x14ac:dyDescent="0.35">
      <c r="C189" s="237">
        <v>3.7370000000000001</v>
      </c>
      <c r="D189" s="261">
        <v>49.116428571428571</v>
      </c>
      <c r="F189" s="402">
        <v>30</v>
      </c>
      <c r="G189" s="1" t="s">
        <v>77</v>
      </c>
      <c r="H189" s="402">
        <v>21</v>
      </c>
      <c r="I189" s="63">
        <v>15</v>
      </c>
      <c r="J189" s="235" t="s">
        <v>88</v>
      </c>
      <c r="K189" s="140">
        <v>90</v>
      </c>
      <c r="L189" s="14" t="s">
        <v>337</v>
      </c>
      <c r="M189" s="162" t="s">
        <v>1722</v>
      </c>
      <c r="R189" s="260"/>
      <c r="S189" s="205"/>
    </row>
    <row r="190" spans="1:20" x14ac:dyDescent="0.35">
      <c r="C190" s="237">
        <v>3.7349999999999999</v>
      </c>
      <c r="D190" s="261">
        <v>49.117857142857147</v>
      </c>
      <c r="F190" s="402">
        <v>31</v>
      </c>
      <c r="G190" s="1" t="s">
        <v>50</v>
      </c>
      <c r="H190" s="402">
        <v>26</v>
      </c>
      <c r="I190" s="63">
        <v>22</v>
      </c>
      <c r="J190" s="235" t="s">
        <v>54</v>
      </c>
      <c r="K190" s="140">
        <v>89</v>
      </c>
      <c r="L190" s="14" t="s">
        <v>184</v>
      </c>
      <c r="M190" s="162" t="s">
        <v>1723</v>
      </c>
      <c r="N190" s="92" t="s">
        <v>2954</v>
      </c>
      <c r="R190" s="260"/>
      <c r="S190" s="205"/>
    </row>
    <row r="191" spans="1:20" x14ac:dyDescent="0.35">
      <c r="C191" s="237">
        <v>6.327</v>
      </c>
      <c r="D191" s="261">
        <v>62.623571428571424</v>
      </c>
      <c r="F191" s="402">
        <v>4</v>
      </c>
      <c r="G191" s="1" t="s">
        <v>26</v>
      </c>
      <c r="H191" s="402">
        <v>26</v>
      </c>
      <c r="I191" s="63">
        <v>11</v>
      </c>
      <c r="J191" s="235" t="s">
        <v>31</v>
      </c>
      <c r="K191" s="140">
        <v>88</v>
      </c>
      <c r="L191" s="14" t="s">
        <v>301</v>
      </c>
      <c r="M191" s="162" t="s">
        <v>1724</v>
      </c>
      <c r="R191" s="260"/>
      <c r="S191" s="205"/>
    </row>
    <row r="192" spans="1:20" x14ac:dyDescent="0.35">
      <c r="C192" s="237">
        <v>1.423</v>
      </c>
      <c r="D192" s="261">
        <v>32.912142857142854</v>
      </c>
      <c r="F192" s="402">
        <v>62</v>
      </c>
      <c r="G192" s="1" t="s">
        <v>72</v>
      </c>
      <c r="H192" s="402">
        <v>17</v>
      </c>
      <c r="I192" s="63">
        <v>5</v>
      </c>
      <c r="J192" s="235" t="s">
        <v>63</v>
      </c>
      <c r="K192" s="140">
        <v>86</v>
      </c>
      <c r="L192" s="14" t="s">
        <v>744</v>
      </c>
      <c r="M192" s="43" t="s">
        <v>1725</v>
      </c>
      <c r="N192" s="1" t="s">
        <v>2953</v>
      </c>
      <c r="R192" s="260"/>
      <c r="S192" s="205"/>
    </row>
    <row r="193" spans="3:20" x14ac:dyDescent="0.35">
      <c r="C193" s="237">
        <v>1.5640000000000001</v>
      </c>
      <c r="D193" s="261">
        <v>42.632857142857148</v>
      </c>
      <c r="F193" s="402">
        <v>55</v>
      </c>
      <c r="G193" s="1" t="s">
        <v>58</v>
      </c>
      <c r="H193" s="402">
        <v>20</v>
      </c>
      <c r="I193" s="63">
        <v>10</v>
      </c>
      <c r="J193" s="235" t="s">
        <v>56</v>
      </c>
      <c r="K193" s="140">
        <v>85</v>
      </c>
      <c r="L193" s="14" t="s">
        <v>507</v>
      </c>
      <c r="M193" s="162" t="s">
        <v>1726</v>
      </c>
      <c r="R193" s="260"/>
      <c r="S193" s="205"/>
    </row>
    <row r="194" spans="3:20" x14ac:dyDescent="0.35">
      <c r="C194" s="237">
        <v>4.2569999999999997</v>
      </c>
      <c r="D194" s="261">
        <v>61.24499999999999</v>
      </c>
      <c r="F194" s="402">
        <v>16</v>
      </c>
      <c r="G194" s="1" t="s">
        <v>795</v>
      </c>
      <c r="H194" s="402">
        <v>17</v>
      </c>
      <c r="I194" s="63">
        <v>10</v>
      </c>
      <c r="J194" s="235" t="s">
        <v>789</v>
      </c>
      <c r="K194" s="140">
        <v>84</v>
      </c>
      <c r="L194" s="14" t="s">
        <v>400</v>
      </c>
      <c r="M194" s="162" t="s">
        <v>1732</v>
      </c>
      <c r="R194" s="260"/>
      <c r="S194" s="205"/>
      <c r="T194" s="70"/>
    </row>
    <row r="195" spans="3:20" x14ac:dyDescent="0.35">
      <c r="C195" s="237">
        <v>2.9430000000000001</v>
      </c>
      <c r="D195" s="261">
        <v>50.487142857142864</v>
      </c>
      <c r="F195" s="402">
        <v>35</v>
      </c>
      <c r="G195" s="1" t="s">
        <v>79</v>
      </c>
      <c r="H195" s="402">
        <v>22</v>
      </c>
      <c r="I195" s="63">
        <v>15</v>
      </c>
      <c r="J195" s="235" t="s">
        <v>86</v>
      </c>
      <c r="K195" s="140">
        <v>83</v>
      </c>
      <c r="L195" s="14" t="s">
        <v>621</v>
      </c>
      <c r="M195" s="162" t="s">
        <v>1733</v>
      </c>
      <c r="R195" s="260"/>
      <c r="S195" s="205"/>
      <c r="T195" s="70"/>
    </row>
    <row r="196" spans="3:20" x14ac:dyDescent="0.35">
      <c r="C196" s="237">
        <v>-4.8280000000000003</v>
      </c>
      <c r="D196" s="261">
        <v>70.948571428571427</v>
      </c>
      <c r="F196" s="402">
        <v>82</v>
      </c>
      <c r="G196" s="1" t="s">
        <v>81</v>
      </c>
      <c r="H196" s="402">
        <v>22</v>
      </c>
      <c r="I196" s="63">
        <v>21</v>
      </c>
      <c r="J196" s="235" t="s">
        <v>78</v>
      </c>
      <c r="K196" s="140">
        <v>9</v>
      </c>
      <c r="L196" s="14" t="s">
        <v>184</v>
      </c>
      <c r="M196" s="162" t="s">
        <v>1734</v>
      </c>
      <c r="R196" s="260"/>
      <c r="S196" s="205"/>
      <c r="T196" s="70"/>
    </row>
    <row r="197" spans="3:20" x14ac:dyDescent="0.35">
      <c r="C197" s="237">
        <v>3.0230000000000001</v>
      </c>
      <c r="D197" s="261">
        <v>47.215714285714284</v>
      </c>
      <c r="F197" s="402">
        <v>46</v>
      </c>
      <c r="G197" s="1" t="s">
        <v>60</v>
      </c>
      <c r="H197" s="402">
        <v>17</v>
      </c>
      <c r="I197" s="63">
        <v>9</v>
      </c>
      <c r="J197" s="235" t="s">
        <v>68</v>
      </c>
      <c r="K197" s="140">
        <v>80</v>
      </c>
      <c r="L197" s="14" t="s">
        <v>286</v>
      </c>
      <c r="M197" s="162" t="s">
        <v>1735</v>
      </c>
      <c r="R197" s="260"/>
      <c r="S197" s="205"/>
      <c r="T197" s="70"/>
    </row>
    <row r="198" spans="3:20" x14ac:dyDescent="0.35">
      <c r="C198" s="237">
        <v>-5.0119999999999996</v>
      </c>
      <c r="D198" s="261">
        <v>70.36571428571429</v>
      </c>
      <c r="F198" s="402">
        <v>79</v>
      </c>
      <c r="G198" s="1" t="s">
        <v>73</v>
      </c>
      <c r="H198" s="402">
        <v>15</v>
      </c>
      <c r="I198" s="63">
        <v>12</v>
      </c>
      <c r="J198" s="235" t="s">
        <v>83</v>
      </c>
      <c r="K198" s="140">
        <v>14</v>
      </c>
      <c r="L198" s="14" t="s">
        <v>546</v>
      </c>
      <c r="M198" s="162" t="s">
        <v>1736</v>
      </c>
      <c r="R198" s="260"/>
      <c r="S198" s="205"/>
      <c r="T198" s="70"/>
    </row>
    <row r="199" spans="3:20" x14ac:dyDescent="0.35">
      <c r="C199" s="237">
        <v>-1.274</v>
      </c>
      <c r="D199" s="261">
        <v>36.624285714285719</v>
      </c>
      <c r="F199" s="402">
        <v>78</v>
      </c>
      <c r="G199" s="1" t="s">
        <v>23</v>
      </c>
      <c r="H199" s="402">
        <v>13</v>
      </c>
      <c r="I199" s="63">
        <v>10</v>
      </c>
      <c r="J199" s="235" t="s">
        <v>29</v>
      </c>
      <c r="K199" s="140">
        <v>66</v>
      </c>
      <c r="L199" s="14" t="s">
        <v>187</v>
      </c>
      <c r="M199" s="162" t="s">
        <v>1737</v>
      </c>
      <c r="R199" s="260"/>
      <c r="S199" s="205"/>
      <c r="T199" s="70"/>
    </row>
    <row r="200" spans="3:20" x14ac:dyDescent="0.35">
      <c r="C200" s="237">
        <v>-0.71599999999999997</v>
      </c>
      <c r="D200" s="261">
        <v>33.100714285714282</v>
      </c>
      <c r="F200" s="402">
        <v>77</v>
      </c>
      <c r="G200" s="1" t="s">
        <v>74</v>
      </c>
      <c r="H200" s="402">
        <v>18</v>
      </c>
      <c r="I200" s="63">
        <v>14</v>
      </c>
      <c r="J200" s="235" t="s">
        <v>84</v>
      </c>
      <c r="K200" s="140">
        <v>74</v>
      </c>
      <c r="L200" s="14" t="s">
        <v>606</v>
      </c>
      <c r="M200" s="162" t="s">
        <v>1738</v>
      </c>
      <c r="R200" s="260"/>
      <c r="S200" s="205"/>
      <c r="T200" s="70"/>
    </row>
    <row r="201" spans="3:20" x14ac:dyDescent="0.35">
      <c r="C201" s="237">
        <v>-0.64400000000000002</v>
      </c>
      <c r="D201" s="261">
        <v>41.531428571428577</v>
      </c>
      <c r="F201" s="402">
        <v>75</v>
      </c>
      <c r="G201" s="1" t="s">
        <v>43</v>
      </c>
      <c r="H201" s="402">
        <v>14</v>
      </c>
      <c r="I201" s="63">
        <v>10</v>
      </c>
      <c r="J201" s="235" t="s">
        <v>35</v>
      </c>
      <c r="K201" s="140">
        <v>57</v>
      </c>
      <c r="L201" s="14" t="s">
        <v>331</v>
      </c>
      <c r="M201" s="162" t="s">
        <v>1739</v>
      </c>
      <c r="R201" s="260"/>
      <c r="S201" s="205"/>
      <c r="T201" s="70"/>
    </row>
    <row r="202" spans="3:20" x14ac:dyDescent="0.35">
      <c r="C202" s="237">
        <v>-2.133</v>
      </c>
      <c r="D202" s="261">
        <v>60.541428571428568</v>
      </c>
      <c r="F202" s="402">
        <v>73</v>
      </c>
      <c r="G202" s="1" t="s">
        <v>909</v>
      </c>
      <c r="H202" s="402">
        <v>16</v>
      </c>
      <c r="I202" s="63">
        <v>14</v>
      </c>
      <c r="J202" s="235" t="s">
        <v>908</v>
      </c>
      <c r="K202" s="140">
        <v>29</v>
      </c>
      <c r="L202" s="14" t="s">
        <v>337</v>
      </c>
      <c r="M202" s="162" t="s">
        <v>1740</v>
      </c>
      <c r="R202" s="260"/>
      <c r="S202" s="205"/>
      <c r="T202" s="70"/>
    </row>
    <row r="203" spans="3:20" x14ac:dyDescent="0.35">
      <c r="C203" s="237">
        <v>4.2060000000000004</v>
      </c>
      <c r="D203" s="261">
        <v>66.638571428571424</v>
      </c>
      <c r="F203" s="402">
        <v>13</v>
      </c>
      <c r="G203" s="1" t="s">
        <v>1344</v>
      </c>
      <c r="H203" s="402">
        <v>31</v>
      </c>
      <c r="I203" s="63">
        <v>10</v>
      </c>
      <c r="J203" s="235" t="s">
        <v>958</v>
      </c>
      <c r="K203" s="140">
        <v>72</v>
      </c>
      <c r="L203" s="14" t="s">
        <v>359</v>
      </c>
      <c r="M203" s="43" t="s">
        <v>1741</v>
      </c>
      <c r="N203" s="1" t="s">
        <v>2953</v>
      </c>
      <c r="R203" s="260"/>
      <c r="S203" s="205"/>
      <c r="T203" s="70"/>
    </row>
    <row r="204" spans="3:20" x14ac:dyDescent="0.35">
      <c r="C204" s="237">
        <v>-0.97199999999999998</v>
      </c>
      <c r="D204" s="261">
        <v>39.087142857142851</v>
      </c>
      <c r="F204" s="402">
        <v>71</v>
      </c>
      <c r="G204" s="1" t="s">
        <v>67</v>
      </c>
      <c r="H204" s="402">
        <v>19</v>
      </c>
      <c r="I204" s="63">
        <v>14</v>
      </c>
      <c r="J204" s="235" t="s">
        <v>62</v>
      </c>
      <c r="K204" s="140">
        <v>67</v>
      </c>
      <c r="L204" s="14" t="s">
        <v>289</v>
      </c>
      <c r="M204" s="162" t="s">
        <v>1742</v>
      </c>
      <c r="R204" s="260"/>
      <c r="S204" s="205"/>
      <c r="T204" s="70"/>
    </row>
    <row r="205" spans="3:20" x14ac:dyDescent="0.35">
      <c r="C205" s="237">
        <v>2.2519999999999998</v>
      </c>
      <c r="D205" s="261">
        <v>65.534285714285716</v>
      </c>
      <c r="F205" s="402">
        <v>23</v>
      </c>
      <c r="G205" s="1" t="s">
        <v>34</v>
      </c>
      <c r="H205" s="402">
        <v>19</v>
      </c>
      <c r="I205" s="63">
        <v>11</v>
      </c>
      <c r="J205" s="235" t="s">
        <v>28</v>
      </c>
      <c r="K205" s="140">
        <v>69</v>
      </c>
      <c r="L205" s="14" t="s">
        <v>299</v>
      </c>
      <c r="M205" s="162" t="s">
        <v>1743</v>
      </c>
      <c r="R205" s="260"/>
      <c r="S205" s="205"/>
      <c r="T205" s="70"/>
    </row>
    <row r="206" spans="3:20" x14ac:dyDescent="0.35">
      <c r="C206" s="237">
        <v>4.8010000000000002</v>
      </c>
      <c r="D206" s="261">
        <v>68.713571428571427</v>
      </c>
      <c r="F206" s="402">
        <v>10</v>
      </c>
      <c r="G206" s="1" t="s">
        <v>790</v>
      </c>
      <c r="H206" s="402">
        <v>19</v>
      </c>
      <c r="I206" s="63">
        <v>15</v>
      </c>
      <c r="J206" s="235" t="s">
        <v>783</v>
      </c>
      <c r="K206" s="140">
        <v>68</v>
      </c>
      <c r="L206" s="14" t="s">
        <v>533</v>
      </c>
      <c r="M206" s="162" t="s">
        <v>1744</v>
      </c>
      <c r="N206" s="92" t="s">
        <v>2954</v>
      </c>
      <c r="R206" s="260"/>
      <c r="S206" s="205"/>
      <c r="T206" s="70"/>
    </row>
    <row r="207" spans="3:20" x14ac:dyDescent="0.35">
      <c r="C207" s="237">
        <v>0.27900000000000003</v>
      </c>
      <c r="D207" s="261">
        <v>52.39</v>
      </c>
      <c r="F207" s="402">
        <v>53</v>
      </c>
      <c r="G207" s="1" t="s">
        <v>36</v>
      </c>
      <c r="H207" s="402">
        <v>19</v>
      </c>
      <c r="I207" s="63">
        <v>7</v>
      </c>
      <c r="J207" s="235" t="s">
        <v>1859</v>
      </c>
      <c r="K207" s="140">
        <v>65</v>
      </c>
      <c r="L207" s="14" t="s">
        <v>286</v>
      </c>
      <c r="M207" s="43" t="s">
        <v>1745</v>
      </c>
      <c r="N207" s="1" t="s">
        <v>2953</v>
      </c>
      <c r="R207" s="260"/>
      <c r="S207" s="205"/>
      <c r="T207" s="70"/>
    </row>
    <row r="208" spans="3:20" x14ac:dyDescent="0.35">
      <c r="C208" s="257">
        <v>-1.51</v>
      </c>
      <c r="D208" s="261">
        <v>59.292857142857144</v>
      </c>
      <c r="E208" s="138"/>
      <c r="F208" s="402">
        <v>63</v>
      </c>
      <c r="G208" s="1" t="s">
        <v>52</v>
      </c>
      <c r="H208" s="402">
        <v>14</v>
      </c>
      <c r="I208" s="63">
        <v>10</v>
      </c>
      <c r="J208" s="235" t="s">
        <v>53</v>
      </c>
      <c r="K208" s="140">
        <v>41</v>
      </c>
      <c r="L208" s="14" t="s">
        <v>334</v>
      </c>
      <c r="M208" s="162" t="s">
        <v>1746</v>
      </c>
      <c r="R208" s="260"/>
      <c r="S208" s="205"/>
      <c r="T208" s="70"/>
    </row>
    <row r="209" spans="1:20" x14ac:dyDescent="0.35">
      <c r="C209" s="237">
        <v>2.0110000000000001</v>
      </c>
      <c r="D209" s="261">
        <v>63.608214285714283</v>
      </c>
      <c r="F209" s="402">
        <v>26</v>
      </c>
      <c r="G209" s="1" t="s">
        <v>33</v>
      </c>
      <c r="H209" s="402">
        <v>25</v>
      </c>
      <c r="I209" s="63">
        <v>11</v>
      </c>
      <c r="J209" s="235" t="s">
        <v>292</v>
      </c>
      <c r="K209" s="140">
        <v>61</v>
      </c>
      <c r="L209" s="14" t="s">
        <v>916</v>
      </c>
      <c r="M209" s="43" t="s">
        <v>1747</v>
      </c>
      <c r="N209" s="1" t="s">
        <v>2953</v>
      </c>
      <c r="R209" s="260"/>
      <c r="S209" s="205"/>
      <c r="T209" s="70"/>
    </row>
    <row r="210" spans="1:20" x14ac:dyDescent="0.35">
      <c r="C210" s="237">
        <v>-3.3119999999999998</v>
      </c>
      <c r="D210" s="261">
        <v>74.86571428571429</v>
      </c>
      <c r="F210" s="402">
        <v>60</v>
      </c>
      <c r="G210" s="1" t="s">
        <v>51</v>
      </c>
      <c r="H210" s="402">
        <v>18</v>
      </c>
      <c r="I210" s="63">
        <v>9</v>
      </c>
      <c r="J210" s="235" t="s">
        <v>300</v>
      </c>
      <c r="K210" s="140">
        <v>17</v>
      </c>
      <c r="L210" s="14" t="s">
        <v>489</v>
      </c>
      <c r="M210" s="162" t="s">
        <v>1748</v>
      </c>
      <c r="R210" s="260"/>
      <c r="S210" s="205"/>
      <c r="T210" s="70"/>
    </row>
    <row r="211" spans="1:20" x14ac:dyDescent="0.35">
      <c r="C211" s="237">
        <v>3.4740000000000002</v>
      </c>
      <c r="D211" s="261">
        <v>71.44714285714285</v>
      </c>
      <c r="F211" s="402">
        <v>15</v>
      </c>
      <c r="G211" s="1" t="s">
        <v>115</v>
      </c>
      <c r="H211" s="402">
        <v>19</v>
      </c>
      <c r="I211" s="63">
        <v>14</v>
      </c>
      <c r="J211" s="235" t="s">
        <v>61</v>
      </c>
      <c r="K211" s="140">
        <v>58</v>
      </c>
      <c r="L211" s="14" t="s">
        <v>347</v>
      </c>
      <c r="M211" s="162" t="s">
        <v>1749</v>
      </c>
      <c r="R211" s="260"/>
      <c r="S211" s="205"/>
      <c r="T211" s="70"/>
    </row>
    <row r="212" spans="1:20" x14ac:dyDescent="0.35">
      <c r="C212" s="237">
        <v>-1.341</v>
      </c>
      <c r="D212" s="261">
        <v>59.172142857142852</v>
      </c>
      <c r="F212" s="402">
        <v>56</v>
      </c>
      <c r="G212" s="1" t="s">
        <v>2011</v>
      </c>
      <c r="H212" s="402">
        <v>26</v>
      </c>
      <c r="I212" s="63">
        <v>9</v>
      </c>
      <c r="J212" s="235" t="s">
        <v>44</v>
      </c>
      <c r="K212" s="140">
        <v>48</v>
      </c>
      <c r="L212" s="14" t="s">
        <v>359</v>
      </c>
      <c r="M212" s="162" t="s">
        <v>1750</v>
      </c>
      <c r="R212" s="260"/>
      <c r="S212" s="205"/>
      <c r="T212" s="70"/>
    </row>
    <row r="213" spans="1:20" x14ac:dyDescent="0.35">
      <c r="C213" s="237">
        <v>-0.76300000000000001</v>
      </c>
      <c r="D213" s="261">
        <v>65.991428571428571</v>
      </c>
      <c r="F213" s="402">
        <v>54</v>
      </c>
      <c r="G213" s="1" t="s">
        <v>85</v>
      </c>
      <c r="H213" s="402">
        <v>20</v>
      </c>
      <c r="I213" s="63">
        <v>13</v>
      </c>
      <c r="J213" s="235" t="s">
        <v>75</v>
      </c>
      <c r="K213" s="140">
        <v>32</v>
      </c>
      <c r="L213" s="14" t="s">
        <v>347</v>
      </c>
      <c r="M213" s="162" t="s">
        <v>1751</v>
      </c>
      <c r="R213" s="260"/>
      <c r="S213" s="205"/>
      <c r="T213" s="70"/>
    </row>
    <row r="214" spans="1:20" x14ac:dyDescent="0.35">
      <c r="C214" s="237">
        <v>2.2050000000000001</v>
      </c>
      <c r="D214" s="261">
        <v>71.282142857142858</v>
      </c>
      <c r="F214" s="402">
        <v>24</v>
      </c>
      <c r="G214" s="1" t="s">
        <v>66</v>
      </c>
      <c r="H214" s="402">
        <v>15</v>
      </c>
      <c r="I214" s="63">
        <v>5</v>
      </c>
      <c r="J214" s="235" t="s">
        <v>69</v>
      </c>
      <c r="K214" s="140">
        <v>52</v>
      </c>
      <c r="L214" s="14" t="s">
        <v>447</v>
      </c>
      <c r="M214" s="162" t="s">
        <v>1752</v>
      </c>
      <c r="R214" s="260"/>
      <c r="S214" s="205"/>
      <c r="T214" s="70"/>
    </row>
    <row r="215" spans="1:20" x14ac:dyDescent="0.35">
      <c r="C215" s="237">
        <v>1.056</v>
      </c>
      <c r="D215" s="261">
        <v>67.504642857142855</v>
      </c>
      <c r="F215" s="402">
        <v>28</v>
      </c>
      <c r="G215" s="1" t="s">
        <v>793</v>
      </c>
      <c r="H215" s="402">
        <v>13</v>
      </c>
      <c r="I215" s="63">
        <v>11</v>
      </c>
      <c r="J215" s="235" t="s">
        <v>791</v>
      </c>
      <c r="K215" s="140">
        <v>51</v>
      </c>
      <c r="L215" s="14" t="s">
        <v>186</v>
      </c>
      <c r="M215" s="162" t="s">
        <v>1753</v>
      </c>
      <c r="R215" s="260"/>
      <c r="S215" s="205"/>
      <c r="T215" s="70"/>
    </row>
    <row r="216" spans="1:20" x14ac:dyDescent="0.35">
      <c r="C216" s="237">
        <v>1.859</v>
      </c>
      <c r="D216" s="261">
        <v>71.886428571428567</v>
      </c>
      <c r="F216" s="402">
        <v>25</v>
      </c>
      <c r="G216" s="1" t="s">
        <v>46</v>
      </c>
      <c r="H216" s="402">
        <v>29</v>
      </c>
      <c r="I216" s="63">
        <v>18</v>
      </c>
      <c r="J216" s="235" t="s">
        <v>39</v>
      </c>
      <c r="K216" s="140">
        <v>50</v>
      </c>
      <c r="L216" s="14" t="s">
        <v>1754</v>
      </c>
      <c r="M216" s="162" t="s">
        <v>1755</v>
      </c>
      <c r="R216" s="260"/>
      <c r="S216" s="205"/>
      <c r="T216" s="70"/>
    </row>
    <row r="217" spans="1:20" x14ac:dyDescent="0.35">
      <c r="C217" s="257">
        <v>2.0699999999999998</v>
      </c>
      <c r="D217" s="261">
        <v>68.789285714285711</v>
      </c>
      <c r="E217" s="138"/>
      <c r="F217" s="402">
        <v>27</v>
      </c>
      <c r="G217" s="1" t="s">
        <v>965</v>
      </c>
      <c r="H217" s="402">
        <v>20</v>
      </c>
      <c r="I217" s="63">
        <v>10</v>
      </c>
      <c r="J217" s="235" t="s">
        <v>1302</v>
      </c>
      <c r="K217" s="140">
        <v>47</v>
      </c>
      <c r="L217" s="14" t="s">
        <v>191</v>
      </c>
      <c r="M217" s="162" t="s">
        <v>1756</v>
      </c>
      <c r="R217" s="260"/>
      <c r="S217" s="205"/>
      <c r="T217" s="70"/>
    </row>
    <row r="218" spans="1:20" x14ac:dyDescent="0.35">
      <c r="C218" s="237">
        <v>-0.69399999999999995</v>
      </c>
      <c r="D218" s="261">
        <v>65.540357142857147</v>
      </c>
      <c r="F218" s="402">
        <v>45</v>
      </c>
      <c r="G218" s="1" t="s">
        <v>960</v>
      </c>
      <c r="H218" s="402">
        <v>12</v>
      </c>
      <c r="I218" s="63">
        <v>10</v>
      </c>
      <c r="J218" s="235" t="s">
        <v>963</v>
      </c>
      <c r="K218" s="140">
        <v>42</v>
      </c>
      <c r="L218" s="14" t="s">
        <v>365</v>
      </c>
      <c r="M218" s="162" t="s">
        <v>1757</v>
      </c>
      <c r="R218" s="260"/>
      <c r="S218" s="205"/>
      <c r="T218" s="70"/>
    </row>
    <row r="219" spans="1:20" x14ac:dyDescent="0.35">
      <c r="C219" s="237">
        <v>3.7829999999999999</v>
      </c>
      <c r="D219" s="261">
        <v>80.155000000000001</v>
      </c>
      <c r="F219" s="402">
        <v>5</v>
      </c>
      <c r="G219" s="1" t="s">
        <v>41</v>
      </c>
      <c r="H219" s="402">
        <v>16</v>
      </c>
      <c r="I219" s="63">
        <v>14</v>
      </c>
      <c r="J219" s="235" t="s">
        <v>900</v>
      </c>
      <c r="K219" s="140">
        <v>43</v>
      </c>
      <c r="L219" s="14" t="s">
        <v>369</v>
      </c>
      <c r="M219" s="162" t="s">
        <v>1758</v>
      </c>
      <c r="R219" s="260"/>
      <c r="S219" s="205"/>
      <c r="T219" s="70"/>
    </row>
    <row r="220" spans="1:20" x14ac:dyDescent="0.35">
      <c r="A220" s="6" t="s">
        <v>1760</v>
      </c>
      <c r="C220" s="237">
        <v>0.315</v>
      </c>
      <c r="D220" s="261">
        <v>68.033928571428575</v>
      </c>
      <c r="F220" s="402">
        <v>39</v>
      </c>
      <c r="G220" s="1" t="s">
        <v>145</v>
      </c>
      <c r="H220" s="402">
        <v>20</v>
      </c>
      <c r="I220" s="63">
        <v>11</v>
      </c>
      <c r="J220" s="235" t="s">
        <v>57</v>
      </c>
      <c r="K220" s="140">
        <v>40</v>
      </c>
      <c r="L220" s="14" t="s">
        <v>290</v>
      </c>
      <c r="M220" s="43" t="s">
        <v>1759</v>
      </c>
      <c r="N220" s="1" t="s">
        <v>2953</v>
      </c>
      <c r="R220" s="260"/>
      <c r="S220" s="205"/>
      <c r="T220" s="70"/>
    </row>
    <row r="221" spans="1:20" x14ac:dyDescent="0.35">
      <c r="C221" s="237">
        <v>2.9969999999999999</v>
      </c>
      <c r="D221" s="261">
        <v>82.502142857142857</v>
      </c>
      <c r="F221" s="402">
        <v>6</v>
      </c>
      <c r="G221" s="1" t="s">
        <v>966</v>
      </c>
      <c r="H221" s="402">
        <v>11</v>
      </c>
      <c r="I221" s="63">
        <v>9</v>
      </c>
      <c r="J221" s="235" t="s">
        <v>1301</v>
      </c>
      <c r="K221" s="140">
        <v>37</v>
      </c>
      <c r="L221" s="14" t="s">
        <v>1761</v>
      </c>
      <c r="M221" s="162" t="s">
        <v>1762</v>
      </c>
      <c r="R221" s="260"/>
      <c r="S221" s="205"/>
      <c r="T221" s="70"/>
    </row>
    <row r="222" spans="1:20" x14ac:dyDescent="0.35">
      <c r="C222" s="237">
        <v>-0.66800000000000004</v>
      </c>
      <c r="D222" s="261">
        <v>81.191428571428574</v>
      </c>
      <c r="F222" s="402">
        <v>36</v>
      </c>
      <c r="G222" s="1" t="s">
        <v>962</v>
      </c>
      <c r="H222" s="402">
        <v>24</v>
      </c>
      <c r="I222" s="63">
        <v>10</v>
      </c>
      <c r="J222" s="235" t="s">
        <v>961</v>
      </c>
      <c r="K222" s="140">
        <v>18</v>
      </c>
      <c r="L222" s="14" t="s">
        <v>425</v>
      </c>
      <c r="M222" s="43" t="s">
        <v>1763</v>
      </c>
      <c r="N222" s="1" t="s">
        <v>2953</v>
      </c>
      <c r="R222" s="260"/>
      <c r="S222" s="205"/>
      <c r="T222" s="70"/>
    </row>
    <row r="223" spans="1:20" x14ac:dyDescent="0.35">
      <c r="C223" s="237">
        <v>2.6139999999999999</v>
      </c>
      <c r="D223" s="261">
        <v>90.632857142857134</v>
      </c>
      <c r="F223" s="402">
        <v>2</v>
      </c>
      <c r="G223" s="1" t="s">
        <v>59</v>
      </c>
      <c r="H223" s="402">
        <v>18</v>
      </c>
      <c r="I223" s="63">
        <v>7</v>
      </c>
      <c r="J223" s="235" t="s">
        <v>64</v>
      </c>
      <c r="K223" s="140">
        <v>22</v>
      </c>
      <c r="L223" s="14" t="s">
        <v>191</v>
      </c>
      <c r="M223" s="43" t="s">
        <v>1764</v>
      </c>
      <c r="N223" s="1" t="s">
        <v>2953</v>
      </c>
      <c r="R223" s="260"/>
      <c r="S223" s="205"/>
      <c r="T223" s="70"/>
    </row>
    <row r="224" spans="1:20" x14ac:dyDescent="0.35">
      <c r="C224" s="237">
        <v>0.441</v>
      </c>
      <c r="D224" s="261">
        <v>89.685000000000002</v>
      </c>
      <c r="F224" s="402">
        <v>12</v>
      </c>
      <c r="G224" s="1" t="s">
        <v>785</v>
      </c>
      <c r="H224" s="402">
        <v>22</v>
      </c>
      <c r="I224" s="63">
        <v>10</v>
      </c>
      <c r="J224" s="235" t="s">
        <v>788</v>
      </c>
      <c r="K224" s="140">
        <v>20</v>
      </c>
      <c r="L224" s="14" t="s">
        <v>359</v>
      </c>
      <c r="M224" s="43" t="s">
        <v>1765</v>
      </c>
      <c r="N224" s="1" t="s">
        <v>2953</v>
      </c>
      <c r="R224" s="260"/>
      <c r="S224" s="205"/>
      <c r="T224" s="70"/>
    </row>
    <row r="225" spans="1:20" ht="15" thickBot="1" x14ac:dyDescent="0.4">
      <c r="B225" s="57"/>
      <c r="C225" s="258">
        <v>2.3E-2</v>
      </c>
      <c r="D225" s="262">
        <v>94.046071428571437</v>
      </c>
      <c r="E225" s="381"/>
      <c r="F225" s="381">
        <v>8</v>
      </c>
      <c r="G225" s="44" t="s">
        <v>40</v>
      </c>
      <c r="H225" s="381">
        <v>14</v>
      </c>
      <c r="I225" s="56">
        <v>11</v>
      </c>
      <c r="J225" s="57" t="s">
        <v>45</v>
      </c>
      <c r="K225" s="141">
        <v>11</v>
      </c>
      <c r="L225" s="12" t="s">
        <v>400</v>
      </c>
      <c r="M225" s="12" t="s">
        <v>1766</v>
      </c>
      <c r="N225" s="86"/>
      <c r="O225" s="86" t="s">
        <v>1806</v>
      </c>
      <c r="R225" s="260"/>
      <c r="S225" s="205"/>
      <c r="T225" s="70"/>
    </row>
    <row r="226" spans="1:20" x14ac:dyDescent="0.35">
      <c r="A226" s="6" t="s">
        <v>1906</v>
      </c>
      <c r="B226" s="46" t="s">
        <v>1768</v>
      </c>
      <c r="C226" s="257">
        <v>4.0976923738486866</v>
      </c>
      <c r="D226" s="261">
        <v>59.312977977558745</v>
      </c>
      <c r="E226" s="138" t="s">
        <v>396</v>
      </c>
      <c r="F226" s="402">
        <v>25</v>
      </c>
      <c r="G226" s="1" t="s">
        <v>115</v>
      </c>
      <c r="H226" s="402">
        <v>20</v>
      </c>
      <c r="I226" s="63">
        <v>16</v>
      </c>
      <c r="J226" s="235" t="s">
        <v>47</v>
      </c>
      <c r="K226" s="140">
        <v>88</v>
      </c>
      <c r="L226" t="s">
        <v>507</v>
      </c>
      <c r="M226" t="s">
        <v>1907</v>
      </c>
      <c r="O226" s="87"/>
      <c r="R226" s="260"/>
      <c r="S226" s="205"/>
      <c r="T226" s="70"/>
    </row>
    <row r="227" spans="1:20" x14ac:dyDescent="0.35">
      <c r="B227" s="46" t="s">
        <v>1768</v>
      </c>
      <c r="C227" s="257">
        <v>-2.4308867201537554</v>
      </c>
      <c r="D227" s="261">
        <v>42.714309654960367</v>
      </c>
      <c r="E227" s="138" t="s">
        <v>395</v>
      </c>
      <c r="F227" s="402">
        <v>100</v>
      </c>
      <c r="G227" s="1" t="s">
        <v>63</v>
      </c>
      <c r="H227" s="402">
        <v>15</v>
      </c>
      <c r="I227" s="63">
        <v>8</v>
      </c>
      <c r="J227" s="235" t="s">
        <v>908</v>
      </c>
      <c r="K227" s="140">
        <v>56</v>
      </c>
      <c r="L227" t="s">
        <v>360</v>
      </c>
      <c r="M227" t="s">
        <v>1909</v>
      </c>
      <c r="O227" s="87"/>
      <c r="R227" s="260"/>
      <c r="S227" s="205"/>
      <c r="T227" s="70"/>
    </row>
    <row r="228" spans="1:20" x14ac:dyDescent="0.35">
      <c r="B228" s="46" t="s">
        <v>1768</v>
      </c>
      <c r="C228" s="257">
        <v>2.372355179816438</v>
      </c>
      <c r="D228" s="261">
        <v>26.648204379266105</v>
      </c>
      <c r="E228" s="138" t="s">
        <v>395</v>
      </c>
      <c r="F228" s="402">
        <v>75</v>
      </c>
      <c r="G228" s="1" t="s">
        <v>22</v>
      </c>
      <c r="H228" s="402">
        <v>23</v>
      </c>
      <c r="I228" s="63">
        <v>20</v>
      </c>
      <c r="J228" s="235" t="s">
        <v>68</v>
      </c>
      <c r="K228" s="140">
        <v>96</v>
      </c>
      <c r="L228" t="s">
        <v>416</v>
      </c>
      <c r="M228" t="s">
        <v>1910</v>
      </c>
      <c r="O228" s="87"/>
      <c r="R228" s="260"/>
      <c r="S228" s="205"/>
      <c r="T228" s="70"/>
    </row>
    <row r="229" spans="1:20" x14ac:dyDescent="0.35">
      <c r="B229" s="46" t="s">
        <v>1768</v>
      </c>
      <c r="C229" s="257">
        <v>6.5929569283100484</v>
      </c>
      <c r="D229" s="261">
        <v>40.432228919563265</v>
      </c>
      <c r="E229" s="138" t="s">
        <v>395</v>
      </c>
      <c r="F229" s="402">
        <v>38</v>
      </c>
      <c r="G229" s="1" t="s">
        <v>960</v>
      </c>
      <c r="H229" s="402">
        <v>26</v>
      </c>
      <c r="I229" s="63">
        <v>24</v>
      </c>
      <c r="J229" s="235" t="s">
        <v>1860</v>
      </c>
      <c r="K229" s="140">
        <v>108</v>
      </c>
      <c r="L229" t="s">
        <v>644</v>
      </c>
      <c r="M229" t="s">
        <v>1911</v>
      </c>
      <c r="N229" s="92" t="s">
        <v>2954</v>
      </c>
      <c r="O229" s="87" t="s">
        <v>4163</v>
      </c>
      <c r="R229" s="260"/>
      <c r="S229" s="205"/>
      <c r="T229" s="70"/>
    </row>
    <row r="230" spans="1:20" x14ac:dyDescent="0.35">
      <c r="B230" s="46" t="s">
        <v>1768</v>
      </c>
      <c r="C230" s="257">
        <v>-0.40279740055741559</v>
      </c>
      <c r="D230" s="261">
        <v>9.6275925403742626</v>
      </c>
      <c r="E230" s="138" t="s">
        <v>395</v>
      </c>
      <c r="F230" s="402">
        <v>112</v>
      </c>
      <c r="G230" s="1" t="s">
        <v>48</v>
      </c>
      <c r="H230" s="402">
        <v>19</v>
      </c>
      <c r="I230" s="63">
        <v>8</v>
      </c>
      <c r="J230" s="235" t="s">
        <v>38</v>
      </c>
      <c r="K230" s="140">
        <v>104</v>
      </c>
      <c r="L230" t="s">
        <v>286</v>
      </c>
      <c r="M230" t="s">
        <v>1912</v>
      </c>
      <c r="O230" s="87"/>
      <c r="R230" s="260"/>
      <c r="S230" s="205"/>
      <c r="T230" s="70"/>
    </row>
    <row r="231" spans="1:20" x14ac:dyDescent="0.35">
      <c r="A231" s="6" t="s">
        <v>1917</v>
      </c>
      <c r="B231" s="46" t="s">
        <v>1768</v>
      </c>
      <c r="C231" s="257">
        <v>-7.4594561461542502E-2</v>
      </c>
      <c r="D231" s="261">
        <v>55.106334919838474</v>
      </c>
      <c r="E231" s="138" t="s">
        <v>395</v>
      </c>
      <c r="F231" s="402">
        <v>67</v>
      </c>
      <c r="G231" s="1" t="s">
        <v>23</v>
      </c>
      <c r="H231" s="402">
        <v>18</v>
      </c>
      <c r="I231" s="63">
        <v>2</v>
      </c>
      <c r="J231" s="235" t="s">
        <v>52</v>
      </c>
      <c r="K231" s="140">
        <v>52</v>
      </c>
      <c r="L231" t="s">
        <v>1561</v>
      </c>
      <c r="M231" s="1" t="s">
        <v>1913</v>
      </c>
      <c r="N231" s="1" t="s">
        <v>2953</v>
      </c>
      <c r="O231" s="87"/>
      <c r="R231" s="260"/>
      <c r="S231" s="205"/>
      <c r="T231" s="70"/>
    </row>
    <row r="232" spans="1:20" x14ac:dyDescent="0.35">
      <c r="B232" s="46" t="s">
        <v>1768</v>
      </c>
      <c r="C232" s="257">
        <v>-1.6334021349186547</v>
      </c>
      <c r="D232" s="261">
        <v>22.203855719159669</v>
      </c>
      <c r="E232" s="138" t="s">
        <v>396</v>
      </c>
      <c r="F232" s="402">
        <v>99</v>
      </c>
      <c r="G232" s="1" t="s">
        <v>56</v>
      </c>
      <c r="H232" s="402">
        <v>20</v>
      </c>
      <c r="I232" s="63">
        <v>13</v>
      </c>
      <c r="J232" s="235" t="s">
        <v>796</v>
      </c>
      <c r="K232" s="140">
        <v>89</v>
      </c>
      <c r="L232" t="s">
        <v>507</v>
      </c>
      <c r="M232" t="s">
        <v>1914</v>
      </c>
      <c r="O232" s="87"/>
      <c r="R232" s="260"/>
      <c r="S232" s="205"/>
      <c r="T232" s="70"/>
    </row>
    <row r="233" spans="1:20" x14ac:dyDescent="0.35">
      <c r="B233" s="46" t="s">
        <v>1768</v>
      </c>
      <c r="C233" s="257">
        <v>-1.8229112471496807</v>
      </c>
      <c r="D233" s="261">
        <v>83.766811837371932</v>
      </c>
      <c r="E233" s="138" t="s">
        <v>395</v>
      </c>
      <c r="F233" s="402">
        <v>40</v>
      </c>
      <c r="G233" s="1" t="s">
        <v>85</v>
      </c>
      <c r="H233" s="402">
        <v>23</v>
      </c>
      <c r="I233" s="63">
        <v>6</v>
      </c>
      <c r="J233" s="235" t="s">
        <v>785</v>
      </c>
      <c r="K233" s="140">
        <v>12</v>
      </c>
      <c r="L233" t="s">
        <v>642</v>
      </c>
      <c r="M233" s="1" t="s">
        <v>1915</v>
      </c>
      <c r="N233" s="1" t="s">
        <v>2953</v>
      </c>
      <c r="O233" s="87"/>
      <c r="R233" s="260"/>
      <c r="S233" s="205"/>
      <c r="T233" s="70"/>
    </row>
    <row r="234" spans="1:20" x14ac:dyDescent="0.35">
      <c r="B234" s="46" t="s">
        <v>1768</v>
      </c>
      <c r="C234" s="257">
        <v>-0.96110796856701231</v>
      </c>
      <c r="D234" s="261">
        <v>30.145315350323564</v>
      </c>
      <c r="E234" s="138" t="s">
        <v>395</v>
      </c>
      <c r="F234" s="402">
        <v>97</v>
      </c>
      <c r="G234" s="1" t="s">
        <v>789</v>
      </c>
      <c r="H234" s="402">
        <v>23</v>
      </c>
      <c r="I234" s="63">
        <v>13</v>
      </c>
      <c r="J234" s="235" t="s">
        <v>39</v>
      </c>
      <c r="K234" s="140">
        <v>71</v>
      </c>
      <c r="L234" t="s">
        <v>621</v>
      </c>
      <c r="M234" t="s">
        <v>1916</v>
      </c>
      <c r="O234" s="87"/>
      <c r="R234" s="260"/>
      <c r="S234" s="205"/>
      <c r="T234" s="70"/>
    </row>
    <row r="235" spans="1:20" x14ac:dyDescent="0.35">
      <c r="B235" s="46" t="s">
        <v>1768</v>
      </c>
      <c r="C235" s="257">
        <v>0.53018551614390108</v>
      </c>
      <c r="D235" s="261">
        <v>27.465446867731956</v>
      </c>
      <c r="E235" s="138" t="s">
        <v>396</v>
      </c>
      <c r="F235" s="402">
        <v>78</v>
      </c>
      <c r="G235" s="1" t="s">
        <v>44</v>
      </c>
      <c r="H235" s="402">
        <v>17</v>
      </c>
      <c r="I235" s="63">
        <v>11</v>
      </c>
      <c r="J235" s="235" t="s">
        <v>117</v>
      </c>
      <c r="K235" s="140">
        <v>94</v>
      </c>
      <c r="L235" t="s">
        <v>179</v>
      </c>
      <c r="M235" t="s">
        <v>1918</v>
      </c>
      <c r="O235" s="87"/>
      <c r="R235" s="260"/>
      <c r="S235" s="205"/>
      <c r="T235" s="70"/>
    </row>
    <row r="236" spans="1:20" x14ac:dyDescent="0.35">
      <c r="B236" s="46" t="s">
        <v>1768</v>
      </c>
      <c r="C236" s="257">
        <v>-0.9553679959634116</v>
      </c>
      <c r="D236" s="261">
        <v>61.740568511575432</v>
      </c>
      <c r="E236" s="138" t="s">
        <v>396</v>
      </c>
      <c r="F236" s="402">
        <v>46</v>
      </c>
      <c r="G236" s="1" t="s">
        <v>51</v>
      </c>
      <c r="H236" s="402">
        <v>15</v>
      </c>
      <c r="I236" s="63">
        <v>10</v>
      </c>
      <c r="J236" s="235" t="s">
        <v>64</v>
      </c>
      <c r="K236" s="140">
        <v>57</v>
      </c>
      <c r="L236" t="s">
        <v>400</v>
      </c>
      <c r="M236" t="s">
        <v>1919</v>
      </c>
      <c r="O236" s="87"/>
      <c r="R236" s="260"/>
      <c r="S236" s="205"/>
      <c r="T236" s="70"/>
    </row>
    <row r="237" spans="1:20" x14ac:dyDescent="0.35">
      <c r="B237" s="46" t="s">
        <v>1768</v>
      </c>
      <c r="C237" s="257">
        <v>-2.1534292143470677</v>
      </c>
      <c r="D237" s="261">
        <v>35.981588186775895</v>
      </c>
      <c r="E237" s="138" t="s">
        <v>396</v>
      </c>
      <c r="F237" s="402">
        <v>86</v>
      </c>
      <c r="G237" s="1" t="s">
        <v>25</v>
      </c>
      <c r="H237" s="402">
        <v>12</v>
      </c>
      <c r="I237" s="63">
        <v>10</v>
      </c>
      <c r="J237" s="235" t="s">
        <v>73</v>
      </c>
      <c r="K237" s="140">
        <v>70</v>
      </c>
      <c r="L237" t="s">
        <v>447</v>
      </c>
      <c r="M237" t="s">
        <v>1920</v>
      </c>
      <c r="O237" s="87"/>
      <c r="R237" s="260"/>
      <c r="S237" s="205"/>
      <c r="T237" s="70"/>
    </row>
    <row r="238" spans="1:20" x14ac:dyDescent="0.35">
      <c r="B238" s="46" t="s">
        <v>1768</v>
      </c>
      <c r="C238" s="257">
        <v>2.673535229184874</v>
      </c>
      <c r="D238" s="261">
        <v>47.595983488975868</v>
      </c>
      <c r="E238" s="138" t="s">
        <v>395</v>
      </c>
      <c r="F238" s="402">
        <v>53</v>
      </c>
      <c r="G238" s="1" t="s">
        <v>1858</v>
      </c>
      <c r="H238" s="402">
        <v>19</v>
      </c>
      <c r="I238" s="63">
        <v>5</v>
      </c>
      <c r="J238" s="235" t="s">
        <v>29</v>
      </c>
      <c r="K238" s="140">
        <v>81</v>
      </c>
      <c r="L238" t="s">
        <v>297</v>
      </c>
      <c r="M238" s="1" t="s">
        <v>1921</v>
      </c>
      <c r="N238" s="1" t="s">
        <v>2953</v>
      </c>
      <c r="O238" s="87"/>
      <c r="R238" s="260"/>
      <c r="S238" s="205"/>
      <c r="T238" s="70"/>
    </row>
    <row r="239" spans="1:20" x14ac:dyDescent="0.35">
      <c r="B239" s="46" t="s">
        <v>1768</v>
      </c>
      <c r="C239" s="257">
        <v>0.25342601461465847</v>
      </c>
      <c r="D239" s="261">
        <v>71.12627110447302</v>
      </c>
      <c r="E239" s="138" t="s">
        <v>395</v>
      </c>
      <c r="F239" s="402">
        <v>41</v>
      </c>
      <c r="G239" s="1" t="s">
        <v>30</v>
      </c>
      <c r="H239" s="402">
        <v>17</v>
      </c>
      <c r="I239" s="63">
        <v>14</v>
      </c>
      <c r="J239" s="235" t="s">
        <v>2011</v>
      </c>
      <c r="K239" s="140">
        <v>35</v>
      </c>
      <c r="L239" t="s">
        <v>533</v>
      </c>
      <c r="M239" t="s">
        <v>1922</v>
      </c>
      <c r="O239" s="87"/>
      <c r="R239" s="260"/>
      <c r="S239" s="205"/>
      <c r="T239" s="70"/>
    </row>
    <row r="240" spans="1:20" x14ac:dyDescent="0.35">
      <c r="B240" s="46" t="s">
        <v>1768</v>
      </c>
      <c r="C240" s="257">
        <v>-1.7441537170456316</v>
      </c>
      <c r="D240" s="261">
        <v>42.840717495730651</v>
      </c>
      <c r="E240" s="138" t="s">
        <v>396</v>
      </c>
      <c r="F240" s="402">
        <v>77</v>
      </c>
      <c r="G240" s="1" t="s">
        <v>61</v>
      </c>
      <c r="H240" s="402">
        <v>23</v>
      </c>
      <c r="I240" s="63">
        <v>15</v>
      </c>
      <c r="J240" s="235" t="s">
        <v>900</v>
      </c>
      <c r="K240" s="140">
        <v>62</v>
      </c>
      <c r="L240" t="s">
        <v>526</v>
      </c>
      <c r="M240" t="s">
        <v>1923</v>
      </c>
      <c r="O240" s="87"/>
      <c r="R240" s="260"/>
      <c r="S240" s="205"/>
      <c r="T240" s="70"/>
    </row>
    <row r="241" spans="1:20" x14ac:dyDescent="0.35">
      <c r="B241" s="46" t="s">
        <v>1768</v>
      </c>
      <c r="C241" s="257">
        <v>1.3793707795578676</v>
      </c>
      <c r="D241" s="261">
        <v>52.241708190868287</v>
      </c>
      <c r="E241" s="138" t="s">
        <v>396</v>
      </c>
      <c r="F241" s="402">
        <v>45</v>
      </c>
      <c r="G241" s="1" t="s">
        <v>72</v>
      </c>
      <c r="H241" s="402">
        <v>23</v>
      </c>
      <c r="I241" s="63">
        <v>11</v>
      </c>
      <c r="J241" s="235" t="s">
        <v>32</v>
      </c>
      <c r="K241" s="140">
        <v>79</v>
      </c>
      <c r="L241" t="s">
        <v>334</v>
      </c>
      <c r="M241" s="1" t="s">
        <v>1924</v>
      </c>
      <c r="N241" s="1" t="s">
        <v>2953</v>
      </c>
      <c r="O241" s="87"/>
      <c r="R241" s="260"/>
      <c r="S241" s="205"/>
      <c r="T241" s="70"/>
    </row>
    <row r="242" spans="1:20" x14ac:dyDescent="0.35">
      <c r="B242" s="46" t="s">
        <v>1768</v>
      </c>
      <c r="C242" s="257">
        <v>-2.2261523821258851</v>
      </c>
      <c r="D242" s="261">
        <v>34.351845170855967</v>
      </c>
      <c r="E242" s="138" t="s">
        <v>396</v>
      </c>
      <c r="F242" s="402">
        <v>92</v>
      </c>
      <c r="G242" s="1" t="s">
        <v>958</v>
      </c>
      <c r="H242" s="402">
        <v>19</v>
      </c>
      <c r="I242" s="63">
        <v>15</v>
      </c>
      <c r="J242" s="235" t="s">
        <v>791</v>
      </c>
      <c r="K242" s="140">
        <v>68</v>
      </c>
      <c r="L242" t="s">
        <v>185</v>
      </c>
      <c r="M242" t="s">
        <v>1925</v>
      </c>
      <c r="O242" s="87"/>
      <c r="R242" s="260"/>
      <c r="S242" s="205"/>
      <c r="T242" s="70"/>
    </row>
    <row r="243" spans="1:20" x14ac:dyDescent="0.35">
      <c r="B243" s="46" t="s">
        <v>1768</v>
      </c>
      <c r="C243" s="257">
        <v>7.9622041244941375</v>
      </c>
      <c r="D243" s="261">
        <v>41.401270087839656</v>
      </c>
      <c r="E243" s="138" t="s">
        <v>395</v>
      </c>
      <c r="F243" s="402">
        <v>31</v>
      </c>
      <c r="G243" s="1" t="s">
        <v>71</v>
      </c>
      <c r="H243" s="402">
        <v>22</v>
      </c>
      <c r="I243" s="63">
        <v>15</v>
      </c>
      <c r="J243" s="235" t="s">
        <v>76</v>
      </c>
      <c r="K243" s="140">
        <v>110</v>
      </c>
      <c r="L243" t="s">
        <v>369</v>
      </c>
      <c r="M243" t="s">
        <v>1926</v>
      </c>
      <c r="O243" s="87"/>
      <c r="R243" s="260"/>
      <c r="S243" s="205"/>
      <c r="T243" s="70"/>
    </row>
    <row r="244" spans="1:20" x14ac:dyDescent="0.35">
      <c r="B244" s="46" t="s">
        <v>1768</v>
      </c>
      <c r="C244" s="257">
        <v>-0.55362821880636903</v>
      </c>
      <c r="D244" s="261">
        <v>43.719936089769995</v>
      </c>
      <c r="E244" s="138" t="s">
        <v>396</v>
      </c>
      <c r="F244" s="402">
        <v>66</v>
      </c>
      <c r="G244" s="1" t="s">
        <v>1343</v>
      </c>
      <c r="H244" s="402">
        <v>15</v>
      </c>
      <c r="I244" s="63">
        <v>9</v>
      </c>
      <c r="J244" s="235" t="s">
        <v>27</v>
      </c>
      <c r="K244" s="140">
        <v>69</v>
      </c>
      <c r="L244" t="s">
        <v>331</v>
      </c>
      <c r="M244" t="s">
        <v>1927</v>
      </c>
      <c r="O244" s="87"/>
      <c r="R244" s="260"/>
      <c r="S244" s="205"/>
      <c r="T244" s="70"/>
    </row>
    <row r="245" spans="1:20" ht="15" thickBot="1" x14ac:dyDescent="0.4">
      <c r="B245" s="57" t="s">
        <v>1768</v>
      </c>
      <c r="C245" s="259">
        <v>-1.342812007506168</v>
      </c>
      <c r="D245" s="262">
        <v>8.5801737764684241</v>
      </c>
      <c r="E245" s="222" t="s">
        <v>396</v>
      </c>
      <c r="F245" s="381">
        <v>111</v>
      </c>
      <c r="G245" s="44" t="s">
        <v>65</v>
      </c>
      <c r="H245" s="381">
        <v>19</v>
      </c>
      <c r="I245" s="56">
        <v>11</v>
      </c>
      <c r="J245" s="57" t="s">
        <v>964</v>
      </c>
      <c r="K245" s="141">
        <v>109</v>
      </c>
      <c r="L245" s="12" t="s">
        <v>331</v>
      </c>
      <c r="M245" s="12" t="s">
        <v>1928</v>
      </c>
      <c r="N245" s="86"/>
      <c r="O245" s="88"/>
      <c r="R245" s="260"/>
      <c r="S245" s="205"/>
      <c r="T245" s="70"/>
    </row>
    <row r="246" spans="1:20" x14ac:dyDescent="0.35">
      <c r="B246" s="46" t="s">
        <v>4274</v>
      </c>
      <c r="C246" s="237">
        <v>7.0519603630342367</v>
      </c>
      <c r="D246" s="261">
        <v>39.621512893919387</v>
      </c>
      <c r="F246" s="402">
        <v>39</v>
      </c>
      <c r="G246" s="1" t="s">
        <v>83</v>
      </c>
      <c r="H246" s="402">
        <v>27</v>
      </c>
      <c r="I246" s="63">
        <v>9</v>
      </c>
      <c r="J246" s="235" t="s">
        <v>80</v>
      </c>
      <c r="K246" s="140">
        <v>105</v>
      </c>
      <c r="L246" t="s">
        <v>620</v>
      </c>
      <c r="M246" t="s">
        <v>1929</v>
      </c>
      <c r="R246" s="260"/>
      <c r="S246" s="205"/>
      <c r="T246" s="70"/>
    </row>
    <row r="247" spans="1:20" x14ac:dyDescent="0.35">
      <c r="B247" s="46" t="s">
        <v>4274</v>
      </c>
      <c r="C247" s="257">
        <v>1.9632901564194736</v>
      </c>
      <c r="D247" s="261">
        <v>48.125172464169509</v>
      </c>
      <c r="E247" s="138"/>
      <c r="F247" s="402">
        <v>40</v>
      </c>
      <c r="G247" s="1" t="s">
        <v>85</v>
      </c>
      <c r="H247" s="402">
        <v>12</v>
      </c>
      <c r="I247" s="63">
        <v>11</v>
      </c>
      <c r="J247" s="235" t="s">
        <v>84</v>
      </c>
      <c r="K247" s="140">
        <v>91</v>
      </c>
      <c r="L247" t="s">
        <v>365</v>
      </c>
      <c r="M247" t="s">
        <v>1930</v>
      </c>
      <c r="R247" s="260"/>
      <c r="S247" s="205"/>
      <c r="T247" s="70"/>
    </row>
    <row r="248" spans="1:20" x14ac:dyDescent="0.35">
      <c r="B248" s="46" t="s">
        <v>4274</v>
      </c>
      <c r="C248" s="257">
        <v>3.7490102009635349</v>
      </c>
      <c r="D248" s="261">
        <v>63.486393005053579</v>
      </c>
      <c r="E248" s="138"/>
      <c r="F248" s="402">
        <v>27</v>
      </c>
      <c r="G248" s="1" t="s">
        <v>82</v>
      </c>
      <c r="H248" s="402">
        <v>24</v>
      </c>
      <c r="I248" s="63">
        <v>9</v>
      </c>
      <c r="J248" s="235" t="s">
        <v>81</v>
      </c>
      <c r="K248" s="140">
        <v>61</v>
      </c>
      <c r="L248" t="s">
        <v>361</v>
      </c>
      <c r="M248" s="1" t="s">
        <v>1931</v>
      </c>
      <c r="N248" s="1" t="s">
        <v>2953</v>
      </c>
      <c r="R248" s="260"/>
      <c r="S248" s="205"/>
      <c r="T248" s="70"/>
    </row>
    <row r="249" spans="1:20" x14ac:dyDescent="0.35">
      <c r="B249" s="46" t="s">
        <v>4274</v>
      </c>
      <c r="C249" s="257">
        <v>5.6625461948066009</v>
      </c>
      <c r="D249" s="261">
        <v>18.974254037846904</v>
      </c>
      <c r="E249" s="138"/>
      <c r="F249" s="402">
        <v>70</v>
      </c>
      <c r="G249" s="1" t="s">
        <v>73</v>
      </c>
      <c r="H249" s="402">
        <v>25</v>
      </c>
      <c r="I249" s="63">
        <v>14</v>
      </c>
      <c r="J249" s="235" t="s">
        <v>76</v>
      </c>
      <c r="K249" s="140">
        <v>110</v>
      </c>
      <c r="L249" t="s">
        <v>606</v>
      </c>
      <c r="M249" t="s">
        <v>1932</v>
      </c>
      <c r="R249" s="260"/>
      <c r="S249" s="205"/>
      <c r="T249" s="70"/>
    </row>
    <row r="250" spans="1:20" x14ac:dyDescent="0.35">
      <c r="B250" s="46" t="s">
        <v>4281</v>
      </c>
      <c r="C250" s="257">
        <v>6.9805915595202972</v>
      </c>
      <c r="D250" s="261">
        <v>23.213308644900376</v>
      </c>
      <c r="E250" s="138"/>
      <c r="F250" s="402">
        <v>57</v>
      </c>
      <c r="G250" s="1" t="s">
        <v>64</v>
      </c>
      <c r="H250" s="402">
        <v>26</v>
      </c>
      <c r="I250" s="63">
        <v>20</v>
      </c>
      <c r="J250" s="235" t="s">
        <v>65</v>
      </c>
      <c r="K250" s="140">
        <v>111</v>
      </c>
      <c r="L250" t="s">
        <v>577</v>
      </c>
      <c r="M250" t="s">
        <v>1933</v>
      </c>
      <c r="R250" s="260"/>
      <c r="S250" s="205"/>
      <c r="T250" s="70"/>
    </row>
    <row r="251" spans="1:20" x14ac:dyDescent="0.35">
      <c r="B251" s="46" t="s">
        <v>4281</v>
      </c>
      <c r="C251" s="257">
        <v>3.9651778214575191</v>
      </c>
      <c r="D251" s="261">
        <v>55.795306636714848</v>
      </c>
      <c r="E251" s="138"/>
      <c r="F251" s="402">
        <v>25</v>
      </c>
      <c r="G251" s="1" t="s">
        <v>115</v>
      </c>
      <c r="H251" s="402">
        <v>24</v>
      </c>
      <c r="I251" s="63">
        <v>13</v>
      </c>
      <c r="J251" s="235" t="s">
        <v>68</v>
      </c>
      <c r="K251" s="140">
        <v>96</v>
      </c>
      <c r="L251" t="s">
        <v>507</v>
      </c>
      <c r="M251" t="s">
        <v>1934</v>
      </c>
      <c r="R251" s="260"/>
      <c r="S251" s="205"/>
      <c r="T251" s="70"/>
    </row>
    <row r="252" spans="1:20" x14ac:dyDescent="0.35">
      <c r="B252" s="46" t="s">
        <v>4281</v>
      </c>
      <c r="C252" s="257">
        <v>-3.4150476317119454</v>
      </c>
      <c r="D252" s="261">
        <v>26.484604090316754</v>
      </c>
      <c r="E252" s="138"/>
      <c r="F252" s="402">
        <v>100</v>
      </c>
      <c r="G252" s="1" t="s">
        <v>63</v>
      </c>
      <c r="H252" s="402">
        <v>24</v>
      </c>
      <c r="I252" s="63">
        <v>13</v>
      </c>
      <c r="J252" s="235" t="s">
        <v>61</v>
      </c>
      <c r="K252" s="140">
        <v>77</v>
      </c>
      <c r="L252" t="s">
        <v>404</v>
      </c>
      <c r="M252" t="s">
        <v>1935</v>
      </c>
      <c r="R252" s="260"/>
      <c r="S252" s="205"/>
      <c r="T252" s="70"/>
    </row>
    <row r="253" spans="1:20" x14ac:dyDescent="0.35">
      <c r="B253" s="46" t="s">
        <v>4281</v>
      </c>
      <c r="C253" s="257">
        <v>-2.4812553081274138</v>
      </c>
      <c r="D253" s="261">
        <v>72.387146497001666</v>
      </c>
      <c r="E253" s="138"/>
      <c r="F253" s="402">
        <v>45</v>
      </c>
      <c r="G253" s="1" t="s">
        <v>72</v>
      </c>
      <c r="H253" s="402">
        <v>29</v>
      </c>
      <c r="I253" s="63">
        <v>12</v>
      </c>
      <c r="J253" s="235" t="s">
        <v>71</v>
      </c>
      <c r="K253" s="140">
        <v>31</v>
      </c>
      <c r="L253" t="s">
        <v>465</v>
      </c>
      <c r="M253" s="1" t="s">
        <v>1936</v>
      </c>
      <c r="N253" s="1" t="s">
        <v>2953</v>
      </c>
      <c r="R253" s="260"/>
      <c r="S253" s="205"/>
      <c r="T253" s="70"/>
    </row>
    <row r="254" spans="1:20" x14ac:dyDescent="0.35">
      <c r="A254" s="6" t="s">
        <v>1937</v>
      </c>
      <c r="B254" s="46" t="s">
        <v>4288</v>
      </c>
      <c r="C254" s="257">
        <v>4.3284937762396662</v>
      </c>
      <c r="D254" s="261">
        <v>33.774747124864227</v>
      </c>
      <c r="E254" s="138"/>
      <c r="F254" s="402">
        <v>52</v>
      </c>
      <c r="G254" s="1" t="s">
        <v>52</v>
      </c>
      <c r="H254" s="402">
        <v>18</v>
      </c>
      <c r="I254" s="63">
        <v>8</v>
      </c>
      <c r="J254" s="235" t="s">
        <v>48</v>
      </c>
      <c r="K254" s="140">
        <v>112</v>
      </c>
      <c r="L254" t="s">
        <v>297</v>
      </c>
      <c r="M254" t="s">
        <v>1938</v>
      </c>
      <c r="R254" s="260"/>
      <c r="S254" s="205"/>
      <c r="T254" s="70"/>
    </row>
    <row r="255" spans="1:20" x14ac:dyDescent="0.35">
      <c r="B255" s="46" t="s">
        <v>4288</v>
      </c>
      <c r="C255" s="257">
        <v>2.0651389925791319</v>
      </c>
      <c r="D255" s="261">
        <v>18.441047547945733</v>
      </c>
      <c r="E255" s="138"/>
      <c r="F255" s="402">
        <v>88</v>
      </c>
      <c r="G255" s="1" t="s">
        <v>47</v>
      </c>
      <c r="H255" s="402">
        <v>16</v>
      </c>
      <c r="I255" s="63">
        <v>12</v>
      </c>
      <c r="J255" s="235" t="s">
        <v>56</v>
      </c>
      <c r="K255" s="140">
        <v>99</v>
      </c>
      <c r="L255" t="s">
        <v>337</v>
      </c>
      <c r="M255" t="s">
        <v>1939</v>
      </c>
      <c r="R255" s="260"/>
      <c r="S255" s="205"/>
      <c r="T255" s="70"/>
    </row>
    <row r="256" spans="1:20" x14ac:dyDescent="0.35">
      <c r="B256" s="46" t="s">
        <v>4288</v>
      </c>
      <c r="C256" s="257">
        <v>1.7106766942105927</v>
      </c>
      <c r="D256" s="261">
        <v>44.441250266827026</v>
      </c>
      <c r="E256" s="138"/>
      <c r="F256" s="402">
        <v>46</v>
      </c>
      <c r="G256" s="1" t="s">
        <v>51</v>
      </c>
      <c r="H256" s="402">
        <v>21</v>
      </c>
      <c r="I256" s="63">
        <v>17</v>
      </c>
      <c r="J256" s="235" t="s">
        <v>54</v>
      </c>
      <c r="K256" s="140">
        <v>95</v>
      </c>
      <c r="L256" t="s">
        <v>199</v>
      </c>
      <c r="M256" t="s">
        <v>1940</v>
      </c>
      <c r="R256" s="260"/>
      <c r="S256" s="205"/>
      <c r="T256" s="70"/>
    </row>
    <row r="257" spans="1:20" x14ac:dyDescent="0.35">
      <c r="B257" s="46" t="s">
        <v>4288</v>
      </c>
      <c r="C257" s="257">
        <v>-0.13584825091264327</v>
      </c>
      <c r="D257" s="261">
        <v>15.664581657768672</v>
      </c>
      <c r="E257" s="138"/>
      <c r="F257" s="402">
        <v>103</v>
      </c>
      <c r="G257" s="1" t="s">
        <v>55</v>
      </c>
      <c r="H257" s="402">
        <v>20</v>
      </c>
      <c r="I257" s="63">
        <v>7</v>
      </c>
      <c r="J257" s="235" t="s">
        <v>117</v>
      </c>
      <c r="K257" s="140">
        <v>94</v>
      </c>
      <c r="L257" t="s">
        <v>332</v>
      </c>
      <c r="M257" s="1" t="s">
        <v>1941</v>
      </c>
      <c r="N257" s="1" t="s">
        <v>2953</v>
      </c>
      <c r="O257" s="85" t="s">
        <v>2960</v>
      </c>
      <c r="R257" s="260"/>
      <c r="S257" s="205"/>
      <c r="T257" s="70"/>
    </row>
    <row r="258" spans="1:20" x14ac:dyDescent="0.35">
      <c r="B258" s="46" t="s">
        <v>4295</v>
      </c>
      <c r="C258" s="257">
        <v>4.3885254718949289</v>
      </c>
      <c r="D258" s="261">
        <v>51.090725390700634</v>
      </c>
      <c r="E258" s="138"/>
      <c r="F258" s="402">
        <v>35</v>
      </c>
      <c r="G258" s="1" t="s">
        <v>2011</v>
      </c>
      <c r="H258" s="402">
        <v>22</v>
      </c>
      <c r="I258" s="63">
        <v>13</v>
      </c>
      <c r="J258" s="235" t="s">
        <v>1859</v>
      </c>
      <c r="K258" s="140">
        <v>84</v>
      </c>
      <c r="L258" t="s">
        <v>290</v>
      </c>
      <c r="M258" t="s">
        <v>1942</v>
      </c>
      <c r="R258" s="260"/>
      <c r="S258" s="205"/>
      <c r="T258" s="70"/>
    </row>
    <row r="259" spans="1:20" x14ac:dyDescent="0.35">
      <c r="B259" s="46" t="s">
        <v>4295</v>
      </c>
      <c r="C259" s="257">
        <v>1.8103602144849424</v>
      </c>
      <c r="D259" s="261">
        <v>41.758610138638893</v>
      </c>
      <c r="E259" s="138"/>
      <c r="F259" s="402">
        <v>62</v>
      </c>
      <c r="G259" s="1" t="s">
        <v>900</v>
      </c>
      <c r="H259" s="402">
        <v>21</v>
      </c>
      <c r="I259" s="63">
        <v>11</v>
      </c>
      <c r="J259" s="235" t="s">
        <v>39</v>
      </c>
      <c r="K259" s="140">
        <v>71</v>
      </c>
      <c r="L259" t="s">
        <v>334</v>
      </c>
      <c r="M259" t="s">
        <v>1943</v>
      </c>
      <c r="R259" s="260"/>
      <c r="S259" s="205"/>
      <c r="T259" s="70"/>
    </row>
    <row r="260" spans="1:20" x14ac:dyDescent="0.35">
      <c r="B260" s="46" t="s">
        <v>4295</v>
      </c>
      <c r="C260" s="257">
        <v>2.6391695661554073</v>
      </c>
      <c r="D260" s="261">
        <v>47.66171229749343</v>
      </c>
      <c r="E260" s="138"/>
      <c r="F260" s="402">
        <v>53</v>
      </c>
      <c r="G260" s="1" t="s">
        <v>1858</v>
      </c>
      <c r="H260" s="402">
        <v>19</v>
      </c>
      <c r="I260" s="63">
        <v>17</v>
      </c>
      <c r="J260" s="235" t="s">
        <v>44</v>
      </c>
      <c r="K260" s="140">
        <v>78</v>
      </c>
      <c r="L260" t="s">
        <v>179</v>
      </c>
      <c r="M260" t="s">
        <v>1944</v>
      </c>
      <c r="O260" s="85" t="s">
        <v>1945</v>
      </c>
      <c r="R260" s="260"/>
      <c r="S260" s="205"/>
      <c r="T260" s="70"/>
    </row>
    <row r="261" spans="1:20" x14ac:dyDescent="0.35">
      <c r="B261" s="46" t="s">
        <v>4295</v>
      </c>
      <c r="C261" s="257">
        <v>-4.640583482352965</v>
      </c>
      <c r="D261" s="261">
        <v>26.039257245042037</v>
      </c>
      <c r="E261" s="138"/>
      <c r="F261" s="402">
        <v>104</v>
      </c>
      <c r="G261" s="1" t="s">
        <v>38</v>
      </c>
      <c r="H261" s="402">
        <v>19</v>
      </c>
      <c r="I261" s="63">
        <v>14</v>
      </c>
      <c r="J261" s="235" t="s">
        <v>35</v>
      </c>
      <c r="K261" s="140">
        <v>76</v>
      </c>
      <c r="L261" t="s">
        <v>332</v>
      </c>
      <c r="M261" t="s">
        <v>1946</v>
      </c>
      <c r="R261" s="260"/>
      <c r="S261" s="205"/>
      <c r="T261" s="70"/>
    </row>
    <row r="262" spans="1:20" x14ac:dyDescent="0.35">
      <c r="B262" s="46" t="s">
        <v>4302</v>
      </c>
      <c r="C262" s="257">
        <v>-1.2672847805713652</v>
      </c>
      <c r="D262" s="261">
        <v>34.440423849534639</v>
      </c>
      <c r="E262" s="138"/>
      <c r="F262" s="402">
        <v>75</v>
      </c>
      <c r="G262" s="1" t="s">
        <v>22</v>
      </c>
      <c r="H262" s="402">
        <v>14</v>
      </c>
      <c r="I262" s="63">
        <v>12</v>
      </c>
      <c r="J262" s="235" t="s">
        <v>292</v>
      </c>
      <c r="K262" s="140">
        <v>80</v>
      </c>
      <c r="L262" t="s">
        <v>190</v>
      </c>
      <c r="M262" t="s">
        <v>1947</v>
      </c>
      <c r="R262" s="260"/>
      <c r="S262" s="205"/>
      <c r="T262" s="70"/>
    </row>
    <row r="263" spans="1:20" x14ac:dyDescent="0.35">
      <c r="B263" s="46" t="s">
        <v>4302</v>
      </c>
      <c r="C263" s="257">
        <v>-4.3172901315310668</v>
      </c>
      <c r="D263" s="261">
        <v>21.96042751876416</v>
      </c>
      <c r="E263" s="138"/>
      <c r="F263" s="402">
        <v>108</v>
      </c>
      <c r="G263" s="1" t="s">
        <v>1860</v>
      </c>
      <c r="H263" s="402">
        <v>18</v>
      </c>
      <c r="I263" s="63">
        <v>14</v>
      </c>
      <c r="J263" s="235" t="s">
        <v>29</v>
      </c>
      <c r="K263" s="140">
        <v>81</v>
      </c>
      <c r="L263" t="s">
        <v>337</v>
      </c>
      <c r="M263" t="s">
        <v>1948</v>
      </c>
      <c r="R263" s="260"/>
      <c r="S263" s="205"/>
    </row>
    <row r="264" spans="1:20" x14ac:dyDescent="0.35">
      <c r="A264" s="6" t="s">
        <v>1952</v>
      </c>
      <c r="B264" s="46" t="s">
        <v>4302</v>
      </c>
      <c r="C264" s="257">
        <v>-2.8809570001100195</v>
      </c>
      <c r="D264" s="261">
        <v>60.318370514361149</v>
      </c>
      <c r="E264" s="138"/>
      <c r="F264" s="402">
        <v>67</v>
      </c>
      <c r="G264" s="1" t="s">
        <v>23</v>
      </c>
      <c r="H264" s="402">
        <v>17</v>
      </c>
      <c r="I264" s="63">
        <v>15</v>
      </c>
      <c r="J264" s="235" t="s">
        <v>30</v>
      </c>
      <c r="K264" s="140">
        <v>41</v>
      </c>
      <c r="L264" t="s">
        <v>295</v>
      </c>
      <c r="M264" t="s">
        <v>1949</v>
      </c>
      <c r="R264" s="260"/>
      <c r="S264" s="205"/>
    </row>
    <row r="265" spans="1:20" x14ac:dyDescent="0.35">
      <c r="B265" s="46" t="s">
        <v>4302</v>
      </c>
      <c r="C265" s="257">
        <v>-5.1050555545862769E-2</v>
      </c>
      <c r="D265" s="261">
        <v>34.60643466666</v>
      </c>
      <c r="E265" s="138"/>
      <c r="F265" s="402">
        <v>69</v>
      </c>
      <c r="G265" s="1" t="s">
        <v>27</v>
      </c>
      <c r="H265" s="402">
        <v>11</v>
      </c>
      <c r="I265" s="63">
        <v>10</v>
      </c>
      <c r="J265" s="235" t="s">
        <v>25</v>
      </c>
      <c r="K265" s="140">
        <v>86</v>
      </c>
      <c r="L265" t="s">
        <v>423</v>
      </c>
      <c r="M265" t="s">
        <v>1951</v>
      </c>
      <c r="O265" t="s">
        <v>1950</v>
      </c>
      <c r="R265" s="260"/>
      <c r="S265" s="205"/>
    </row>
    <row r="266" spans="1:20" x14ac:dyDescent="0.35">
      <c r="B266" s="46" t="s">
        <v>4443</v>
      </c>
      <c r="C266" s="257">
        <v>1.4762950367576162</v>
      </c>
      <c r="D266" s="261">
        <v>31.701969117651927</v>
      </c>
      <c r="E266" s="138"/>
      <c r="F266" s="402">
        <v>60</v>
      </c>
      <c r="G266" s="1" t="s">
        <v>787</v>
      </c>
      <c r="H266" s="402">
        <v>23</v>
      </c>
      <c r="I266" s="63">
        <v>12</v>
      </c>
      <c r="J266" s="235" t="s">
        <v>789</v>
      </c>
      <c r="K266" s="140">
        <v>97</v>
      </c>
      <c r="L266" t="s">
        <v>361</v>
      </c>
      <c r="M266" t="s">
        <v>1953</v>
      </c>
      <c r="R266" s="260"/>
      <c r="S266" s="205"/>
    </row>
    <row r="267" spans="1:20" x14ac:dyDescent="0.35">
      <c r="B267" s="46" t="s">
        <v>4443</v>
      </c>
      <c r="C267" s="257">
        <v>-4.5605289330360677</v>
      </c>
      <c r="D267" s="261">
        <v>66.09864841122473</v>
      </c>
      <c r="E267" s="138"/>
      <c r="F267" s="402">
        <v>68</v>
      </c>
      <c r="G267" s="1" t="s">
        <v>791</v>
      </c>
      <c r="H267" s="402">
        <v>29</v>
      </c>
      <c r="I267" s="63">
        <v>16</v>
      </c>
      <c r="J267" s="235" t="s">
        <v>793</v>
      </c>
      <c r="K267" s="140">
        <v>28</v>
      </c>
      <c r="L267" t="s">
        <v>1455</v>
      </c>
      <c r="M267" s="1" t="s">
        <v>1954</v>
      </c>
      <c r="N267" s="1" t="s">
        <v>2953</v>
      </c>
      <c r="R267" s="260"/>
      <c r="S267" s="205"/>
    </row>
    <row r="268" spans="1:20" x14ac:dyDescent="0.35">
      <c r="B268" s="46" t="s">
        <v>4443</v>
      </c>
      <c r="C268" s="257">
        <v>4.9006879038798843</v>
      </c>
      <c r="D268" s="261">
        <v>73.325242580196658</v>
      </c>
      <c r="E268" s="138"/>
      <c r="F268" s="402">
        <v>12</v>
      </c>
      <c r="G268" s="1" t="s">
        <v>785</v>
      </c>
      <c r="H268" s="402">
        <v>24</v>
      </c>
      <c r="I268" s="63">
        <v>12</v>
      </c>
      <c r="J268" s="235" t="s">
        <v>908</v>
      </c>
      <c r="K268" s="140">
        <v>56</v>
      </c>
      <c r="L268" t="s">
        <v>185</v>
      </c>
      <c r="M268" t="s">
        <v>1955</v>
      </c>
      <c r="R268" s="260"/>
      <c r="S268" s="205"/>
    </row>
    <row r="269" spans="1:20" x14ac:dyDescent="0.35">
      <c r="B269" s="46" t="s">
        <v>4443</v>
      </c>
      <c r="C269" s="257">
        <v>-3.7304474565540211</v>
      </c>
      <c r="D269" s="261">
        <v>40.129449684494197</v>
      </c>
      <c r="E269" s="138"/>
      <c r="F269" s="402">
        <v>89</v>
      </c>
      <c r="G269" s="1" t="s">
        <v>796</v>
      </c>
      <c r="H269" s="402">
        <v>20</v>
      </c>
      <c r="I269" s="63">
        <v>19</v>
      </c>
      <c r="J269" s="235" t="s">
        <v>909</v>
      </c>
      <c r="K269" s="140">
        <v>59</v>
      </c>
      <c r="L269" t="s">
        <v>285</v>
      </c>
      <c r="M269" t="s">
        <v>1957</v>
      </c>
      <c r="O269" t="s">
        <v>1956</v>
      </c>
      <c r="R269" s="260"/>
      <c r="S269" s="205"/>
    </row>
    <row r="270" spans="1:20" x14ac:dyDescent="0.35">
      <c r="B270" s="46" t="s">
        <v>4309</v>
      </c>
      <c r="C270" s="257">
        <v>7.6407121703116907</v>
      </c>
      <c r="D270" s="261">
        <v>59.789225940357703</v>
      </c>
      <c r="E270" s="138"/>
      <c r="F270" s="402">
        <v>10</v>
      </c>
      <c r="G270" s="1" t="s">
        <v>1344</v>
      </c>
      <c r="H270" s="402">
        <v>31</v>
      </c>
      <c r="I270" s="63">
        <v>16</v>
      </c>
      <c r="J270" s="235" t="s">
        <v>958</v>
      </c>
      <c r="K270" s="140">
        <v>92</v>
      </c>
      <c r="L270" t="s">
        <v>359</v>
      </c>
      <c r="M270" t="s">
        <v>1958</v>
      </c>
      <c r="R270" s="260"/>
      <c r="S270" s="205"/>
    </row>
    <row r="271" spans="1:20" x14ac:dyDescent="0.35">
      <c r="B271" s="46" t="s">
        <v>4309</v>
      </c>
      <c r="C271" s="257">
        <v>-1.6643167274723896</v>
      </c>
      <c r="D271" s="261">
        <v>8.5698171845525088</v>
      </c>
      <c r="E271" s="138"/>
      <c r="F271" s="402">
        <v>109</v>
      </c>
      <c r="G271" s="1" t="s">
        <v>964</v>
      </c>
      <c r="H271" s="402">
        <v>11</v>
      </c>
      <c r="I271" s="63">
        <v>4</v>
      </c>
      <c r="J271" s="235" t="s">
        <v>1308</v>
      </c>
      <c r="K271" s="140">
        <v>107</v>
      </c>
      <c r="L271" t="s">
        <v>450</v>
      </c>
      <c r="M271" t="s">
        <v>1959</v>
      </c>
      <c r="R271" s="260"/>
      <c r="S271" s="205"/>
    </row>
    <row r="272" spans="1:20" x14ac:dyDescent="0.35">
      <c r="B272" s="46" t="s">
        <v>4309</v>
      </c>
      <c r="C272" s="257">
        <v>-1.5184864399485849</v>
      </c>
      <c r="D272" s="261">
        <v>45.326962130250458</v>
      </c>
      <c r="E272" s="138"/>
      <c r="F272" s="402">
        <v>66</v>
      </c>
      <c r="G272" s="1" t="s">
        <v>1343</v>
      </c>
      <c r="H272" s="402">
        <v>16</v>
      </c>
      <c r="I272" s="63">
        <v>11</v>
      </c>
      <c r="J272" s="235" t="s">
        <v>963</v>
      </c>
      <c r="K272" s="140">
        <v>64</v>
      </c>
      <c r="L272" t="s">
        <v>334</v>
      </c>
      <c r="M272" t="s">
        <v>1960</v>
      </c>
      <c r="R272" s="260"/>
      <c r="S272" s="205"/>
    </row>
    <row r="273" spans="1:20" ht="15" thickBot="1" x14ac:dyDescent="0.4">
      <c r="B273" s="57" t="s">
        <v>4309</v>
      </c>
      <c r="C273" s="259">
        <v>0.38918664441475631</v>
      </c>
      <c r="D273" s="262">
        <v>65.404557729544166</v>
      </c>
      <c r="E273" s="222"/>
      <c r="F273" s="381">
        <v>51</v>
      </c>
      <c r="G273" s="44" t="s">
        <v>1301</v>
      </c>
      <c r="H273" s="381">
        <v>24</v>
      </c>
      <c r="I273" s="56">
        <v>7</v>
      </c>
      <c r="J273" s="57" t="s">
        <v>960</v>
      </c>
      <c r="K273" s="141">
        <v>38</v>
      </c>
      <c r="L273" s="12" t="s">
        <v>360</v>
      </c>
      <c r="M273" s="44" t="s">
        <v>1961</v>
      </c>
      <c r="N273" s="274" t="s">
        <v>2953</v>
      </c>
      <c r="O273" s="86"/>
      <c r="R273" s="260"/>
      <c r="S273" s="205"/>
    </row>
    <row r="274" spans="1:20" x14ac:dyDescent="0.35">
      <c r="A274" s="6" t="s">
        <v>2042</v>
      </c>
      <c r="B274" s="46" t="s">
        <v>1966</v>
      </c>
      <c r="C274" s="257">
        <v>7.1024998277843636</v>
      </c>
      <c r="D274" s="261">
        <v>37.069642980154029</v>
      </c>
      <c r="E274" s="138"/>
      <c r="F274" s="402">
        <v>32</v>
      </c>
      <c r="G274" s="1" t="s">
        <v>300</v>
      </c>
      <c r="H274" s="402">
        <v>25</v>
      </c>
      <c r="I274" s="63">
        <v>8</v>
      </c>
      <c r="J274" s="235" t="s">
        <v>48</v>
      </c>
      <c r="K274" s="140">
        <v>112</v>
      </c>
      <c r="L274" t="s">
        <v>465</v>
      </c>
      <c r="M274" t="s">
        <v>2028</v>
      </c>
      <c r="R274" s="260"/>
      <c r="S274" s="205"/>
      <c r="T274" s="70"/>
    </row>
    <row r="275" spans="1:20" x14ac:dyDescent="0.35">
      <c r="C275" s="257">
        <v>-4.6574527312879956</v>
      </c>
      <c r="D275" s="261">
        <v>14.933894808062853</v>
      </c>
      <c r="E275" s="138"/>
      <c r="F275" s="402">
        <v>111</v>
      </c>
      <c r="G275" s="1" t="s">
        <v>65</v>
      </c>
      <c r="H275" s="402">
        <v>20</v>
      </c>
      <c r="I275" s="63">
        <v>13</v>
      </c>
      <c r="J275" s="235" t="s">
        <v>70</v>
      </c>
      <c r="K275" s="140">
        <v>87</v>
      </c>
      <c r="L275" t="s">
        <v>404</v>
      </c>
      <c r="M275" t="s">
        <v>2031</v>
      </c>
      <c r="R275" s="260"/>
      <c r="S275" s="205"/>
      <c r="T275" s="70"/>
    </row>
    <row r="276" spans="1:20" x14ac:dyDescent="0.35">
      <c r="C276" s="257">
        <v>1.9997709902865919</v>
      </c>
      <c r="D276" s="261">
        <v>9.2858778640810051</v>
      </c>
      <c r="E276" s="138"/>
      <c r="F276" s="402">
        <v>90</v>
      </c>
      <c r="G276" s="1" t="s">
        <v>86</v>
      </c>
      <c r="H276" s="402">
        <v>29</v>
      </c>
      <c r="I276" s="63">
        <v>13</v>
      </c>
      <c r="J276" s="235" t="s">
        <v>76</v>
      </c>
      <c r="K276" s="140">
        <v>110</v>
      </c>
      <c r="L276" t="s">
        <v>526</v>
      </c>
      <c r="M276" s="1" t="s">
        <v>2032</v>
      </c>
      <c r="N276" s="1" t="s">
        <v>2953</v>
      </c>
      <c r="R276" s="260"/>
      <c r="S276" s="205"/>
      <c r="T276" s="70"/>
    </row>
    <row r="277" spans="1:20" x14ac:dyDescent="0.35">
      <c r="C277" s="257">
        <v>6.4055366264599325</v>
      </c>
      <c r="D277" s="261">
        <v>31.138902409671477</v>
      </c>
      <c r="E277" s="138"/>
      <c r="F277" s="402">
        <v>51</v>
      </c>
      <c r="G277" s="1" t="s">
        <v>1301</v>
      </c>
      <c r="H277" s="402">
        <v>20</v>
      </c>
      <c r="I277" s="63">
        <v>14</v>
      </c>
      <c r="J277" s="235" t="s">
        <v>964</v>
      </c>
      <c r="K277" s="140">
        <v>109</v>
      </c>
      <c r="L277" t="s">
        <v>533</v>
      </c>
      <c r="M277" t="s">
        <v>2033</v>
      </c>
      <c r="R277" s="260"/>
      <c r="S277" s="205"/>
      <c r="T277" s="70"/>
    </row>
    <row r="278" spans="1:20" x14ac:dyDescent="0.35">
      <c r="C278" s="257">
        <v>1.6044544918796799</v>
      </c>
      <c r="D278" s="261">
        <v>13.586103934371662</v>
      </c>
      <c r="E278" s="138"/>
      <c r="F278" s="402">
        <v>83</v>
      </c>
      <c r="G278" s="1" t="s">
        <v>28</v>
      </c>
      <c r="H278" s="402">
        <v>17</v>
      </c>
      <c r="I278" s="63">
        <v>13</v>
      </c>
      <c r="J278" s="235" t="s">
        <v>1860</v>
      </c>
      <c r="K278" s="140">
        <v>108</v>
      </c>
      <c r="L278" t="s">
        <v>185</v>
      </c>
      <c r="M278" t="s">
        <v>2034</v>
      </c>
      <c r="R278" s="260"/>
      <c r="S278" s="205"/>
      <c r="T278" s="70"/>
    </row>
    <row r="279" spans="1:20" x14ac:dyDescent="0.35">
      <c r="A279" s="6" t="s">
        <v>2043</v>
      </c>
      <c r="C279" s="257">
        <v>-7.0840649293981297</v>
      </c>
      <c r="D279" s="261">
        <v>60.060046378141529</v>
      </c>
      <c r="E279" s="138"/>
      <c r="F279" s="402">
        <v>107</v>
      </c>
      <c r="G279" s="1" t="s">
        <v>1308</v>
      </c>
      <c r="H279" s="402">
        <v>15</v>
      </c>
      <c r="I279" s="63">
        <v>12</v>
      </c>
      <c r="J279" s="235" t="s">
        <v>965</v>
      </c>
      <c r="K279" s="140">
        <v>19</v>
      </c>
      <c r="L279" t="s">
        <v>530</v>
      </c>
      <c r="M279" t="s">
        <v>2037</v>
      </c>
      <c r="O279" s="85" t="s">
        <v>2036</v>
      </c>
      <c r="R279" s="260"/>
      <c r="S279" s="205"/>
      <c r="T279" s="70"/>
    </row>
    <row r="280" spans="1:20" x14ac:dyDescent="0.35">
      <c r="C280" s="257">
        <v>-5.0501825742988711</v>
      </c>
      <c r="D280" s="261">
        <v>38.517987553070618</v>
      </c>
      <c r="E280" s="138"/>
      <c r="F280" s="402">
        <v>106</v>
      </c>
      <c r="G280" s="1" t="s">
        <v>794</v>
      </c>
      <c r="H280" s="402">
        <v>22</v>
      </c>
      <c r="I280" s="63">
        <v>15</v>
      </c>
      <c r="J280" s="235" t="s">
        <v>908</v>
      </c>
      <c r="K280" s="140">
        <v>56</v>
      </c>
      <c r="L280" t="s">
        <v>546</v>
      </c>
      <c r="M280" t="s">
        <v>2038</v>
      </c>
      <c r="R280" s="260"/>
      <c r="S280" s="205"/>
      <c r="T280" s="70"/>
    </row>
    <row r="281" spans="1:20" x14ac:dyDescent="0.35">
      <c r="C281" s="257">
        <v>-4.1183293225407711</v>
      </c>
      <c r="D281" s="261">
        <v>44.682735230386271</v>
      </c>
      <c r="E281" s="138"/>
      <c r="F281" s="402">
        <v>105</v>
      </c>
      <c r="G281" s="1" t="s">
        <v>80</v>
      </c>
      <c r="H281" s="402">
        <v>26</v>
      </c>
      <c r="I281" s="63">
        <v>18</v>
      </c>
      <c r="J281" s="235" t="s">
        <v>85</v>
      </c>
      <c r="K281" s="140">
        <v>40</v>
      </c>
      <c r="L281" t="s">
        <v>916</v>
      </c>
      <c r="M281" t="s">
        <v>2039</v>
      </c>
      <c r="R281" s="260"/>
      <c r="S281" s="205"/>
      <c r="T281" s="70"/>
    </row>
    <row r="282" spans="1:20" x14ac:dyDescent="0.35">
      <c r="C282" s="257">
        <v>-2.2381816820224052</v>
      </c>
      <c r="D282" s="261">
        <v>20.348701201444573</v>
      </c>
      <c r="E282" s="138"/>
      <c r="F282" s="402">
        <v>104</v>
      </c>
      <c r="G282" s="1" t="s">
        <v>38</v>
      </c>
      <c r="H282" s="402">
        <v>16</v>
      </c>
      <c r="I282" s="63">
        <v>14</v>
      </c>
      <c r="J282" s="235" t="s">
        <v>44</v>
      </c>
      <c r="K282" s="140">
        <v>78</v>
      </c>
      <c r="L282" t="s">
        <v>423</v>
      </c>
      <c r="M282" t="s">
        <v>2121</v>
      </c>
      <c r="R282" s="260"/>
      <c r="S282" s="205"/>
      <c r="T282" s="70"/>
    </row>
    <row r="283" spans="1:20" x14ac:dyDescent="0.35">
      <c r="C283" s="257">
        <v>5.5921942937529527</v>
      </c>
      <c r="D283" s="261">
        <v>37.344861218747894</v>
      </c>
      <c r="E283" s="138"/>
      <c r="F283" s="402">
        <v>43</v>
      </c>
      <c r="G283" s="1" t="s">
        <v>57</v>
      </c>
      <c r="H283" s="402">
        <v>19</v>
      </c>
      <c r="I283" s="63">
        <v>7</v>
      </c>
      <c r="J283" s="235" t="s">
        <v>55</v>
      </c>
      <c r="K283" s="140">
        <v>103</v>
      </c>
      <c r="L283" t="s">
        <v>190</v>
      </c>
      <c r="M283" t="s">
        <v>2122</v>
      </c>
      <c r="R283" s="260"/>
      <c r="S283" s="205"/>
      <c r="T283" s="70"/>
    </row>
    <row r="284" spans="1:20" x14ac:dyDescent="0.35">
      <c r="C284" s="257">
        <v>-7.7002779890363025</v>
      </c>
      <c r="D284" s="261">
        <v>67.643055706454504</v>
      </c>
      <c r="E284" s="138"/>
      <c r="F284" s="402">
        <v>102</v>
      </c>
      <c r="G284" s="1" t="s">
        <v>37</v>
      </c>
      <c r="H284" s="402">
        <v>25</v>
      </c>
      <c r="I284" s="63">
        <v>12</v>
      </c>
      <c r="J284" s="235" t="s">
        <v>41</v>
      </c>
      <c r="K284" s="140">
        <v>4</v>
      </c>
      <c r="L284" t="s">
        <v>336</v>
      </c>
      <c r="M284" s="1" t="s">
        <v>2123</v>
      </c>
      <c r="N284" s="1" t="s">
        <v>2953</v>
      </c>
      <c r="R284" s="260"/>
      <c r="S284" s="205"/>
      <c r="T284" s="70"/>
    </row>
    <row r="285" spans="1:20" x14ac:dyDescent="0.35">
      <c r="C285" s="257">
        <v>8.5175596886512744E-2</v>
      </c>
      <c r="D285" s="261">
        <v>13.33201743079535</v>
      </c>
      <c r="E285" s="138"/>
      <c r="F285" s="402">
        <v>101</v>
      </c>
      <c r="G285" s="1" t="s">
        <v>24</v>
      </c>
      <c r="H285" s="402">
        <v>12</v>
      </c>
      <c r="I285" s="63">
        <v>11</v>
      </c>
      <c r="J285" s="235" t="s">
        <v>31</v>
      </c>
      <c r="K285" s="140">
        <v>93</v>
      </c>
      <c r="L285" t="s">
        <v>295</v>
      </c>
      <c r="M285" t="s">
        <v>2124</v>
      </c>
      <c r="R285" s="260"/>
      <c r="S285" s="205"/>
      <c r="T285" s="70"/>
    </row>
    <row r="286" spans="1:20" x14ac:dyDescent="0.35">
      <c r="C286" s="257">
        <v>4.8229628890252911</v>
      </c>
      <c r="D286" s="261">
        <v>36.68895507926765</v>
      </c>
      <c r="E286" s="138"/>
      <c r="F286" s="402">
        <v>49</v>
      </c>
      <c r="G286" s="1" t="s">
        <v>69</v>
      </c>
      <c r="H286" s="402">
        <v>27</v>
      </c>
      <c r="I286" s="63">
        <v>12</v>
      </c>
      <c r="J286" s="235" t="s">
        <v>63</v>
      </c>
      <c r="K286" s="140">
        <v>100</v>
      </c>
      <c r="L286" t="s">
        <v>526</v>
      </c>
      <c r="M286" t="s">
        <v>2125</v>
      </c>
      <c r="O286" s="85" t="s">
        <v>2126</v>
      </c>
      <c r="R286" s="260"/>
      <c r="S286" s="205"/>
      <c r="T286" s="70"/>
    </row>
    <row r="287" spans="1:20" x14ac:dyDescent="0.35">
      <c r="C287" s="257">
        <v>6.9500865333162754</v>
      </c>
      <c r="D287" s="261">
        <v>51.107081047631219</v>
      </c>
      <c r="E287" s="138"/>
      <c r="F287" s="402">
        <v>24</v>
      </c>
      <c r="G287" s="1" t="s">
        <v>50</v>
      </c>
      <c r="H287" s="402">
        <v>17</v>
      </c>
      <c r="I287" s="63">
        <v>7</v>
      </c>
      <c r="J287" s="235" t="s">
        <v>56</v>
      </c>
      <c r="K287" s="140">
        <v>99</v>
      </c>
      <c r="L287" t="s">
        <v>181</v>
      </c>
      <c r="M287" t="s">
        <v>2127</v>
      </c>
      <c r="R287" s="260"/>
      <c r="S287" s="205"/>
      <c r="T287" s="70"/>
    </row>
    <row r="288" spans="1:20" x14ac:dyDescent="0.35">
      <c r="C288" s="257">
        <v>5.5087545387162598</v>
      </c>
      <c r="D288" s="261">
        <v>55.708032472345522</v>
      </c>
      <c r="E288" s="138"/>
      <c r="F288" s="402">
        <v>15</v>
      </c>
      <c r="G288" s="1" t="s">
        <v>962</v>
      </c>
      <c r="H288" s="402">
        <v>23</v>
      </c>
      <c r="I288" s="63">
        <v>11</v>
      </c>
      <c r="J288" s="235" t="s">
        <v>959</v>
      </c>
      <c r="K288" s="140">
        <v>98</v>
      </c>
      <c r="L288" t="s">
        <v>290</v>
      </c>
      <c r="M288" t="s">
        <v>2128</v>
      </c>
      <c r="R288" s="260"/>
      <c r="S288" s="205"/>
      <c r="T288" s="70"/>
    </row>
    <row r="289" spans="1:20" x14ac:dyDescent="0.35">
      <c r="C289" s="257">
        <v>-3.4628369787477045</v>
      </c>
      <c r="D289" s="261">
        <v>31.044883556248358</v>
      </c>
      <c r="E289" s="138"/>
      <c r="F289" s="402">
        <v>97</v>
      </c>
      <c r="G289" s="1" t="s">
        <v>789</v>
      </c>
      <c r="H289" s="402">
        <v>17</v>
      </c>
      <c r="I289" s="63">
        <v>15</v>
      </c>
      <c r="J289" s="235" t="s">
        <v>783</v>
      </c>
      <c r="K289" s="140">
        <v>63</v>
      </c>
      <c r="L289" t="s">
        <v>178</v>
      </c>
      <c r="M289" t="s">
        <v>2129</v>
      </c>
      <c r="R289" s="260"/>
      <c r="S289" s="205"/>
      <c r="T289" s="70"/>
    </row>
    <row r="290" spans="1:20" x14ac:dyDescent="0.35">
      <c r="C290" s="257">
        <v>-4.5485111547908526</v>
      </c>
      <c r="D290" s="261">
        <v>60.034650824850608</v>
      </c>
      <c r="E290" s="138"/>
      <c r="F290" s="402">
        <v>96</v>
      </c>
      <c r="G290" s="1" t="s">
        <v>68</v>
      </c>
      <c r="H290" s="402">
        <v>16</v>
      </c>
      <c r="I290" s="63">
        <v>12</v>
      </c>
      <c r="J290" s="235" t="s">
        <v>115</v>
      </c>
      <c r="K290" s="140">
        <v>25</v>
      </c>
      <c r="L290" t="s">
        <v>337</v>
      </c>
      <c r="M290" t="s">
        <v>2130</v>
      </c>
      <c r="R290" s="260"/>
      <c r="S290" s="205"/>
      <c r="T290" s="70"/>
    </row>
    <row r="291" spans="1:20" x14ac:dyDescent="0.35">
      <c r="A291" s="6" t="s">
        <v>2131</v>
      </c>
      <c r="C291" s="257">
        <v>6.0468877704564958</v>
      </c>
      <c r="D291" s="261">
        <v>47.064723021102509</v>
      </c>
      <c r="E291" s="138"/>
      <c r="F291" s="402">
        <v>26</v>
      </c>
      <c r="G291" s="1" t="s">
        <v>58</v>
      </c>
      <c r="H291" s="402">
        <v>23</v>
      </c>
      <c r="I291" s="63">
        <v>7</v>
      </c>
      <c r="J291" s="235" t="s">
        <v>54</v>
      </c>
      <c r="K291" s="140">
        <v>95</v>
      </c>
      <c r="L291" t="s">
        <v>339</v>
      </c>
      <c r="M291" s="1" t="s">
        <v>2132</v>
      </c>
      <c r="N291" s="1" t="s">
        <v>2953</v>
      </c>
      <c r="R291" s="260"/>
      <c r="S291" s="205"/>
      <c r="T291" s="70"/>
    </row>
    <row r="292" spans="1:20" x14ac:dyDescent="0.35">
      <c r="C292" s="257">
        <v>3.7177002098037475</v>
      </c>
      <c r="D292" s="261">
        <v>38.683785564425889</v>
      </c>
      <c r="E292" s="138"/>
      <c r="F292" s="402">
        <v>52</v>
      </c>
      <c r="G292" s="1" t="s">
        <v>52</v>
      </c>
      <c r="H292" s="402">
        <v>16</v>
      </c>
      <c r="I292" s="63">
        <v>15</v>
      </c>
      <c r="J292" s="235" t="s">
        <v>117</v>
      </c>
      <c r="K292" s="140">
        <v>94</v>
      </c>
      <c r="L292" t="s">
        <v>453</v>
      </c>
      <c r="M292" t="s">
        <v>2133</v>
      </c>
      <c r="R292" s="260"/>
      <c r="S292" s="205"/>
      <c r="T292" s="70"/>
    </row>
    <row r="293" spans="1:20" x14ac:dyDescent="0.35">
      <c r="C293" s="257">
        <v>-0.99850642448137816</v>
      </c>
      <c r="D293" s="261">
        <v>31.070361731772412</v>
      </c>
      <c r="E293" s="138"/>
      <c r="F293" s="402">
        <v>92</v>
      </c>
      <c r="G293" s="1" t="s">
        <v>958</v>
      </c>
      <c r="H293" s="402">
        <v>23</v>
      </c>
      <c r="I293" s="63">
        <v>13</v>
      </c>
      <c r="J293" s="235" t="s">
        <v>963</v>
      </c>
      <c r="K293" s="140">
        <v>64</v>
      </c>
      <c r="L293" t="s">
        <v>359</v>
      </c>
      <c r="M293" t="s">
        <v>2134</v>
      </c>
      <c r="R293" s="260"/>
      <c r="S293" s="205"/>
      <c r="T293" s="70"/>
    </row>
    <row r="294" spans="1:20" x14ac:dyDescent="0.35">
      <c r="C294" s="257">
        <v>5.860350773441553</v>
      </c>
      <c r="D294" s="261">
        <v>47.599749447541754</v>
      </c>
      <c r="E294" s="138"/>
      <c r="F294" s="402">
        <v>29</v>
      </c>
      <c r="G294" s="1" t="s">
        <v>78</v>
      </c>
      <c r="H294" s="402">
        <v>24</v>
      </c>
      <c r="I294" s="63">
        <v>15</v>
      </c>
      <c r="J294" s="235" t="s">
        <v>84</v>
      </c>
      <c r="K294" s="140">
        <v>91</v>
      </c>
      <c r="L294" t="s">
        <v>347</v>
      </c>
      <c r="M294" t="s">
        <v>2135</v>
      </c>
      <c r="R294" s="260"/>
      <c r="S294" s="205"/>
      <c r="T294" s="70"/>
    </row>
    <row r="295" spans="1:20" x14ac:dyDescent="0.35">
      <c r="C295" s="257">
        <v>2.8645065998311092</v>
      </c>
      <c r="D295" s="261">
        <v>47.328923857263497</v>
      </c>
      <c r="E295" s="138"/>
      <c r="F295" s="402">
        <v>37</v>
      </c>
      <c r="G295" s="1" t="s">
        <v>788</v>
      </c>
      <c r="H295" s="402">
        <v>20</v>
      </c>
      <c r="I295" s="63">
        <v>8</v>
      </c>
      <c r="J295" s="235" t="s">
        <v>796</v>
      </c>
      <c r="K295" s="140">
        <v>89</v>
      </c>
      <c r="L295" t="s">
        <v>334</v>
      </c>
      <c r="M295" t="s">
        <v>2136</v>
      </c>
      <c r="R295" s="260"/>
      <c r="S295" s="205"/>
      <c r="T295" s="70"/>
    </row>
    <row r="296" spans="1:20" x14ac:dyDescent="0.35">
      <c r="C296" s="257">
        <v>1.4867948711899783</v>
      </c>
      <c r="D296" s="261">
        <v>41.884432234864313</v>
      </c>
      <c r="E296" s="138"/>
      <c r="F296" s="402">
        <v>54</v>
      </c>
      <c r="G296" s="1" t="s">
        <v>53</v>
      </c>
      <c r="H296" s="402">
        <v>15</v>
      </c>
      <c r="I296" s="63">
        <v>12</v>
      </c>
      <c r="J296" s="235" t="s">
        <v>47</v>
      </c>
      <c r="K296" s="140">
        <v>88</v>
      </c>
      <c r="L296" t="s">
        <v>337</v>
      </c>
      <c r="M296" t="s">
        <v>2137</v>
      </c>
      <c r="R296" s="260"/>
      <c r="S296" s="205"/>
      <c r="T296" s="70"/>
    </row>
    <row r="297" spans="1:20" x14ac:dyDescent="0.35">
      <c r="C297" s="257">
        <v>-8.3689774245921722E-2</v>
      </c>
      <c r="D297" s="261">
        <v>26.399064124461379</v>
      </c>
      <c r="E297" s="138"/>
      <c r="F297" s="402">
        <v>79</v>
      </c>
      <c r="G297" s="1" t="s">
        <v>32</v>
      </c>
      <c r="H297" s="402">
        <v>13</v>
      </c>
      <c r="I297" s="63">
        <v>12</v>
      </c>
      <c r="J297" s="235" t="s">
        <v>25</v>
      </c>
      <c r="K297" s="140">
        <v>86</v>
      </c>
      <c r="L297" t="s">
        <v>294</v>
      </c>
      <c r="M297" t="s">
        <v>2138</v>
      </c>
      <c r="R297" s="260"/>
      <c r="S297" s="205"/>
      <c r="T297" s="70"/>
    </row>
    <row r="298" spans="1:20" x14ac:dyDescent="0.35">
      <c r="C298" s="257">
        <v>1.9812107056482811</v>
      </c>
      <c r="D298" s="261">
        <v>29.388420924536941</v>
      </c>
      <c r="E298" s="138"/>
      <c r="F298" s="402">
        <v>70</v>
      </c>
      <c r="G298" s="1" t="s">
        <v>73</v>
      </c>
      <c r="H298" s="402">
        <v>21</v>
      </c>
      <c r="I298" s="63">
        <v>10</v>
      </c>
      <c r="J298" s="235" t="s">
        <v>88</v>
      </c>
      <c r="K298" s="140">
        <v>85</v>
      </c>
      <c r="L298" t="s">
        <v>332</v>
      </c>
      <c r="M298" t="s">
        <v>2139</v>
      </c>
      <c r="R298" s="260"/>
      <c r="S298" s="205"/>
      <c r="T298" s="70"/>
    </row>
    <row r="299" spans="1:20" x14ac:dyDescent="0.35">
      <c r="C299" s="257">
        <v>7.0645369278135881</v>
      </c>
      <c r="D299" s="261">
        <v>62.096759337276012</v>
      </c>
      <c r="E299" s="138"/>
      <c r="F299" s="402">
        <v>8</v>
      </c>
      <c r="G299" s="1" t="s">
        <v>40</v>
      </c>
      <c r="H299" s="402">
        <v>23</v>
      </c>
      <c r="I299" s="63">
        <v>9</v>
      </c>
      <c r="J299" s="235" t="s">
        <v>1859</v>
      </c>
      <c r="K299" s="140">
        <v>84</v>
      </c>
      <c r="L299" t="s">
        <v>297</v>
      </c>
      <c r="M299" t="s">
        <v>2140</v>
      </c>
      <c r="R299" s="260"/>
      <c r="S299" s="205"/>
      <c r="T299" s="70"/>
    </row>
    <row r="300" spans="1:20" x14ac:dyDescent="0.35">
      <c r="C300" s="257">
        <v>-0.17836456962366026</v>
      </c>
      <c r="D300" s="261">
        <v>33.163117549731183</v>
      </c>
      <c r="E300" s="138"/>
      <c r="F300" s="402">
        <v>82</v>
      </c>
      <c r="G300" s="1" t="s">
        <v>786</v>
      </c>
      <c r="H300" s="402">
        <v>20</v>
      </c>
      <c r="I300" s="63">
        <v>17</v>
      </c>
      <c r="J300" s="235" t="s">
        <v>791</v>
      </c>
      <c r="K300" s="140">
        <v>68</v>
      </c>
      <c r="L300" t="s">
        <v>347</v>
      </c>
      <c r="M300" t="s">
        <v>2141</v>
      </c>
      <c r="R300" s="260"/>
      <c r="S300" s="205"/>
      <c r="T300" s="70"/>
    </row>
    <row r="301" spans="1:20" x14ac:dyDescent="0.35">
      <c r="C301" s="257">
        <v>6.6140943543678832</v>
      </c>
      <c r="D301" s="261">
        <v>60.275646889737224</v>
      </c>
      <c r="E301" s="138"/>
      <c r="F301" s="402">
        <v>17</v>
      </c>
      <c r="G301" s="1" t="s">
        <v>33</v>
      </c>
      <c r="H301" s="402">
        <v>19</v>
      </c>
      <c r="I301" s="63">
        <v>15</v>
      </c>
      <c r="J301" s="235" t="s">
        <v>29</v>
      </c>
      <c r="K301" s="140">
        <v>81</v>
      </c>
      <c r="L301" t="s">
        <v>453</v>
      </c>
      <c r="M301" t="s">
        <v>2142</v>
      </c>
      <c r="R301" s="260"/>
      <c r="S301" s="205"/>
      <c r="T301" s="70"/>
    </row>
    <row r="302" spans="1:20" x14ac:dyDescent="0.35">
      <c r="C302" s="257">
        <v>-2.1700467342711587</v>
      </c>
      <c r="D302" s="261">
        <v>35.925033381622249</v>
      </c>
      <c r="E302" s="138"/>
      <c r="F302" s="402">
        <v>80</v>
      </c>
      <c r="G302" s="1" t="s">
        <v>292</v>
      </c>
      <c r="H302" s="402">
        <v>23</v>
      </c>
      <c r="I302" s="63">
        <v>15</v>
      </c>
      <c r="J302" s="235" t="s">
        <v>23</v>
      </c>
      <c r="K302" s="140">
        <v>67</v>
      </c>
      <c r="L302" t="s">
        <v>290</v>
      </c>
      <c r="M302" t="s">
        <v>2143</v>
      </c>
      <c r="R302" s="260"/>
      <c r="S302" s="205"/>
      <c r="T302" s="70"/>
    </row>
    <row r="303" spans="1:20" x14ac:dyDescent="0.35">
      <c r="C303" s="257">
        <v>2.5370371646631455</v>
      </c>
      <c r="D303" s="261">
        <v>55.196759168097756</v>
      </c>
      <c r="E303" s="138"/>
      <c r="F303" s="402">
        <v>30</v>
      </c>
      <c r="G303" s="1" t="s">
        <v>60</v>
      </c>
      <c r="H303" s="402">
        <v>33</v>
      </c>
      <c r="I303" s="63">
        <v>6</v>
      </c>
      <c r="J303" s="235" t="s">
        <v>61</v>
      </c>
      <c r="K303" s="140">
        <v>77</v>
      </c>
      <c r="L303" t="s">
        <v>2144</v>
      </c>
      <c r="M303" s="1" t="s">
        <v>2145</v>
      </c>
      <c r="N303" s="1" t="s">
        <v>2953</v>
      </c>
      <c r="R303" s="260"/>
      <c r="S303" s="205"/>
      <c r="T303" s="70"/>
    </row>
    <row r="304" spans="1:20" x14ac:dyDescent="0.35">
      <c r="C304" s="257">
        <v>3.6384986811006246</v>
      </c>
      <c r="D304" s="261">
        <v>64.543929513499549</v>
      </c>
      <c r="E304" s="138"/>
      <c r="F304" s="402">
        <v>16</v>
      </c>
      <c r="G304" s="1" t="s">
        <v>46</v>
      </c>
      <c r="H304" s="402">
        <v>22</v>
      </c>
      <c r="I304" s="63">
        <v>17</v>
      </c>
      <c r="J304" s="235" t="s">
        <v>35</v>
      </c>
      <c r="K304" s="140">
        <v>76</v>
      </c>
      <c r="L304" t="s">
        <v>299</v>
      </c>
      <c r="M304" t="s">
        <v>2146</v>
      </c>
      <c r="R304" s="260"/>
      <c r="S304" s="205"/>
      <c r="T304" s="70"/>
    </row>
    <row r="305" spans="1:20" x14ac:dyDescent="0.35">
      <c r="C305" s="257">
        <v>0.56830701257452509</v>
      </c>
      <c r="D305" s="261">
        <v>35.308352133875346</v>
      </c>
      <c r="E305" s="138"/>
      <c r="F305" s="402">
        <v>75</v>
      </c>
      <c r="G305" s="1" t="s">
        <v>22</v>
      </c>
      <c r="H305" s="402">
        <v>14</v>
      </c>
      <c r="I305" s="63">
        <v>10</v>
      </c>
      <c r="J305" s="235" t="s">
        <v>27</v>
      </c>
      <c r="K305" s="140">
        <v>69</v>
      </c>
      <c r="L305" t="s">
        <v>339</v>
      </c>
      <c r="M305" t="s">
        <v>2147</v>
      </c>
      <c r="R305" s="260"/>
      <c r="S305" s="205"/>
      <c r="T305" s="70"/>
    </row>
    <row r="306" spans="1:20" x14ac:dyDescent="0.35">
      <c r="C306" s="257">
        <v>4.6757421127418826E-2</v>
      </c>
      <c r="D306" s="261">
        <v>40.591601842051837</v>
      </c>
      <c r="E306" s="138"/>
      <c r="F306" s="402">
        <v>74</v>
      </c>
      <c r="G306" s="1" t="s">
        <v>784</v>
      </c>
      <c r="H306" s="402">
        <v>17</v>
      </c>
      <c r="I306" s="63">
        <v>13</v>
      </c>
      <c r="J306" s="235" t="s">
        <v>909</v>
      </c>
      <c r="K306" s="140">
        <v>59</v>
      </c>
      <c r="L306" t="s">
        <v>184</v>
      </c>
      <c r="M306" t="s">
        <v>2148</v>
      </c>
      <c r="R306" s="260"/>
      <c r="S306" s="205"/>
      <c r="T306" s="70"/>
    </row>
    <row r="307" spans="1:20" x14ac:dyDescent="0.35">
      <c r="A307" s="6" t="s">
        <v>2151</v>
      </c>
      <c r="C307" s="257">
        <v>-7.6572960192759227</v>
      </c>
      <c r="D307" s="261">
        <v>78.683782870911372</v>
      </c>
      <c r="E307" s="138"/>
      <c r="F307" s="402">
        <v>73</v>
      </c>
      <c r="G307" s="1" t="s">
        <v>62</v>
      </c>
      <c r="H307" s="402">
        <v>25</v>
      </c>
      <c r="I307" s="63">
        <v>14</v>
      </c>
      <c r="J307" s="235" t="s">
        <v>59</v>
      </c>
      <c r="K307" s="140">
        <v>2</v>
      </c>
      <c r="L307" t="s">
        <v>397</v>
      </c>
      <c r="M307" t="s">
        <v>2149</v>
      </c>
      <c r="R307" s="260"/>
      <c r="S307" s="205"/>
      <c r="T307" s="70"/>
    </row>
    <row r="308" spans="1:20" x14ac:dyDescent="0.35">
      <c r="C308" s="257">
        <v>1.8853006100690664</v>
      </c>
      <c r="D308" s="261">
        <v>47.626570992807814</v>
      </c>
      <c r="E308" s="138"/>
      <c r="F308" s="402">
        <v>55</v>
      </c>
      <c r="G308" s="1" t="s">
        <v>1302</v>
      </c>
      <c r="H308" s="402">
        <v>17</v>
      </c>
      <c r="I308" s="63">
        <v>8</v>
      </c>
      <c r="J308" s="235" t="s">
        <v>1342</v>
      </c>
      <c r="K308" s="140">
        <v>72</v>
      </c>
      <c r="L308" t="s">
        <v>286</v>
      </c>
      <c r="M308" t="s">
        <v>2150</v>
      </c>
      <c r="R308" s="260"/>
      <c r="S308" s="205"/>
      <c r="T308" s="70"/>
    </row>
    <row r="309" spans="1:20" x14ac:dyDescent="0.35">
      <c r="C309" s="257">
        <v>-0.57696775377540133</v>
      </c>
      <c r="D309" s="261">
        <v>54.206762681268138</v>
      </c>
      <c r="E309" s="138"/>
      <c r="F309" s="402">
        <v>71</v>
      </c>
      <c r="G309" s="1" t="s">
        <v>39</v>
      </c>
      <c r="H309" s="402">
        <v>13</v>
      </c>
      <c r="I309" s="63">
        <v>9</v>
      </c>
      <c r="J309" s="235" t="s">
        <v>43</v>
      </c>
      <c r="K309" s="140">
        <v>44</v>
      </c>
      <c r="L309" t="s">
        <v>295</v>
      </c>
      <c r="M309" t="s">
        <v>2152</v>
      </c>
      <c r="R309" s="260"/>
      <c r="S309" s="205"/>
      <c r="T309" s="70"/>
    </row>
    <row r="310" spans="1:20" x14ac:dyDescent="0.35">
      <c r="C310" s="257">
        <v>3.1487828354382481</v>
      </c>
      <c r="D310" s="261">
        <v>57.572297974686968</v>
      </c>
      <c r="E310" s="138"/>
      <c r="F310" s="402">
        <v>34</v>
      </c>
      <c r="G310" s="1" t="s">
        <v>961</v>
      </c>
      <c r="H310" s="402">
        <v>14</v>
      </c>
      <c r="I310" s="63">
        <v>7</v>
      </c>
      <c r="J310" s="235" t="s">
        <v>1343</v>
      </c>
      <c r="K310" s="140">
        <v>66</v>
      </c>
      <c r="L310" t="s">
        <v>187</v>
      </c>
      <c r="M310" t="s">
        <v>2153</v>
      </c>
      <c r="R310" s="260"/>
      <c r="S310" s="205"/>
      <c r="T310" s="70"/>
    </row>
    <row r="311" spans="1:20" x14ac:dyDescent="0.35">
      <c r="C311" s="257">
        <v>4.0657222898547687</v>
      </c>
      <c r="D311" s="261">
        <v>71.381626935818019</v>
      </c>
      <c r="E311" s="138"/>
      <c r="F311" s="402">
        <v>7</v>
      </c>
      <c r="G311" s="1" t="s">
        <v>966</v>
      </c>
      <c r="H311" s="402">
        <v>18</v>
      </c>
      <c r="I311" s="63">
        <v>11</v>
      </c>
      <c r="J311" s="235" t="s">
        <v>3913</v>
      </c>
      <c r="K311" s="140">
        <v>65</v>
      </c>
      <c r="L311" t="s">
        <v>331</v>
      </c>
      <c r="M311" t="s">
        <v>2154</v>
      </c>
      <c r="R311" s="260"/>
      <c r="S311" s="205"/>
      <c r="T311" s="70"/>
    </row>
    <row r="312" spans="1:20" x14ac:dyDescent="0.35">
      <c r="C312" s="257">
        <v>0.39413006950508389</v>
      </c>
      <c r="D312" s="261">
        <v>53.513121378924943</v>
      </c>
      <c r="E312" s="138"/>
      <c r="F312" s="402">
        <v>62</v>
      </c>
      <c r="G312" s="1" t="s">
        <v>900</v>
      </c>
      <c r="H312" s="402">
        <v>11</v>
      </c>
      <c r="I312" s="63">
        <v>5</v>
      </c>
      <c r="J312" s="235" t="s">
        <v>1858</v>
      </c>
      <c r="K312" s="140">
        <v>53</v>
      </c>
      <c r="L312" t="s">
        <v>561</v>
      </c>
      <c r="M312" t="s">
        <v>2155</v>
      </c>
      <c r="R312" s="260"/>
      <c r="S312" s="205"/>
      <c r="T312" s="70"/>
    </row>
    <row r="313" spans="1:20" x14ac:dyDescent="0.35">
      <c r="C313" s="257">
        <v>1.3881430261183185</v>
      </c>
      <c r="D313" s="261">
        <v>54.410254981344067</v>
      </c>
      <c r="E313" s="138"/>
      <c r="F313" s="402">
        <v>50</v>
      </c>
      <c r="G313" s="1" t="s">
        <v>74</v>
      </c>
      <c r="H313" s="402">
        <v>14</v>
      </c>
      <c r="I313" s="63">
        <v>13</v>
      </c>
      <c r="J313" s="235" t="s">
        <v>81</v>
      </c>
      <c r="K313" s="140">
        <v>61</v>
      </c>
      <c r="L313" t="s">
        <v>179</v>
      </c>
      <c r="M313" t="s">
        <v>2156</v>
      </c>
      <c r="R313" s="260"/>
      <c r="S313" s="205"/>
      <c r="T313" s="70"/>
    </row>
    <row r="314" spans="1:20" x14ac:dyDescent="0.35">
      <c r="B314" s="237" t="s">
        <v>2158</v>
      </c>
      <c r="C314" s="257">
        <v>3.2994706794216691</v>
      </c>
      <c r="D314" s="261">
        <v>62.286092371841661</v>
      </c>
      <c r="E314" s="138"/>
      <c r="F314" s="402">
        <v>28</v>
      </c>
      <c r="G314" s="1" t="s">
        <v>793</v>
      </c>
      <c r="H314" s="402">
        <v>13</v>
      </c>
      <c r="I314" s="63">
        <v>12</v>
      </c>
      <c r="J314" s="235" t="s">
        <v>787</v>
      </c>
      <c r="K314" s="140">
        <v>60</v>
      </c>
      <c r="L314" t="s">
        <v>294</v>
      </c>
      <c r="M314" t="s">
        <v>2157</v>
      </c>
      <c r="R314" s="260"/>
      <c r="S314" s="205"/>
      <c r="T314" s="70"/>
    </row>
    <row r="315" spans="1:20" x14ac:dyDescent="0.35">
      <c r="C315" s="257">
        <v>0.9779713806963195</v>
      </c>
      <c r="D315" s="261">
        <v>63.542520442359773</v>
      </c>
      <c r="E315" s="138"/>
      <c r="F315" s="402">
        <v>31</v>
      </c>
      <c r="G315" s="1" t="s">
        <v>71</v>
      </c>
      <c r="H315" s="402">
        <v>18</v>
      </c>
      <c r="I315" s="63">
        <v>13</v>
      </c>
      <c r="J315" s="235" t="s">
        <v>114</v>
      </c>
      <c r="K315" s="140">
        <v>58</v>
      </c>
      <c r="L315" t="s">
        <v>285</v>
      </c>
      <c r="M315" t="s">
        <v>2159</v>
      </c>
      <c r="R315" s="260"/>
      <c r="S315" s="205"/>
      <c r="T315" s="70"/>
    </row>
    <row r="316" spans="1:20" x14ac:dyDescent="0.35">
      <c r="C316" s="257">
        <v>1.3600555965411885</v>
      </c>
      <c r="D316" s="261">
        <v>56.841031716756298</v>
      </c>
      <c r="E316" s="138"/>
      <c r="F316" s="402">
        <v>48</v>
      </c>
      <c r="G316" s="1" t="s">
        <v>67</v>
      </c>
      <c r="H316" s="402">
        <v>13</v>
      </c>
      <c r="I316" s="63">
        <v>12</v>
      </c>
      <c r="J316" s="235" t="s">
        <v>64</v>
      </c>
      <c r="K316" s="140">
        <v>57</v>
      </c>
      <c r="L316" t="s">
        <v>400</v>
      </c>
      <c r="M316" t="s">
        <v>2160</v>
      </c>
      <c r="N316" s="92" t="s">
        <v>2954</v>
      </c>
      <c r="O316" s="85" t="s">
        <v>2961</v>
      </c>
      <c r="R316" s="260"/>
      <c r="S316" s="205"/>
      <c r="T316" s="70"/>
    </row>
    <row r="317" spans="1:20" x14ac:dyDescent="0.35">
      <c r="C317" s="257">
        <v>3.603261680070442</v>
      </c>
      <c r="D317" s="261">
        <v>76.354813085663977</v>
      </c>
      <c r="E317" s="138"/>
      <c r="F317" s="402">
        <v>12</v>
      </c>
      <c r="G317" s="1" t="s">
        <v>785</v>
      </c>
      <c r="H317" s="402">
        <v>20</v>
      </c>
      <c r="I317" s="63">
        <v>9</v>
      </c>
      <c r="J317" s="235" t="s">
        <v>792</v>
      </c>
      <c r="K317" s="140">
        <v>47</v>
      </c>
      <c r="L317" t="s">
        <v>296</v>
      </c>
      <c r="M317" s="1" t="s">
        <v>2161</v>
      </c>
      <c r="N317" s="1" t="s">
        <v>2953</v>
      </c>
      <c r="R317" s="260"/>
      <c r="S317" s="205"/>
      <c r="T317" s="70"/>
    </row>
    <row r="318" spans="1:20" x14ac:dyDescent="0.35">
      <c r="C318" s="257">
        <v>3.6651982645971048</v>
      </c>
      <c r="D318" s="261">
        <v>79.16771552528779</v>
      </c>
      <c r="E318" s="138"/>
      <c r="F318" s="402">
        <v>5</v>
      </c>
      <c r="G318" s="1" t="s">
        <v>118</v>
      </c>
      <c r="H318" s="402">
        <v>19</v>
      </c>
      <c r="I318" s="63">
        <v>18</v>
      </c>
      <c r="J318" s="235" t="s">
        <v>51</v>
      </c>
      <c r="K318" s="140">
        <v>46</v>
      </c>
      <c r="L318" t="s">
        <v>443</v>
      </c>
      <c r="M318" t="s">
        <v>2162</v>
      </c>
      <c r="N318" s="92" t="s">
        <v>2954</v>
      </c>
      <c r="O318" s="85" t="s">
        <v>2962</v>
      </c>
      <c r="R318" s="260"/>
      <c r="S318" s="205"/>
      <c r="T318" s="70"/>
    </row>
    <row r="319" spans="1:20" x14ac:dyDescent="0.35">
      <c r="C319" s="257">
        <v>1.3603259047253564</v>
      </c>
      <c r="D319" s="261">
        <v>76.528338639481888</v>
      </c>
      <c r="E319" s="138"/>
      <c r="F319" s="402">
        <v>18</v>
      </c>
      <c r="G319" s="1" t="s">
        <v>66</v>
      </c>
      <c r="H319" s="402">
        <v>21</v>
      </c>
      <c r="I319" s="63">
        <v>15</v>
      </c>
      <c r="J319" s="235" t="s">
        <v>72</v>
      </c>
      <c r="K319" s="140">
        <v>45</v>
      </c>
      <c r="L319" t="s">
        <v>301</v>
      </c>
      <c r="M319" t="s">
        <v>2163</v>
      </c>
      <c r="R319" s="260"/>
      <c r="S319" s="205"/>
      <c r="T319" s="70"/>
    </row>
    <row r="320" spans="1:20" x14ac:dyDescent="0.35">
      <c r="C320" s="257">
        <v>-0.67556066070309051</v>
      </c>
      <c r="D320" s="261">
        <v>72.759329043359358</v>
      </c>
      <c r="E320" s="138"/>
      <c r="F320" s="402">
        <v>42</v>
      </c>
      <c r="G320" s="1" t="s">
        <v>75</v>
      </c>
      <c r="H320" s="402">
        <v>11</v>
      </c>
      <c r="I320" s="63">
        <v>9</v>
      </c>
      <c r="J320" s="235" t="s">
        <v>82</v>
      </c>
      <c r="K320" s="140">
        <v>27</v>
      </c>
      <c r="L320" t="s">
        <v>181</v>
      </c>
      <c r="M320" t="s">
        <v>2164</v>
      </c>
      <c r="R320" s="260"/>
      <c r="S320" s="205"/>
      <c r="T320" s="70"/>
    </row>
    <row r="321" spans="1:20" x14ac:dyDescent="0.35">
      <c r="C321" s="257">
        <v>6.4361228854417085</v>
      </c>
      <c r="D321" s="261">
        <v>79.688483653255929</v>
      </c>
      <c r="E321" s="138"/>
      <c r="F321" s="402">
        <v>3</v>
      </c>
      <c r="G321" s="1" t="s">
        <v>26</v>
      </c>
      <c r="H321" s="402">
        <v>28</v>
      </c>
      <c r="I321" s="63">
        <v>15</v>
      </c>
      <c r="J321" s="235" t="s">
        <v>30</v>
      </c>
      <c r="K321" s="140">
        <v>41</v>
      </c>
      <c r="L321" t="s">
        <v>876</v>
      </c>
      <c r="M321" t="s">
        <v>2165</v>
      </c>
      <c r="R321" s="260"/>
      <c r="S321" s="205"/>
      <c r="T321" s="70"/>
    </row>
    <row r="322" spans="1:20" x14ac:dyDescent="0.35">
      <c r="C322" s="257">
        <v>2.2356388816185695</v>
      </c>
      <c r="D322" s="261">
        <v>76.617400798843889</v>
      </c>
      <c r="E322" s="138"/>
      <c r="F322" s="402">
        <v>22</v>
      </c>
      <c r="G322" s="1" t="s">
        <v>77</v>
      </c>
      <c r="H322" s="402">
        <v>20</v>
      </c>
      <c r="I322" s="63">
        <v>10</v>
      </c>
      <c r="J322" s="235" t="s">
        <v>83</v>
      </c>
      <c r="K322" s="140">
        <v>39</v>
      </c>
      <c r="L322" t="s">
        <v>334</v>
      </c>
      <c r="M322" t="s">
        <v>2166</v>
      </c>
      <c r="R322" s="260"/>
      <c r="S322" s="205"/>
      <c r="T322" s="70"/>
    </row>
    <row r="323" spans="1:20" x14ac:dyDescent="0.35">
      <c r="C323" s="257">
        <v>1.8550193209957855</v>
      </c>
      <c r="D323" s="261">
        <v>81.532129056431586</v>
      </c>
      <c r="E323" s="138"/>
      <c r="F323" s="402">
        <v>10</v>
      </c>
      <c r="G323" s="1" t="s">
        <v>1344</v>
      </c>
      <c r="H323" s="402">
        <v>12</v>
      </c>
      <c r="I323" s="63">
        <v>9</v>
      </c>
      <c r="J323" s="235" t="s">
        <v>960</v>
      </c>
      <c r="K323" s="140">
        <v>38</v>
      </c>
      <c r="L323" t="s">
        <v>186</v>
      </c>
      <c r="M323" t="s">
        <v>2167</v>
      </c>
      <c r="R323" s="260"/>
      <c r="S323" s="205"/>
      <c r="T323" s="70"/>
    </row>
    <row r="324" spans="1:20" x14ac:dyDescent="0.35">
      <c r="C324" s="257">
        <v>0.95226843196731681</v>
      </c>
      <c r="D324" s="261">
        <v>70.793022548594763</v>
      </c>
      <c r="E324" s="138"/>
      <c r="F324" s="402">
        <v>35</v>
      </c>
      <c r="G324" s="1" t="s">
        <v>2011</v>
      </c>
      <c r="H324" s="402">
        <v>19</v>
      </c>
      <c r="I324" s="63">
        <v>18</v>
      </c>
      <c r="J324" s="235" t="s">
        <v>42</v>
      </c>
      <c r="K324" s="140">
        <v>36</v>
      </c>
      <c r="L324" t="s">
        <v>2168</v>
      </c>
      <c r="M324" t="s">
        <v>2169</v>
      </c>
      <c r="R324" s="260"/>
      <c r="S324" s="205"/>
      <c r="T324" s="70"/>
    </row>
    <row r="325" spans="1:20" x14ac:dyDescent="0.35">
      <c r="C325" s="257">
        <v>2.279425985222689</v>
      </c>
      <c r="D325" s="261">
        <v>79.443267153412364</v>
      </c>
      <c r="E325" s="138"/>
      <c r="F325" s="402">
        <v>20</v>
      </c>
      <c r="G325" s="1" t="s">
        <v>36</v>
      </c>
      <c r="H325" s="402">
        <v>21</v>
      </c>
      <c r="I325" s="63">
        <v>12</v>
      </c>
      <c r="J325" s="235" t="s">
        <v>45</v>
      </c>
      <c r="K325" s="140">
        <v>33</v>
      </c>
      <c r="L325" t="s">
        <v>337</v>
      </c>
      <c r="M325" t="s">
        <v>2170</v>
      </c>
      <c r="R325" s="260"/>
      <c r="S325" s="205"/>
      <c r="T325" s="70"/>
    </row>
    <row r="326" spans="1:20" x14ac:dyDescent="0.35">
      <c r="C326" s="257">
        <v>-1.8009081807704532</v>
      </c>
      <c r="D326" s="261">
        <v>90.661362986264606</v>
      </c>
      <c r="E326" s="138"/>
      <c r="F326" s="402">
        <v>23</v>
      </c>
      <c r="G326" s="1" t="s">
        <v>145</v>
      </c>
      <c r="H326" s="402">
        <v>13</v>
      </c>
      <c r="I326" s="63">
        <v>12</v>
      </c>
      <c r="J326" s="235" t="s">
        <v>49</v>
      </c>
      <c r="K326" s="140">
        <v>11</v>
      </c>
      <c r="L326" t="s">
        <v>295</v>
      </c>
      <c r="M326" t="s">
        <v>2171</v>
      </c>
      <c r="R326" s="260"/>
      <c r="S326" s="205"/>
      <c r="T326" s="70"/>
    </row>
    <row r="327" spans="1:20" x14ac:dyDescent="0.35">
      <c r="C327" s="257">
        <v>2.2738865519701803</v>
      </c>
      <c r="D327" s="261">
        <v>91.500795320021297</v>
      </c>
      <c r="E327" s="138"/>
      <c r="F327" s="402">
        <v>1</v>
      </c>
      <c r="G327" s="1" t="s">
        <v>87</v>
      </c>
      <c r="H327" s="402">
        <v>18</v>
      </c>
      <c r="I327" s="63">
        <v>14</v>
      </c>
      <c r="J327" s="235" t="s">
        <v>79</v>
      </c>
      <c r="K327" s="140">
        <v>21</v>
      </c>
      <c r="L327" t="s">
        <v>184</v>
      </c>
      <c r="M327" t="s">
        <v>2172</v>
      </c>
      <c r="R327" s="260"/>
      <c r="S327" s="205"/>
      <c r="T327" s="70"/>
    </row>
    <row r="328" spans="1:20" x14ac:dyDescent="0.35">
      <c r="C328" s="257">
        <v>0.99796657474526052</v>
      </c>
      <c r="D328" s="261">
        <v>90.84966673232482</v>
      </c>
      <c r="E328" s="138"/>
      <c r="F328" s="402">
        <v>13</v>
      </c>
      <c r="G328" s="1" t="s">
        <v>795</v>
      </c>
      <c r="H328" s="402">
        <v>13</v>
      </c>
      <c r="I328" s="63">
        <v>8</v>
      </c>
      <c r="J328" s="235" t="s">
        <v>790</v>
      </c>
      <c r="K328" s="140">
        <v>14</v>
      </c>
      <c r="L328" t="s">
        <v>365</v>
      </c>
      <c r="M328" t="s">
        <v>2173</v>
      </c>
      <c r="R328" s="260"/>
      <c r="S328" s="205"/>
    </row>
    <row r="329" spans="1:20" ht="15" thickBot="1" x14ac:dyDescent="0.4">
      <c r="B329" s="57"/>
      <c r="C329" s="259">
        <v>0.36376997056960886</v>
      </c>
      <c r="D329" s="262">
        <v>95.052664306735991</v>
      </c>
      <c r="E329" s="222"/>
      <c r="F329" s="381">
        <v>6</v>
      </c>
      <c r="G329" s="44" t="s">
        <v>119</v>
      </c>
      <c r="H329" s="381">
        <v>15</v>
      </c>
      <c r="I329" s="56">
        <v>10</v>
      </c>
      <c r="J329" s="57" t="s">
        <v>34</v>
      </c>
      <c r="K329" s="141">
        <v>9</v>
      </c>
      <c r="L329" s="12" t="s">
        <v>331</v>
      </c>
      <c r="M329" s="12" t="s">
        <v>2174</v>
      </c>
      <c r="N329" s="86"/>
      <c r="O329" s="86"/>
      <c r="R329" s="260"/>
      <c r="S329" s="205"/>
    </row>
    <row r="330" spans="1:20" x14ac:dyDescent="0.35">
      <c r="B330" s="46" t="s">
        <v>1802</v>
      </c>
      <c r="C330" s="257">
        <v>-0.76534877381968114</v>
      </c>
      <c r="D330" s="261">
        <v>20.1031627481361</v>
      </c>
      <c r="E330" s="138" t="s">
        <v>396</v>
      </c>
      <c r="F330" s="402">
        <v>99</v>
      </c>
      <c r="G330" s="1" t="s">
        <v>1859</v>
      </c>
      <c r="H330" s="402">
        <v>25</v>
      </c>
      <c r="I330" s="63">
        <v>22</v>
      </c>
      <c r="J330" s="235" t="s">
        <v>65</v>
      </c>
      <c r="K330" s="140">
        <v>95</v>
      </c>
      <c r="L330" t="s">
        <v>644</v>
      </c>
      <c r="M330" t="s">
        <v>2235</v>
      </c>
      <c r="N330" s="92" t="s">
        <v>2954</v>
      </c>
      <c r="O330" t="s">
        <v>2963</v>
      </c>
      <c r="R330" s="260"/>
      <c r="S330" s="205"/>
    </row>
    <row r="331" spans="1:20" x14ac:dyDescent="0.35">
      <c r="B331" s="46" t="s">
        <v>1802</v>
      </c>
      <c r="C331" s="257">
        <v>-3.6572999462142048</v>
      </c>
      <c r="D331" s="261">
        <v>69.219901392458098</v>
      </c>
      <c r="E331" s="138" t="s">
        <v>396</v>
      </c>
      <c r="F331" s="402">
        <v>59</v>
      </c>
      <c r="G331" s="1" t="s">
        <v>22</v>
      </c>
      <c r="H331" s="402">
        <v>30</v>
      </c>
      <c r="I331" s="63">
        <v>17</v>
      </c>
      <c r="J331" s="235" t="s">
        <v>790</v>
      </c>
      <c r="K331" s="140">
        <v>29</v>
      </c>
      <c r="L331" t="s">
        <v>2236</v>
      </c>
      <c r="M331" t="s">
        <v>2237</v>
      </c>
      <c r="R331" s="260"/>
      <c r="S331" s="205"/>
    </row>
    <row r="332" spans="1:20" x14ac:dyDescent="0.35">
      <c r="A332" s="6" t="s">
        <v>2255</v>
      </c>
      <c r="B332" s="46" t="s">
        <v>1802</v>
      </c>
      <c r="C332" s="257">
        <v>-0.49011950457119424</v>
      </c>
      <c r="D332" s="261">
        <v>43.67729452449781</v>
      </c>
      <c r="E332" s="138" t="s">
        <v>396</v>
      </c>
      <c r="F332" s="402">
        <v>61</v>
      </c>
      <c r="G332" s="1" t="s">
        <v>960</v>
      </c>
      <c r="H332" s="402">
        <v>15</v>
      </c>
      <c r="I332" s="63">
        <v>8</v>
      </c>
      <c r="J332" s="235" t="s">
        <v>786</v>
      </c>
      <c r="K332" s="140">
        <v>74</v>
      </c>
      <c r="L332" t="s">
        <v>296</v>
      </c>
      <c r="M332" t="s">
        <v>2238</v>
      </c>
      <c r="R332" s="260"/>
      <c r="S332" s="205"/>
    </row>
    <row r="333" spans="1:20" x14ac:dyDescent="0.35">
      <c r="B333" s="46" t="s">
        <v>1802</v>
      </c>
      <c r="C333" s="257">
        <v>6.4552178875347339</v>
      </c>
      <c r="D333" s="261">
        <v>34.3488179897981</v>
      </c>
      <c r="E333" s="138" t="s">
        <v>395</v>
      </c>
      <c r="F333" s="402">
        <v>54</v>
      </c>
      <c r="G333" s="1" t="s">
        <v>787</v>
      </c>
      <c r="H333" s="402">
        <v>25</v>
      </c>
      <c r="I333" s="63">
        <v>16</v>
      </c>
      <c r="J333" s="235" t="s">
        <v>48</v>
      </c>
      <c r="K333" s="140">
        <v>111</v>
      </c>
      <c r="L333" t="s">
        <v>621</v>
      </c>
      <c r="M333" t="s">
        <v>2239</v>
      </c>
      <c r="O333" t="s">
        <v>2240</v>
      </c>
      <c r="R333" s="260"/>
      <c r="S333" s="205"/>
    </row>
    <row r="334" spans="1:20" x14ac:dyDescent="0.35">
      <c r="B334" s="46" t="s">
        <v>1802</v>
      </c>
      <c r="C334" s="257">
        <v>0.23168543075638262</v>
      </c>
      <c r="D334" s="261">
        <v>24.728368353634998</v>
      </c>
      <c r="E334" s="138" t="s">
        <v>396</v>
      </c>
      <c r="F334" s="402">
        <v>79</v>
      </c>
      <c r="G334" s="1" t="s">
        <v>789</v>
      </c>
      <c r="H334" s="402">
        <v>16</v>
      </c>
      <c r="I334" s="63">
        <v>6</v>
      </c>
      <c r="J334" s="235" t="s">
        <v>1308</v>
      </c>
      <c r="K334" s="140">
        <v>100</v>
      </c>
      <c r="L334" t="s">
        <v>281</v>
      </c>
      <c r="M334" s="1" t="s">
        <v>2241</v>
      </c>
      <c r="N334" s="1" t="s">
        <v>2953</v>
      </c>
      <c r="R334" s="260"/>
      <c r="S334" s="205"/>
    </row>
    <row r="335" spans="1:20" x14ac:dyDescent="0.35">
      <c r="B335" s="46" t="s">
        <v>1802</v>
      </c>
      <c r="C335" s="257">
        <v>-2.6326203379114186</v>
      </c>
      <c r="D335" s="261">
        <v>29.169402226883378</v>
      </c>
      <c r="E335" s="138" t="s">
        <v>396</v>
      </c>
      <c r="F335" s="402">
        <v>98</v>
      </c>
      <c r="G335" s="1" t="s">
        <v>80</v>
      </c>
      <c r="H335" s="402">
        <v>23</v>
      </c>
      <c r="I335" s="63">
        <v>8</v>
      </c>
      <c r="J335" s="235" t="s">
        <v>909</v>
      </c>
      <c r="K335" s="140">
        <v>75</v>
      </c>
      <c r="L335" t="s">
        <v>336</v>
      </c>
      <c r="M335" s="1" t="s">
        <v>2242</v>
      </c>
      <c r="N335" s="1" t="s">
        <v>2953</v>
      </c>
      <c r="R335" s="260"/>
      <c r="S335" s="205"/>
    </row>
    <row r="336" spans="1:20" x14ac:dyDescent="0.35">
      <c r="B336" s="46" t="s">
        <v>1802</v>
      </c>
      <c r="C336" s="257">
        <v>0.59194057123642951</v>
      </c>
      <c r="D336" s="261">
        <v>61.079339902169828</v>
      </c>
      <c r="E336" s="138" t="s">
        <v>396</v>
      </c>
      <c r="F336" s="402">
        <v>42</v>
      </c>
      <c r="G336" s="1" t="s">
        <v>85</v>
      </c>
      <c r="H336" s="402">
        <v>17</v>
      </c>
      <c r="I336" s="63">
        <v>12</v>
      </c>
      <c r="J336" s="235" t="s">
        <v>1343</v>
      </c>
      <c r="K336" s="140">
        <v>60</v>
      </c>
      <c r="L336" t="s">
        <v>299</v>
      </c>
      <c r="M336" t="s">
        <v>2243</v>
      </c>
      <c r="R336" s="260"/>
      <c r="S336" s="205"/>
    </row>
    <row r="337" spans="1:19" x14ac:dyDescent="0.35">
      <c r="B337" s="46" t="s">
        <v>1802</v>
      </c>
      <c r="C337" s="257">
        <v>4.4801119611667968</v>
      </c>
      <c r="D337" s="261">
        <v>38.829424826073719</v>
      </c>
      <c r="E337" s="138" t="s">
        <v>395</v>
      </c>
      <c r="F337" s="402">
        <v>51</v>
      </c>
      <c r="G337" s="1" t="s">
        <v>45</v>
      </c>
      <c r="H337" s="402">
        <v>19</v>
      </c>
      <c r="I337" s="63">
        <v>11</v>
      </c>
      <c r="J337" s="235" t="s">
        <v>84</v>
      </c>
      <c r="K337" s="140">
        <v>103</v>
      </c>
      <c r="L337" t="s">
        <v>281</v>
      </c>
      <c r="M337" t="s">
        <v>2244</v>
      </c>
      <c r="R337" s="260"/>
      <c r="S337" s="205"/>
    </row>
    <row r="338" spans="1:19" x14ac:dyDescent="0.35">
      <c r="B338" s="46" t="s">
        <v>1802</v>
      </c>
      <c r="C338" s="257">
        <v>5.4244462173282759</v>
      </c>
      <c r="D338" s="261">
        <v>58.422157539793872</v>
      </c>
      <c r="E338" s="138" t="s">
        <v>396</v>
      </c>
      <c r="F338" s="402">
        <v>20</v>
      </c>
      <c r="G338" s="1" t="s">
        <v>78</v>
      </c>
      <c r="H338" s="402">
        <v>17</v>
      </c>
      <c r="I338" s="63">
        <v>13</v>
      </c>
      <c r="J338" s="235" t="s">
        <v>25</v>
      </c>
      <c r="K338" s="140">
        <v>93</v>
      </c>
      <c r="L338" t="s">
        <v>423</v>
      </c>
      <c r="M338" t="s">
        <v>2257</v>
      </c>
      <c r="R338" s="260"/>
      <c r="S338" s="205"/>
    </row>
    <row r="339" spans="1:19" x14ac:dyDescent="0.35">
      <c r="B339" s="46" t="s">
        <v>1802</v>
      </c>
      <c r="C339" s="257">
        <v>4.1367213553260358</v>
      </c>
      <c r="D339" s="261">
        <v>54.167129947138235</v>
      </c>
      <c r="E339" s="138" t="s">
        <v>395</v>
      </c>
      <c r="F339" s="402">
        <v>31</v>
      </c>
      <c r="G339" s="1" t="s">
        <v>115</v>
      </c>
      <c r="H339" s="402">
        <v>24</v>
      </c>
      <c r="I339" s="63">
        <v>11</v>
      </c>
      <c r="J339" s="235" t="s">
        <v>963</v>
      </c>
      <c r="K339" s="140">
        <v>83</v>
      </c>
      <c r="L339" t="s">
        <v>178</v>
      </c>
      <c r="M339" t="s">
        <v>2258</v>
      </c>
      <c r="R339" s="260"/>
      <c r="S339" s="205"/>
    </row>
    <row r="340" spans="1:19" x14ac:dyDescent="0.35">
      <c r="B340" s="46" t="s">
        <v>1802</v>
      </c>
      <c r="C340" s="257">
        <v>1.4292842603846676</v>
      </c>
      <c r="D340" s="261">
        <v>59.761766282313154</v>
      </c>
      <c r="E340" s="138" t="s">
        <v>396</v>
      </c>
      <c r="F340" s="402">
        <v>35</v>
      </c>
      <c r="G340" s="1" t="s">
        <v>71</v>
      </c>
      <c r="H340" s="402">
        <v>19</v>
      </c>
      <c r="I340" s="63">
        <v>12</v>
      </c>
      <c r="J340" s="235" t="s">
        <v>958</v>
      </c>
      <c r="K340" s="140">
        <v>69</v>
      </c>
      <c r="L340" t="s">
        <v>507</v>
      </c>
      <c r="M340" t="s">
        <v>2259</v>
      </c>
      <c r="R340" s="260"/>
      <c r="S340" s="205"/>
    </row>
    <row r="341" spans="1:19" x14ac:dyDescent="0.35">
      <c r="B341" s="46" t="s">
        <v>1802</v>
      </c>
      <c r="C341" s="257">
        <v>-2.7574766128293113</v>
      </c>
      <c r="D341" s="261">
        <v>65.971984297185401</v>
      </c>
      <c r="E341" s="138" t="s">
        <v>396</v>
      </c>
      <c r="F341" s="402">
        <v>58</v>
      </c>
      <c r="G341" s="1" t="s">
        <v>30</v>
      </c>
      <c r="H341" s="402">
        <v>16</v>
      </c>
      <c r="I341" s="63">
        <v>12</v>
      </c>
      <c r="J341" s="235" t="s">
        <v>72</v>
      </c>
      <c r="K341" s="140">
        <v>37</v>
      </c>
      <c r="L341" t="s">
        <v>191</v>
      </c>
      <c r="M341" t="s">
        <v>2260</v>
      </c>
      <c r="R341" s="260"/>
      <c r="S341" s="205"/>
    </row>
    <row r="342" spans="1:19" x14ac:dyDescent="0.35">
      <c r="A342" s="6" t="s">
        <v>2263</v>
      </c>
      <c r="B342" s="46" t="s">
        <v>1802</v>
      </c>
      <c r="C342" s="257">
        <v>4.2732541133978792</v>
      </c>
      <c r="D342" s="261">
        <v>45.766529381004283</v>
      </c>
      <c r="E342" s="138" t="s">
        <v>395</v>
      </c>
      <c r="F342" s="402">
        <v>44</v>
      </c>
      <c r="G342" s="1" t="s">
        <v>51</v>
      </c>
      <c r="H342" s="402">
        <v>15</v>
      </c>
      <c r="I342" s="63">
        <v>12</v>
      </c>
      <c r="J342" s="235" t="s">
        <v>63</v>
      </c>
      <c r="K342" s="140">
        <v>92</v>
      </c>
      <c r="L342" t="s">
        <v>194</v>
      </c>
      <c r="M342" t="s">
        <v>2261</v>
      </c>
      <c r="R342" s="260"/>
      <c r="S342" s="205"/>
    </row>
    <row r="343" spans="1:19" x14ac:dyDescent="0.35">
      <c r="B343" s="46" t="s">
        <v>1802</v>
      </c>
      <c r="C343" s="257">
        <v>5.9143008418459937</v>
      </c>
      <c r="D343" s="261">
        <v>66.821826577617699</v>
      </c>
      <c r="E343" s="138" t="s">
        <v>396</v>
      </c>
      <c r="F343" s="402">
        <v>6</v>
      </c>
      <c r="G343" s="1" t="s">
        <v>1344</v>
      </c>
      <c r="H343" s="402">
        <v>26</v>
      </c>
      <c r="I343" s="63">
        <v>8</v>
      </c>
      <c r="J343" s="235" t="s">
        <v>81</v>
      </c>
      <c r="K343" s="140">
        <v>81</v>
      </c>
      <c r="L343" t="s">
        <v>404</v>
      </c>
      <c r="M343" t="s">
        <v>2262</v>
      </c>
      <c r="R343" s="260"/>
      <c r="S343" s="205"/>
    </row>
    <row r="344" spans="1:19" x14ac:dyDescent="0.35">
      <c r="B344" s="46" t="s">
        <v>1802</v>
      </c>
      <c r="C344" s="257">
        <v>-1.2535252909532888</v>
      </c>
      <c r="D344" s="261">
        <v>50.610402695354352</v>
      </c>
      <c r="E344" s="138" t="s">
        <v>395</v>
      </c>
      <c r="F344" s="402">
        <v>78</v>
      </c>
      <c r="G344" s="1" t="s">
        <v>44</v>
      </c>
      <c r="H344" s="402">
        <v>11</v>
      </c>
      <c r="I344" s="63">
        <v>7</v>
      </c>
      <c r="J344" s="235" t="s">
        <v>784</v>
      </c>
      <c r="K344" s="140">
        <v>55</v>
      </c>
      <c r="L344" t="s">
        <v>371</v>
      </c>
      <c r="M344" t="s">
        <v>2264</v>
      </c>
      <c r="R344" s="260"/>
      <c r="S344" s="205"/>
    </row>
    <row r="345" spans="1:19" x14ac:dyDescent="0.35">
      <c r="B345" s="46" t="s">
        <v>1802</v>
      </c>
      <c r="C345" s="257">
        <v>3.7808569223183373</v>
      </c>
      <c r="D345" s="261">
        <v>41.564996066443406</v>
      </c>
      <c r="E345" s="138" t="s">
        <v>396</v>
      </c>
      <c r="F345" s="402">
        <v>43</v>
      </c>
      <c r="G345" s="1" t="s">
        <v>83</v>
      </c>
      <c r="H345" s="402">
        <v>26</v>
      </c>
      <c r="I345" s="63">
        <v>7</v>
      </c>
      <c r="J345" s="235" t="s">
        <v>56</v>
      </c>
      <c r="K345" s="140">
        <v>105</v>
      </c>
      <c r="L345" t="s">
        <v>359</v>
      </c>
      <c r="M345" s="1" t="s">
        <v>2265</v>
      </c>
      <c r="N345" s="1" t="s">
        <v>2953</v>
      </c>
      <c r="R345" s="260"/>
      <c r="S345" s="205"/>
    </row>
    <row r="346" spans="1:19" x14ac:dyDescent="0.35">
      <c r="B346" s="46" t="s">
        <v>1802</v>
      </c>
      <c r="C346" s="257">
        <v>-1.5920792384039433</v>
      </c>
      <c r="D346" s="261">
        <v>37.863610345785496</v>
      </c>
      <c r="E346" s="138" t="s">
        <v>395</v>
      </c>
      <c r="F346" s="402">
        <v>96</v>
      </c>
      <c r="G346" s="1" t="s">
        <v>55</v>
      </c>
      <c r="H346" s="402">
        <v>19</v>
      </c>
      <c r="I346" s="63">
        <v>15</v>
      </c>
      <c r="J346" s="235" t="s">
        <v>23</v>
      </c>
      <c r="K346" s="140">
        <v>57</v>
      </c>
      <c r="L346" t="s">
        <v>337</v>
      </c>
      <c r="M346" t="s">
        <v>2267</v>
      </c>
      <c r="O346" t="s">
        <v>2266</v>
      </c>
      <c r="R346" s="260"/>
      <c r="S346" s="205"/>
    </row>
    <row r="347" spans="1:19" x14ac:dyDescent="0.35">
      <c r="B347" s="46" t="s">
        <v>1802</v>
      </c>
      <c r="C347" s="257">
        <v>3.502752797393871</v>
      </c>
      <c r="D347" s="261">
        <v>50.438330264606975</v>
      </c>
      <c r="E347" s="138" t="s">
        <v>396</v>
      </c>
      <c r="F347" s="402">
        <v>36</v>
      </c>
      <c r="G347" s="1" t="s">
        <v>793</v>
      </c>
      <c r="H347" s="402">
        <v>18</v>
      </c>
      <c r="I347" s="63">
        <v>10</v>
      </c>
      <c r="J347" s="235" t="s">
        <v>61</v>
      </c>
      <c r="K347" s="140">
        <v>89</v>
      </c>
      <c r="L347" t="s">
        <v>191</v>
      </c>
      <c r="M347" t="s">
        <v>2268</v>
      </c>
      <c r="R347" s="260"/>
      <c r="S347" s="205"/>
    </row>
    <row r="348" spans="1:19" x14ac:dyDescent="0.35">
      <c r="B348" s="46" t="s">
        <v>1802</v>
      </c>
      <c r="C348" s="257">
        <v>7.2997930969975462</v>
      </c>
      <c r="D348" s="261">
        <v>50.448710349158802</v>
      </c>
      <c r="E348" s="138" t="s">
        <v>395</v>
      </c>
      <c r="F348" s="402">
        <v>25</v>
      </c>
      <c r="G348" s="1" t="s">
        <v>1301</v>
      </c>
      <c r="H348" s="402">
        <v>24</v>
      </c>
      <c r="I348" s="63">
        <v>11</v>
      </c>
      <c r="J348" s="235" t="s">
        <v>54</v>
      </c>
      <c r="K348" s="140">
        <v>108</v>
      </c>
      <c r="L348" t="s">
        <v>331</v>
      </c>
      <c r="M348" t="s">
        <v>2269</v>
      </c>
      <c r="R348" s="260"/>
      <c r="S348" s="205"/>
    </row>
    <row r="349" spans="1:19" ht="15" thickBot="1" x14ac:dyDescent="0.4">
      <c r="B349" s="57" t="s">
        <v>1802</v>
      </c>
      <c r="C349" s="259">
        <v>0.42177365142712375</v>
      </c>
      <c r="D349" s="262">
        <v>53.640023405470359</v>
      </c>
      <c r="E349" s="222" t="s">
        <v>396</v>
      </c>
      <c r="F349" s="381">
        <v>52</v>
      </c>
      <c r="G349" s="44" t="s">
        <v>1858</v>
      </c>
      <c r="H349" s="381">
        <v>18</v>
      </c>
      <c r="I349" s="56">
        <v>11</v>
      </c>
      <c r="J349" s="57" t="s">
        <v>28</v>
      </c>
      <c r="K349" s="141">
        <v>70</v>
      </c>
      <c r="L349" s="12" t="s">
        <v>191</v>
      </c>
      <c r="M349" s="44" t="s">
        <v>2270</v>
      </c>
      <c r="N349" s="274" t="s">
        <v>2953</v>
      </c>
      <c r="O349" s="86"/>
      <c r="R349" s="260"/>
      <c r="S349" s="205"/>
    </row>
    <row r="350" spans="1:19" x14ac:dyDescent="0.35">
      <c r="A350" s="6" t="s">
        <v>2274</v>
      </c>
      <c r="B350" s="46" t="s">
        <v>4275</v>
      </c>
      <c r="C350" s="257">
        <v>-1.0368715497677421</v>
      </c>
      <c r="D350" s="261">
        <v>64.453854776983604</v>
      </c>
      <c r="E350" s="138" t="s">
        <v>396</v>
      </c>
      <c r="F350" s="402">
        <v>46</v>
      </c>
      <c r="G350" s="1" t="s">
        <v>73</v>
      </c>
      <c r="H350" s="402">
        <v>13</v>
      </c>
      <c r="I350" s="63">
        <v>12</v>
      </c>
      <c r="J350" s="235" t="s">
        <v>74</v>
      </c>
      <c r="K350" s="140">
        <v>48</v>
      </c>
      <c r="L350" t="s">
        <v>423</v>
      </c>
      <c r="M350" t="s">
        <v>2271</v>
      </c>
      <c r="R350" s="260"/>
      <c r="S350" s="205"/>
    </row>
    <row r="351" spans="1:19" x14ac:dyDescent="0.35">
      <c r="B351" s="46" t="s">
        <v>4275</v>
      </c>
      <c r="C351" s="257">
        <v>-1.6668648128215644</v>
      </c>
      <c r="D351" s="261">
        <v>64.885850157363365</v>
      </c>
      <c r="E351" s="138" t="s">
        <v>395</v>
      </c>
      <c r="F351" s="402">
        <v>67</v>
      </c>
      <c r="G351" s="1" t="s">
        <v>86</v>
      </c>
      <c r="H351" s="402">
        <v>15</v>
      </c>
      <c r="I351" s="63">
        <v>12</v>
      </c>
      <c r="J351" s="235" t="s">
        <v>82</v>
      </c>
      <c r="K351" s="140">
        <v>27</v>
      </c>
      <c r="L351" t="s">
        <v>337</v>
      </c>
      <c r="M351" t="s">
        <v>2272</v>
      </c>
      <c r="R351" s="260"/>
      <c r="S351" s="205"/>
    </row>
    <row r="352" spans="1:19" x14ac:dyDescent="0.35">
      <c r="B352" s="46" t="s">
        <v>4275</v>
      </c>
      <c r="C352" s="257">
        <v>3.6812737736222378</v>
      </c>
      <c r="D352" s="261">
        <v>76.904269412373324</v>
      </c>
      <c r="E352" s="138" t="s">
        <v>395</v>
      </c>
      <c r="F352" s="402">
        <v>18</v>
      </c>
      <c r="G352" s="1" t="s">
        <v>77</v>
      </c>
      <c r="H352" s="402">
        <v>24</v>
      </c>
      <c r="I352" s="63">
        <v>7</v>
      </c>
      <c r="J352" s="235" t="s">
        <v>85</v>
      </c>
      <c r="K352" s="140">
        <v>42</v>
      </c>
      <c r="L352" t="s">
        <v>288</v>
      </c>
      <c r="M352" s="1" t="s">
        <v>2273</v>
      </c>
      <c r="N352" s="1" t="s">
        <v>2953</v>
      </c>
      <c r="R352" s="260"/>
      <c r="S352" s="205"/>
    </row>
    <row r="353" spans="1:20" x14ac:dyDescent="0.35">
      <c r="B353" s="46" t="s">
        <v>4275</v>
      </c>
      <c r="C353" s="257">
        <v>-2.1993359301129347</v>
      </c>
      <c r="D353" s="261">
        <v>70.265258923506011</v>
      </c>
      <c r="E353" s="138" t="s">
        <v>396</v>
      </c>
      <c r="F353" s="402">
        <v>43</v>
      </c>
      <c r="G353" s="1" t="s">
        <v>83</v>
      </c>
      <c r="H353" s="402">
        <v>10</v>
      </c>
      <c r="I353" s="63">
        <v>7</v>
      </c>
      <c r="J353" s="235" t="s">
        <v>79</v>
      </c>
      <c r="K353" s="140">
        <v>38</v>
      </c>
      <c r="L353" t="s">
        <v>187</v>
      </c>
      <c r="M353" t="s">
        <v>2275</v>
      </c>
      <c r="R353" s="260"/>
      <c r="S353" s="205"/>
    </row>
    <row r="354" spans="1:20" x14ac:dyDescent="0.35">
      <c r="A354" s="6" t="s">
        <v>2276</v>
      </c>
      <c r="B354" s="46" t="s">
        <v>4282</v>
      </c>
      <c r="C354" s="257">
        <v>-1.6208702738931062</v>
      </c>
      <c r="D354" s="261">
        <v>57.525739616383852</v>
      </c>
      <c r="E354" s="138" t="s">
        <v>395</v>
      </c>
      <c r="F354" s="402">
        <v>76</v>
      </c>
      <c r="G354" s="1" t="s">
        <v>114</v>
      </c>
      <c r="H354" s="402">
        <v>18</v>
      </c>
      <c r="I354" s="63">
        <v>9</v>
      </c>
      <c r="J354" s="235" t="s">
        <v>72</v>
      </c>
      <c r="K354" s="140">
        <v>37</v>
      </c>
      <c r="L354" t="s">
        <v>546</v>
      </c>
      <c r="M354" t="s">
        <v>2277</v>
      </c>
      <c r="R354" s="260"/>
      <c r="S354" s="205"/>
    </row>
    <row r="355" spans="1:20" x14ac:dyDescent="0.35">
      <c r="B355" s="46" t="s">
        <v>4282</v>
      </c>
      <c r="C355" s="257">
        <v>5.1273852171547638</v>
      </c>
      <c r="D355" s="261">
        <v>42.098364422522451</v>
      </c>
      <c r="E355" s="138" t="s">
        <v>395</v>
      </c>
      <c r="F355" s="402">
        <v>49</v>
      </c>
      <c r="G355" s="1" t="s">
        <v>67</v>
      </c>
      <c r="H355" s="402">
        <v>16</v>
      </c>
      <c r="I355" s="63">
        <v>13</v>
      </c>
      <c r="J355" s="235" t="s">
        <v>63</v>
      </c>
      <c r="K355" s="140">
        <v>92</v>
      </c>
      <c r="L355" t="s">
        <v>295</v>
      </c>
      <c r="M355" t="s">
        <v>2278</v>
      </c>
      <c r="R355" s="260"/>
      <c r="S355" s="205"/>
    </row>
    <row r="356" spans="1:20" x14ac:dyDescent="0.35">
      <c r="B356" s="46" t="s">
        <v>4282</v>
      </c>
      <c r="C356" s="257">
        <v>4.8090443876300135</v>
      </c>
      <c r="D356" s="261">
        <v>83.330940991339418</v>
      </c>
      <c r="E356" s="138" t="s">
        <v>395</v>
      </c>
      <c r="F356" s="402">
        <v>8</v>
      </c>
      <c r="G356" s="1" t="s">
        <v>59</v>
      </c>
      <c r="H356" s="402">
        <v>18</v>
      </c>
      <c r="I356" s="63">
        <v>5</v>
      </c>
      <c r="J356" s="235" t="s">
        <v>115</v>
      </c>
      <c r="K356" s="140">
        <v>31</v>
      </c>
      <c r="L356" t="s">
        <v>341</v>
      </c>
      <c r="M356" s="1" t="s">
        <v>2279</v>
      </c>
      <c r="N356" s="1" t="s">
        <v>2953</v>
      </c>
      <c r="R356" s="260"/>
      <c r="S356" s="205"/>
    </row>
    <row r="357" spans="1:20" x14ac:dyDescent="0.35">
      <c r="B357" s="46" t="s">
        <v>4282</v>
      </c>
      <c r="C357" s="257">
        <v>-6.5307520813837954</v>
      </c>
      <c r="D357" s="261">
        <v>78.735372855805991</v>
      </c>
      <c r="E357" s="138" t="s">
        <v>396</v>
      </c>
      <c r="F357" s="402">
        <v>62</v>
      </c>
      <c r="G357" s="1" t="s">
        <v>64</v>
      </c>
      <c r="H357" s="402">
        <v>21</v>
      </c>
      <c r="I357" s="63">
        <v>18</v>
      </c>
      <c r="J357" s="235" t="s">
        <v>66</v>
      </c>
      <c r="K357" s="140">
        <v>16</v>
      </c>
      <c r="L357" t="s">
        <v>301</v>
      </c>
      <c r="M357" t="s">
        <v>2280</v>
      </c>
      <c r="O357" t="s">
        <v>925</v>
      </c>
      <c r="R357" s="260"/>
      <c r="S357" s="205"/>
    </row>
    <row r="358" spans="1:20" x14ac:dyDescent="0.35">
      <c r="B358" s="46" t="s">
        <v>4289</v>
      </c>
      <c r="C358" s="257">
        <v>10.183027440014776</v>
      </c>
      <c r="D358" s="261">
        <v>58.731638326847012</v>
      </c>
      <c r="E358" s="138" t="s">
        <v>395</v>
      </c>
      <c r="F358" s="402">
        <v>4</v>
      </c>
      <c r="G358" s="1" t="s">
        <v>118</v>
      </c>
      <c r="H358" s="402">
        <v>22</v>
      </c>
      <c r="I358" s="63">
        <v>12</v>
      </c>
      <c r="J358" s="235" t="s">
        <v>55</v>
      </c>
      <c r="K358" s="140">
        <v>96</v>
      </c>
      <c r="L358" t="s">
        <v>181</v>
      </c>
      <c r="M358" t="s">
        <v>2281</v>
      </c>
      <c r="R358" s="260"/>
      <c r="S358" s="205"/>
    </row>
    <row r="359" spans="1:20" x14ac:dyDescent="0.35">
      <c r="B359" s="46" t="s">
        <v>4289</v>
      </c>
      <c r="C359" s="257">
        <v>-4.0814562753074473</v>
      </c>
      <c r="D359" s="261">
        <v>81.198712874496536</v>
      </c>
      <c r="E359" s="138" t="s">
        <v>396</v>
      </c>
      <c r="F359" s="402">
        <v>44</v>
      </c>
      <c r="G359" s="1" t="s">
        <v>51</v>
      </c>
      <c r="H359" s="402">
        <v>23</v>
      </c>
      <c r="I359" s="63">
        <v>12</v>
      </c>
      <c r="J359" s="235" t="s">
        <v>50</v>
      </c>
      <c r="K359" s="140">
        <v>19</v>
      </c>
      <c r="L359" t="s">
        <v>780</v>
      </c>
      <c r="M359" s="1" t="s">
        <v>2282</v>
      </c>
      <c r="N359" s="1" t="s">
        <v>2953</v>
      </c>
      <c r="R359" s="260"/>
      <c r="S359" s="205"/>
    </row>
    <row r="360" spans="1:20" x14ac:dyDescent="0.35">
      <c r="B360" s="46" t="s">
        <v>4289</v>
      </c>
      <c r="C360" s="257">
        <v>4.5346054076428102</v>
      </c>
      <c r="D360" s="261">
        <v>41.347699149044928</v>
      </c>
      <c r="E360" s="138" t="s">
        <v>395</v>
      </c>
      <c r="F360" s="402">
        <v>53</v>
      </c>
      <c r="G360" s="1" t="s">
        <v>53</v>
      </c>
      <c r="H360" s="402">
        <v>19</v>
      </c>
      <c r="I360" s="63">
        <v>13</v>
      </c>
      <c r="J360" s="235" t="s">
        <v>47</v>
      </c>
      <c r="K360" s="140">
        <v>91</v>
      </c>
      <c r="L360" t="s">
        <v>296</v>
      </c>
      <c r="M360" t="s">
        <v>2283</v>
      </c>
      <c r="R360" s="260"/>
      <c r="S360" s="205"/>
    </row>
    <row r="361" spans="1:20" x14ac:dyDescent="0.35">
      <c r="B361" s="46" t="s">
        <v>4289</v>
      </c>
      <c r="C361" s="257">
        <v>3.7538305666693979</v>
      </c>
      <c r="D361" s="261">
        <v>72.054516182855281</v>
      </c>
      <c r="E361" s="138" t="s">
        <v>395</v>
      </c>
      <c r="F361" s="402">
        <v>24</v>
      </c>
      <c r="G361" s="1" t="s">
        <v>145</v>
      </c>
      <c r="H361" s="402">
        <v>24</v>
      </c>
      <c r="I361" s="63">
        <v>11</v>
      </c>
      <c r="J361" s="235" t="s">
        <v>52</v>
      </c>
      <c r="K361" s="140">
        <v>50</v>
      </c>
      <c r="L361" t="s">
        <v>871</v>
      </c>
      <c r="M361" s="1" t="s">
        <v>2284</v>
      </c>
      <c r="N361" s="1" t="s">
        <v>2953</v>
      </c>
      <c r="R361" s="260"/>
      <c r="S361" s="205"/>
    </row>
    <row r="362" spans="1:20" x14ac:dyDescent="0.35">
      <c r="B362" s="46" t="s">
        <v>4296</v>
      </c>
      <c r="C362" s="257">
        <v>9.6876621395469389</v>
      </c>
      <c r="D362" s="261">
        <v>57.699888818596378</v>
      </c>
      <c r="E362" s="138" t="s">
        <v>395</v>
      </c>
      <c r="F362" s="402">
        <v>7</v>
      </c>
      <c r="G362" s="1" t="s">
        <v>40</v>
      </c>
      <c r="H362" s="402">
        <v>27</v>
      </c>
      <c r="I362" s="63">
        <v>4</v>
      </c>
      <c r="J362" s="235" t="s">
        <v>38</v>
      </c>
      <c r="K362" s="140">
        <v>97</v>
      </c>
      <c r="L362" t="s">
        <v>200</v>
      </c>
      <c r="M362" s="1" t="s">
        <v>2293</v>
      </c>
      <c r="N362" s="1" t="s">
        <v>2953</v>
      </c>
      <c r="R362" s="260"/>
      <c r="S362" s="205"/>
    </row>
    <row r="363" spans="1:20" x14ac:dyDescent="0.35">
      <c r="B363" s="46" t="s">
        <v>4296</v>
      </c>
      <c r="C363" s="257">
        <v>1.3678253593949916</v>
      </c>
      <c r="D363" s="261">
        <v>59.333491182129151</v>
      </c>
      <c r="E363" s="138" t="s">
        <v>395</v>
      </c>
      <c r="F363" s="402">
        <v>51</v>
      </c>
      <c r="G363" s="1" t="s">
        <v>45</v>
      </c>
      <c r="H363" s="402">
        <v>22</v>
      </c>
      <c r="I363" s="63">
        <v>5</v>
      </c>
      <c r="J363" s="235" t="s">
        <v>1858</v>
      </c>
      <c r="K363" s="140">
        <v>52</v>
      </c>
      <c r="L363" t="s">
        <v>547</v>
      </c>
      <c r="M363" s="1" t="s">
        <v>2294</v>
      </c>
      <c r="N363" s="1" t="s">
        <v>2953</v>
      </c>
      <c r="R363" s="260"/>
      <c r="S363" s="205"/>
    </row>
    <row r="364" spans="1:20" x14ac:dyDescent="0.35">
      <c r="B364" s="46" t="s">
        <v>4296</v>
      </c>
      <c r="C364" s="257">
        <v>8.0978891358934324E-2</v>
      </c>
      <c r="D364" s="261">
        <v>58.287328760211018</v>
      </c>
      <c r="E364" s="138" t="s">
        <v>395</v>
      </c>
      <c r="F364" s="402">
        <v>63</v>
      </c>
      <c r="G364" s="1" t="s">
        <v>43</v>
      </c>
      <c r="H364" s="402">
        <v>12</v>
      </c>
      <c r="I364" s="63">
        <v>11</v>
      </c>
      <c r="J364" s="235" t="s">
        <v>900</v>
      </c>
      <c r="K364" s="140">
        <v>45</v>
      </c>
      <c r="L364" t="s">
        <v>294</v>
      </c>
      <c r="M364" t="s">
        <v>2295</v>
      </c>
      <c r="R364" s="260"/>
      <c r="S364" s="205"/>
    </row>
    <row r="365" spans="1:20" x14ac:dyDescent="0.35">
      <c r="B365" s="46" t="s">
        <v>4296</v>
      </c>
      <c r="C365" s="257">
        <v>3.7174750804396082</v>
      </c>
      <c r="D365" s="261">
        <v>83.050874230555706</v>
      </c>
      <c r="E365" s="138" t="s">
        <v>395</v>
      </c>
      <c r="F365" s="402">
        <v>12</v>
      </c>
      <c r="G365" s="1" t="s">
        <v>46</v>
      </c>
      <c r="H365" s="402">
        <v>23</v>
      </c>
      <c r="I365" s="63">
        <v>19</v>
      </c>
      <c r="J365" s="235" t="s">
        <v>2011</v>
      </c>
      <c r="K365" s="140">
        <v>30</v>
      </c>
      <c r="L365" t="s">
        <v>722</v>
      </c>
      <c r="M365" t="s">
        <v>2296</v>
      </c>
      <c r="R365" s="260"/>
      <c r="S365" s="205"/>
      <c r="T365" s="70"/>
    </row>
    <row r="366" spans="1:20" x14ac:dyDescent="0.35">
      <c r="B366" s="46" t="s">
        <v>4303</v>
      </c>
      <c r="C366" s="257">
        <v>-1.3680977271461867</v>
      </c>
      <c r="D366" s="261">
        <v>33.652409870043108</v>
      </c>
      <c r="E366" s="138" t="s">
        <v>396</v>
      </c>
      <c r="F366" s="402">
        <v>77</v>
      </c>
      <c r="G366" s="1" t="s">
        <v>27</v>
      </c>
      <c r="H366" s="402">
        <v>20</v>
      </c>
      <c r="I366" s="63">
        <v>15</v>
      </c>
      <c r="J366" s="235" t="s">
        <v>32</v>
      </c>
      <c r="K366" s="140">
        <v>80</v>
      </c>
      <c r="L366" t="s">
        <v>621</v>
      </c>
      <c r="M366" t="s">
        <v>2297</v>
      </c>
      <c r="R366" s="260"/>
      <c r="S366" s="205"/>
      <c r="T366" s="70"/>
    </row>
    <row r="367" spans="1:20" x14ac:dyDescent="0.35">
      <c r="B367" s="46" t="s">
        <v>4303</v>
      </c>
      <c r="C367" s="257">
        <v>5.4659903001591754</v>
      </c>
      <c r="D367" s="261">
        <v>70.880463794176563</v>
      </c>
      <c r="E367" s="138" t="s">
        <v>395</v>
      </c>
      <c r="F367" s="402">
        <v>17</v>
      </c>
      <c r="G367" s="1" t="s">
        <v>33</v>
      </c>
      <c r="H367" s="402">
        <v>15</v>
      </c>
      <c r="I367" s="63">
        <v>12</v>
      </c>
      <c r="J367" s="235" t="s">
        <v>23</v>
      </c>
      <c r="K367" s="140">
        <v>57</v>
      </c>
      <c r="L367" t="s">
        <v>423</v>
      </c>
      <c r="M367" t="s">
        <v>2298</v>
      </c>
      <c r="R367" s="260"/>
      <c r="S367" s="205"/>
      <c r="T367" s="70"/>
    </row>
    <row r="368" spans="1:20" x14ac:dyDescent="0.35">
      <c r="B368" s="46" t="s">
        <v>4303</v>
      </c>
      <c r="C368" s="257">
        <v>-3.111599623876427</v>
      </c>
      <c r="D368" s="261">
        <v>20.276525456372418</v>
      </c>
      <c r="E368" s="138" t="s">
        <v>396</v>
      </c>
      <c r="F368" s="402">
        <v>107</v>
      </c>
      <c r="G368" s="1" t="s">
        <v>1860</v>
      </c>
      <c r="H368" s="402">
        <v>27</v>
      </c>
      <c r="I368" s="63">
        <v>14</v>
      </c>
      <c r="J368" s="235" t="s">
        <v>24</v>
      </c>
      <c r="K368" s="140">
        <v>84</v>
      </c>
      <c r="L368" t="s">
        <v>465</v>
      </c>
      <c r="M368" t="s">
        <v>2299</v>
      </c>
      <c r="R368" s="260"/>
      <c r="S368" s="205"/>
      <c r="T368" s="70"/>
    </row>
    <row r="369" spans="1:20" x14ac:dyDescent="0.35">
      <c r="B369" s="46" t="s">
        <v>4303</v>
      </c>
      <c r="C369" s="257">
        <v>0.34074878387359631</v>
      </c>
      <c r="D369" s="261">
        <v>44.480629405343834</v>
      </c>
      <c r="E369" s="138" t="s">
        <v>395</v>
      </c>
      <c r="F369" s="402">
        <v>70</v>
      </c>
      <c r="G369" s="1" t="s">
        <v>28</v>
      </c>
      <c r="H369" s="402">
        <v>9</v>
      </c>
      <c r="I369" s="63">
        <v>8</v>
      </c>
      <c r="J369" s="235" t="s">
        <v>22</v>
      </c>
      <c r="K369" s="140">
        <v>59</v>
      </c>
      <c r="L369" t="s">
        <v>196</v>
      </c>
      <c r="M369" t="s">
        <v>2300</v>
      </c>
      <c r="R369" s="260"/>
      <c r="S369" s="205"/>
      <c r="T369" s="70"/>
    </row>
    <row r="370" spans="1:20" x14ac:dyDescent="0.35">
      <c r="B370" s="46" t="s">
        <v>4444</v>
      </c>
      <c r="C370" s="257">
        <v>6.8363776133892573</v>
      </c>
      <c r="D370" s="261">
        <v>44.01219820796166</v>
      </c>
      <c r="E370" s="138" t="s">
        <v>395</v>
      </c>
      <c r="F370" s="402">
        <v>29</v>
      </c>
      <c r="G370" s="1" t="s">
        <v>790</v>
      </c>
      <c r="H370" s="402">
        <v>27</v>
      </c>
      <c r="I370" s="63">
        <v>9</v>
      </c>
      <c r="J370" s="235" t="s">
        <v>796</v>
      </c>
      <c r="K370" s="140">
        <v>104</v>
      </c>
      <c r="L370" t="s">
        <v>332</v>
      </c>
      <c r="M370" t="s">
        <v>2301</v>
      </c>
      <c r="R370" s="260"/>
      <c r="S370" s="205"/>
      <c r="T370" s="70"/>
    </row>
    <row r="371" spans="1:20" x14ac:dyDescent="0.35">
      <c r="B371" s="46" t="s">
        <v>4444</v>
      </c>
      <c r="C371" s="257">
        <v>1.9163889686527971</v>
      </c>
      <c r="D371" s="261">
        <v>75.028761850066658</v>
      </c>
      <c r="E371" s="138" t="s">
        <v>396</v>
      </c>
      <c r="F371" s="402">
        <v>14</v>
      </c>
      <c r="G371" s="1" t="s">
        <v>785</v>
      </c>
      <c r="H371" s="402">
        <v>16</v>
      </c>
      <c r="I371" s="63">
        <v>14</v>
      </c>
      <c r="J371" s="235" t="s">
        <v>784</v>
      </c>
      <c r="K371" s="140">
        <v>55</v>
      </c>
      <c r="L371" t="s">
        <v>507</v>
      </c>
      <c r="M371" t="s">
        <v>2302</v>
      </c>
      <c r="R371" s="260"/>
      <c r="S371" s="205"/>
      <c r="T371" s="70"/>
    </row>
    <row r="372" spans="1:20" x14ac:dyDescent="0.35">
      <c r="B372" s="46" t="s">
        <v>4444</v>
      </c>
      <c r="C372" s="257">
        <v>-0.66627221028797867</v>
      </c>
      <c r="D372" s="261">
        <v>41.31401522991176</v>
      </c>
      <c r="E372" s="138" t="s">
        <v>396</v>
      </c>
      <c r="F372" s="402">
        <v>64</v>
      </c>
      <c r="G372" s="1" t="s">
        <v>791</v>
      </c>
      <c r="H372" s="402">
        <v>15</v>
      </c>
      <c r="I372" s="63">
        <v>7</v>
      </c>
      <c r="J372" s="235" t="s">
        <v>786</v>
      </c>
      <c r="K372" s="140">
        <v>74</v>
      </c>
      <c r="L372" t="s">
        <v>281</v>
      </c>
      <c r="M372" t="s">
        <v>2303</v>
      </c>
      <c r="R372" s="260"/>
      <c r="S372" s="205"/>
      <c r="T372" s="70"/>
    </row>
    <row r="373" spans="1:20" x14ac:dyDescent="0.35">
      <c r="B373" s="46" t="s">
        <v>4444</v>
      </c>
      <c r="C373" s="257">
        <v>1.6347264895284635E-2</v>
      </c>
      <c r="D373" s="261">
        <v>51.774504732643237</v>
      </c>
      <c r="E373" s="138" t="s">
        <v>396</v>
      </c>
      <c r="F373" s="402">
        <v>54</v>
      </c>
      <c r="G373" s="1" t="s">
        <v>787</v>
      </c>
      <c r="H373" s="402">
        <v>19</v>
      </c>
      <c r="I373" s="63">
        <v>17</v>
      </c>
      <c r="J373" s="235" t="s">
        <v>792</v>
      </c>
      <c r="K373" s="140">
        <v>71</v>
      </c>
      <c r="L373" t="s">
        <v>633</v>
      </c>
      <c r="M373" t="s">
        <v>2304</v>
      </c>
      <c r="O373" s="85" t="s">
        <v>1806</v>
      </c>
      <c r="R373" s="260"/>
      <c r="S373" s="205"/>
      <c r="T373" s="70"/>
    </row>
    <row r="374" spans="1:20" x14ac:dyDescent="0.35">
      <c r="B374" s="46" t="s">
        <v>4310</v>
      </c>
      <c r="C374" s="257">
        <v>-0.69244661318784273</v>
      </c>
      <c r="D374" s="261">
        <v>80.931963391900226</v>
      </c>
      <c r="E374" s="138" t="s">
        <v>396</v>
      </c>
      <c r="F374" s="402">
        <v>25</v>
      </c>
      <c r="G374" s="1" t="s">
        <v>1301</v>
      </c>
      <c r="H374" s="402">
        <v>16</v>
      </c>
      <c r="I374" s="63">
        <v>11</v>
      </c>
      <c r="J374" s="235" t="s">
        <v>965</v>
      </c>
      <c r="K374" s="140">
        <v>32</v>
      </c>
      <c r="L374" t="s">
        <v>286</v>
      </c>
      <c r="M374" t="s">
        <v>2305</v>
      </c>
      <c r="R374" s="260"/>
      <c r="S374" s="205"/>
      <c r="T374" s="70"/>
    </row>
    <row r="375" spans="1:20" x14ac:dyDescent="0.35">
      <c r="B375" s="46" t="s">
        <v>4310</v>
      </c>
      <c r="C375" s="257">
        <v>6.4219115765522634</v>
      </c>
      <c r="D375" s="261">
        <v>70.567832061792728</v>
      </c>
      <c r="E375" s="138" t="s">
        <v>395</v>
      </c>
      <c r="F375" s="402">
        <v>13</v>
      </c>
      <c r="G375" s="1" t="s">
        <v>962</v>
      </c>
      <c r="H375" s="402">
        <v>18</v>
      </c>
      <c r="I375" s="63">
        <v>6</v>
      </c>
      <c r="J375" s="235" t="s">
        <v>1343</v>
      </c>
      <c r="K375" s="140">
        <v>60</v>
      </c>
      <c r="L375" t="s">
        <v>187</v>
      </c>
      <c r="M375" t="s">
        <v>2306</v>
      </c>
      <c r="R375" s="260"/>
      <c r="S375" s="205"/>
      <c r="T375" s="70"/>
    </row>
    <row r="376" spans="1:20" x14ac:dyDescent="0.35">
      <c r="B376" s="46" t="s">
        <v>4310</v>
      </c>
      <c r="C376" s="257">
        <v>2.2017550483958872</v>
      </c>
      <c r="D376" s="261">
        <v>5.918796538242832</v>
      </c>
      <c r="E376" s="138" t="s">
        <v>395</v>
      </c>
      <c r="F376" s="402">
        <v>106</v>
      </c>
      <c r="G376" s="1" t="s">
        <v>959</v>
      </c>
      <c r="H376" s="402">
        <v>15</v>
      </c>
      <c r="I376" s="63">
        <v>14</v>
      </c>
      <c r="J376" s="235" t="s">
        <v>964</v>
      </c>
      <c r="K376" s="140">
        <v>110</v>
      </c>
      <c r="L376" t="s">
        <v>179</v>
      </c>
      <c r="M376" t="s">
        <v>2307</v>
      </c>
      <c r="R376" s="260"/>
      <c r="S376" s="205"/>
      <c r="T376" s="70"/>
    </row>
    <row r="377" spans="1:20" ht="15" thickBot="1" x14ac:dyDescent="0.4">
      <c r="B377" s="57" t="s">
        <v>4310</v>
      </c>
      <c r="C377" s="259">
        <v>-2.7357076382564824</v>
      </c>
      <c r="D377" s="262">
        <v>83.704485237661586</v>
      </c>
      <c r="E377" s="222" t="s">
        <v>395</v>
      </c>
      <c r="F377" s="381">
        <v>47</v>
      </c>
      <c r="G377" s="44" t="s">
        <v>1302</v>
      </c>
      <c r="H377" s="381">
        <v>18</v>
      </c>
      <c r="I377" s="56">
        <v>9</v>
      </c>
      <c r="J377" s="57" t="s">
        <v>1344</v>
      </c>
      <c r="K377" s="141">
        <v>6</v>
      </c>
      <c r="L377" s="12" t="s">
        <v>200</v>
      </c>
      <c r="M377" s="12" t="s">
        <v>2308</v>
      </c>
      <c r="N377" s="86"/>
      <c r="O377" s="86"/>
      <c r="R377" s="260"/>
      <c r="S377" s="205"/>
      <c r="T377" s="70"/>
    </row>
    <row r="378" spans="1:20" x14ac:dyDescent="0.35">
      <c r="B378" s="46" t="s">
        <v>2256</v>
      </c>
      <c r="C378" s="257">
        <v>7.9129202303742483</v>
      </c>
      <c r="D378" s="261">
        <v>47.205056978304107</v>
      </c>
      <c r="E378" s="138" t="s">
        <v>396</v>
      </c>
      <c r="F378" s="402">
        <v>20</v>
      </c>
      <c r="G378" s="1" t="s">
        <v>78</v>
      </c>
      <c r="H378" s="402">
        <v>26</v>
      </c>
      <c r="I378" s="63">
        <v>7</v>
      </c>
      <c r="J378" s="235" t="s">
        <v>76</v>
      </c>
      <c r="K378" s="140">
        <v>112</v>
      </c>
      <c r="L378" t="s">
        <v>339</v>
      </c>
      <c r="M378" s="1" t="s">
        <v>2309</v>
      </c>
      <c r="N378" s="1" t="s">
        <v>2953</v>
      </c>
      <c r="R378" s="260"/>
      <c r="S378" s="205"/>
    </row>
    <row r="379" spans="1:20" x14ac:dyDescent="0.35">
      <c r="B379" s="237" t="s">
        <v>2762</v>
      </c>
      <c r="C379" s="257">
        <v>0.49192981396826913</v>
      </c>
      <c r="D379" s="261">
        <v>2.3271929900226751</v>
      </c>
      <c r="E379" s="138" t="s">
        <v>396</v>
      </c>
      <c r="F379" s="402">
        <v>107</v>
      </c>
      <c r="G379" s="1" t="s">
        <v>1860</v>
      </c>
      <c r="H379" s="402">
        <v>24</v>
      </c>
      <c r="I379" s="63">
        <v>14</v>
      </c>
      <c r="J379" s="235" t="s">
        <v>48</v>
      </c>
      <c r="K379" s="140">
        <v>111</v>
      </c>
      <c r="L379" t="s">
        <v>347</v>
      </c>
      <c r="M379" t="s">
        <v>2310</v>
      </c>
      <c r="R379" s="260"/>
      <c r="S379" s="205"/>
    </row>
    <row r="380" spans="1:20" x14ac:dyDescent="0.35">
      <c r="C380" s="257">
        <v>4.0083255631893318</v>
      </c>
      <c r="D380" s="261">
        <v>14.101196026293339</v>
      </c>
      <c r="E380" s="138" t="s">
        <v>395</v>
      </c>
      <c r="F380" s="402">
        <v>76</v>
      </c>
      <c r="G380" s="1" t="s">
        <v>114</v>
      </c>
      <c r="H380" s="402">
        <v>23</v>
      </c>
      <c r="I380" s="63">
        <v>13</v>
      </c>
      <c r="J380" s="235" t="s">
        <v>964</v>
      </c>
      <c r="K380" s="140">
        <v>110</v>
      </c>
      <c r="L380" t="s">
        <v>425</v>
      </c>
      <c r="M380" t="s">
        <v>2311</v>
      </c>
      <c r="R380" s="260"/>
      <c r="S380" s="205"/>
    </row>
    <row r="381" spans="1:20" x14ac:dyDescent="0.35">
      <c r="C381" s="257">
        <v>1.7558620672935572</v>
      </c>
      <c r="D381" s="261">
        <v>14.370812809076028</v>
      </c>
      <c r="E381" s="138" t="s">
        <v>396</v>
      </c>
      <c r="F381" s="402">
        <v>80</v>
      </c>
      <c r="G381" s="1" t="s">
        <v>32</v>
      </c>
      <c r="H381" s="402">
        <v>19</v>
      </c>
      <c r="I381" s="63">
        <v>10</v>
      </c>
      <c r="J381" s="235" t="s">
        <v>117</v>
      </c>
      <c r="K381" s="140">
        <v>109</v>
      </c>
      <c r="L381" t="s">
        <v>397</v>
      </c>
      <c r="M381" t="s">
        <v>2312</v>
      </c>
      <c r="R381" s="260"/>
      <c r="S381" s="205"/>
    </row>
    <row r="382" spans="1:20" x14ac:dyDescent="0.35">
      <c r="A382" s="6" t="s">
        <v>2427</v>
      </c>
      <c r="C382" s="257">
        <v>-4.4274212829514825</v>
      </c>
      <c r="D382" s="261">
        <v>29.055300916393922</v>
      </c>
      <c r="E382" s="138" t="s">
        <v>396</v>
      </c>
      <c r="F382" s="402">
        <v>108</v>
      </c>
      <c r="G382" s="1" t="s">
        <v>54</v>
      </c>
      <c r="H382" s="402">
        <v>20</v>
      </c>
      <c r="I382" s="63">
        <v>15</v>
      </c>
      <c r="J382" s="235" t="s">
        <v>30</v>
      </c>
      <c r="K382" s="140">
        <v>58</v>
      </c>
      <c r="L382" t="s">
        <v>332</v>
      </c>
      <c r="M382" t="s">
        <v>2319</v>
      </c>
      <c r="R382" s="260"/>
      <c r="S382" s="205"/>
    </row>
    <row r="383" spans="1:20" x14ac:dyDescent="0.35">
      <c r="C383" s="257">
        <v>7.2226939548695732</v>
      </c>
      <c r="D383" s="261">
        <v>53.055218603664599</v>
      </c>
      <c r="E383" s="138" t="s">
        <v>396</v>
      </c>
      <c r="F383" s="402">
        <v>11</v>
      </c>
      <c r="G383" s="1" t="s">
        <v>36</v>
      </c>
      <c r="H383" s="402">
        <v>12</v>
      </c>
      <c r="I383" s="63">
        <v>11</v>
      </c>
      <c r="J383" s="235" t="s">
        <v>959</v>
      </c>
      <c r="K383" s="140">
        <v>106</v>
      </c>
      <c r="L383" t="s">
        <v>893</v>
      </c>
      <c r="M383" t="s">
        <v>2320</v>
      </c>
      <c r="N383" s="92" t="s">
        <v>2954</v>
      </c>
      <c r="O383" s="85" t="s">
        <v>2964</v>
      </c>
      <c r="R383" s="260"/>
      <c r="S383" s="205"/>
    </row>
    <row r="384" spans="1:20" x14ac:dyDescent="0.35">
      <c r="C384" s="257">
        <v>0.52172243047300715</v>
      </c>
      <c r="D384" s="261">
        <v>10.788055406804997</v>
      </c>
      <c r="E384" s="138" t="s">
        <v>395</v>
      </c>
      <c r="F384" s="402">
        <v>105</v>
      </c>
      <c r="G384" s="1" t="s">
        <v>56</v>
      </c>
      <c r="H384" s="402">
        <v>21</v>
      </c>
      <c r="I384" s="63">
        <v>15</v>
      </c>
      <c r="J384" s="235" t="s">
        <v>31</v>
      </c>
      <c r="K384" s="140">
        <v>94</v>
      </c>
      <c r="L384" t="s">
        <v>337</v>
      </c>
      <c r="M384" t="s">
        <v>2321</v>
      </c>
      <c r="R384" s="260"/>
      <c r="S384" s="205"/>
    </row>
    <row r="385" spans="1:20" x14ac:dyDescent="0.35">
      <c r="C385" s="257">
        <v>-4.4665094795961515</v>
      </c>
      <c r="D385" s="261">
        <v>39.306435342568676</v>
      </c>
      <c r="E385" s="138" t="s">
        <v>396</v>
      </c>
      <c r="F385" s="402">
        <v>104</v>
      </c>
      <c r="G385" s="1" t="s">
        <v>796</v>
      </c>
      <c r="H385" s="402">
        <v>11</v>
      </c>
      <c r="I385" s="63">
        <v>10</v>
      </c>
      <c r="J385" s="235" t="s">
        <v>784</v>
      </c>
      <c r="K385" s="140">
        <v>55</v>
      </c>
      <c r="L385" t="s">
        <v>450</v>
      </c>
      <c r="M385" t="s">
        <v>2322</v>
      </c>
      <c r="R385" s="260"/>
      <c r="S385" s="205"/>
    </row>
    <row r="386" spans="1:20" x14ac:dyDescent="0.35">
      <c r="C386" s="257">
        <v>-3.258442118579985</v>
      </c>
      <c r="D386" s="261">
        <v>26.434601513271417</v>
      </c>
      <c r="E386" s="138" t="s">
        <v>396</v>
      </c>
      <c r="F386" s="402">
        <v>103</v>
      </c>
      <c r="G386" s="1" t="s">
        <v>84</v>
      </c>
      <c r="H386" s="402">
        <v>14</v>
      </c>
      <c r="I386" s="63">
        <v>13</v>
      </c>
      <c r="J386" s="235" t="s">
        <v>86</v>
      </c>
      <c r="K386" s="140">
        <v>67</v>
      </c>
      <c r="L386" t="s">
        <v>294</v>
      </c>
      <c r="M386" t="s">
        <v>2421</v>
      </c>
      <c r="O386" s="85" t="s">
        <v>2420</v>
      </c>
      <c r="R386" s="260"/>
      <c r="S386" s="205"/>
    </row>
    <row r="387" spans="1:20" x14ac:dyDescent="0.35">
      <c r="C387" s="257">
        <v>0.36488746928201615</v>
      </c>
      <c r="D387" s="261">
        <v>11.346508950512845</v>
      </c>
      <c r="E387" s="138" t="s">
        <v>395</v>
      </c>
      <c r="F387" s="402">
        <v>102</v>
      </c>
      <c r="G387" s="1" t="s">
        <v>29</v>
      </c>
      <c r="H387" s="402">
        <v>18</v>
      </c>
      <c r="I387" s="63">
        <v>17</v>
      </c>
      <c r="J387" s="235" t="s">
        <v>55</v>
      </c>
      <c r="K387" s="140">
        <v>96</v>
      </c>
      <c r="L387" t="s">
        <v>577</v>
      </c>
      <c r="M387" t="s">
        <v>2422</v>
      </c>
      <c r="R387" s="260"/>
      <c r="S387" s="205"/>
    </row>
    <row r="388" spans="1:20" x14ac:dyDescent="0.35">
      <c r="C388" s="257">
        <v>-0.88844575201188725</v>
      </c>
      <c r="D388" s="261">
        <v>24.848889822865601</v>
      </c>
      <c r="E388" s="138" t="s">
        <v>395</v>
      </c>
      <c r="F388" s="402">
        <v>101</v>
      </c>
      <c r="G388" s="1" t="s">
        <v>794</v>
      </c>
      <c r="H388" s="402">
        <v>23</v>
      </c>
      <c r="I388" s="63">
        <v>16</v>
      </c>
      <c r="J388" s="235" t="s">
        <v>792</v>
      </c>
      <c r="K388" s="140">
        <v>71</v>
      </c>
      <c r="L388" t="s">
        <v>285</v>
      </c>
      <c r="M388" t="s">
        <v>2424</v>
      </c>
      <c r="O388" t="s">
        <v>2423</v>
      </c>
      <c r="R388" s="260"/>
      <c r="S388" s="205"/>
    </row>
    <row r="389" spans="1:20" x14ac:dyDescent="0.35">
      <c r="C389" s="257">
        <v>-2.1205001574758002</v>
      </c>
      <c r="D389" s="261">
        <v>21.264642969625598</v>
      </c>
      <c r="E389" s="138" t="s">
        <v>396</v>
      </c>
      <c r="F389" s="402">
        <v>100</v>
      </c>
      <c r="G389" s="1" t="s">
        <v>1308</v>
      </c>
      <c r="H389" s="402">
        <v>18</v>
      </c>
      <c r="I389" s="63">
        <v>16</v>
      </c>
      <c r="J389" s="235" t="s">
        <v>35</v>
      </c>
      <c r="K389" s="140">
        <v>82</v>
      </c>
      <c r="L389" t="s">
        <v>290</v>
      </c>
      <c r="M389" t="s">
        <v>2426</v>
      </c>
      <c r="O389" t="s">
        <v>2425</v>
      </c>
      <c r="R389" s="260"/>
      <c r="S389" s="205"/>
      <c r="T389" s="70"/>
    </row>
    <row r="390" spans="1:20" x14ac:dyDescent="0.35">
      <c r="C390" s="257">
        <v>5.0092028944886593</v>
      </c>
      <c r="D390" s="261">
        <v>44.189855075365244</v>
      </c>
      <c r="E390" s="138" t="s">
        <v>395</v>
      </c>
      <c r="F390" s="402">
        <v>31</v>
      </c>
      <c r="G390" s="1" t="s">
        <v>115</v>
      </c>
      <c r="H390" s="402">
        <v>22</v>
      </c>
      <c r="I390" s="63">
        <v>7</v>
      </c>
      <c r="J390" s="235" t="s">
        <v>1859</v>
      </c>
      <c r="K390" s="140">
        <v>99</v>
      </c>
      <c r="L390" t="s">
        <v>397</v>
      </c>
      <c r="M390" t="s">
        <v>2428</v>
      </c>
      <c r="R390" s="260"/>
      <c r="S390" s="205"/>
      <c r="T390" s="70"/>
    </row>
    <row r="391" spans="1:20" x14ac:dyDescent="0.35">
      <c r="C391" s="257">
        <v>2.5270997184772632</v>
      </c>
      <c r="D391" s="261">
        <v>40.337785915373381</v>
      </c>
      <c r="E391" s="138" t="s">
        <v>396</v>
      </c>
      <c r="F391" s="402">
        <v>46</v>
      </c>
      <c r="G391" s="1" t="s">
        <v>73</v>
      </c>
      <c r="H391" s="402">
        <v>13</v>
      </c>
      <c r="I391" s="63">
        <v>9</v>
      </c>
      <c r="J391" s="235" t="s">
        <v>80</v>
      </c>
      <c r="K391" s="140">
        <v>98</v>
      </c>
      <c r="L391" t="s">
        <v>191</v>
      </c>
      <c r="M391" t="s">
        <v>2429</v>
      </c>
      <c r="R391" s="260"/>
      <c r="S391" s="205"/>
      <c r="T391" s="70"/>
    </row>
    <row r="392" spans="1:20" x14ac:dyDescent="0.35">
      <c r="C392" s="257">
        <v>6.2126518645775244</v>
      </c>
      <c r="D392" s="261">
        <v>52.990962953873201</v>
      </c>
      <c r="E392" s="138" t="s">
        <v>395</v>
      </c>
      <c r="F392" s="402">
        <v>25</v>
      </c>
      <c r="G392" s="1" t="s">
        <v>1301</v>
      </c>
      <c r="H392" s="402">
        <v>19</v>
      </c>
      <c r="I392" s="63">
        <v>18</v>
      </c>
      <c r="J392" s="235" t="s">
        <v>38</v>
      </c>
      <c r="K392" s="140">
        <v>97</v>
      </c>
      <c r="L392" t="s">
        <v>194</v>
      </c>
      <c r="M392" t="s">
        <v>2430</v>
      </c>
      <c r="N392" s="92" t="s">
        <v>2954</v>
      </c>
      <c r="O392" t="s">
        <v>2965</v>
      </c>
      <c r="R392" s="260"/>
      <c r="S392" s="205"/>
      <c r="T392" s="70"/>
    </row>
    <row r="393" spans="1:20" x14ac:dyDescent="0.35">
      <c r="C393" s="257">
        <v>6.2160149532223317</v>
      </c>
      <c r="D393" s="261">
        <v>57.345703604841191</v>
      </c>
      <c r="E393" s="138" t="s">
        <v>396</v>
      </c>
      <c r="F393" s="402">
        <v>12</v>
      </c>
      <c r="G393" s="1" t="s">
        <v>46</v>
      </c>
      <c r="H393" s="402">
        <v>22</v>
      </c>
      <c r="I393" s="63">
        <v>8</v>
      </c>
      <c r="J393" s="235" t="s">
        <v>65</v>
      </c>
      <c r="K393" s="140">
        <v>95</v>
      </c>
      <c r="L393" t="s">
        <v>331</v>
      </c>
      <c r="M393" t="s">
        <v>2431</v>
      </c>
      <c r="R393" s="260"/>
      <c r="S393" s="205"/>
      <c r="T393" s="70"/>
    </row>
    <row r="394" spans="1:20" x14ac:dyDescent="0.35">
      <c r="C394" s="257">
        <v>-2.2176968707248155</v>
      </c>
      <c r="D394" s="261">
        <v>44.128712050517727</v>
      </c>
      <c r="E394" s="138" t="s">
        <v>395</v>
      </c>
      <c r="F394" s="402">
        <v>93</v>
      </c>
      <c r="G394" s="1" t="s">
        <v>25</v>
      </c>
      <c r="H394" s="402">
        <v>12</v>
      </c>
      <c r="I394" s="63">
        <v>10</v>
      </c>
      <c r="J394" s="235" t="s">
        <v>52</v>
      </c>
      <c r="K394" s="140">
        <v>50</v>
      </c>
      <c r="L394" t="s">
        <v>196</v>
      </c>
      <c r="M394" t="s">
        <v>2433</v>
      </c>
      <c r="O394" s="85" t="s">
        <v>2432</v>
      </c>
      <c r="R394" s="260"/>
      <c r="S394" s="205"/>
      <c r="T394" s="70"/>
    </row>
    <row r="395" spans="1:20" x14ac:dyDescent="0.35">
      <c r="C395" s="257">
        <v>1.9594609518837782</v>
      </c>
      <c r="D395" s="261">
        <v>39.136099320083005</v>
      </c>
      <c r="E395" s="138" t="s">
        <v>396</v>
      </c>
      <c r="F395" s="402">
        <v>56</v>
      </c>
      <c r="G395" s="1" t="s">
        <v>42</v>
      </c>
      <c r="H395" s="402">
        <v>18</v>
      </c>
      <c r="I395" s="63">
        <v>12</v>
      </c>
      <c r="J395" s="235" t="s">
        <v>63</v>
      </c>
      <c r="K395" s="140">
        <v>92</v>
      </c>
      <c r="L395" t="s">
        <v>443</v>
      </c>
      <c r="M395" t="s">
        <v>2434</v>
      </c>
      <c r="R395" s="260"/>
      <c r="S395" s="205"/>
      <c r="T395" s="70"/>
    </row>
    <row r="396" spans="1:20" x14ac:dyDescent="0.35">
      <c r="C396" s="257">
        <v>-1.6017491962738719</v>
      </c>
      <c r="D396" s="261">
        <v>34.179820854481335</v>
      </c>
      <c r="E396" s="138" t="s">
        <v>395</v>
      </c>
      <c r="F396" s="402">
        <v>91</v>
      </c>
      <c r="G396" s="1" t="s">
        <v>47</v>
      </c>
      <c r="H396" s="402">
        <v>18</v>
      </c>
      <c r="I396" s="63">
        <v>9</v>
      </c>
      <c r="J396" s="235" t="s">
        <v>22</v>
      </c>
      <c r="K396" s="140">
        <v>59</v>
      </c>
      <c r="L396" t="s">
        <v>360</v>
      </c>
      <c r="M396" t="s">
        <v>2435</v>
      </c>
      <c r="R396" s="260"/>
      <c r="S396" s="205"/>
      <c r="T396" s="70"/>
    </row>
    <row r="397" spans="1:20" x14ac:dyDescent="0.35">
      <c r="A397" s="6" t="s">
        <v>2438</v>
      </c>
      <c r="C397" s="257">
        <v>3.6723654559291496</v>
      </c>
      <c r="D397" s="261">
        <v>44.341167531479172</v>
      </c>
      <c r="E397" s="138" t="s">
        <v>395</v>
      </c>
      <c r="F397" s="402">
        <v>42</v>
      </c>
      <c r="G397" s="1" t="s">
        <v>85</v>
      </c>
      <c r="H397" s="402">
        <v>19</v>
      </c>
      <c r="I397" s="63">
        <v>11</v>
      </c>
      <c r="J397" s="235" t="s">
        <v>88</v>
      </c>
      <c r="K397" s="140">
        <v>90</v>
      </c>
      <c r="L397" t="s">
        <v>178</v>
      </c>
      <c r="M397" t="s">
        <v>2436</v>
      </c>
      <c r="R397" s="260"/>
      <c r="S397" s="205"/>
      <c r="T397" s="70"/>
    </row>
    <row r="398" spans="1:20" x14ac:dyDescent="0.35">
      <c r="C398" s="257">
        <v>0.28760257323501698</v>
      </c>
      <c r="D398" s="261">
        <v>23.008855304832132</v>
      </c>
      <c r="E398" s="138" t="s">
        <v>395</v>
      </c>
      <c r="F398" s="402">
        <v>89</v>
      </c>
      <c r="G398" s="1" t="s">
        <v>61</v>
      </c>
      <c r="H398" s="402">
        <v>13</v>
      </c>
      <c r="I398" s="63">
        <v>12</v>
      </c>
      <c r="J398" s="235" t="s">
        <v>963</v>
      </c>
      <c r="K398" s="140">
        <v>83</v>
      </c>
      <c r="L398" t="s">
        <v>179</v>
      </c>
      <c r="M398" t="s">
        <v>2437</v>
      </c>
      <c r="R398" s="260"/>
      <c r="S398" s="205"/>
      <c r="T398" s="70"/>
    </row>
    <row r="399" spans="1:20" x14ac:dyDescent="0.35">
      <c r="C399" s="257">
        <v>7.6545811269266073</v>
      </c>
      <c r="D399" s="261">
        <v>60.961013480766702</v>
      </c>
      <c r="E399" s="138" t="s">
        <v>395</v>
      </c>
      <c r="F399" s="402">
        <v>6</v>
      </c>
      <c r="G399" s="1" t="s">
        <v>1344</v>
      </c>
      <c r="H399" s="402">
        <v>27</v>
      </c>
      <c r="I399" s="63">
        <v>17</v>
      </c>
      <c r="J399" s="235" t="s">
        <v>68</v>
      </c>
      <c r="K399" s="140">
        <v>88</v>
      </c>
      <c r="L399" t="s">
        <v>361</v>
      </c>
      <c r="M399" t="s">
        <v>2439</v>
      </c>
      <c r="R399" s="260"/>
      <c r="S399" s="205"/>
      <c r="T399" s="70"/>
    </row>
    <row r="400" spans="1:20" x14ac:dyDescent="0.35">
      <c r="C400" s="257">
        <v>3.9267336507952013</v>
      </c>
      <c r="D400" s="261">
        <v>47.373761678003433</v>
      </c>
      <c r="E400" s="138" t="s">
        <v>395</v>
      </c>
      <c r="F400" s="402">
        <v>37</v>
      </c>
      <c r="G400" s="1" t="s">
        <v>72</v>
      </c>
      <c r="H400" s="402">
        <v>26</v>
      </c>
      <c r="I400" s="63">
        <v>17</v>
      </c>
      <c r="J400" s="235" t="s">
        <v>1342</v>
      </c>
      <c r="K400" s="140">
        <v>87</v>
      </c>
      <c r="L400" t="s">
        <v>358</v>
      </c>
      <c r="M400" t="s">
        <v>2440</v>
      </c>
      <c r="R400" s="260"/>
      <c r="S400" s="205"/>
      <c r="T400" s="70"/>
    </row>
    <row r="401" spans="1:20" x14ac:dyDescent="0.35">
      <c r="C401" s="257">
        <v>7.8849360515913229</v>
      </c>
      <c r="D401" s="261">
        <v>61.86790282029191</v>
      </c>
      <c r="E401" s="138" t="s">
        <v>395</v>
      </c>
      <c r="F401" s="402">
        <v>5</v>
      </c>
      <c r="G401" s="1" t="s">
        <v>966</v>
      </c>
      <c r="H401" s="402">
        <v>22</v>
      </c>
      <c r="I401" s="63">
        <v>9</v>
      </c>
      <c r="J401" s="235" t="s">
        <v>70</v>
      </c>
      <c r="K401" s="140">
        <v>86</v>
      </c>
      <c r="L401" t="s">
        <v>334</v>
      </c>
      <c r="M401" t="s">
        <v>2441</v>
      </c>
      <c r="R401" s="260"/>
      <c r="S401" s="205"/>
      <c r="T401" s="70"/>
    </row>
    <row r="402" spans="1:20" x14ac:dyDescent="0.35">
      <c r="C402" s="257">
        <v>-4.9031417906370329</v>
      </c>
      <c r="D402" s="261">
        <v>68.145101279026449</v>
      </c>
      <c r="E402" s="138" t="s">
        <v>395</v>
      </c>
      <c r="F402" s="402">
        <v>85</v>
      </c>
      <c r="G402" s="1" t="s">
        <v>908</v>
      </c>
      <c r="H402" s="402">
        <v>17</v>
      </c>
      <c r="I402" s="63">
        <v>8</v>
      </c>
      <c r="J402" s="235" t="s">
        <v>785</v>
      </c>
      <c r="K402" s="140">
        <v>14</v>
      </c>
      <c r="L402" t="s">
        <v>489</v>
      </c>
      <c r="M402" t="s">
        <v>2442</v>
      </c>
      <c r="R402" s="260"/>
      <c r="S402" s="205"/>
      <c r="T402" s="70"/>
    </row>
    <row r="403" spans="1:20" x14ac:dyDescent="0.35">
      <c r="C403" s="257">
        <v>-3.9760402308540139</v>
      </c>
      <c r="D403" s="261">
        <v>66.054314450610008</v>
      </c>
      <c r="E403" s="138" t="s">
        <v>395</v>
      </c>
      <c r="F403" s="402">
        <v>84</v>
      </c>
      <c r="G403" s="1" t="s">
        <v>24</v>
      </c>
      <c r="H403" s="402">
        <v>15</v>
      </c>
      <c r="I403" s="63">
        <v>10</v>
      </c>
      <c r="J403" s="235" t="s">
        <v>50</v>
      </c>
      <c r="K403" s="140">
        <v>19</v>
      </c>
      <c r="L403" t="s">
        <v>360</v>
      </c>
      <c r="M403" t="s">
        <v>2443</v>
      </c>
      <c r="R403" s="260"/>
      <c r="S403" s="205"/>
      <c r="T403" s="70"/>
    </row>
    <row r="404" spans="1:20" x14ac:dyDescent="0.35">
      <c r="C404" s="257">
        <v>10.389754982878504</v>
      </c>
      <c r="D404" s="261">
        <v>63.293032155086792</v>
      </c>
      <c r="E404" s="138" t="s">
        <v>395</v>
      </c>
      <c r="F404" s="402">
        <v>1</v>
      </c>
      <c r="G404" s="1" t="s">
        <v>87</v>
      </c>
      <c r="H404" s="402">
        <v>23</v>
      </c>
      <c r="I404" s="63">
        <v>8</v>
      </c>
      <c r="J404" s="235" t="s">
        <v>81</v>
      </c>
      <c r="K404" s="140">
        <v>81</v>
      </c>
      <c r="L404" t="s">
        <v>291</v>
      </c>
      <c r="M404" t="s">
        <v>2444</v>
      </c>
      <c r="R404" s="260"/>
      <c r="S404" s="205"/>
      <c r="T404" s="70"/>
    </row>
    <row r="405" spans="1:20" x14ac:dyDescent="0.35">
      <c r="C405" s="257">
        <v>0.99243351072186781</v>
      </c>
      <c r="D405" s="261">
        <v>45.85361892091295</v>
      </c>
      <c r="E405" s="138" t="s">
        <v>396</v>
      </c>
      <c r="F405" s="402">
        <v>54</v>
      </c>
      <c r="G405" s="1" t="s">
        <v>787</v>
      </c>
      <c r="H405" s="402">
        <v>19</v>
      </c>
      <c r="I405" s="63">
        <v>14</v>
      </c>
      <c r="J405" s="235" t="s">
        <v>789</v>
      </c>
      <c r="K405" s="140">
        <v>79</v>
      </c>
      <c r="L405" t="s">
        <v>194</v>
      </c>
      <c r="M405" t="s">
        <v>2445</v>
      </c>
      <c r="R405" s="260"/>
      <c r="S405" s="205"/>
      <c r="T405" s="70"/>
    </row>
    <row r="406" spans="1:20" x14ac:dyDescent="0.35">
      <c r="A406" s="6" t="s">
        <v>2452</v>
      </c>
      <c r="C406" s="257">
        <v>-4.5836334794914251</v>
      </c>
      <c r="D406" s="261">
        <v>69.702595342493879</v>
      </c>
      <c r="E406" s="138" t="s">
        <v>395</v>
      </c>
      <c r="F406" s="402">
        <v>78</v>
      </c>
      <c r="G406" s="1" t="s">
        <v>44</v>
      </c>
      <c r="H406" s="402">
        <v>25</v>
      </c>
      <c r="I406" s="63">
        <v>19</v>
      </c>
      <c r="J406" s="235" t="s">
        <v>66</v>
      </c>
      <c r="K406" s="140">
        <v>16</v>
      </c>
      <c r="L406" t="s">
        <v>536</v>
      </c>
      <c r="M406" t="s">
        <v>2450</v>
      </c>
      <c r="R406" s="260"/>
      <c r="S406" s="205"/>
      <c r="T406" s="70"/>
    </row>
    <row r="407" spans="1:20" x14ac:dyDescent="0.35">
      <c r="C407" s="257">
        <v>0.94975218680577578</v>
      </c>
      <c r="D407" s="261">
        <v>47.089462723710149</v>
      </c>
      <c r="E407" s="138" t="s">
        <v>396</v>
      </c>
      <c r="F407" s="402">
        <v>53</v>
      </c>
      <c r="G407" s="1" t="s">
        <v>53</v>
      </c>
      <c r="H407" s="402">
        <v>12</v>
      </c>
      <c r="I407" s="63">
        <v>10</v>
      </c>
      <c r="J407" s="235" t="s">
        <v>27</v>
      </c>
      <c r="K407" s="140">
        <v>77</v>
      </c>
      <c r="L407" t="s">
        <v>186</v>
      </c>
      <c r="M407" t="s">
        <v>2451</v>
      </c>
      <c r="R407" s="260"/>
      <c r="S407" s="205"/>
    </row>
    <row r="408" spans="1:20" x14ac:dyDescent="0.35">
      <c r="C408" s="257">
        <v>-3.1230901647466425</v>
      </c>
      <c r="D408" s="261">
        <v>61.846850117676198</v>
      </c>
      <c r="E408" s="138" t="s">
        <v>395</v>
      </c>
      <c r="F408" s="402">
        <v>75</v>
      </c>
      <c r="G408" s="1" t="s">
        <v>909</v>
      </c>
      <c r="H408" s="402">
        <v>13</v>
      </c>
      <c r="I408" s="63">
        <v>11</v>
      </c>
      <c r="J408" s="235" t="s">
        <v>788</v>
      </c>
      <c r="K408" s="140">
        <v>28</v>
      </c>
      <c r="L408" t="s">
        <v>190</v>
      </c>
      <c r="M408" t="s">
        <v>2453</v>
      </c>
      <c r="O408" t="s">
        <v>2458</v>
      </c>
      <c r="R408" s="260"/>
      <c r="S408" s="205"/>
    </row>
    <row r="409" spans="1:20" x14ac:dyDescent="0.35">
      <c r="C409" s="257">
        <v>7.0965125111335539</v>
      </c>
      <c r="D409" s="261">
        <v>65.288205349190321</v>
      </c>
      <c r="E409" s="138" t="s">
        <v>395</v>
      </c>
      <c r="F409" s="402">
        <v>9</v>
      </c>
      <c r="G409" s="1" t="s">
        <v>795</v>
      </c>
      <c r="H409" s="402">
        <v>28</v>
      </c>
      <c r="I409" s="63">
        <v>11</v>
      </c>
      <c r="J409" s="235" t="s">
        <v>786</v>
      </c>
      <c r="K409" s="140">
        <v>74</v>
      </c>
      <c r="L409" t="s">
        <v>299</v>
      </c>
      <c r="M409" t="s">
        <v>2454</v>
      </c>
      <c r="R409" s="260"/>
      <c r="S409" s="205"/>
    </row>
    <row r="410" spans="1:20" x14ac:dyDescent="0.35">
      <c r="C410" s="257">
        <v>3.5709765118524208</v>
      </c>
      <c r="D410" s="261">
        <v>56.065373920105422</v>
      </c>
      <c r="E410" s="138" t="s">
        <v>395</v>
      </c>
      <c r="F410" s="402">
        <v>30</v>
      </c>
      <c r="G410" s="1" t="s">
        <v>2011</v>
      </c>
      <c r="H410" s="402">
        <v>16</v>
      </c>
      <c r="I410" s="63">
        <v>15</v>
      </c>
      <c r="J410" s="235" t="s">
        <v>3913</v>
      </c>
      <c r="K410" s="140">
        <v>73</v>
      </c>
      <c r="L410" t="s">
        <v>194</v>
      </c>
      <c r="M410" t="s">
        <v>2455</v>
      </c>
      <c r="N410" s="92" t="s">
        <v>2954</v>
      </c>
      <c r="R410" s="260"/>
      <c r="S410" s="205"/>
    </row>
    <row r="411" spans="1:20" x14ac:dyDescent="0.35">
      <c r="C411" s="257">
        <v>1.6935072384664134</v>
      </c>
      <c r="D411" s="261">
        <v>55.397494829666847</v>
      </c>
      <c r="E411" s="138" t="s">
        <v>396</v>
      </c>
      <c r="F411" s="402">
        <v>36</v>
      </c>
      <c r="G411" s="1" t="s">
        <v>793</v>
      </c>
      <c r="H411" s="402">
        <v>10</v>
      </c>
      <c r="I411" s="63">
        <v>9</v>
      </c>
      <c r="J411" s="235" t="s">
        <v>783</v>
      </c>
      <c r="K411" s="140">
        <v>72</v>
      </c>
      <c r="L411" t="s">
        <v>400</v>
      </c>
      <c r="M411" t="s">
        <v>2456</v>
      </c>
      <c r="N411" s="92" t="s">
        <v>2954</v>
      </c>
      <c r="R411" s="260"/>
      <c r="S411" s="205"/>
      <c r="T411" s="70"/>
    </row>
    <row r="412" spans="1:20" x14ac:dyDescent="0.35">
      <c r="C412" s="257">
        <v>-3.6945864604328613</v>
      </c>
      <c r="D412" s="261">
        <v>70.781847471737805</v>
      </c>
      <c r="E412" s="138" t="s">
        <v>395</v>
      </c>
      <c r="F412" s="402">
        <v>70</v>
      </c>
      <c r="G412" s="1" t="s">
        <v>28</v>
      </c>
      <c r="H412" s="402">
        <v>17</v>
      </c>
      <c r="I412" s="63">
        <v>16</v>
      </c>
      <c r="J412" s="235" t="s">
        <v>300</v>
      </c>
      <c r="K412" s="140">
        <v>22</v>
      </c>
      <c r="L412" t="s">
        <v>301</v>
      </c>
      <c r="M412" t="s">
        <v>2459</v>
      </c>
      <c r="O412" t="s">
        <v>2457</v>
      </c>
      <c r="R412" s="260"/>
      <c r="S412" s="205"/>
      <c r="T412" s="70"/>
    </row>
    <row r="413" spans="1:20" x14ac:dyDescent="0.35">
      <c r="C413" s="257">
        <v>0.7035943335873277</v>
      </c>
      <c r="D413" s="261">
        <v>39.229575476009046</v>
      </c>
      <c r="E413" s="138" t="s">
        <v>395</v>
      </c>
      <c r="F413" s="402">
        <v>69</v>
      </c>
      <c r="G413" s="1" t="s">
        <v>958</v>
      </c>
      <c r="H413" s="402">
        <v>13</v>
      </c>
      <c r="I413" s="63">
        <v>9</v>
      </c>
      <c r="J413" s="235" t="s">
        <v>37</v>
      </c>
      <c r="K413" s="140">
        <v>66</v>
      </c>
      <c r="L413" t="s">
        <v>450</v>
      </c>
      <c r="M413" t="s">
        <v>2460</v>
      </c>
      <c r="R413" s="260"/>
      <c r="S413" s="205"/>
      <c r="T413" s="70"/>
    </row>
    <row r="414" spans="1:20" x14ac:dyDescent="0.35">
      <c r="C414" s="257">
        <v>-2.5280683842395959</v>
      </c>
      <c r="D414" s="261">
        <v>55.600405988742565</v>
      </c>
      <c r="E414" s="138" t="s">
        <v>396</v>
      </c>
      <c r="F414" s="402">
        <v>68</v>
      </c>
      <c r="G414" s="1" t="s">
        <v>39</v>
      </c>
      <c r="H414" s="402">
        <v>11</v>
      </c>
      <c r="I414" s="63">
        <v>9</v>
      </c>
      <c r="J414" s="235" t="s">
        <v>1302</v>
      </c>
      <c r="K414" s="140">
        <v>47</v>
      </c>
      <c r="L414" t="s">
        <v>281</v>
      </c>
      <c r="M414" t="s">
        <v>2462</v>
      </c>
      <c r="O414" s="85" t="s">
        <v>2461</v>
      </c>
      <c r="R414" s="260"/>
      <c r="S414" s="205"/>
      <c r="T414" s="70"/>
    </row>
    <row r="415" spans="1:20" x14ac:dyDescent="0.35">
      <c r="C415" s="257">
        <v>4.3544734949709678</v>
      </c>
      <c r="D415" s="261">
        <v>65.103947503592167</v>
      </c>
      <c r="E415" s="138" t="s">
        <v>395</v>
      </c>
      <c r="F415" s="402">
        <v>24</v>
      </c>
      <c r="G415" s="1" t="s">
        <v>145</v>
      </c>
      <c r="H415" s="402">
        <v>21</v>
      </c>
      <c r="I415" s="63">
        <v>11</v>
      </c>
      <c r="J415" s="235" t="s">
        <v>292</v>
      </c>
      <c r="K415" s="140">
        <v>65</v>
      </c>
      <c r="L415" t="s">
        <v>547</v>
      </c>
      <c r="M415" t="s">
        <v>2463</v>
      </c>
      <c r="R415" s="260"/>
      <c r="S415" s="205"/>
      <c r="T415" s="70"/>
    </row>
    <row r="416" spans="1:20" x14ac:dyDescent="0.35">
      <c r="C416" s="257">
        <v>3.7120115126922451</v>
      </c>
      <c r="D416" s="261">
        <v>59.982491776648402</v>
      </c>
      <c r="E416" s="138" t="s">
        <v>395</v>
      </c>
      <c r="F416" s="402">
        <v>29</v>
      </c>
      <c r="G416" s="1" t="s">
        <v>790</v>
      </c>
      <c r="H416" s="402">
        <v>15</v>
      </c>
      <c r="I416" s="63">
        <v>8</v>
      </c>
      <c r="J416" s="235" t="s">
        <v>791</v>
      </c>
      <c r="K416" s="140">
        <v>64</v>
      </c>
      <c r="L416" t="s">
        <v>578</v>
      </c>
      <c r="M416" t="s">
        <v>2464</v>
      </c>
      <c r="R416" s="260"/>
      <c r="S416" s="205"/>
      <c r="T416" s="70"/>
    </row>
    <row r="417" spans="1:20" x14ac:dyDescent="0.35">
      <c r="A417" s="6" t="s">
        <v>2475</v>
      </c>
      <c r="C417" s="257">
        <v>-1.2275668964434565</v>
      </c>
      <c r="D417" s="261">
        <v>61.501833497459614</v>
      </c>
      <c r="E417" s="138" t="s">
        <v>395</v>
      </c>
      <c r="F417" s="402">
        <v>63</v>
      </c>
      <c r="G417" s="1" t="s">
        <v>43</v>
      </c>
      <c r="H417" s="402">
        <v>22</v>
      </c>
      <c r="I417" s="63">
        <v>13</v>
      </c>
      <c r="J417" s="235" t="s">
        <v>71</v>
      </c>
      <c r="K417" s="140">
        <v>35</v>
      </c>
      <c r="L417" t="s">
        <v>507</v>
      </c>
      <c r="M417" t="s">
        <v>2465</v>
      </c>
      <c r="R417" s="260"/>
      <c r="S417" s="205"/>
      <c r="T417" s="70"/>
    </row>
    <row r="418" spans="1:20" x14ac:dyDescent="0.35">
      <c r="C418" s="257">
        <v>0.16704797274818306</v>
      </c>
      <c r="D418" s="261">
        <v>54.077108590894163</v>
      </c>
      <c r="E418" s="138" t="s">
        <v>396</v>
      </c>
      <c r="F418" s="402">
        <v>52</v>
      </c>
      <c r="G418" s="1" t="s">
        <v>1858</v>
      </c>
      <c r="H418" s="402">
        <v>12</v>
      </c>
      <c r="I418" s="63">
        <v>11</v>
      </c>
      <c r="J418" s="235" t="s">
        <v>64</v>
      </c>
      <c r="K418" s="140">
        <v>62</v>
      </c>
      <c r="L418" t="s">
        <v>295</v>
      </c>
      <c r="M418" t="s">
        <v>2470</v>
      </c>
      <c r="O418" s="85" t="s">
        <v>2469</v>
      </c>
      <c r="R418" s="260"/>
    </row>
    <row r="419" spans="1:20" x14ac:dyDescent="0.35">
      <c r="C419" s="257">
        <v>-2.2761222871370292</v>
      </c>
      <c r="D419" s="261">
        <v>59.036515919383589</v>
      </c>
      <c r="E419" s="138" t="s">
        <v>396</v>
      </c>
      <c r="F419" s="402">
        <v>61</v>
      </c>
      <c r="G419" s="1" t="s">
        <v>960</v>
      </c>
      <c r="H419" s="402">
        <v>16</v>
      </c>
      <c r="I419" s="63">
        <v>15</v>
      </c>
      <c r="J419" s="235" t="s">
        <v>900</v>
      </c>
      <c r="K419" s="140">
        <v>45</v>
      </c>
      <c r="L419" t="s">
        <v>194</v>
      </c>
      <c r="M419" t="s">
        <v>2472</v>
      </c>
      <c r="O419" s="85" t="s">
        <v>2471</v>
      </c>
      <c r="R419" s="260"/>
    </row>
    <row r="420" spans="1:20" x14ac:dyDescent="0.35">
      <c r="C420" s="257">
        <v>2.3612623036037908E-2</v>
      </c>
      <c r="D420" s="261">
        <v>56.188490983545677</v>
      </c>
      <c r="E420" s="138" t="s">
        <v>396</v>
      </c>
      <c r="F420" s="402">
        <v>49</v>
      </c>
      <c r="G420" s="1" t="s">
        <v>67</v>
      </c>
      <c r="H420" s="402">
        <v>13</v>
      </c>
      <c r="I420" s="63">
        <v>9</v>
      </c>
      <c r="J420" s="235" t="s">
        <v>1343</v>
      </c>
      <c r="K420" s="140">
        <v>60</v>
      </c>
      <c r="L420" t="s">
        <v>296</v>
      </c>
      <c r="M420" t="s">
        <v>2473</v>
      </c>
      <c r="R420" s="260"/>
    </row>
    <row r="421" spans="1:20" x14ac:dyDescent="0.35">
      <c r="C421" s="257">
        <v>1.9422757170251379</v>
      </c>
      <c r="D421" s="261">
        <v>70.041231630696331</v>
      </c>
      <c r="E421" s="138" t="s">
        <v>396</v>
      </c>
      <c r="F421" s="402">
        <v>23</v>
      </c>
      <c r="G421" s="1" t="s">
        <v>49</v>
      </c>
      <c r="H421" s="402">
        <v>18</v>
      </c>
      <c r="I421" s="63">
        <v>14</v>
      </c>
      <c r="J421" s="235" t="s">
        <v>23</v>
      </c>
      <c r="K421" s="140">
        <v>57</v>
      </c>
      <c r="L421" t="s">
        <v>299</v>
      </c>
      <c r="M421" t="s">
        <v>2474</v>
      </c>
      <c r="R421" s="260"/>
    </row>
    <row r="422" spans="1:20" x14ac:dyDescent="0.35">
      <c r="C422" s="257">
        <v>3.3177286196341718</v>
      </c>
      <c r="D422" s="261">
        <v>75.844479557404171</v>
      </c>
      <c r="E422" s="138" t="s">
        <v>396</v>
      </c>
      <c r="F422" s="402">
        <v>10</v>
      </c>
      <c r="G422" s="1" t="s">
        <v>60</v>
      </c>
      <c r="H422" s="402">
        <v>21</v>
      </c>
      <c r="I422" s="63">
        <v>12</v>
      </c>
      <c r="J422" s="235" t="s">
        <v>45</v>
      </c>
      <c r="K422" s="140">
        <v>51</v>
      </c>
      <c r="L422" t="s">
        <v>201</v>
      </c>
      <c r="M422" t="s">
        <v>2476</v>
      </c>
      <c r="R422" s="260"/>
    </row>
    <row r="423" spans="1:20" x14ac:dyDescent="0.35">
      <c r="C423" s="257">
        <v>-1.7548110802905024</v>
      </c>
      <c r="D423" s="261">
        <v>66.699865057350365</v>
      </c>
      <c r="E423" s="138" t="s">
        <v>396</v>
      </c>
      <c r="F423" s="402">
        <v>48</v>
      </c>
      <c r="G423" s="1" t="s">
        <v>74</v>
      </c>
      <c r="H423" s="402">
        <v>20</v>
      </c>
      <c r="I423" s="63">
        <v>13</v>
      </c>
      <c r="J423" s="235" t="s">
        <v>79</v>
      </c>
      <c r="K423" s="140">
        <v>38</v>
      </c>
      <c r="L423" t="s">
        <v>332</v>
      </c>
      <c r="M423" t="s">
        <v>2477</v>
      </c>
      <c r="R423" s="260"/>
    </row>
    <row r="424" spans="1:20" x14ac:dyDescent="0.35">
      <c r="C424" s="257">
        <v>2.6251213114259886</v>
      </c>
      <c r="D424" s="261">
        <v>69.999913348981437</v>
      </c>
      <c r="E424" s="138" t="s">
        <v>395</v>
      </c>
      <c r="F424" s="402">
        <v>26</v>
      </c>
      <c r="G424" s="1" t="s">
        <v>34</v>
      </c>
      <c r="H424" s="402">
        <v>18</v>
      </c>
      <c r="I424" s="63">
        <v>10</v>
      </c>
      <c r="J424" s="235" t="s">
        <v>51</v>
      </c>
      <c r="K424" s="140">
        <v>44</v>
      </c>
      <c r="L424" t="s">
        <v>187</v>
      </c>
      <c r="M424" t="s">
        <v>2478</v>
      </c>
      <c r="R424" s="260"/>
    </row>
    <row r="425" spans="1:20" x14ac:dyDescent="0.35">
      <c r="C425" s="257">
        <v>-2.4467066829152988</v>
      </c>
      <c r="D425" s="261">
        <v>73.622647630653788</v>
      </c>
      <c r="E425" s="138" t="s">
        <v>396</v>
      </c>
      <c r="F425" s="402">
        <v>43</v>
      </c>
      <c r="G425" s="1" t="s">
        <v>83</v>
      </c>
      <c r="H425" s="402">
        <v>15</v>
      </c>
      <c r="I425" s="63">
        <v>11</v>
      </c>
      <c r="J425" s="235" t="s">
        <v>82</v>
      </c>
      <c r="K425" s="140">
        <v>27</v>
      </c>
      <c r="L425" t="s">
        <v>507</v>
      </c>
      <c r="M425" t="s">
        <v>2479</v>
      </c>
      <c r="R425" s="260"/>
    </row>
    <row r="426" spans="1:20" x14ac:dyDescent="0.35">
      <c r="C426" s="257">
        <v>-2.2657448127144177</v>
      </c>
      <c r="D426" s="261">
        <v>79.475532009081732</v>
      </c>
      <c r="E426" s="138" t="s">
        <v>396</v>
      </c>
      <c r="F426" s="402">
        <v>41</v>
      </c>
      <c r="G426" s="1" t="s">
        <v>62</v>
      </c>
      <c r="H426" s="402">
        <v>23</v>
      </c>
      <c r="I426" s="63">
        <v>20</v>
      </c>
      <c r="J426" s="235" t="s">
        <v>41</v>
      </c>
      <c r="K426" s="140">
        <v>21</v>
      </c>
      <c r="L426" t="s">
        <v>606</v>
      </c>
      <c r="M426" t="s">
        <v>2480</v>
      </c>
      <c r="R426" s="260"/>
    </row>
    <row r="427" spans="1:20" x14ac:dyDescent="0.35">
      <c r="C427" s="257">
        <v>-1.0686342348302944</v>
      </c>
      <c r="D427" s="261">
        <v>80.049024453450215</v>
      </c>
      <c r="E427" s="138" t="s">
        <v>395</v>
      </c>
      <c r="F427" s="402">
        <v>40</v>
      </c>
      <c r="G427" s="1" t="s">
        <v>75</v>
      </c>
      <c r="H427" s="402">
        <v>18</v>
      </c>
      <c r="I427" s="63">
        <v>12</v>
      </c>
      <c r="J427" s="235" t="s">
        <v>77</v>
      </c>
      <c r="K427" s="140">
        <v>18</v>
      </c>
      <c r="L427" t="s">
        <v>191</v>
      </c>
      <c r="M427" t="s">
        <v>2481</v>
      </c>
      <c r="R427" s="260"/>
    </row>
    <row r="428" spans="1:20" x14ac:dyDescent="0.35">
      <c r="C428" s="257">
        <v>-1.1808257743299768</v>
      </c>
      <c r="D428" s="261">
        <v>80.843446981664272</v>
      </c>
      <c r="E428" s="138" t="s">
        <v>395</v>
      </c>
      <c r="F428" s="402">
        <v>39</v>
      </c>
      <c r="G428" s="1" t="s">
        <v>57</v>
      </c>
      <c r="H428" s="402">
        <v>15</v>
      </c>
      <c r="I428" s="63">
        <v>13</v>
      </c>
      <c r="J428" s="235" t="s">
        <v>33</v>
      </c>
      <c r="K428" s="140">
        <v>17</v>
      </c>
      <c r="L428" t="s">
        <v>190</v>
      </c>
      <c r="M428" t="s">
        <v>2483</v>
      </c>
      <c r="O428" s="85" t="s">
        <v>2482</v>
      </c>
      <c r="R428" s="260"/>
    </row>
    <row r="429" spans="1:20" x14ac:dyDescent="0.35">
      <c r="A429" s="6" t="s">
        <v>2490</v>
      </c>
      <c r="C429" s="257">
        <v>3.6450078193355586</v>
      </c>
      <c r="D429" s="261">
        <v>82.753565843331742</v>
      </c>
      <c r="E429" s="138" t="s">
        <v>395</v>
      </c>
      <c r="F429" s="402">
        <v>7</v>
      </c>
      <c r="G429" s="1" t="s">
        <v>40</v>
      </c>
      <c r="H429" s="402">
        <v>14</v>
      </c>
      <c r="I429" s="63">
        <v>8</v>
      </c>
      <c r="J429" s="235" t="s">
        <v>961</v>
      </c>
      <c r="K429" s="140">
        <v>34</v>
      </c>
      <c r="L429" t="s">
        <v>295</v>
      </c>
      <c r="M429" t="s">
        <v>2484</v>
      </c>
      <c r="R429" s="260"/>
    </row>
    <row r="430" spans="1:20" x14ac:dyDescent="0.35">
      <c r="C430" s="257">
        <v>-0.82393125625319508</v>
      </c>
      <c r="D430" s="261">
        <v>74.472450897323711</v>
      </c>
      <c r="E430" s="138" t="s">
        <v>396</v>
      </c>
      <c r="F430" s="402">
        <v>33</v>
      </c>
      <c r="G430" s="1" t="s">
        <v>69</v>
      </c>
      <c r="H430" s="402">
        <v>18</v>
      </c>
      <c r="I430" s="63">
        <v>11</v>
      </c>
      <c r="J430" s="235" t="s">
        <v>965</v>
      </c>
      <c r="K430" s="140">
        <v>32</v>
      </c>
      <c r="L430" t="s">
        <v>178</v>
      </c>
      <c r="M430" t="s">
        <v>2485</v>
      </c>
      <c r="R430" s="260"/>
    </row>
    <row r="431" spans="1:20" x14ac:dyDescent="0.35">
      <c r="C431" s="257">
        <v>2.0551611519858484</v>
      </c>
      <c r="D431" s="261">
        <v>93.355137193609906</v>
      </c>
      <c r="E431" s="138" t="s">
        <v>396</v>
      </c>
      <c r="F431" s="402">
        <v>2</v>
      </c>
      <c r="G431" s="1" t="s">
        <v>26</v>
      </c>
      <c r="H431" s="402">
        <v>20</v>
      </c>
      <c r="I431" s="63">
        <v>19</v>
      </c>
      <c r="J431" s="235" t="s">
        <v>58</v>
      </c>
      <c r="K431" s="140">
        <v>15</v>
      </c>
      <c r="L431" t="s">
        <v>512</v>
      </c>
      <c r="M431" t="s">
        <v>2486</v>
      </c>
      <c r="O431" t="s">
        <v>2487</v>
      </c>
      <c r="R431" s="260"/>
    </row>
    <row r="432" spans="1:20" x14ac:dyDescent="0.35">
      <c r="C432" s="257">
        <v>-1.7754960657884165</v>
      </c>
      <c r="D432" s="261">
        <v>94.705711475563163</v>
      </c>
      <c r="E432" s="138" t="s">
        <v>396</v>
      </c>
      <c r="F432" s="402">
        <v>13</v>
      </c>
      <c r="G432" s="1" t="s">
        <v>962</v>
      </c>
      <c r="H432" s="402">
        <v>14</v>
      </c>
      <c r="I432" s="63">
        <v>12</v>
      </c>
      <c r="J432" s="235" t="s">
        <v>59</v>
      </c>
      <c r="K432" s="140">
        <v>8</v>
      </c>
      <c r="L432" t="s">
        <v>179</v>
      </c>
      <c r="M432" t="s">
        <v>2488</v>
      </c>
      <c r="R432" s="260"/>
    </row>
    <row r="433" spans="1:18" ht="15" thickBot="1" x14ac:dyDescent="0.4">
      <c r="B433" s="57"/>
      <c r="C433" s="259">
        <v>0.57041192065609703</v>
      </c>
      <c r="D433" s="262">
        <v>97.405062913817076</v>
      </c>
      <c r="E433" s="222" t="s">
        <v>395</v>
      </c>
      <c r="F433" s="381">
        <v>4</v>
      </c>
      <c r="G433" s="44" t="s">
        <v>118</v>
      </c>
      <c r="H433" s="381">
        <v>18</v>
      </c>
      <c r="I433" s="56">
        <v>11</v>
      </c>
      <c r="J433" s="57" t="s">
        <v>119</v>
      </c>
      <c r="K433" s="141">
        <v>3</v>
      </c>
      <c r="L433" s="12" t="s">
        <v>360</v>
      </c>
      <c r="M433" s="12" t="s">
        <v>2489</v>
      </c>
      <c r="N433" s="86"/>
      <c r="O433" s="86" t="s">
        <v>891</v>
      </c>
      <c r="R433" s="260"/>
    </row>
    <row r="434" spans="1:18" x14ac:dyDescent="0.35">
      <c r="B434" s="46" t="s">
        <v>2377</v>
      </c>
      <c r="C434" s="257">
        <v>3.1004694749169683</v>
      </c>
      <c r="D434" s="261">
        <v>57.145233908981965</v>
      </c>
      <c r="E434" s="402" t="s">
        <v>395</v>
      </c>
      <c r="F434" s="402">
        <v>49</v>
      </c>
      <c r="G434" s="1" t="s">
        <v>82</v>
      </c>
      <c r="H434" s="402">
        <v>18</v>
      </c>
      <c r="I434" s="63">
        <v>7</v>
      </c>
      <c r="J434" s="235" t="s">
        <v>44</v>
      </c>
      <c r="K434" s="140">
        <v>64</v>
      </c>
      <c r="L434" t="s">
        <v>196</v>
      </c>
      <c r="M434" t="s">
        <v>2497</v>
      </c>
      <c r="R434" s="260"/>
    </row>
    <row r="435" spans="1:18" x14ac:dyDescent="0.35">
      <c r="B435" s="46" t="s">
        <v>2378</v>
      </c>
      <c r="C435" s="257">
        <v>-0.93380280825030193</v>
      </c>
      <c r="D435" s="261">
        <v>59.738694662446626</v>
      </c>
      <c r="E435" s="138" t="s">
        <v>395</v>
      </c>
      <c r="F435" s="402">
        <v>64</v>
      </c>
      <c r="G435" s="1" t="s">
        <v>44</v>
      </c>
      <c r="H435" s="402">
        <v>14</v>
      </c>
      <c r="I435" s="63">
        <v>13</v>
      </c>
      <c r="J435" s="235" t="s">
        <v>82</v>
      </c>
      <c r="K435" s="140">
        <v>49</v>
      </c>
      <c r="L435" t="s">
        <v>296</v>
      </c>
      <c r="M435" t="s">
        <v>2498</v>
      </c>
      <c r="O435" s="85" t="s">
        <v>2544</v>
      </c>
      <c r="R435" s="260"/>
    </row>
    <row r="436" spans="1:18" x14ac:dyDescent="0.35">
      <c r="B436" s="46" t="s">
        <v>2377</v>
      </c>
      <c r="C436" s="257">
        <v>3.131153623463252</v>
      </c>
      <c r="D436" s="261">
        <v>70.344258384916486</v>
      </c>
      <c r="E436" s="138" t="s">
        <v>396</v>
      </c>
      <c r="F436" s="402">
        <v>13</v>
      </c>
      <c r="G436" s="1" t="s">
        <v>78</v>
      </c>
      <c r="H436" s="402">
        <v>19</v>
      </c>
      <c r="I436" s="63">
        <v>16</v>
      </c>
      <c r="J436" s="235" t="s">
        <v>37</v>
      </c>
      <c r="K436" s="140">
        <v>73</v>
      </c>
      <c r="L436" t="s">
        <v>301</v>
      </c>
      <c r="M436" t="s">
        <v>2499</v>
      </c>
      <c r="N436" s="92" t="s">
        <v>2954</v>
      </c>
      <c r="R436" s="260"/>
    </row>
    <row r="437" spans="1:18" x14ac:dyDescent="0.35">
      <c r="B437" s="46" t="s">
        <v>2378</v>
      </c>
      <c r="C437" s="257">
        <v>5.2950425123521416</v>
      </c>
      <c r="D437" s="261">
        <v>68.953186956345064</v>
      </c>
      <c r="E437" s="138" t="s">
        <v>395</v>
      </c>
      <c r="F437" s="402">
        <v>13</v>
      </c>
      <c r="G437" s="1" t="s">
        <v>78</v>
      </c>
      <c r="H437" s="402">
        <v>14</v>
      </c>
      <c r="I437" s="63">
        <v>8</v>
      </c>
      <c r="J437" s="235" t="s">
        <v>37</v>
      </c>
      <c r="K437" s="140">
        <v>73</v>
      </c>
      <c r="L437" t="s">
        <v>400</v>
      </c>
      <c r="M437" t="s">
        <v>2500</v>
      </c>
      <c r="O437" s="85" t="s">
        <v>2545</v>
      </c>
      <c r="R437" s="260"/>
    </row>
    <row r="438" spans="1:18" x14ac:dyDescent="0.35">
      <c r="B438" s="46" t="s">
        <v>2377</v>
      </c>
      <c r="C438" s="257">
        <v>3.4179835242394163</v>
      </c>
      <c r="D438" s="261">
        <v>49.70897487727467</v>
      </c>
      <c r="E438" s="138" t="s">
        <v>395</v>
      </c>
      <c r="F438" s="402">
        <v>47</v>
      </c>
      <c r="G438" s="1" t="s">
        <v>51</v>
      </c>
      <c r="H438" s="402">
        <v>20</v>
      </c>
      <c r="I438" s="63">
        <v>14</v>
      </c>
      <c r="J438" s="235" t="s">
        <v>80</v>
      </c>
      <c r="K438" s="140">
        <v>86</v>
      </c>
      <c r="L438" t="s">
        <v>299</v>
      </c>
      <c r="M438" t="s">
        <v>2502</v>
      </c>
      <c r="R438" s="260"/>
    </row>
    <row r="439" spans="1:18" x14ac:dyDescent="0.35">
      <c r="B439" s="46" t="s">
        <v>2378</v>
      </c>
      <c r="C439" s="257">
        <v>1.4652057464616386</v>
      </c>
      <c r="D439" s="261">
        <v>50.964332020131806</v>
      </c>
      <c r="E439" s="138" t="s">
        <v>396</v>
      </c>
      <c r="F439" s="402">
        <v>47</v>
      </c>
      <c r="G439" s="1" t="s">
        <v>51</v>
      </c>
      <c r="H439" s="402">
        <v>11</v>
      </c>
      <c r="I439" s="63">
        <v>9</v>
      </c>
      <c r="J439" s="235" t="s">
        <v>80</v>
      </c>
      <c r="K439" s="140">
        <v>86</v>
      </c>
      <c r="L439" t="s">
        <v>353</v>
      </c>
      <c r="M439" t="s">
        <v>2503</v>
      </c>
      <c r="O439" s="85" t="s">
        <v>2546</v>
      </c>
      <c r="R439" s="260"/>
    </row>
    <row r="440" spans="1:18" x14ac:dyDescent="0.35">
      <c r="B440" s="46" t="s">
        <v>2377</v>
      </c>
      <c r="C440" s="257">
        <v>-2.5332677072475853</v>
      </c>
      <c r="D440" s="261">
        <v>91.021386383230592</v>
      </c>
      <c r="E440" s="138" t="s">
        <v>395</v>
      </c>
      <c r="F440" s="402">
        <v>29</v>
      </c>
      <c r="G440" s="1" t="s">
        <v>66</v>
      </c>
      <c r="H440" s="402">
        <v>13</v>
      </c>
      <c r="I440" s="63">
        <v>10</v>
      </c>
      <c r="J440" s="235" t="s">
        <v>40</v>
      </c>
      <c r="K440" s="140">
        <v>4</v>
      </c>
      <c r="L440" t="s">
        <v>281</v>
      </c>
      <c r="M440" t="s">
        <v>2504</v>
      </c>
      <c r="R440" s="260"/>
    </row>
    <row r="441" spans="1:18" x14ac:dyDescent="0.35">
      <c r="B441" s="46" t="s">
        <v>2378</v>
      </c>
      <c r="C441" s="257">
        <v>-4.6999343739142523</v>
      </c>
      <c r="D441" s="261">
        <v>92.414243526087731</v>
      </c>
      <c r="E441" s="138" t="s">
        <v>396</v>
      </c>
      <c r="F441" s="402">
        <v>29</v>
      </c>
      <c r="G441" s="1" t="s">
        <v>66</v>
      </c>
      <c r="H441" s="402">
        <v>19</v>
      </c>
      <c r="I441" s="63">
        <v>13</v>
      </c>
      <c r="J441" s="235" t="s">
        <v>40</v>
      </c>
      <c r="K441" s="140">
        <v>4</v>
      </c>
      <c r="L441" t="s">
        <v>191</v>
      </c>
      <c r="M441" t="s">
        <v>2505</v>
      </c>
      <c r="O441" s="85" t="s">
        <v>2547</v>
      </c>
      <c r="R441" s="260"/>
    </row>
    <row r="442" spans="1:18" x14ac:dyDescent="0.35">
      <c r="B442" s="46" t="s">
        <v>2377</v>
      </c>
      <c r="C442" s="257">
        <v>-1.1838219705853019</v>
      </c>
      <c r="D442" s="261">
        <v>90.636028409661989</v>
      </c>
      <c r="E442" s="138" t="s">
        <v>395</v>
      </c>
      <c r="F442" s="402">
        <v>24</v>
      </c>
      <c r="G442" s="1" t="s">
        <v>83</v>
      </c>
      <c r="H442" s="402">
        <v>14</v>
      </c>
      <c r="I442" s="63">
        <v>13</v>
      </c>
      <c r="J442" s="235" t="s">
        <v>60</v>
      </c>
      <c r="K442" s="140">
        <v>12</v>
      </c>
      <c r="L442" t="s">
        <v>178</v>
      </c>
      <c r="M442" t="s">
        <v>2506</v>
      </c>
      <c r="R442" s="260"/>
    </row>
    <row r="443" spans="1:18" x14ac:dyDescent="0.35">
      <c r="B443" s="46" t="s">
        <v>2378</v>
      </c>
      <c r="C443" s="257">
        <v>-3.5671553039186352</v>
      </c>
      <c r="D443" s="261">
        <v>92.168171266804833</v>
      </c>
      <c r="E443" s="138" t="s">
        <v>396</v>
      </c>
      <c r="F443" s="402">
        <v>24</v>
      </c>
      <c r="G443" s="1" t="s">
        <v>83</v>
      </c>
      <c r="H443" s="402">
        <v>15</v>
      </c>
      <c r="I443" s="63">
        <v>10</v>
      </c>
      <c r="J443" s="235" t="s">
        <v>60</v>
      </c>
      <c r="K443" s="140">
        <v>12</v>
      </c>
      <c r="L443" t="s">
        <v>297</v>
      </c>
      <c r="M443" t="s">
        <v>2507</v>
      </c>
      <c r="O443" s="85" t="s">
        <v>2548</v>
      </c>
      <c r="R443" s="260"/>
    </row>
    <row r="444" spans="1:18" x14ac:dyDescent="0.35">
      <c r="B444" s="46" t="s">
        <v>2377</v>
      </c>
      <c r="C444" s="257">
        <v>-1.323193976816726</v>
      </c>
      <c r="D444" s="261">
        <v>52.75687469938218</v>
      </c>
      <c r="E444" s="138" t="s">
        <v>395</v>
      </c>
      <c r="F444" s="402">
        <v>78</v>
      </c>
      <c r="G444" s="1" t="s">
        <v>789</v>
      </c>
      <c r="H444" s="402">
        <v>23</v>
      </c>
      <c r="I444" s="63">
        <v>14</v>
      </c>
      <c r="J444" s="235" t="s">
        <v>114</v>
      </c>
      <c r="K444" s="140">
        <v>55</v>
      </c>
      <c r="L444" t="s">
        <v>536</v>
      </c>
      <c r="M444" t="s">
        <v>2508</v>
      </c>
      <c r="R444" s="260"/>
    </row>
    <row r="445" spans="1:18" x14ac:dyDescent="0.35">
      <c r="B445" s="46" t="s">
        <v>2378</v>
      </c>
      <c r="C445" s="257">
        <v>3.4343050879278372</v>
      </c>
      <c r="D445" s="261">
        <v>49.698482443474965</v>
      </c>
      <c r="E445" s="138" t="s">
        <v>395</v>
      </c>
      <c r="F445" s="402">
        <v>55</v>
      </c>
      <c r="G445" s="1" t="s">
        <v>114</v>
      </c>
      <c r="H445" s="402">
        <v>26</v>
      </c>
      <c r="I445" s="63">
        <v>6</v>
      </c>
      <c r="J445" s="235" t="s">
        <v>789</v>
      </c>
      <c r="K445" s="140">
        <v>78</v>
      </c>
      <c r="L445" t="s">
        <v>525</v>
      </c>
      <c r="M445" s="1" t="s">
        <v>2509</v>
      </c>
      <c r="N445" s="1" t="s">
        <v>2953</v>
      </c>
      <c r="O445" s="85" t="s">
        <v>2966</v>
      </c>
      <c r="R445" s="260"/>
    </row>
    <row r="446" spans="1:18" x14ac:dyDescent="0.35">
      <c r="B446" s="46" t="s">
        <v>2377</v>
      </c>
      <c r="C446" s="257">
        <v>-1.6127900604733409</v>
      </c>
      <c r="D446" s="261">
        <v>45.188579324590016</v>
      </c>
      <c r="E446" s="138" t="s">
        <v>396</v>
      </c>
      <c r="F446" s="402">
        <v>80</v>
      </c>
      <c r="G446" s="1" t="s">
        <v>794</v>
      </c>
      <c r="H446" s="402">
        <v>23</v>
      </c>
      <c r="I446" s="63">
        <v>18</v>
      </c>
      <c r="J446" s="235" t="s">
        <v>30</v>
      </c>
      <c r="K446" s="140">
        <v>59</v>
      </c>
      <c r="L446" t="s">
        <v>504</v>
      </c>
      <c r="M446" t="s">
        <v>2510</v>
      </c>
      <c r="R446" s="260"/>
    </row>
    <row r="447" spans="1:18" x14ac:dyDescent="0.35">
      <c r="B447" s="46" t="s">
        <v>2378</v>
      </c>
      <c r="C447" s="257">
        <v>0.34660923140665834</v>
      </c>
      <c r="D447" s="261">
        <v>43.928965494095728</v>
      </c>
      <c r="E447" s="138" t="s">
        <v>395</v>
      </c>
      <c r="F447" s="402">
        <v>80</v>
      </c>
      <c r="G447" s="1" t="s">
        <v>794</v>
      </c>
      <c r="H447" s="402">
        <v>14</v>
      </c>
      <c r="I447" s="63">
        <v>13</v>
      </c>
      <c r="J447" s="235" t="s">
        <v>30</v>
      </c>
      <c r="K447" s="140">
        <v>59</v>
      </c>
      <c r="L447" t="s">
        <v>507</v>
      </c>
      <c r="M447" t="s">
        <v>2511</v>
      </c>
      <c r="O447" s="85" t="s">
        <v>2549</v>
      </c>
      <c r="R447" s="260"/>
    </row>
    <row r="448" spans="1:18" x14ac:dyDescent="0.35">
      <c r="A448" s="6" t="s">
        <v>2518</v>
      </c>
      <c r="B448" s="46" t="s">
        <v>2377</v>
      </c>
      <c r="C448" s="257">
        <v>0.89548506431919273</v>
      </c>
      <c r="D448" s="261">
        <v>65.433259601509093</v>
      </c>
      <c r="E448" s="138" t="s">
        <v>396</v>
      </c>
      <c r="F448" s="402">
        <v>37</v>
      </c>
      <c r="G448" s="1" t="s">
        <v>67</v>
      </c>
      <c r="H448" s="402">
        <v>12</v>
      </c>
      <c r="I448" s="63">
        <v>9</v>
      </c>
      <c r="J448" s="235" t="s">
        <v>22</v>
      </c>
      <c r="K448" s="140">
        <v>57</v>
      </c>
      <c r="L448" t="s">
        <v>294</v>
      </c>
      <c r="M448" t="s">
        <v>2512</v>
      </c>
      <c r="R448" s="260"/>
    </row>
    <row r="449" spans="2:18" x14ac:dyDescent="0.35">
      <c r="B449" s="46" t="s">
        <v>2378</v>
      </c>
      <c r="C449" s="257">
        <v>3.3454850643191927</v>
      </c>
      <c r="D449" s="261">
        <v>63.85825960150909</v>
      </c>
      <c r="E449" s="138" t="s">
        <v>395</v>
      </c>
      <c r="F449" s="402">
        <v>37</v>
      </c>
      <c r="G449" s="1" t="s">
        <v>67</v>
      </c>
      <c r="H449" s="402">
        <v>15</v>
      </c>
      <c r="I449" s="63">
        <v>14</v>
      </c>
      <c r="J449" s="235" t="s">
        <v>22</v>
      </c>
      <c r="K449" s="140">
        <v>57</v>
      </c>
      <c r="L449" t="s">
        <v>488</v>
      </c>
      <c r="M449" t="s">
        <v>2513</v>
      </c>
      <c r="O449" s="85" t="s">
        <v>2550</v>
      </c>
      <c r="R449" s="260"/>
    </row>
    <row r="450" spans="2:18" x14ac:dyDescent="0.35">
      <c r="B450" s="46" t="s">
        <v>2377</v>
      </c>
      <c r="C450" s="257">
        <v>1.8836980181264875</v>
      </c>
      <c r="D450" s="261">
        <v>65.882801274061535</v>
      </c>
      <c r="E450" s="138" t="s">
        <v>395</v>
      </c>
      <c r="F450" s="402">
        <v>38</v>
      </c>
      <c r="G450" s="1" t="s">
        <v>85</v>
      </c>
      <c r="H450" s="402">
        <v>26</v>
      </c>
      <c r="I450" s="63">
        <v>10</v>
      </c>
      <c r="J450" s="235" t="s">
        <v>1858</v>
      </c>
      <c r="K450" s="140">
        <v>53</v>
      </c>
      <c r="L450" t="s">
        <v>780</v>
      </c>
      <c r="M450" s="1" t="s">
        <v>2514</v>
      </c>
      <c r="N450" s="1" t="s">
        <v>2953</v>
      </c>
      <c r="R450" s="260"/>
    </row>
    <row r="451" spans="2:18" x14ac:dyDescent="0.35">
      <c r="B451" s="46" t="s">
        <v>2378</v>
      </c>
      <c r="C451" s="257">
        <v>0.3385242040957348</v>
      </c>
      <c r="D451" s="261">
        <v>66.87612729736702</v>
      </c>
      <c r="E451" s="138" t="s">
        <v>395</v>
      </c>
      <c r="F451" s="402">
        <v>53</v>
      </c>
      <c r="G451" s="1" t="s">
        <v>1858</v>
      </c>
      <c r="H451" s="402">
        <v>10</v>
      </c>
      <c r="I451" s="63">
        <v>8</v>
      </c>
      <c r="J451" s="235" t="s">
        <v>85</v>
      </c>
      <c r="K451" s="140">
        <v>38</v>
      </c>
      <c r="L451" t="s">
        <v>187</v>
      </c>
      <c r="M451" t="s">
        <v>2515</v>
      </c>
      <c r="O451" s="85" t="s">
        <v>2551</v>
      </c>
      <c r="R451" s="260"/>
    </row>
    <row r="452" spans="2:18" x14ac:dyDescent="0.35">
      <c r="B452" s="46" t="s">
        <v>2377</v>
      </c>
      <c r="C452" s="257">
        <v>-0.49319211193008095</v>
      </c>
      <c r="D452" s="261">
        <v>84.88848064338363</v>
      </c>
      <c r="E452" s="138" t="s">
        <v>395</v>
      </c>
      <c r="F452" s="402">
        <v>30</v>
      </c>
      <c r="G452" s="1" t="s">
        <v>793</v>
      </c>
      <c r="H452" s="402">
        <v>18</v>
      </c>
      <c r="I452" s="63">
        <v>11</v>
      </c>
      <c r="J452" s="235" t="s">
        <v>33</v>
      </c>
      <c r="K452" s="140">
        <v>18</v>
      </c>
      <c r="L452" t="s">
        <v>331</v>
      </c>
      <c r="M452" t="s">
        <v>2516</v>
      </c>
      <c r="R452" s="260"/>
    </row>
    <row r="453" spans="2:18" x14ac:dyDescent="0.35">
      <c r="B453" s="46" t="s">
        <v>2378</v>
      </c>
      <c r="C453" s="257">
        <v>2.520969889707859</v>
      </c>
      <c r="D453" s="261">
        <v>82.950805070902092</v>
      </c>
      <c r="E453" s="138" t="s">
        <v>395</v>
      </c>
      <c r="F453" s="402">
        <v>18</v>
      </c>
      <c r="G453" s="1" t="s">
        <v>33</v>
      </c>
      <c r="H453" s="402">
        <v>18</v>
      </c>
      <c r="I453" s="63">
        <v>12</v>
      </c>
      <c r="J453" s="235" t="s">
        <v>793</v>
      </c>
      <c r="K453" s="140">
        <v>30</v>
      </c>
      <c r="L453" t="s">
        <v>301</v>
      </c>
      <c r="M453" t="s">
        <v>2517</v>
      </c>
      <c r="O453" s="85" t="s">
        <v>2552</v>
      </c>
      <c r="R453" s="260"/>
    </row>
    <row r="454" spans="2:18" x14ac:dyDescent="0.35">
      <c r="B454" s="46" t="s">
        <v>2377</v>
      </c>
      <c r="C454" s="257">
        <v>4.7309784728672568</v>
      </c>
      <c r="D454" s="261">
        <v>49.588120981728188</v>
      </c>
      <c r="E454" s="138" t="s">
        <v>395</v>
      </c>
      <c r="F454" s="402">
        <v>39</v>
      </c>
      <c r="G454" s="1" t="s">
        <v>787</v>
      </c>
      <c r="H454" s="402">
        <v>22</v>
      </c>
      <c r="I454" s="63">
        <v>10</v>
      </c>
      <c r="J454" s="235" t="s">
        <v>55</v>
      </c>
      <c r="K454" s="140">
        <v>92</v>
      </c>
      <c r="L454" t="s">
        <v>546</v>
      </c>
      <c r="M454" t="s">
        <v>2519</v>
      </c>
      <c r="R454" s="260"/>
    </row>
    <row r="455" spans="2:18" x14ac:dyDescent="0.35">
      <c r="B455" s="46" t="s">
        <v>2378</v>
      </c>
      <c r="C455" s="257">
        <v>2.7309784728672568</v>
      </c>
      <c r="D455" s="261">
        <v>50.873835267442466</v>
      </c>
      <c r="E455" s="138" t="s">
        <v>396</v>
      </c>
      <c r="F455" s="402">
        <v>39</v>
      </c>
      <c r="G455" s="1" t="s">
        <v>787</v>
      </c>
      <c r="H455" s="402">
        <v>11</v>
      </c>
      <c r="I455" s="63">
        <v>9</v>
      </c>
      <c r="J455" s="235" t="s">
        <v>55</v>
      </c>
      <c r="K455" s="140">
        <v>92</v>
      </c>
      <c r="L455" t="s">
        <v>1761</v>
      </c>
      <c r="M455" t="s">
        <v>2520</v>
      </c>
      <c r="N455" s="92" t="s">
        <v>2954</v>
      </c>
      <c r="O455" s="85" t="s">
        <v>2967</v>
      </c>
      <c r="R455" s="260"/>
    </row>
    <row r="456" spans="2:18" x14ac:dyDescent="0.35">
      <c r="B456" s="46" t="s">
        <v>2377</v>
      </c>
      <c r="C456" s="257">
        <v>-8.2641898153545917E-2</v>
      </c>
      <c r="D456" s="261">
        <v>83.338841220241562</v>
      </c>
      <c r="E456" s="138" t="s">
        <v>395</v>
      </c>
      <c r="F456" s="402">
        <v>36</v>
      </c>
      <c r="G456" s="1" t="s">
        <v>62</v>
      </c>
      <c r="H456" s="402">
        <v>25</v>
      </c>
      <c r="I456" s="63">
        <v>5</v>
      </c>
      <c r="J456" s="235" t="s">
        <v>1301</v>
      </c>
      <c r="K456" s="140">
        <v>16</v>
      </c>
      <c r="L456" t="s">
        <v>547</v>
      </c>
      <c r="M456" s="1" t="s">
        <v>2521</v>
      </c>
      <c r="N456" s="1" t="s">
        <v>2953</v>
      </c>
      <c r="R456" s="260"/>
    </row>
    <row r="457" spans="2:18" x14ac:dyDescent="0.35">
      <c r="B457" s="46" t="s">
        <v>2378</v>
      </c>
      <c r="C457" s="257">
        <v>2.057641898153546</v>
      </c>
      <c r="D457" s="261">
        <v>81.962944494044152</v>
      </c>
      <c r="E457" s="138" t="s">
        <v>395</v>
      </c>
      <c r="F457" s="402">
        <v>16</v>
      </c>
      <c r="G457" s="1" t="s">
        <v>1301</v>
      </c>
      <c r="H457" s="402">
        <v>18</v>
      </c>
      <c r="I457" s="63">
        <v>11</v>
      </c>
      <c r="J457" s="235" t="s">
        <v>62</v>
      </c>
      <c r="K457" s="140">
        <v>36</v>
      </c>
      <c r="L457" t="s">
        <v>334</v>
      </c>
      <c r="M457" t="s">
        <v>2522</v>
      </c>
      <c r="O457" s="85" t="s">
        <v>2968</v>
      </c>
      <c r="R457" s="260"/>
    </row>
    <row r="458" spans="2:18" x14ac:dyDescent="0.35">
      <c r="B458" s="46" t="s">
        <v>2377</v>
      </c>
      <c r="C458" s="257">
        <v>4.4906389345805575</v>
      </c>
      <c r="D458" s="261">
        <v>64.648874970626792</v>
      </c>
      <c r="E458" s="138" t="s">
        <v>396</v>
      </c>
      <c r="F458" s="402">
        <v>14</v>
      </c>
      <c r="G458" s="1" t="s">
        <v>145</v>
      </c>
      <c r="H458" s="402">
        <v>19</v>
      </c>
      <c r="I458" s="63">
        <v>5</v>
      </c>
      <c r="J458" s="235" t="s">
        <v>35</v>
      </c>
      <c r="K458" s="140">
        <v>87</v>
      </c>
      <c r="L458" t="s">
        <v>339</v>
      </c>
      <c r="M458" t="s">
        <v>2523</v>
      </c>
      <c r="R458" s="260"/>
    </row>
    <row r="459" spans="2:18" x14ac:dyDescent="0.35">
      <c r="B459" s="46" t="s">
        <v>2378</v>
      </c>
      <c r="C459" s="257">
        <v>6.5489722679138902</v>
      </c>
      <c r="D459" s="261">
        <v>63.325660684912499</v>
      </c>
      <c r="E459" s="138" t="s">
        <v>395</v>
      </c>
      <c r="F459" s="402">
        <v>14</v>
      </c>
      <c r="G459" s="1" t="s">
        <v>145</v>
      </c>
      <c r="H459" s="402">
        <v>21</v>
      </c>
      <c r="I459" s="63">
        <v>13</v>
      </c>
      <c r="J459" s="235" t="s">
        <v>35</v>
      </c>
      <c r="K459" s="140">
        <v>87</v>
      </c>
      <c r="L459" t="s">
        <v>186</v>
      </c>
      <c r="M459" t="s">
        <v>2524</v>
      </c>
      <c r="O459" s="85" t="s">
        <v>2553</v>
      </c>
      <c r="R459" s="260"/>
    </row>
    <row r="460" spans="2:18" x14ac:dyDescent="0.35">
      <c r="B460" s="46" t="s">
        <v>2377</v>
      </c>
      <c r="C460" s="257">
        <v>2.0183059483394965</v>
      </c>
      <c r="D460" s="261">
        <v>65.273946176067483</v>
      </c>
      <c r="E460" s="138" t="s">
        <v>396</v>
      </c>
      <c r="F460" s="402">
        <v>25</v>
      </c>
      <c r="G460" s="1" t="s">
        <v>115</v>
      </c>
      <c r="H460" s="402">
        <v>18</v>
      </c>
      <c r="I460" s="63">
        <v>12</v>
      </c>
      <c r="J460" s="235" t="s">
        <v>24</v>
      </c>
      <c r="K460" s="140">
        <v>79</v>
      </c>
      <c r="L460" t="s">
        <v>295</v>
      </c>
      <c r="M460" t="s">
        <v>2525</v>
      </c>
      <c r="R460" s="260"/>
    </row>
    <row r="461" spans="2:18" x14ac:dyDescent="0.35">
      <c r="B461" s="46" t="s">
        <v>2378</v>
      </c>
      <c r="C461" s="257">
        <v>-3.9710837261172736</v>
      </c>
      <c r="D461" s="261">
        <v>69.12426810964682</v>
      </c>
      <c r="E461" s="138" t="s">
        <v>396</v>
      </c>
      <c r="F461" s="402">
        <v>79</v>
      </c>
      <c r="G461" s="1" t="s">
        <v>24</v>
      </c>
      <c r="H461" s="402">
        <v>23</v>
      </c>
      <c r="I461" s="63">
        <v>17</v>
      </c>
      <c r="J461" s="235" t="s">
        <v>115</v>
      </c>
      <c r="K461" s="140">
        <v>25</v>
      </c>
      <c r="L461" t="s">
        <v>359</v>
      </c>
      <c r="M461" t="s">
        <v>2526</v>
      </c>
      <c r="N461" s="92" t="s">
        <v>3338</v>
      </c>
      <c r="O461" s="85" t="s">
        <v>3894</v>
      </c>
      <c r="R461" s="260"/>
    </row>
    <row r="462" spans="2:18" x14ac:dyDescent="0.35">
      <c r="B462" s="46" t="s">
        <v>2377</v>
      </c>
      <c r="C462" s="257">
        <v>-3.4804330943029274</v>
      </c>
      <c r="D462" s="261">
        <v>82.951706989194747</v>
      </c>
      <c r="E462" s="138" t="s">
        <v>396</v>
      </c>
      <c r="F462" s="402">
        <v>43</v>
      </c>
      <c r="G462" s="1" t="s">
        <v>71</v>
      </c>
      <c r="H462" s="402">
        <v>23</v>
      </c>
      <c r="I462" s="63">
        <v>11</v>
      </c>
      <c r="J462" s="235" t="s">
        <v>77</v>
      </c>
      <c r="K462" s="140">
        <v>17</v>
      </c>
      <c r="L462" t="s">
        <v>191</v>
      </c>
      <c r="M462" s="1" t="s">
        <v>2527</v>
      </c>
      <c r="N462" s="1" t="s">
        <v>2953</v>
      </c>
      <c r="R462" s="260"/>
    </row>
    <row r="463" spans="2:18" x14ac:dyDescent="0.35">
      <c r="B463" s="46" t="s">
        <v>2378</v>
      </c>
      <c r="C463" s="257">
        <v>1.3693219831918162</v>
      </c>
      <c r="D463" s="261">
        <v>79.834007296519545</v>
      </c>
      <c r="E463" s="138" t="s">
        <v>396</v>
      </c>
      <c r="F463" s="402">
        <v>17</v>
      </c>
      <c r="G463" s="1" t="s">
        <v>77</v>
      </c>
      <c r="H463" s="402">
        <v>21</v>
      </c>
      <c r="I463" s="63">
        <v>12</v>
      </c>
      <c r="J463" s="235" t="s">
        <v>71</v>
      </c>
      <c r="K463" s="140">
        <v>43</v>
      </c>
      <c r="L463" t="s">
        <v>285</v>
      </c>
      <c r="M463" t="s">
        <v>2528</v>
      </c>
      <c r="O463" s="85" t="s">
        <v>2554</v>
      </c>
      <c r="R463" s="260"/>
    </row>
    <row r="464" spans="2:18" x14ac:dyDescent="0.35">
      <c r="B464" s="46" t="s">
        <v>2377</v>
      </c>
      <c r="C464" s="257">
        <v>5.7727026649858342</v>
      </c>
      <c r="D464" s="261">
        <v>73.114301182008901</v>
      </c>
      <c r="E464" s="138" t="s">
        <v>395</v>
      </c>
      <c r="F464" s="402">
        <v>7</v>
      </c>
      <c r="G464" s="1" t="s">
        <v>1344</v>
      </c>
      <c r="H464" s="402">
        <v>18</v>
      </c>
      <c r="I464" s="63">
        <v>17</v>
      </c>
      <c r="J464" s="235" t="s">
        <v>86</v>
      </c>
      <c r="K464" s="140">
        <v>67</v>
      </c>
      <c r="L464" t="s">
        <v>606</v>
      </c>
      <c r="M464" t="s">
        <v>2529</v>
      </c>
      <c r="N464" s="92" t="s">
        <v>2954</v>
      </c>
      <c r="O464" t="s">
        <v>2969</v>
      </c>
      <c r="R464" s="260"/>
    </row>
    <row r="465" spans="1:18" x14ac:dyDescent="0.35">
      <c r="B465" s="46" t="s">
        <v>2378</v>
      </c>
      <c r="C465" s="257">
        <v>3.8067304427636133</v>
      </c>
      <c r="D465" s="261">
        <v>73.767101858223398</v>
      </c>
      <c r="E465" s="138" t="s">
        <v>396</v>
      </c>
      <c r="F465" s="402">
        <v>7</v>
      </c>
      <c r="G465" s="1" t="s">
        <v>1344</v>
      </c>
      <c r="H465" s="402">
        <v>20</v>
      </c>
      <c r="I465" s="63">
        <v>14</v>
      </c>
      <c r="J465" s="235" t="s">
        <v>86</v>
      </c>
      <c r="K465" s="140">
        <v>67</v>
      </c>
      <c r="L465" t="s">
        <v>178</v>
      </c>
      <c r="M465" t="s">
        <v>2530</v>
      </c>
      <c r="O465" s="85" t="s">
        <v>2970</v>
      </c>
      <c r="R465" s="260"/>
    </row>
    <row r="466" spans="1:18" x14ac:dyDescent="0.35">
      <c r="B466" s="46" t="s">
        <v>2377</v>
      </c>
      <c r="C466" s="257">
        <v>1.4364397857992124</v>
      </c>
      <c r="D466" s="261">
        <v>70.148002994843367</v>
      </c>
      <c r="E466" s="138" t="s">
        <v>395</v>
      </c>
      <c r="F466" s="402">
        <v>34</v>
      </c>
      <c r="G466" s="1" t="s">
        <v>50</v>
      </c>
      <c r="H466" s="402">
        <v>20</v>
      </c>
      <c r="I466" s="63">
        <v>15</v>
      </c>
      <c r="J466" s="235" t="s">
        <v>74</v>
      </c>
      <c r="K466" s="140">
        <v>46</v>
      </c>
      <c r="L466" t="s">
        <v>299</v>
      </c>
      <c r="M466" t="s">
        <v>2531</v>
      </c>
      <c r="R466" s="260"/>
    </row>
    <row r="467" spans="1:18" x14ac:dyDescent="0.35">
      <c r="B467" s="46" t="s">
        <v>2378</v>
      </c>
      <c r="C467" s="257">
        <v>0.61911576975634319</v>
      </c>
      <c r="D467" s="261">
        <v>70.673425576585217</v>
      </c>
      <c r="E467" s="138" t="s">
        <v>395</v>
      </c>
      <c r="F467" s="402">
        <v>46</v>
      </c>
      <c r="G467" s="1" t="s">
        <v>74</v>
      </c>
      <c r="H467" s="402">
        <v>10</v>
      </c>
      <c r="I467" s="63">
        <v>9</v>
      </c>
      <c r="J467" s="235" t="s">
        <v>50</v>
      </c>
      <c r="K467" s="140">
        <v>34</v>
      </c>
      <c r="L467" t="s">
        <v>295</v>
      </c>
      <c r="M467" t="s">
        <v>2532</v>
      </c>
      <c r="O467" s="85" t="s">
        <v>2555</v>
      </c>
      <c r="R467" s="260"/>
    </row>
    <row r="468" spans="1:18" x14ac:dyDescent="0.35">
      <c r="B468" s="46" t="s">
        <v>2377</v>
      </c>
      <c r="C468" s="257">
        <v>-1.5431672388864555</v>
      </c>
      <c r="D468" s="261">
        <v>44.219714653569866</v>
      </c>
      <c r="E468" s="138" t="s">
        <v>395</v>
      </c>
      <c r="F468" s="402">
        <v>103</v>
      </c>
      <c r="G468" s="1" t="s">
        <v>1859</v>
      </c>
      <c r="H468" s="402">
        <v>9</v>
      </c>
      <c r="I468" s="63">
        <v>7</v>
      </c>
      <c r="J468" s="235" t="s">
        <v>960</v>
      </c>
      <c r="K468" s="140">
        <v>54</v>
      </c>
      <c r="L468" t="s">
        <v>196</v>
      </c>
      <c r="M468" t="s">
        <v>2533</v>
      </c>
      <c r="R468" s="260"/>
    </row>
    <row r="469" spans="1:18" x14ac:dyDescent="0.35">
      <c r="B469" s="46" t="s">
        <v>2378</v>
      </c>
      <c r="C469" s="257">
        <v>3.7376116833308992</v>
      </c>
      <c r="D469" s="261">
        <v>40.824928203573009</v>
      </c>
      <c r="E469" s="138" t="s">
        <v>395</v>
      </c>
      <c r="F469" s="402">
        <v>54</v>
      </c>
      <c r="G469" s="1" t="s">
        <v>960</v>
      </c>
      <c r="H469" s="402">
        <v>27</v>
      </c>
      <c r="I469" s="63">
        <v>13</v>
      </c>
      <c r="J469" s="235" t="s">
        <v>1859</v>
      </c>
      <c r="K469" s="140">
        <v>103</v>
      </c>
      <c r="L469" t="s">
        <v>361</v>
      </c>
      <c r="M469" s="1" t="s">
        <v>2534</v>
      </c>
      <c r="N469" s="1" t="s">
        <v>2953</v>
      </c>
      <c r="O469" s="85" t="s">
        <v>2971</v>
      </c>
      <c r="R469" s="260"/>
    </row>
    <row r="470" spans="1:18" x14ac:dyDescent="0.35">
      <c r="B470" s="46" t="s">
        <v>2377</v>
      </c>
      <c r="C470" s="257">
        <v>-0.53260608045943736</v>
      </c>
      <c r="D470" s="261">
        <v>55.503103908866777</v>
      </c>
      <c r="E470" s="138" t="s">
        <v>395</v>
      </c>
      <c r="F470" s="402">
        <v>72</v>
      </c>
      <c r="G470" s="1" t="s">
        <v>292</v>
      </c>
      <c r="H470" s="402">
        <v>24</v>
      </c>
      <c r="I470" s="63">
        <v>11</v>
      </c>
      <c r="J470" s="235" t="s">
        <v>965</v>
      </c>
      <c r="K470" s="140">
        <v>52</v>
      </c>
      <c r="L470" t="s">
        <v>361</v>
      </c>
      <c r="M470" t="s">
        <v>2535</v>
      </c>
      <c r="R470" s="260"/>
    </row>
    <row r="471" spans="1:18" x14ac:dyDescent="0.35">
      <c r="B471" s="46" t="s">
        <v>2378</v>
      </c>
      <c r="C471" s="257">
        <v>2.8284394137927706</v>
      </c>
      <c r="D471" s="261">
        <v>54.379266654187418</v>
      </c>
      <c r="E471" s="138" t="s">
        <v>395</v>
      </c>
      <c r="F471" s="402">
        <v>52</v>
      </c>
      <c r="G471" s="1" t="s">
        <v>965</v>
      </c>
      <c r="H471" s="402">
        <v>16</v>
      </c>
      <c r="I471" s="63">
        <v>12</v>
      </c>
      <c r="J471" s="235" t="s">
        <v>292</v>
      </c>
      <c r="K471" s="140">
        <v>72</v>
      </c>
      <c r="L471" t="s">
        <v>194</v>
      </c>
      <c r="M471" t="s">
        <v>2536</v>
      </c>
      <c r="O471" t="s">
        <v>2568</v>
      </c>
      <c r="R471" s="260"/>
    </row>
    <row r="472" spans="1:18" x14ac:dyDescent="0.35">
      <c r="B472" s="46" t="s">
        <v>2377</v>
      </c>
      <c r="C472" s="257">
        <v>3.6058476987817296</v>
      </c>
      <c r="D472" s="261">
        <v>85.467669336497465</v>
      </c>
      <c r="E472" s="138" t="s">
        <v>396</v>
      </c>
      <c r="F472" s="402">
        <v>3</v>
      </c>
      <c r="G472" s="1" t="s">
        <v>118</v>
      </c>
      <c r="H472" s="402">
        <v>21</v>
      </c>
      <c r="I472" s="63">
        <v>12</v>
      </c>
      <c r="J472" s="235" t="s">
        <v>45</v>
      </c>
      <c r="K472" s="140">
        <v>35</v>
      </c>
      <c r="L472" t="s">
        <v>299</v>
      </c>
      <c r="M472" t="s">
        <v>2537</v>
      </c>
      <c r="R472" s="260"/>
    </row>
    <row r="473" spans="1:18" ht="15" thickBot="1" x14ac:dyDescent="0.4">
      <c r="B473" s="46" t="s">
        <v>2378</v>
      </c>
      <c r="C473" s="259">
        <v>5.7933476987817301</v>
      </c>
      <c r="D473" s="262">
        <v>84.061419336497465</v>
      </c>
      <c r="E473" s="222" t="s">
        <v>395</v>
      </c>
      <c r="F473" s="381">
        <v>3</v>
      </c>
      <c r="G473" s="44" t="s">
        <v>118</v>
      </c>
      <c r="H473" s="381">
        <v>17</v>
      </c>
      <c r="I473" s="56">
        <v>14</v>
      </c>
      <c r="J473" s="57" t="s">
        <v>45</v>
      </c>
      <c r="K473" s="141">
        <v>35</v>
      </c>
      <c r="L473" s="12" t="s">
        <v>185</v>
      </c>
      <c r="M473" s="12" t="s">
        <v>2538</v>
      </c>
      <c r="N473" s="86"/>
      <c r="O473" s="86" t="s">
        <v>2567</v>
      </c>
      <c r="R473" s="260"/>
    </row>
    <row r="474" spans="1:18" x14ac:dyDescent="0.35">
      <c r="B474" s="76" t="s">
        <v>2379</v>
      </c>
      <c r="C474" s="257">
        <v>2.2474450675169342</v>
      </c>
      <c r="D474" s="261">
        <v>85.376642456596258</v>
      </c>
      <c r="E474" s="138" t="s">
        <v>395</v>
      </c>
      <c r="F474" s="402">
        <v>13</v>
      </c>
      <c r="G474" s="1" t="s">
        <v>78</v>
      </c>
      <c r="H474" s="402">
        <v>28</v>
      </c>
      <c r="I474" s="63">
        <v>9</v>
      </c>
      <c r="J474" s="235" t="s">
        <v>300</v>
      </c>
      <c r="K474" s="140">
        <v>28</v>
      </c>
      <c r="L474" t="s">
        <v>425</v>
      </c>
      <c r="M474" s="1" t="s">
        <v>2542</v>
      </c>
      <c r="N474" s="1" t="s">
        <v>2953</v>
      </c>
      <c r="R474" s="260"/>
    </row>
    <row r="475" spans="1:18" x14ac:dyDescent="0.35">
      <c r="B475" s="76" t="s">
        <v>2386</v>
      </c>
      <c r="C475" s="257">
        <v>0.16966728973915621</v>
      </c>
      <c r="D475" s="261">
        <v>86.712356742310547</v>
      </c>
      <c r="E475" s="138" t="s">
        <v>396</v>
      </c>
      <c r="F475" s="402">
        <v>13</v>
      </c>
      <c r="G475" s="1" t="s">
        <v>78</v>
      </c>
      <c r="H475" s="402">
        <v>24</v>
      </c>
      <c r="I475" s="63">
        <v>23</v>
      </c>
      <c r="J475" s="235" t="s">
        <v>300</v>
      </c>
      <c r="K475" s="140">
        <v>28</v>
      </c>
      <c r="L475" t="s">
        <v>2168</v>
      </c>
      <c r="M475" t="s">
        <v>2543</v>
      </c>
      <c r="O475" s="85" t="s">
        <v>2972</v>
      </c>
      <c r="R475" s="260"/>
    </row>
    <row r="476" spans="1:18" x14ac:dyDescent="0.35">
      <c r="B476" s="76" t="s">
        <v>2379</v>
      </c>
      <c r="C476" s="257">
        <v>9.4632719390750815</v>
      </c>
      <c r="D476" s="261">
        <v>62.41646803916602</v>
      </c>
      <c r="E476" s="138" t="s">
        <v>395</v>
      </c>
      <c r="F476" s="402">
        <v>2</v>
      </c>
      <c r="G476" s="1" t="s">
        <v>26</v>
      </c>
      <c r="H476" s="402">
        <v>35</v>
      </c>
      <c r="I476" s="63">
        <v>26</v>
      </c>
      <c r="J476" s="235" t="s">
        <v>70</v>
      </c>
      <c r="K476" s="140">
        <v>96</v>
      </c>
      <c r="L476" t="s">
        <v>2168</v>
      </c>
      <c r="M476" t="s">
        <v>2556</v>
      </c>
      <c r="O476" s="84" t="s">
        <v>2559</v>
      </c>
      <c r="R476" s="260"/>
    </row>
    <row r="477" spans="1:18" x14ac:dyDescent="0.35">
      <c r="B477" s="76" t="s">
        <v>2386</v>
      </c>
      <c r="C477" s="257">
        <v>7.3521608279639707</v>
      </c>
      <c r="D477" s="261">
        <v>63.773610896308888</v>
      </c>
      <c r="E477" s="138" t="s">
        <v>396</v>
      </c>
      <c r="F477" s="402">
        <v>2</v>
      </c>
      <c r="G477" s="1" t="s">
        <v>26</v>
      </c>
      <c r="H477" s="402">
        <v>33</v>
      </c>
      <c r="I477" s="63">
        <v>16</v>
      </c>
      <c r="J477" s="235" t="s">
        <v>70</v>
      </c>
      <c r="K477" s="140">
        <v>96</v>
      </c>
      <c r="L477" t="s">
        <v>289</v>
      </c>
      <c r="M477" t="s">
        <v>2557</v>
      </c>
      <c r="O477" s="84" t="s">
        <v>2558</v>
      </c>
      <c r="R477" s="260"/>
    </row>
    <row r="478" spans="1:18" x14ac:dyDescent="0.35">
      <c r="B478" s="76" t="s">
        <v>2381</v>
      </c>
      <c r="C478" s="257">
        <v>-1.9978544245000172</v>
      </c>
      <c r="D478" s="261">
        <v>86.48436563825716</v>
      </c>
      <c r="E478" s="138" t="s">
        <v>396</v>
      </c>
      <c r="F478" s="402">
        <v>27</v>
      </c>
      <c r="G478" s="1" t="s">
        <v>41</v>
      </c>
      <c r="H478" s="402">
        <v>22</v>
      </c>
      <c r="I478" s="63">
        <v>17</v>
      </c>
      <c r="J478" s="235" t="s">
        <v>58</v>
      </c>
      <c r="K478" s="140">
        <v>20</v>
      </c>
      <c r="L478" t="s">
        <v>504</v>
      </c>
      <c r="M478" t="s">
        <v>2561</v>
      </c>
      <c r="O478" t="s">
        <v>2560</v>
      </c>
      <c r="R478" s="260"/>
    </row>
    <row r="479" spans="1:18" x14ac:dyDescent="0.35">
      <c r="B479" s="76" t="s">
        <v>2388</v>
      </c>
      <c r="C479" s="257">
        <v>8.5478908833315798E-2</v>
      </c>
      <c r="D479" s="261">
        <v>84.837906415750012</v>
      </c>
      <c r="E479" s="138" t="s">
        <v>395</v>
      </c>
      <c r="F479" s="402">
        <v>27</v>
      </c>
      <c r="G479" s="1" t="s">
        <v>41</v>
      </c>
      <c r="H479" s="402">
        <v>11</v>
      </c>
      <c r="I479" s="63">
        <v>8</v>
      </c>
      <c r="J479" s="235" t="s">
        <v>58</v>
      </c>
      <c r="K479" s="140">
        <v>20</v>
      </c>
      <c r="L479" t="s">
        <v>187</v>
      </c>
      <c r="M479" t="s">
        <v>2562</v>
      </c>
      <c r="O479" s="85" t="s">
        <v>2566</v>
      </c>
      <c r="R479" s="260"/>
    </row>
    <row r="480" spans="1:18" x14ac:dyDescent="0.35">
      <c r="A480" s="6" t="s">
        <v>2565</v>
      </c>
      <c r="B480" s="76" t="s">
        <v>2381</v>
      </c>
      <c r="C480" s="257">
        <v>7.4522212494779385</v>
      </c>
      <c r="D480" s="261">
        <v>58.887857768192767</v>
      </c>
      <c r="E480" s="138" t="s">
        <v>395</v>
      </c>
      <c r="F480" s="402">
        <v>12</v>
      </c>
      <c r="G480" s="1" t="s">
        <v>60</v>
      </c>
      <c r="H480" s="402">
        <v>20</v>
      </c>
      <c r="I480" s="63">
        <v>10</v>
      </c>
      <c r="J480" s="235" t="s">
        <v>31</v>
      </c>
      <c r="K480" s="140">
        <v>101</v>
      </c>
      <c r="L480" t="s">
        <v>403</v>
      </c>
      <c r="M480" t="s">
        <v>2563</v>
      </c>
      <c r="R480" s="260"/>
    </row>
    <row r="481" spans="1:18" x14ac:dyDescent="0.35">
      <c r="B481" s="76" t="s">
        <v>2388</v>
      </c>
      <c r="C481" s="257">
        <v>5.352221249477938</v>
      </c>
      <c r="D481" s="261">
        <v>60.237857768192761</v>
      </c>
      <c r="E481" s="138" t="s">
        <v>396</v>
      </c>
      <c r="F481" s="402">
        <v>12</v>
      </c>
      <c r="G481" s="1" t="s">
        <v>60</v>
      </c>
      <c r="H481" s="402">
        <v>19</v>
      </c>
      <c r="I481" s="63">
        <v>4</v>
      </c>
      <c r="J481" s="235" t="s">
        <v>31</v>
      </c>
      <c r="K481" s="140">
        <v>101</v>
      </c>
      <c r="L481" t="s">
        <v>872</v>
      </c>
      <c r="M481" s="1" t="s">
        <v>2564</v>
      </c>
      <c r="N481" s="1" t="s">
        <v>2953</v>
      </c>
      <c r="O481" s="85" t="s">
        <v>2973</v>
      </c>
      <c r="R481" s="260"/>
    </row>
    <row r="482" spans="1:18" x14ac:dyDescent="0.35">
      <c r="A482" s="6" t="s">
        <v>2572</v>
      </c>
      <c r="B482" s="76" t="s">
        <v>2383</v>
      </c>
      <c r="C482" s="257">
        <v>-3.0971174273695654</v>
      </c>
      <c r="D482" s="261">
        <v>37.705289774737579</v>
      </c>
      <c r="E482" s="138" t="s">
        <v>396</v>
      </c>
      <c r="F482" s="402">
        <v>99</v>
      </c>
      <c r="G482" s="1" t="s">
        <v>88</v>
      </c>
      <c r="H482" s="402">
        <v>24</v>
      </c>
      <c r="I482" s="63">
        <v>9</v>
      </c>
      <c r="J482" s="235" t="s">
        <v>28</v>
      </c>
      <c r="K482" s="140">
        <v>61</v>
      </c>
      <c r="L482" t="s">
        <v>910</v>
      </c>
      <c r="M482" s="1" t="s">
        <v>2571</v>
      </c>
      <c r="N482" s="1" t="s">
        <v>2953</v>
      </c>
      <c r="R482" s="260"/>
    </row>
    <row r="483" spans="1:18" x14ac:dyDescent="0.35">
      <c r="B483" s="76" t="s">
        <v>2390</v>
      </c>
      <c r="C483" s="257">
        <v>-1.1971174273695657</v>
      </c>
      <c r="D483" s="261">
        <v>36.483861203309012</v>
      </c>
      <c r="E483" s="138" t="s">
        <v>395</v>
      </c>
      <c r="F483" s="402">
        <v>99</v>
      </c>
      <c r="G483" s="1" t="s">
        <v>88</v>
      </c>
      <c r="H483" s="402">
        <v>13</v>
      </c>
      <c r="I483" s="63">
        <v>11</v>
      </c>
      <c r="J483" s="235" t="s">
        <v>28</v>
      </c>
      <c r="K483" s="140">
        <v>61</v>
      </c>
      <c r="L483" t="s">
        <v>186</v>
      </c>
      <c r="M483" t="s">
        <v>2573</v>
      </c>
      <c r="O483" s="85" t="s">
        <v>2574</v>
      </c>
      <c r="R483" s="260"/>
    </row>
    <row r="484" spans="1:18" x14ac:dyDescent="0.35">
      <c r="B484" s="76" t="s">
        <v>2383</v>
      </c>
      <c r="C484" s="257">
        <v>4.323378537580739</v>
      </c>
      <c r="D484" s="261">
        <v>44.787649511555252</v>
      </c>
      <c r="E484" s="138" t="s">
        <v>395</v>
      </c>
      <c r="F484" s="402">
        <v>51</v>
      </c>
      <c r="G484" s="1" t="s">
        <v>42</v>
      </c>
      <c r="H484" s="402">
        <v>21</v>
      </c>
      <c r="I484" s="63">
        <v>4</v>
      </c>
      <c r="J484" s="235" t="s">
        <v>1342</v>
      </c>
      <c r="K484" s="140">
        <v>94</v>
      </c>
      <c r="L484" t="s">
        <v>200</v>
      </c>
      <c r="M484" s="1" t="s">
        <v>2575</v>
      </c>
      <c r="N484" s="1" t="s">
        <v>2953</v>
      </c>
      <c r="R484" s="260"/>
    </row>
    <row r="485" spans="1:18" x14ac:dyDescent="0.35">
      <c r="B485" s="76" t="s">
        <v>2390</v>
      </c>
      <c r="C485" s="257">
        <v>-2.2261563153585162</v>
      </c>
      <c r="D485" s="261">
        <v>48.998064774159054</v>
      </c>
      <c r="E485" s="138" t="s">
        <v>395</v>
      </c>
      <c r="F485" s="402">
        <v>94</v>
      </c>
      <c r="G485" s="1" t="s">
        <v>1342</v>
      </c>
      <c r="H485" s="402">
        <v>17</v>
      </c>
      <c r="I485" s="63">
        <v>9</v>
      </c>
      <c r="J485" s="235" t="s">
        <v>42</v>
      </c>
      <c r="K485" s="140">
        <v>51</v>
      </c>
      <c r="L485" t="s">
        <v>288</v>
      </c>
      <c r="M485" t="s">
        <v>2576</v>
      </c>
      <c r="O485" s="85" t="s">
        <v>2580</v>
      </c>
      <c r="R485" s="260"/>
    </row>
    <row r="486" spans="1:18" x14ac:dyDescent="0.35">
      <c r="B486" s="76" t="s">
        <v>2385</v>
      </c>
      <c r="C486" s="257">
        <v>4.2418795921704886</v>
      </c>
      <c r="D486" s="261">
        <v>82.34427396480956</v>
      </c>
      <c r="E486" s="138" t="s">
        <v>395</v>
      </c>
      <c r="F486" s="402">
        <v>9</v>
      </c>
      <c r="G486" s="1" t="s">
        <v>119</v>
      </c>
      <c r="H486" s="402">
        <v>21</v>
      </c>
      <c r="I486" s="63">
        <v>19</v>
      </c>
      <c r="J486" s="235" t="s">
        <v>788</v>
      </c>
      <c r="K486" s="140">
        <v>40</v>
      </c>
      <c r="L486" t="s">
        <v>504</v>
      </c>
      <c r="M486" t="s">
        <v>2578</v>
      </c>
      <c r="O486" t="s">
        <v>2577</v>
      </c>
      <c r="R486" s="260"/>
    </row>
    <row r="487" spans="1:18" x14ac:dyDescent="0.35">
      <c r="B487" s="76" t="s">
        <v>2392</v>
      </c>
      <c r="C487" s="257">
        <v>2.2141018143927109</v>
      </c>
      <c r="D487" s="261">
        <v>82.826648833604693</v>
      </c>
      <c r="E487" s="138" t="s">
        <v>396</v>
      </c>
      <c r="F487" s="402">
        <v>9</v>
      </c>
      <c r="G487" s="1" t="s">
        <v>119</v>
      </c>
      <c r="H487" s="402">
        <v>16</v>
      </c>
      <c r="I487" s="63">
        <v>11</v>
      </c>
      <c r="J487" s="235" t="s">
        <v>788</v>
      </c>
      <c r="K487" s="140">
        <v>40</v>
      </c>
      <c r="L487" t="s">
        <v>179</v>
      </c>
      <c r="M487" t="s">
        <v>2579</v>
      </c>
      <c r="O487" s="85" t="s">
        <v>2581</v>
      </c>
      <c r="R487" s="260"/>
    </row>
    <row r="488" spans="1:18" x14ac:dyDescent="0.35">
      <c r="A488" s="6" t="s">
        <v>2582</v>
      </c>
      <c r="B488" s="76" t="s">
        <v>2385</v>
      </c>
      <c r="C488" s="257">
        <v>-1.0236055238119417</v>
      </c>
      <c r="D488" s="261">
        <v>78.368409186396079</v>
      </c>
      <c r="E488" s="138" t="s">
        <v>396</v>
      </c>
      <c r="F488" s="402">
        <v>31</v>
      </c>
      <c r="G488" s="1" t="s">
        <v>75</v>
      </c>
      <c r="H488" s="402">
        <v>17</v>
      </c>
      <c r="I488" s="63">
        <v>13</v>
      </c>
      <c r="J488" s="235" t="s">
        <v>57</v>
      </c>
      <c r="K488" s="140">
        <v>32</v>
      </c>
      <c r="L488" t="s">
        <v>332</v>
      </c>
      <c r="M488" t="s">
        <v>2583</v>
      </c>
      <c r="O488" t="s">
        <v>1490</v>
      </c>
      <c r="R488" s="260"/>
    </row>
    <row r="489" spans="1:18" x14ac:dyDescent="0.35">
      <c r="B489" s="76" t="s">
        <v>2392</v>
      </c>
      <c r="C489" s="257">
        <v>1.0875055872991695</v>
      </c>
      <c r="D489" s="261">
        <v>76.519639265307688</v>
      </c>
      <c r="E489" s="138" t="s">
        <v>395</v>
      </c>
      <c r="F489" s="402">
        <v>31</v>
      </c>
      <c r="G489" s="1" t="s">
        <v>75</v>
      </c>
      <c r="H489" s="402">
        <v>19</v>
      </c>
      <c r="I489" s="63">
        <v>9</v>
      </c>
      <c r="J489" s="235" t="s">
        <v>57</v>
      </c>
      <c r="K489" s="140">
        <v>32</v>
      </c>
      <c r="L489" t="s">
        <v>360</v>
      </c>
      <c r="M489" t="s">
        <v>2584</v>
      </c>
      <c r="O489" s="85" t="s">
        <v>2585</v>
      </c>
      <c r="R489" s="260"/>
    </row>
    <row r="490" spans="1:18" x14ac:dyDescent="0.35">
      <c r="B490" s="76" t="s">
        <v>2380</v>
      </c>
      <c r="C490" s="257">
        <v>2.5657906981923335</v>
      </c>
      <c r="D490" s="261">
        <v>62.551455979733504</v>
      </c>
      <c r="E490" s="138" t="s">
        <v>396</v>
      </c>
      <c r="F490" s="402">
        <v>26</v>
      </c>
      <c r="G490" s="1" t="s">
        <v>69</v>
      </c>
      <c r="H490" s="402">
        <v>15</v>
      </c>
      <c r="I490" s="63">
        <v>10</v>
      </c>
      <c r="J490" s="235" t="s">
        <v>37</v>
      </c>
      <c r="K490" s="140">
        <v>73</v>
      </c>
      <c r="L490" t="s">
        <v>296</v>
      </c>
      <c r="M490" t="s">
        <v>2586</v>
      </c>
      <c r="R490" s="260"/>
    </row>
    <row r="491" spans="1:18" x14ac:dyDescent="0.35">
      <c r="B491" s="76" t="s">
        <v>2387</v>
      </c>
      <c r="C491" s="257">
        <v>4.7657906981923333</v>
      </c>
      <c r="D491" s="261">
        <v>61.137170265447779</v>
      </c>
      <c r="E491" s="138" t="s">
        <v>395</v>
      </c>
      <c r="F491" s="402">
        <v>26</v>
      </c>
      <c r="G491" s="1" t="s">
        <v>69</v>
      </c>
      <c r="H491" s="402">
        <v>21</v>
      </c>
      <c r="I491" s="63">
        <v>6</v>
      </c>
      <c r="J491" s="235" t="s">
        <v>37</v>
      </c>
      <c r="K491" s="140">
        <v>73</v>
      </c>
      <c r="L491" t="s">
        <v>447</v>
      </c>
      <c r="M491" s="1" t="s">
        <v>2587</v>
      </c>
      <c r="N491" s="1" t="s">
        <v>2953</v>
      </c>
      <c r="O491" s="85" t="s">
        <v>2974</v>
      </c>
      <c r="R491" s="260"/>
    </row>
    <row r="492" spans="1:18" x14ac:dyDescent="0.35">
      <c r="B492" s="76" t="s">
        <v>2380</v>
      </c>
      <c r="C492" s="257">
        <v>5.0055091189997452</v>
      </c>
      <c r="D492" s="261">
        <v>90.59467270921445</v>
      </c>
      <c r="E492" s="138" t="s">
        <v>395</v>
      </c>
      <c r="F492" s="402">
        <v>1</v>
      </c>
      <c r="G492" s="1" t="s">
        <v>87</v>
      </c>
      <c r="H492" s="402">
        <v>18</v>
      </c>
      <c r="I492" s="63">
        <v>13</v>
      </c>
      <c r="J492" s="235" t="s">
        <v>49</v>
      </c>
      <c r="K492" s="140">
        <v>21</v>
      </c>
      <c r="L492" t="s">
        <v>334</v>
      </c>
      <c r="M492" t="s">
        <v>2588</v>
      </c>
      <c r="R492" s="260"/>
    </row>
    <row r="493" spans="1:18" x14ac:dyDescent="0.35">
      <c r="B493" s="76" t="s">
        <v>2387</v>
      </c>
      <c r="C493" s="257">
        <v>2.6166202301108559</v>
      </c>
      <c r="D493" s="261">
        <v>92.130386994928742</v>
      </c>
      <c r="E493" s="138" t="s">
        <v>396</v>
      </c>
      <c r="F493" s="402">
        <v>1</v>
      </c>
      <c r="G493" s="1" t="s">
        <v>87</v>
      </c>
      <c r="H493" s="402">
        <v>13</v>
      </c>
      <c r="I493" s="63">
        <v>6</v>
      </c>
      <c r="J493" s="235" t="s">
        <v>49</v>
      </c>
      <c r="K493" s="140">
        <v>21</v>
      </c>
      <c r="L493" t="s">
        <v>291</v>
      </c>
      <c r="M493" t="s">
        <v>2589</v>
      </c>
      <c r="O493" s="85" t="s">
        <v>2649</v>
      </c>
      <c r="R493" s="260"/>
    </row>
    <row r="494" spans="1:18" x14ac:dyDescent="0.35">
      <c r="A494" s="6" t="s">
        <v>2682</v>
      </c>
      <c r="B494" s="76" t="s">
        <v>2382</v>
      </c>
      <c r="C494" s="257">
        <v>2.4510291844080712</v>
      </c>
      <c r="D494" s="261">
        <v>85.24576695288053</v>
      </c>
      <c r="E494" s="138" t="s">
        <v>396</v>
      </c>
      <c r="F494" s="402">
        <v>5</v>
      </c>
      <c r="G494" s="1" t="s">
        <v>966</v>
      </c>
      <c r="H494" s="402">
        <v>14</v>
      </c>
      <c r="I494" s="63">
        <v>9</v>
      </c>
      <c r="J494" s="235" t="s">
        <v>62</v>
      </c>
      <c r="K494" s="140">
        <v>36</v>
      </c>
      <c r="L494" t="s">
        <v>403</v>
      </c>
      <c r="M494" t="s">
        <v>2646</v>
      </c>
      <c r="R494" s="260"/>
    </row>
    <row r="495" spans="1:18" x14ac:dyDescent="0.35">
      <c r="B495" s="76" t="s">
        <v>2389</v>
      </c>
      <c r="C495" s="257">
        <v>4.7579736288525156</v>
      </c>
      <c r="D495" s="261">
        <v>83.76273123859481</v>
      </c>
      <c r="E495" s="138" t="s">
        <v>395</v>
      </c>
      <c r="F495" s="402">
        <v>5</v>
      </c>
      <c r="G495" s="1" t="s">
        <v>966</v>
      </c>
      <c r="H495" s="402">
        <v>18</v>
      </c>
      <c r="I495" s="63">
        <v>16</v>
      </c>
      <c r="J495" s="235" t="s">
        <v>62</v>
      </c>
      <c r="K495" s="140">
        <v>36</v>
      </c>
      <c r="L495" t="s">
        <v>294</v>
      </c>
      <c r="M495" t="s">
        <v>2647</v>
      </c>
      <c r="O495" s="85" t="s">
        <v>2650</v>
      </c>
      <c r="R495" s="260"/>
    </row>
    <row r="496" spans="1:18" x14ac:dyDescent="0.35">
      <c r="B496" s="76" t="s">
        <v>2382</v>
      </c>
      <c r="C496" s="257">
        <v>6.1081426690874006</v>
      </c>
      <c r="D496" s="261">
        <v>76.144765427015244</v>
      </c>
      <c r="E496" s="138" t="s">
        <v>395</v>
      </c>
      <c r="F496" s="402">
        <v>6</v>
      </c>
      <c r="G496" s="1" t="s">
        <v>795</v>
      </c>
      <c r="H496" s="402">
        <v>23</v>
      </c>
      <c r="I496" s="63">
        <v>15</v>
      </c>
      <c r="J496" s="235" t="s">
        <v>79</v>
      </c>
      <c r="K496" s="140">
        <v>56</v>
      </c>
      <c r="L496" t="s">
        <v>533</v>
      </c>
      <c r="M496" t="s">
        <v>2648</v>
      </c>
      <c r="R496" s="260"/>
    </row>
    <row r="497" spans="1:18" x14ac:dyDescent="0.35">
      <c r="B497" s="76" t="s">
        <v>2389</v>
      </c>
      <c r="C497" s="257">
        <v>-3.7164760024207335</v>
      </c>
      <c r="D497" s="261">
        <v>82.4605917158419</v>
      </c>
      <c r="E497" s="138" t="s">
        <v>395</v>
      </c>
      <c r="F497" s="402">
        <v>56</v>
      </c>
      <c r="G497" s="1" t="s">
        <v>79</v>
      </c>
      <c r="H497" s="402">
        <v>16</v>
      </c>
      <c r="I497" s="63">
        <v>8</v>
      </c>
      <c r="J497" s="235" t="s">
        <v>795</v>
      </c>
      <c r="K497" s="140">
        <v>6</v>
      </c>
      <c r="L497" t="s">
        <v>341</v>
      </c>
      <c r="M497" t="s">
        <v>2651</v>
      </c>
      <c r="N497" s="92" t="s">
        <v>3338</v>
      </c>
      <c r="O497" s="333" t="s">
        <v>3895</v>
      </c>
      <c r="R497" s="260"/>
    </row>
    <row r="498" spans="1:18" x14ac:dyDescent="0.35">
      <c r="B498" s="76" t="s">
        <v>2384</v>
      </c>
      <c r="C498" s="257">
        <v>-1.7350209390671065</v>
      </c>
      <c r="D498" s="261">
        <v>94.084120603685989</v>
      </c>
      <c r="E498" s="138" t="s">
        <v>396</v>
      </c>
      <c r="F498" s="402">
        <v>15</v>
      </c>
      <c r="G498" s="1" t="s">
        <v>36</v>
      </c>
      <c r="H498" s="402">
        <v>27</v>
      </c>
      <c r="I498" s="63">
        <v>7</v>
      </c>
      <c r="J498" s="235" t="s">
        <v>59</v>
      </c>
      <c r="K498" s="140">
        <v>10</v>
      </c>
      <c r="L498" t="s">
        <v>546</v>
      </c>
      <c r="M498" s="1" t="s">
        <v>2652</v>
      </c>
      <c r="N498" s="1" t="s">
        <v>2953</v>
      </c>
      <c r="R498" s="260"/>
    </row>
    <row r="499" spans="1:18" x14ac:dyDescent="0.35">
      <c r="B499" s="76" t="s">
        <v>2391</v>
      </c>
      <c r="C499" s="257">
        <v>-0.2698452778731979</v>
      </c>
      <c r="D499" s="261">
        <v>93.142221964347058</v>
      </c>
      <c r="E499" s="138" t="s">
        <v>396</v>
      </c>
      <c r="F499" s="402">
        <v>10</v>
      </c>
      <c r="G499" s="1" t="s">
        <v>59</v>
      </c>
      <c r="H499" s="402">
        <v>11</v>
      </c>
      <c r="I499" s="63">
        <v>8</v>
      </c>
      <c r="J499" s="235" t="s">
        <v>36</v>
      </c>
      <c r="K499" s="140">
        <v>15</v>
      </c>
      <c r="L499" t="s">
        <v>360</v>
      </c>
      <c r="M499" t="s">
        <v>2653</v>
      </c>
      <c r="O499" s="85" t="s">
        <v>2654</v>
      </c>
      <c r="R499" s="260"/>
    </row>
    <row r="500" spans="1:18" x14ac:dyDescent="0.35">
      <c r="B500" s="76" t="s">
        <v>2384</v>
      </c>
      <c r="C500" s="257">
        <v>-1.7728100949087195</v>
      </c>
      <c r="D500" s="261">
        <v>40.871806489584181</v>
      </c>
      <c r="E500" s="138" t="s">
        <v>396</v>
      </c>
      <c r="F500" s="402">
        <v>76</v>
      </c>
      <c r="G500" s="1" t="s">
        <v>783</v>
      </c>
      <c r="H500" s="402">
        <v>17</v>
      </c>
      <c r="I500" s="63">
        <v>8</v>
      </c>
      <c r="J500" s="235" t="s">
        <v>3913</v>
      </c>
      <c r="K500" s="140">
        <v>74</v>
      </c>
      <c r="L500" t="s">
        <v>360</v>
      </c>
      <c r="M500" t="s">
        <v>2655</v>
      </c>
      <c r="R500" s="260"/>
    </row>
    <row r="501" spans="1:18" x14ac:dyDescent="0.35">
      <c r="B501" s="76" t="s">
        <v>2391</v>
      </c>
      <c r="C501" s="257">
        <v>0.92163434953572465</v>
      </c>
      <c r="D501" s="261">
        <v>39.139663632441327</v>
      </c>
      <c r="E501" s="138" t="s">
        <v>395</v>
      </c>
      <c r="F501" s="402">
        <v>76</v>
      </c>
      <c r="G501" s="1" t="s">
        <v>783</v>
      </c>
      <c r="H501" s="402">
        <v>19</v>
      </c>
      <c r="I501" s="63">
        <v>16</v>
      </c>
      <c r="J501" s="235" t="s">
        <v>3913</v>
      </c>
      <c r="K501" s="140">
        <v>74</v>
      </c>
      <c r="L501" t="s">
        <v>942</v>
      </c>
      <c r="M501" t="s">
        <v>2656</v>
      </c>
      <c r="O501" s="85" t="s">
        <v>2661</v>
      </c>
      <c r="R501" s="260"/>
    </row>
    <row r="502" spans="1:18" x14ac:dyDescent="0.35">
      <c r="B502" s="76" t="s">
        <v>2628</v>
      </c>
      <c r="C502" s="257">
        <v>3.5857425535563223</v>
      </c>
      <c r="D502" s="261">
        <v>64.90916550128523</v>
      </c>
      <c r="E502" s="138" t="s">
        <v>396</v>
      </c>
      <c r="F502" s="402">
        <v>19</v>
      </c>
      <c r="G502" s="1" t="s">
        <v>34</v>
      </c>
      <c r="H502" s="402">
        <v>13</v>
      </c>
      <c r="I502" s="63">
        <v>11</v>
      </c>
      <c r="J502" s="235" t="s">
        <v>792</v>
      </c>
      <c r="K502" s="140">
        <v>83</v>
      </c>
      <c r="L502" t="s">
        <v>400</v>
      </c>
      <c r="M502" t="s">
        <v>2659</v>
      </c>
      <c r="R502" s="260"/>
    </row>
    <row r="503" spans="1:18" x14ac:dyDescent="0.35">
      <c r="B503" s="76" t="s">
        <v>2629</v>
      </c>
      <c r="C503" s="257">
        <v>5.7440758868896546</v>
      </c>
      <c r="D503" s="261">
        <v>63.521665501285227</v>
      </c>
      <c r="E503" s="138" t="s">
        <v>395</v>
      </c>
      <c r="F503" s="402">
        <v>19</v>
      </c>
      <c r="G503" s="1" t="s">
        <v>34</v>
      </c>
      <c r="H503" s="402">
        <v>19</v>
      </c>
      <c r="I503" s="63">
        <v>17</v>
      </c>
      <c r="J503" s="235" t="s">
        <v>792</v>
      </c>
      <c r="K503" s="140">
        <v>83</v>
      </c>
      <c r="L503" t="s">
        <v>533</v>
      </c>
      <c r="M503" t="s">
        <v>2660</v>
      </c>
      <c r="O503" s="85" t="s">
        <v>2662</v>
      </c>
      <c r="R503" s="260"/>
    </row>
    <row r="504" spans="1:18" x14ac:dyDescent="0.35">
      <c r="B504" s="76" t="s">
        <v>2628</v>
      </c>
      <c r="C504" s="257">
        <v>3.8321855829337945</v>
      </c>
      <c r="D504" s="261">
        <v>80.500737839542552</v>
      </c>
      <c r="E504" s="138" t="s">
        <v>395</v>
      </c>
      <c r="F504" s="402">
        <v>11</v>
      </c>
      <c r="G504" s="1" t="s">
        <v>46</v>
      </c>
      <c r="H504" s="402">
        <v>19</v>
      </c>
      <c r="I504" s="63">
        <v>11</v>
      </c>
      <c r="J504" s="235" t="s">
        <v>961</v>
      </c>
      <c r="K504" s="140">
        <v>42</v>
      </c>
      <c r="L504" t="s">
        <v>296</v>
      </c>
      <c r="M504" t="s">
        <v>2679</v>
      </c>
      <c r="R504" s="260"/>
    </row>
    <row r="505" spans="1:18" ht="15" thickBot="1" x14ac:dyDescent="0.4">
      <c r="B505" s="77" t="s">
        <v>2629</v>
      </c>
      <c r="C505" s="259">
        <v>1.5627411384893506</v>
      </c>
      <c r="D505" s="262">
        <v>81.959666410971138</v>
      </c>
      <c r="E505" s="222" t="s">
        <v>396</v>
      </c>
      <c r="F505" s="381">
        <v>11</v>
      </c>
      <c r="G505" s="44" t="s">
        <v>46</v>
      </c>
      <c r="H505" s="381">
        <v>20</v>
      </c>
      <c r="I505" s="56">
        <v>12</v>
      </c>
      <c r="J505" s="57" t="s">
        <v>961</v>
      </c>
      <c r="K505" s="141">
        <v>42</v>
      </c>
      <c r="L505" s="12" t="s">
        <v>184</v>
      </c>
      <c r="M505" s="12" t="s">
        <v>2680</v>
      </c>
      <c r="N505" s="86"/>
      <c r="O505" s="86" t="s">
        <v>2681</v>
      </c>
      <c r="R505" s="260"/>
    </row>
    <row r="506" spans="1:18" x14ac:dyDescent="0.35">
      <c r="B506" s="76" t="s">
        <v>2393</v>
      </c>
      <c r="C506" s="257">
        <v>3.087253279371422</v>
      </c>
      <c r="D506" s="261">
        <v>49.548019273555923</v>
      </c>
      <c r="E506" s="138" t="s">
        <v>395</v>
      </c>
      <c r="F506" s="402">
        <v>52</v>
      </c>
      <c r="G506" s="1" t="s">
        <v>965</v>
      </c>
      <c r="H506" s="402">
        <v>17</v>
      </c>
      <c r="I506" s="63">
        <v>10</v>
      </c>
      <c r="J506" s="235" t="s">
        <v>24</v>
      </c>
      <c r="K506" s="140">
        <v>79</v>
      </c>
      <c r="L506" t="s">
        <v>190</v>
      </c>
      <c r="M506" t="s">
        <v>2689</v>
      </c>
      <c r="R506" s="260"/>
    </row>
    <row r="507" spans="1:18" x14ac:dyDescent="0.35">
      <c r="B507" s="76" t="s">
        <v>2396</v>
      </c>
      <c r="C507" s="257">
        <v>-0.94836439048253263</v>
      </c>
      <c r="D507" s="261">
        <v>52.199996599459951</v>
      </c>
      <c r="E507" s="138" t="s">
        <v>395</v>
      </c>
      <c r="F507" s="402">
        <v>79</v>
      </c>
      <c r="G507" s="1" t="s">
        <v>24</v>
      </c>
      <c r="H507" s="402">
        <v>18</v>
      </c>
      <c r="I507" s="63">
        <v>11</v>
      </c>
      <c r="J507" s="235" t="s">
        <v>965</v>
      </c>
      <c r="K507" s="140">
        <v>52</v>
      </c>
      <c r="L507" t="s">
        <v>334</v>
      </c>
      <c r="M507" t="s">
        <v>2690</v>
      </c>
      <c r="N507" s="92" t="s">
        <v>3338</v>
      </c>
      <c r="O507" s="333" t="s">
        <v>3896</v>
      </c>
      <c r="R507" s="260"/>
    </row>
    <row r="508" spans="1:18" x14ac:dyDescent="0.35">
      <c r="A508" s="6" t="s">
        <v>2693</v>
      </c>
      <c r="B508" s="76" t="s">
        <v>2393</v>
      </c>
      <c r="C508" s="257">
        <v>-5.1801392308907692</v>
      </c>
      <c r="D508" s="261">
        <v>87.304091494585364</v>
      </c>
      <c r="E508" s="138" t="s">
        <v>396</v>
      </c>
      <c r="F508" s="402">
        <v>45</v>
      </c>
      <c r="G508" s="1" t="s">
        <v>53</v>
      </c>
      <c r="H508" s="402">
        <v>15</v>
      </c>
      <c r="I508" s="63">
        <v>14</v>
      </c>
      <c r="J508" s="235" t="s">
        <v>40</v>
      </c>
      <c r="K508" s="140">
        <v>4</v>
      </c>
      <c r="L508" t="s">
        <v>286</v>
      </c>
      <c r="M508" t="s">
        <v>2691</v>
      </c>
      <c r="R508" s="260"/>
    </row>
    <row r="509" spans="1:18" x14ac:dyDescent="0.35">
      <c r="B509" s="76" t="s">
        <v>2396</v>
      </c>
      <c r="C509" s="257">
        <v>3.3051392308907697</v>
      </c>
      <c r="D509" s="261">
        <v>81.728051362557494</v>
      </c>
      <c r="E509" s="138" t="s">
        <v>396</v>
      </c>
      <c r="F509" s="402">
        <v>4</v>
      </c>
      <c r="G509" s="1" t="s">
        <v>40</v>
      </c>
      <c r="H509" s="402">
        <v>13</v>
      </c>
      <c r="I509" s="63">
        <v>3</v>
      </c>
      <c r="J509" s="235" t="s">
        <v>53</v>
      </c>
      <c r="K509" s="140">
        <v>45</v>
      </c>
      <c r="L509" t="s">
        <v>341</v>
      </c>
      <c r="M509" s="1" t="s">
        <v>2692</v>
      </c>
      <c r="N509" s="1" t="s">
        <v>2953</v>
      </c>
      <c r="O509" s="85" t="s">
        <v>2975</v>
      </c>
      <c r="R509" s="260"/>
    </row>
    <row r="510" spans="1:18" x14ac:dyDescent="0.35">
      <c r="B510" s="76" t="s">
        <v>2394</v>
      </c>
      <c r="C510" s="257">
        <v>-3.6308544928598603</v>
      </c>
      <c r="D510" s="261">
        <v>96.635990095307918</v>
      </c>
      <c r="E510" s="138" t="s">
        <v>396</v>
      </c>
      <c r="F510" s="402">
        <v>17</v>
      </c>
      <c r="G510" s="1" t="s">
        <v>77</v>
      </c>
      <c r="H510" s="402">
        <v>16</v>
      </c>
      <c r="I510" s="63">
        <v>14</v>
      </c>
      <c r="J510" s="235" t="s">
        <v>118</v>
      </c>
      <c r="K510" s="140">
        <v>3</v>
      </c>
      <c r="L510" t="s">
        <v>334</v>
      </c>
      <c r="M510" t="s">
        <v>2694</v>
      </c>
      <c r="R510" s="260"/>
    </row>
    <row r="511" spans="1:18" x14ac:dyDescent="0.35">
      <c r="B511" s="76" t="s">
        <v>2397</v>
      </c>
      <c r="C511" s="257">
        <v>1.6308544928598603</v>
      </c>
      <c r="D511" s="261">
        <v>93.178295618977799</v>
      </c>
      <c r="E511" s="138" t="s">
        <v>396</v>
      </c>
      <c r="F511" s="402">
        <v>3</v>
      </c>
      <c r="G511" s="1" t="s">
        <v>118</v>
      </c>
      <c r="H511" s="402">
        <v>15</v>
      </c>
      <c r="I511" s="63">
        <v>11</v>
      </c>
      <c r="J511" s="235" t="s">
        <v>77</v>
      </c>
      <c r="K511" s="140">
        <v>17</v>
      </c>
      <c r="L511" t="s">
        <v>179</v>
      </c>
      <c r="M511" t="s">
        <v>2695</v>
      </c>
      <c r="O511" s="85" t="s">
        <v>2976</v>
      </c>
      <c r="R511" s="260"/>
    </row>
    <row r="512" spans="1:18" x14ac:dyDescent="0.35">
      <c r="B512" s="76" t="s">
        <v>2394</v>
      </c>
      <c r="C512" s="257">
        <v>1.2724776462017531</v>
      </c>
      <c r="D512" s="261">
        <v>59.981657546781705</v>
      </c>
      <c r="E512" s="138" t="s">
        <v>396</v>
      </c>
      <c r="F512" s="402">
        <v>35</v>
      </c>
      <c r="G512" s="1" t="s">
        <v>45</v>
      </c>
      <c r="H512" s="402">
        <v>14</v>
      </c>
      <c r="I512" s="63">
        <v>9</v>
      </c>
      <c r="J512" s="235" t="s">
        <v>32</v>
      </c>
      <c r="K512" s="140">
        <v>71</v>
      </c>
      <c r="L512" t="s">
        <v>299</v>
      </c>
      <c r="M512" t="s">
        <v>2696</v>
      </c>
      <c r="R512" s="260"/>
    </row>
    <row r="513" spans="1:18" x14ac:dyDescent="0.35">
      <c r="B513" s="76" t="s">
        <v>2397</v>
      </c>
      <c r="C513" s="257">
        <v>2.972477646201753</v>
      </c>
      <c r="D513" s="261">
        <v>58.864514689638845</v>
      </c>
      <c r="E513" s="138" t="s">
        <v>395</v>
      </c>
      <c r="F513" s="402">
        <v>35</v>
      </c>
      <c r="G513" s="1" t="s">
        <v>45</v>
      </c>
      <c r="H513" s="402">
        <v>20</v>
      </c>
      <c r="I513" s="63">
        <v>3</v>
      </c>
      <c r="J513" s="235" t="s">
        <v>32</v>
      </c>
      <c r="K513" s="140">
        <v>71</v>
      </c>
      <c r="L513" t="s">
        <v>489</v>
      </c>
      <c r="M513" s="1" t="s">
        <v>2697</v>
      </c>
      <c r="N513" s="1" t="s">
        <v>2953</v>
      </c>
      <c r="O513" s="85" t="s">
        <v>2977</v>
      </c>
      <c r="R513" s="260"/>
    </row>
    <row r="514" spans="1:18" x14ac:dyDescent="0.35">
      <c r="A514" s="6" t="s">
        <v>2699</v>
      </c>
      <c r="B514" s="76" t="s">
        <v>2395</v>
      </c>
      <c r="C514" s="257">
        <v>0.51750000447026612</v>
      </c>
      <c r="D514" s="261">
        <v>60.847428568490969</v>
      </c>
      <c r="E514" s="138" t="s">
        <v>395</v>
      </c>
      <c r="F514" s="402">
        <v>55</v>
      </c>
      <c r="G514" s="1" t="s">
        <v>114</v>
      </c>
      <c r="H514" s="402">
        <v>21</v>
      </c>
      <c r="I514" s="63">
        <v>13</v>
      </c>
      <c r="J514" s="235" t="s">
        <v>43</v>
      </c>
      <c r="K514" s="140">
        <v>50</v>
      </c>
      <c r="L514" t="s">
        <v>178</v>
      </c>
      <c r="M514" s="1" t="s">
        <v>2698</v>
      </c>
      <c r="N514" s="1" t="s">
        <v>2953</v>
      </c>
      <c r="R514" s="260"/>
    </row>
    <row r="515" spans="1:18" x14ac:dyDescent="0.35">
      <c r="B515" s="76" t="s">
        <v>2398</v>
      </c>
      <c r="C515" s="257">
        <v>1.5674999945363415</v>
      </c>
      <c r="D515" s="261">
        <v>60.157428575018976</v>
      </c>
      <c r="E515" s="138" t="s">
        <v>395</v>
      </c>
      <c r="F515" s="402">
        <v>50</v>
      </c>
      <c r="G515" s="1" t="s">
        <v>43</v>
      </c>
      <c r="H515" s="402">
        <v>19</v>
      </c>
      <c r="I515" s="63">
        <v>6</v>
      </c>
      <c r="J515" s="235" t="s">
        <v>114</v>
      </c>
      <c r="K515" s="140">
        <v>55</v>
      </c>
      <c r="L515" t="s">
        <v>495</v>
      </c>
      <c r="M515" s="1" t="s">
        <v>2701</v>
      </c>
      <c r="N515" s="1" t="s">
        <v>2953</v>
      </c>
      <c r="O515" s="85" t="s">
        <v>2978</v>
      </c>
      <c r="R515" s="260"/>
    </row>
    <row r="516" spans="1:18" x14ac:dyDescent="0.35">
      <c r="B516" s="76" t="s">
        <v>2395</v>
      </c>
      <c r="C516" s="257">
        <v>-0.20055211217838295</v>
      </c>
      <c r="D516" s="261">
        <v>79.431791388002935</v>
      </c>
      <c r="E516" s="138" t="s">
        <v>395</v>
      </c>
      <c r="F516" s="402">
        <v>41</v>
      </c>
      <c r="G516" s="1" t="s">
        <v>1302</v>
      </c>
      <c r="H516" s="402">
        <v>13</v>
      </c>
      <c r="I516" s="63">
        <v>11</v>
      </c>
      <c r="J516" s="235" t="s">
        <v>790</v>
      </c>
      <c r="K516" s="140">
        <v>22</v>
      </c>
      <c r="L516" t="s">
        <v>400</v>
      </c>
      <c r="M516" t="s">
        <v>2702</v>
      </c>
      <c r="O516" s="85" t="s">
        <v>2703</v>
      </c>
      <c r="R516" s="260"/>
    </row>
    <row r="517" spans="1:18" x14ac:dyDescent="0.35">
      <c r="B517" s="76" t="s">
        <v>2398</v>
      </c>
      <c r="C517" s="257">
        <v>2.2324965566228272</v>
      </c>
      <c r="D517" s="261">
        <v>77.832930834219283</v>
      </c>
      <c r="E517" s="138" t="s">
        <v>395</v>
      </c>
      <c r="F517" s="402">
        <v>22</v>
      </c>
      <c r="G517" s="1" t="s">
        <v>790</v>
      </c>
      <c r="H517" s="402">
        <v>20</v>
      </c>
      <c r="I517" s="63">
        <v>19</v>
      </c>
      <c r="J517" s="235" t="s">
        <v>1302</v>
      </c>
      <c r="K517" s="140">
        <v>41</v>
      </c>
      <c r="L517" t="s">
        <v>194</v>
      </c>
      <c r="M517" t="s">
        <v>2704</v>
      </c>
      <c r="N517" s="92" t="s">
        <v>2954</v>
      </c>
      <c r="O517" s="85" t="s">
        <v>2979</v>
      </c>
      <c r="R517" s="260"/>
    </row>
    <row r="518" spans="1:18" x14ac:dyDescent="0.35">
      <c r="B518" s="76" t="s">
        <v>2399</v>
      </c>
      <c r="C518" s="257">
        <v>4.2404282782467444</v>
      </c>
      <c r="D518" s="261">
        <v>85.381153249698528</v>
      </c>
      <c r="E518" s="138" t="s">
        <v>395</v>
      </c>
      <c r="F518" s="402">
        <v>8</v>
      </c>
      <c r="G518" s="1" t="s">
        <v>962</v>
      </c>
      <c r="H518" s="402">
        <v>16</v>
      </c>
      <c r="I518" s="63">
        <v>13</v>
      </c>
      <c r="J518" s="235" t="s">
        <v>66</v>
      </c>
      <c r="K518" s="140">
        <v>29</v>
      </c>
      <c r="L518" t="s">
        <v>369</v>
      </c>
      <c r="M518" t="s">
        <v>2705</v>
      </c>
      <c r="N518" s="92" t="s">
        <v>2954</v>
      </c>
      <c r="O518" t="s">
        <v>2980</v>
      </c>
      <c r="R518" s="260"/>
    </row>
    <row r="519" spans="1:18" x14ac:dyDescent="0.35">
      <c r="B519" s="76" t="s">
        <v>2402</v>
      </c>
      <c r="C519" s="257">
        <v>1.1848727226911888</v>
      </c>
      <c r="D519" s="261">
        <v>87.064226496517222</v>
      </c>
      <c r="E519" s="138" t="s">
        <v>396</v>
      </c>
      <c r="F519" s="402">
        <v>8</v>
      </c>
      <c r="G519" s="1" t="s">
        <v>962</v>
      </c>
      <c r="H519" s="402">
        <v>16</v>
      </c>
      <c r="I519" s="63">
        <v>13</v>
      </c>
      <c r="J519" s="235" t="s">
        <v>66</v>
      </c>
      <c r="K519" s="140">
        <v>29</v>
      </c>
      <c r="L519" t="s">
        <v>347</v>
      </c>
      <c r="M519" t="s">
        <v>2706</v>
      </c>
      <c r="O519" s="85" t="s">
        <v>2707</v>
      </c>
      <c r="R519" s="260"/>
    </row>
    <row r="520" spans="1:18" x14ac:dyDescent="0.35">
      <c r="B520" s="76" t="s">
        <v>2399</v>
      </c>
      <c r="C520" s="257">
        <v>3.4033163340704378</v>
      </c>
      <c r="D520" s="261">
        <v>59.320677837610859</v>
      </c>
      <c r="E520" s="138" t="s">
        <v>395</v>
      </c>
      <c r="F520" s="402">
        <v>34</v>
      </c>
      <c r="G520" s="1" t="s">
        <v>50</v>
      </c>
      <c r="H520" s="402">
        <v>17</v>
      </c>
      <c r="I520" s="63">
        <v>8</v>
      </c>
      <c r="J520" s="235" t="s">
        <v>784</v>
      </c>
      <c r="K520" s="140">
        <v>70</v>
      </c>
      <c r="L520" t="s">
        <v>190</v>
      </c>
      <c r="M520" t="s">
        <v>2713</v>
      </c>
      <c r="R520" s="260"/>
    </row>
    <row r="521" spans="1:18" x14ac:dyDescent="0.35">
      <c r="B521" s="76" t="s">
        <v>2402</v>
      </c>
      <c r="C521" s="257">
        <v>-1.186649667403771</v>
      </c>
      <c r="D521" s="261">
        <v>62.336941210008192</v>
      </c>
      <c r="E521" s="138" t="s">
        <v>395</v>
      </c>
      <c r="F521" s="402">
        <v>70</v>
      </c>
      <c r="G521" s="1" t="s">
        <v>784</v>
      </c>
      <c r="H521" s="402">
        <v>15</v>
      </c>
      <c r="I521" s="63">
        <v>10</v>
      </c>
      <c r="J521" s="235" t="s">
        <v>50</v>
      </c>
      <c r="K521" s="140">
        <v>34</v>
      </c>
      <c r="L521" t="s">
        <v>201</v>
      </c>
      <c r="M521" t="s">
        <v>2714</v>
      </c>
      <c r="O521" s="85" t="s">
        <v>2715</v>
      </c>
      <c r="R521" s="260"/>
    </row>
    <row r="522" spans="1:18" x14ac:dyDescent="0.35">
      <c r="B522" s="76" t="s">
        <v>2400</v>
      </c>
      <c r="C522" s="257">
        <v>0.33385022333946213</v>
      </c>
      <c r="D522" s="261">
        <v>27.084184138948352</v>
      </c>
      <c r="E522" s="138" t="s">
        <v>395</v>
      </c>
      <c r="F522" s="402">
        <v>97</v>
      </c>
      <c r="G522" s="1" t="s">
        <v>959</v>
      </c>
      <c r="H522" s="402">
        <v>15</v>
      </c>
      <c r="I522" s="63">
        <v>13</v>
      </c>
      <c r="J522" s="235" t="s">
        <v>794</v>
      </c>
      <c r="K522" s="140">
        <v>80</v>
      </c>
      <c r="L522" t="s">
        <v>507</v>
      </c>
      <c r="M522" t="s">
        <v>2716</v>
      </c>
      <c r="R522" s="260"/>
    </row>
    <row r="523" spans="1:18" x14ac:dyDescent="0.35">
      <c r="B523" s="76" t="s">
        <v>2403</v>
      </c>
      <c r="C523" s="257">
        <v>-2.1257228138039785</v>
      </c>
      <c r="D523" s="261">
        <v>28.700474991928328</v>
      </c>
      <c r="E523" s="138" t="s">
        <v>396</v>
      </c>
      <c r="F523" s="402">
        <v>97</v>
      </c>
      <c r="G523" s="1" t="s">
        <v>959</v>
      </c>
      <c r="H523" s="402">
        <v>25</v>
      </c>
      <c r="I523" s="63">
        <v>23</v>
      </c>
      <c r="J523" s="235" t="s">
        <v>794</v>
      </c>
      <c r="K523" s="140">
        <v>80</v>
      </c>
      <c r="L523" t="s">
        <v>874</v>
      </c>
      <c r="M523" t="s">
        <v>2717</v>
      </c>
      <c r="O523" s="85" t="s">
        <v>2718</v>
      </c>
      <c r="R523" s="260"/>
    </row>
    <row r="524" spans="1:18" x14ac:dyDescent="0.35">
      <c r="B524" s="76" t="s">
        <v>2400</v>
      </c>
      <c r="C524" s="257">
        <v>-1.0611993480232265</v>
      </c>
      <c r="D524" s="261">
        <v>79.668788142986685</v>
      </c>
      <c r="E524" s="138" t="s">
        <v>395</v>
      </c>
      <c r="F524" s="402">
        <v>46</v>
      </c>
      <c r="G524" s="1" t="s">
        <v>74</v>
      </c>
      <c r="H524" s="402">
        <v>19</v>
      </c>
      <c r="I524" s="63">
        <v>16</v>
      </c>
      <c r="J524" s="235" t="s">
        <v>33</v>
      </c>
      <c r="K524" s="140">
        <v>18</v>
      </c>
      <c r="L524" t="s">
        <v>504</v>
      </c>
      <c r="M524" t="s">
        <v>2719</v>
      </c>
      <c r="R524" s="260"/>
    </row>
    <row r="525" spans="1:18" x14ac:dyDescent="0.35">
      <c r="B525" s="76" t="s">
        <v>2403</v>
      </c>
      <c r="C525" s="257">
        <v>3.0889771258010041</v>
      </c>
      <c r="D525" s="261">
        <v>76.941529317330776</v>
      </c>
      <c r="E525" s="138" t="s">
        <v>395</v>
      </c>
      <c r="F525" s="402">
        <v>18</v>
      </c>
      <c r="G525" s="1" t="s">
        <v>33</v>
      </c>
      <c r="H525" s="402">
        <v>26</v>
      </c>
      <c r="I525" s="63">
        <v>11</v>
      </c>
      <c r="J525" s="235" t="s">
        <v>74</v>
      </c>
      <c r="K525" s="140">
        <v>46</v>
      </c>
      <c r="L525" t="s">
        <v>286</v>
      </c>
      <c r="M525" s="1" t="s">
        <v>2720</v>
      </c>
      <c r="N525" s="1" t="s">
        <v>2953</v>
      </c>
      <c r="O525" s="85" t="s">
        <v>2981</v>
      </c>
      <c r="R525" s="260"/>
    </row>
    <row r="526" spans="1:18" x14ac:dyDescent="0.35">
      <c r="A526" s="6" t="s">
        <v>2721</v>
      </c>
      <c r="B526" s="76" t="s">
        <v>2401</v>
      </c>
      <c r="C526" s="257">
        <v>3.3816326620479158</v>
      </c>
      <c r="D526" s="261">
        <v>71.163498536368522</v>
      </c>
      <c r="E526" s="138" t="s">
        <v>396</v>
      </c>
      <c r="F526" s="402">
        <v>14</v>
      </c>
      <c r="G526" s="1" t="s">
        <v>145</v>
      </c>
      <c r="H526" s="402">
        <v>19</v>
      </c>
      <c r="I526" s="63">
        <v>10</v>
      </c>
      <c r="J526" s="235" t="s">
        <v>86</v>
      </c>
      <c r="K526" s="140">
        <v>67</v>
      </c>
      <c r="L526" t="s">
        <v>296</v>
      </c>
      <c r="M526" t="s">
        <v>2722</v>
      </c>
      <c r="R526" s="260"/>
    </row>
    <row r="527" spans="1:18" x14ac:dyDescent="0.35">
      <c r="B527" s="76" t="s">
        <v>2404</v>
      </c>
      <c r="C527" s="257">
        <v>5.437188217603472</v>
      </c>
      <c r="D527" s="261">
        <v>69.812704885574874</v>
      </c>
      <c r="E527" s="138" t="s">
        <v>395</v>
      </c>
      <c r="F527" s="402">
        <v>14</v>
      </c>
      <c r="G527" s="1" t="s">
        <v>145</v>
      </c>
      <c r="H527" s="402">
        <v>17</v>
      </c>
      <c r="I527" s="63">
        <v>8</v>
      </c>
      <c r="J527" s="235" t="s">
        <v>86</v>
      </c>
      <c r="K527" s="140">
        <v>67</v>
      </c>
      <c r="L527" t="s">
        <v>190</v>
      </c>
      <c r="M527" t="s">
        <v>2723</v>
      </c>
      <c r="O527" s="85" t="s">
        <v>2724</v>
      </c>
      <c r="R527" s="260"/>
    </row>
    <row r="528" spans="1:18" x14ac:dyDescent="0.35">
      <c r="B528" s="76" t="s">
        <v>2401</v>
      </c>
      <c r="C528" s="257">
        <v>-2.7982772564167089</v>
      </c>
      <c r="D528" s="261">
        <v>51.937082197073849</v>
      </c>
      <c r="E528" s="138" t="s">
        <v>395</v>
      </c>
      <c r="F528" s="402">
        <v>98</v>
      </c>
      <c r="G528" s="1" t="s">
        <v>786</v>
      </c>
      <c r="H528" s="402">
        <v>17</v>
      </c>
      <c r="I528" s="63">
        <v>12</v>
      </c>
      <c r="J528" s="235" t="s">
        <v>67</v>
      </c>
      <c r="K528" s="140">
        <v>37</v>
      </c>
      <c r="L528" t="s">
        <v>339</v>
      </c>
      <c r="M528" t="s">
        <v>2725</v>
      </c>
      <c r="R528" s="260"/>
    </row>
    <row r="529" spans="1:18" ht="15" thickBot="1" x14ac:dyDescent="0.4">
      <c r="B529" s="77" t="s">
        <v>2404</v>
      </c>
      <c r="C529" s="259">
        <v>5.1732772564167089</v>
      </c>
      <c r="D529" s="262">
        <v>46.698632088640444</v>
      </c>
      <c r="E529" s="222" t="s">
        <v>395</v>
      </c>
      <c r="F529" s="381">
        <v>37</v>
      </c>
      <c r="G529" s="44" t="s">
        <v>67</v>
      </c>
      <c r="H529" s="381">
        <v>18</v>
      </c>
      <c r="I529" s="56">
        <v>15</v>
      </c>
      <c r="J529" s="57" t="s">
        <v>786</v>
      </c>
      <c r="K529" s="141">
        <v>98</v>
      </c>
      <c r="L529" s="12" t="s">
        <v>185</v>
      </c>
      <c r="M529" s="12" t="s">
        <v>2726</v>
      </c>
      <c r="N529" s="86"/>
      <c r="O529" s="86" t="s">
        <v>2727</v>
      </c>
      <c r="R529" s="260"/>
    </row>
    <row r="530" spans="1:18" x14ac:dyDescent="0.35">
      <c r="A530" s="6" t="s">
        <v>2729</v>
      </c>
      <c r="B530" s="46" t="s">
        <v>1999</v>
      </c>
      <c r="C530" s="257">
        <v>10.225509949430867</v>
      </c>
      <c r="D530" s="261">
        <v>46.981778607549373</v>
      </c>
      <c r="E530" s="138" t="s">
        <v>396</v>
      </c>
      <c r="F530" s="402">
        <v>16</v>
      </c>
      <c r="G530" s="1" t="s">
        <v>1301</v>
      </c>
      <c r="H530" s="402">
        <v>24</v>
      </c>
      <c r="I530" s="63">
        <v>20</v>
      </c>
      <c r="J530" s="235" t="s">
        <v>76</v>
      </c>
      <c r="K530" s="140">
        <v>112</v>
      </c>
      <c r="L530" t="s">
        <v>301</v>
      </c>
      <c r="M530" t="s">
        <v>2789</v>
      </c>
      <c r="N530" s="92" t="s">
        <v>2954</v>
      </c>
      <c r="O530" s="6"/>
      <c r="P530" s="85"/>
      <c r="R530" s="260"/>
    </row>
    <row r="531" spans="1:18" x14ac:dyDescent="0.35">
      <c r="B531" s="254" t="s">
        <v>2760</v>
      </c>
      <c r="C531" s="257">
        <v>8.7377987312098071</v>
      </c>
      <c r="D531" s="261">
        <v>36.303358049135845</v>
      </c>
      <c r="E531" s="138" t="s">
        <v>396</v>
      </c>
      <c r="F531" s="402">
        <v>32</v>
      </c>
      <c r="G531" s="1" t="s">
        <v>57</v>
      </c>
      <c r="H531" s="402">
        <v>28</v>
      </c>
      <c r="I531" s="63">
        <v>16</v>
      </c>
      <c r="J531" s="235" t="s">
        <v>48</v>
      </c>
      <c r="K531" s="140">
        <v>111</v>
      </c>
      <c r="L531" t="s">
        <v>507</v>
      </c>
      <c r="M531" t="s">
        <v>2788</v>
      </c>
      <c r="P531" s="85"/>
      <c r="R531" s="260"/>
    </row>
    <row r="532" spans="1:18" x14ac:dyDescent="0.35">
      <c r="C532" s="257">
        <v>5.4177719406134948</v>
      </c>
      <c r="D532" s="261">
        <v>17.11230575670465</v>
      </c>
      <c r="E532" s="138" t="s">
        <v>395</v>
      </c>
      <c r="F532" s="402">
        <v>67</v>
      </c>
      <c r="G532" s="1" t="s">
        <v>86</v>
      </c>
      <c r="H532" s="402">
        <v>21</v>
      </c>
      <c r="I532" s="63">
        <v>11</v>
      </c>
      <c r="J532" s="235" t="s">
        <v>964</v>
      </c>
      <c r="K532" s="140">
        <v>110</v>
      </c>
      <c r="L532" t="s">
        <v>299</v>
      </c>
      <c r="M532" t="s">
        <v>2787</v>
      </c>
      <c r="P532" s="85"/>
      <c r="R532" s="260"/>
    </row>
    <row r="533" spans="1:18" x14ac:dyDescent="0.35">
      <c r="C533" s="257">
        <v>-1.0943973069346509</v>
      </c>
      <c r="D533" s="261">
        <v>5.6924266478104553</v>
      </c>
      <c r="E533" s="138" t="s">
        <v>395</v>
      </c>
      <c r="F533" s="402">
        <v>109</v>
      </c>
      <c r="G533" s="1" t="s">
        <v>117</v>
      </c>
      <c r="H533" s="402">
        <v>19</v>
      </c>
      <c r="I533" s="63">
        <v>13</v>
      </c>
      <c r="J533" s="235" t="s">
        <v>56</v>
      </c>
      <c r="K533" s="140">
        <v>104</v>
      </c>
      <c r="L533" t="s">
        <v>361</v>
      </c>
      <c r="M533" t="s">
        <v>2786</v>
      </c>
      <c r="P533" s="85"/>
      <c r="R533" s="260"/>
    </row>
    <row r="534" spans="1:18" x14ac:dyDescent="0.35">
      <c r="C534" s="257">
        <v>3.0219761650460382</v>
      </c>
      <c r="D534" s="261">
        <v>13.912874167824253</v>
      </c>
      <c r="E534" s="138" t="s">
        <v>395</v>
      </c>
      <c r="F534" s="402">
        <v>80</v>
      </c>
      <c r="G534" s="1" t="s">
        <v>794</v>
      </c>
      <c r="H534" s="402">
        <v>27</v>
      </c>
      <c r="I534" s="63">
        <v>10</v>
      </c>
      <c r="J534" s="235" t="s">
        <v>65</v>
      </c>
      <c r="K534" s="140">
        <v>108</v>
      </c>
      <c r="L534" t="s">
        <v>404</v>
      </c>
      <c r="M534" s="1" t="s">
        <v>2785</v>
      </c>
      <c r="N534" s="1" t="s">
        <v>2953</v>
      </c>
      <c r="P534" s="85"/>
      <c r="R534" s="260"/>
    </row>
    <row r="535" spans="1:18" x14ac:dyDescent="0.35">
      <c r="C535" s="257">
        <v>6.3923906513448694</v>
      </c>
      <c r="D535" s="261">
        <v>34.362578106182241</v>
      </c>
      <c r="E535" s="138" t="s">
        <v>395</v>
      </c>
      <c r="F535" s="402">
        <v>45</v>
      </c>
      <c r="G535" s="1" t="s">
        <v>53</v>
      </c>
      <c r="H535" s="402">
        <v>20</v>
      </c>
      <c r="I535" s="63">
        <v>14</v>
      </c>
      <c r="J535" s="235" t="s">
        <v>54</v>
      </c>
      <c r="K535" s="140">
        <v>107</v>
      </c>
      <c r="L535" t="s">
        <v>488</v>
      </c>
      <c r="M535" t="s">
        <v>2784</v>
      </c>
      <c r="P535" s="85"/>
      <c r="R535" s="260"/>
    </row>
    <row r="536" spans="1:18" x14ac:dyDescent="0.35">
      <c r="C536" s="257">
        <v>3.5010183694956041</v>
      </c>
      <c r="D536" s="261">
        <v>17.588558307503142</v>
      </c>
      <c r="E536" s="138" t="s">
        <v>395</v>
      </c>
      <c r="F536" s="402">
        <v>73</v>
      </c>
      <c r="G536" s="1" t="s">
        <v>37</v>
      </c>
      <c r="H536" s="402">
        <v>24</v>
      </c>
      <c r="I536" s="63">
        <v>10</v>
      </c>
      <c r="J536" s="235" t="s">
        <v>38</v>
      </c>
      <c r="K536" s="140">
        <v>106</v>
      </c>
      <c r="L536" t="s">
        <v>360</v>
      </c>
      <c r="M536" t="s">
        <v>2783</v>
      </c>
      <c r="P536" s="85"/>
      <c r="R536" s="260"/>
    </row>
    <row r="537" spans="1:18" x14ac:dyDescent="0.35">
      <c r="C537" s="257">
        <v>8.6387758524991458</v>
      </c>
      <c r="D537" s="261">
        <v>48.472302962500599</v>
      </c>
      <c r="E537" s="138" t="s">
        <v>395</v>
      </c>
      <c r="F537" s="402">
        <v>22</v>
      </c>
      <c r="G537" s="1" t="s">
        <v>790</v>
      </c>
      <c r="H537" s="402">
        <v>24</v>
      </c>
      <c r="I537" s="63">
        <v>14</v>
      </c>
      <c r="J537" s="235" t="s">
        <v>63</v>
      </c>
      <c r="K537" s="140">
        <v>105</v>
      </c>
      <c r="L537" t="s">
        <v>488</v>
      </c>
      <c r="M537" t="s">
        <v>2782</v>
      </c>
      <c r="P537" s="85"/>
      <c r="R537" s="260"/>
    </row>
    <row r="538" spans="1:18" x14ac:dyDescent="0.35">
      <c r="C538" s="257">
        <v>9.3970517207450808</v>
      </c>
      <c r="D538" s="261">
        <v>52.57353448518208</v>
      </c>
      <c r="E538" s="138" t="s">
        <v>396</v>
      </c>
      <c r="F538" s="402">
        <v>11</v>
      </c>
      <c r="G538" s="1" t="s">
        <v>46</v>
      </c>
      <c r="H538" s="402">
        <v>34</v>
      </c>
      <c r="I538" s="63">
        <v>15</v>
      </c>
      <c r="J538" s="235" t="s">
        <v>1859</v>
      </c>
      <c r="K538" s="140">
        <v>103</v>
      </c>
      <c r="L538" t="s">
        <v>289</v>
      </c>
      <c r="M538" t="s">
        <v>2781</v>
      </c>
      <c r="P538" s="85"/>
      <c r="R538" s="260"/>
    </row>
    <row r="539" spans="1:18" x14ac:dyDescent="0.35">
      <c r="C539" s="257">
        <v>-11.144420980588521</v>
      </c>
      <c r="D539" s="261">
        <v>69.031729271848945</v>
      </c>
      <c r="E539" s="138" t="s">
        <v>396</v>
      </c>
      <c r="F539" s="402">
        <v>102</v>
      </c>
      <c r="G539" s="1" t="s">
        <v>81</v>
      </c>
      <c r="H539" s="402">
        <v>17</v>
      </c>
      <c r="I539" s="63">
        <v>15</v>
      </c>
      <c r="J539" s="235" t="s">
        <v>1344</v>
      </c>
      <c r="K539" s="140">
        <v>7</v>
      </c>
      <c r="L539" t="s">
        <v>339</v>
      </c>
      <c r="M539" t="s">
        <v>2780</v>
      </c>
      <c r="O539" s="85" t="s">
        <v>2779</v>
      </c>
      <c r="P539" s="85"/>
      <c r="R539" s="260"/>
    </row>
    <row r="540" spans="1:18" x14ac:dyDescent="0.35">
      <c r="C540" s="257">
        <v>4.4653421562810944</v>
      </c>
      <c r="D540" s="261">
        <v>20.024755602656363</v>
      </c>
      <c r="E540" s="138" t="s">
        <v>395</v>
      </c>
      <c r="F540" s="402">
        <v>71</v>
      </c>
      <c r="G540" s="1" t="s">
        <v>32</v>
      </c>
      <c r="H540" s="402">
        <v>34</v>
      </c>
      <c r="I540" s="63">
        <v>25</v>
      </c>
      <c r="J540" s="235" t="s">
        <v>31</v>
      </c>
      <c r="K540" s="140">
        <v>101</v>
      </c>
      <c r="L540" t="s">
        <v>2728</v>
      </c>
      <c r="M540" t="s">
        <v>2778</v>
      </c>
      <c r="P540" s="85"/>
      <c r="R540" s="260"/>
    </row>
    <row r="541" spans="1:18" x14ac:dyDescent="0.35">
      <c r="C541" s="257">
        <v>2.5201929850267812</v>
      </c>
      <c r="D541" s="261">
        <v>15.164147867838018</v>
      </c>
      <c r="E541" s="138" t="s">
        <v>395</v>
      </c>
      <c r="F541" s="402">
        <v>86</v>
      </c>
      <c r="G541" s="1" t="s">
        <v>80</v>
      </c>
      <c r="H541" s="402">
        <v>22</v>
      </c>
      <c r="I541" s="63">
        <v>9</v>
      </c>
      <c r="J541" s="235" t="s">
        <v>1308</v>
      </c>
      <c r="K541" s="140">
        <v>100</v>
      </c>
      <c r="L541" t="s">
        <v>332</v>
      </c>
      <c r="M541" s="1" t="s">
        <v>2777</v>
      </c>
      <c r="N541" s="1" t="s">
        <v>2953</v>
      </c>
      <c r="P541" s="85"/>
      <c r="R541" s="260"/>
    </row>
    <row r="542" spans="1:18" x14ac:dyDescent="0.35">
      <c r="A542" s="6" t="s">
        <v>2730</v>
      </c>
      <c r="C542" s="257">
        <v>3.6458906966582267</v>
      </c>
      <c r="D542" s="261">
        <v>17.038649502386981</v>
      </c>
      <c r="E542" s="138" t="s">
        <v>395</v>
      </c>
      <c r="F542" s="402">
        <v>81</v>
      </c>
      <c r="G542" s="1" t="s">
        <v>1343</v>
      </c>
      <c r="H542" s="402">
        <v>20</v>
      </c>
      <c r="I542" s="63">
        <v>9</v>
      </c>
      <c r="J542" s="235" t="s">
        <v>88</v>
      </c>
      <c r="K542" s="140">
        <v>99</v>
      </c>
      <c r="L542" t="s">
        <v>286</v>
      </c>
      <c r="M542" t="s">
        <v>2776</v>
      </c>
      <c r="P542" s="85"/>
      <c r="R542" s="260"/>
    </row>
    <row r="543" spans="1:18" x14ac:dyDescent="0.35">
      <c r="C543" s="257">
        <v>7.4182152964331527</v>
      </c>
      <c r="D543" s="261">
        <v>40.460203359690603</v>
      </c>
      <c r="E543" s="138" t="s">
        <v>395</v>
      </c>
      <c r="F543" s="402">
        <v>37</v>
      </c>
      <c r="G543" s="1" t="s">
        <v>67</v>
      </c>
      <c r="H543" s="402">
        <v>24</v>
      </c>
      <c r="I543" s="63">
        <v>21</v>
      </c>
      <c r="J543" s="235" t="s">
        <v>786</v>
      </c>
      <c r="K543" s="140">
        <v>98</v>
      </c>
      <c r="L543" t="s">
        <v>606</v>
      </c>
      <c r="M543" t="s">
        <v>2775</v>
      </c>
      <c r="N543" s="92" t="s">
        <v>2954</v>
      </c>
      <c r="O543" s="6"/>
      <c r="P543" s="85"/>
      <c r="R543" s="260"/>
    </row>
    <row r="544" spans="1:18" x14ac:dyDescent="0.35">
      <c r="C544" s="257">
        <v>7.5011249398298681</v>
      </c>
      <c r="D544" s="261">
        <v>53.927767900121523</v>
      </c>
      <c r="E544" s="138" t="s">
        <v>396</v>
      </c>
      <c r="F544" s="402">
        <v>17</v>
      </c>
      <c r="G544" s="1" t="s">
        <v>77</v>
      </c>
      <c r="H544" s="402">
        <v>23</v>
      </c>
      <c r="I544" s="63">
        <v>12</v>
      </c>
      <c r="J544" s="235" t="s">
        <v>959</v>
      </c>
      <c r="K544" s="140">
        <v>97</v>
      </c>
      <c r="L544" t="s">
        <v>179</v>
      </c>
      <c r="M544" t="s">
        <v>2774</v>
      </c>
      <c r="P544" s="85"/>
      <c r="R544" s="260"/>
    </row>
    <row r="545" spans="1:18" x14ac:dyDescent="0.35">
      <c r="C545" s="257">
        <v>4.3187510114449816</v>
      </c>
      <c r="D545" s="261">
        <v>23.25446356325358</v>
      </c>
      <c r="E545" s="138" t="s">
        <v>395</v>
      </c>
      <c r="F545" s="402">
        <v>69</v>
      </c>
      <c r="G545" s="1" t="s">
        <v>908</v>
      </c>
      <c r="H545" s="402">
        <v>25</v>
      </c>
      <c r="I545" s="63">
        <v>11</v>
      </c>
      <c r="J545" s="235" t="s">
        <v>70</v>
      </c>
      <c r="K545" s="140">
        <v>96</v>
      </c>
      <c r="L545" t="s">
        <v>285</v>
      </c>
      <c r="M545" t="s">
        <v>2773</v>
      </c>
      <c r="P545" s="85"/>
      <c r="R545" s="260"/>
    </row>
    <row r="546" spans="1:18" x14ac:dyDescent="0.35">
      <c r="A546" s="6" t="s">
        <v>2763</v>
      </c>
      <c r="C546" s="257">
        <v>1.6626445294188898</v>
      </c>
      <c r="D546" s="261">
        <v>16.669539621843654</v>
      </c>
      <c r="E546" s="138" t="s">
        <v>395</v>
      </c>
      <c r="F546" s="402">
        <v>89</v>
      </c>
      <c r="G546" s="1" t="s">
        <v>61</v>
      </c>
      <c r="H546" s="402">
        <v>20</v>
      </c>
      <c r="I546" s="63">
        <v>12</v>
      </c>
      <c r="J546" s="235" t="s">
        <v>796</v>
      </c>
      <c r="K546" s="140">
        <v>95</v>
      </c>
      <c r="L546" t="s">
        <v>299</v>
      </c>
      <c r="M546" t="s">
        <v>2772</v>
      </c>
      <c r="P546" s="85"/>
      <c r="R546" s="260"/>
    </row>
    <row r="547" spans="1:18" x14ac:dyDescent="0.35">
      <c r="C547" s="257">
        <v>7.250542733012308</v>
      </c>
      <c r="D547" s="261">
        <v>37.365683762134061</v>
      </c>
      <c r="E547" s="138" t="s">
        <v>395</v>
      </c>
      <c r="F547" s="402">
        <v>49</v>
      </c>
      <c r="G547" s="1" t="s">
        <v>82</v>
      </c>
      <c r="H547" s="402">
        <v>31</v>
      </c>
      <c r="I547" s="63">
        <v>14</v>
      </c>
      <c r="J547" s="235" t="s">
        <v>1342</v>
      </c>
      <c r="K547" s="140">
        <v>94</v>
      </c>
      <c r="L547" t="s">
        <v>285</v>
      </c>
      <c r="M547" t="s">
        <v>2771</v>
      </c>
      <c r="P547" s="85"/>
      <c r="R547" s="260"/>
    </row>
    <row r="548" spans="1:18" x14ac:dyDescent="0.35">
      <c r="C548" s="257">
        <v>3.4974492598794313</v>
      </c>
      <c r="D548" s="261">
        <v>28.751821957228973</v>
      </c>
      <c r="E548" s="138" t="s">
        <v>395</v>
      </c>
      <c r="F548" s="402">
        <v>61</v>
      </c>
      <c r="G548" s="1" t="s">
        <v>28</v>
      </c>
      <c r="H548" s="402">
        <v>19</v>
      </c>
      <c r="I548" s="63">
        <v>18</v>
      </c>
      <c r="J548" s="235" t="s">
        <v>29</v>
      </c>
      <c r="K548" s="140">
        <v>93</v>
      </c>
      <c r="L548" t="s">
        <v>347</v>
      </c>
      <c r="M548" t="s">
        <v>2770</v>
      </c>
      <c r="O548"/>
      <c r="P548" s="85"/>
      <c r="R548" s="260"/>
    </row>
    <row r="549" spans="1:18" x14ac:dyDescent="0.35">
      <c r="C549" s="257">
        <v>9.5252046951964182</v>
      </c>
      <c r="D549" s="261">
        <v>44.981996646288266</v>
      </c>
      <c r="E549" s="138" t="s">
        <v>395</v>
      </c>
      <c r="F549" s="402">
        <v>28</v>
      </c>
      <c r="G549" s="1" t="s">
        <v>300</v>
      </c>
      <c r="H549" s="402">
        <v>34</v>
      </c>
      <c r="I549" s="63">
        <v>19</v>
      </c>
      <c r="J549" s="235" t="s">
        <v>55</v>
      </c>
      <c r="K549" s="140">
        <v>92</v>
      </c>
      <c r="L549" t="s">
        <v>471</v>
      </c>
      <c r="M549" t="s">
        <v>2769</v>
      </c>
      <c r="P549" s="85"/>
      <c r="R549" s="260"/>
    </row>
    <row r="550" spans="1:18" x14ac:dyDescent="0.35">
      <c r="C550" s="257">
        <v>6.9040950209241556</v>
      </c>
      <c r="D550" s="261">
        <v>54.354217842197031</v>
      </c>
      <c r="E550" s="138" t="s">
        <v>396</v>
      </c>
      <c r="F550" s="402">
        <v>23</v>
      </c>
      <c r="G550" s="1" t="s">
        <v>785</v>
      </c>
      <c r="H550" s="402">
        <v>26</v>
      </c>
      <c r="I550" s="63">
        <v>13</v>
      </c>
      <c r="J550" s="235" t="s">
        <v>68</v>
      </c>
      <c r="K550" s="140">
        <v>91</v>
      </c>
      <c r="L550" t="s">
        <v>577</v>
      </c>
      <c r="M550" t="s">
        <v>2768</v>
      </c>
      <c r="P550" s="85"/>
      <c r="R550" s="260"/>
    </row>
    <row r="551" spans="1:18" x14ac:dyDescent="0.35">
      <c r="C551" s="257">
        <v>-1.4285376692969938</v>
      </c>
      <c r="D551" s="261">
        <v>21.556098335212148</v>
      </c>
      <c r="E551" s="138" t="s">
        <v>396</v>
      </c>
      <c r="F551" s="402">
        <v>88</v>
      </c>
      <c r="G551" s="1" t="s">
        <v>84</v>
      </c>
      <c r="H551" s="402">
        <v>22</v>
      </c>
      <c r="I551" s="63">
        <v>18</v>
      </c>
      <c r="J551" s="235" t="s">
        <v>963</v>
      </c>
      <c r="K551" s="140">
        <v>90</v>
      </c>
      <c r="L551" t="s">
        <v>413</v>
      </c>
      <c r="M551" t="s">
        <v>2764</v>
      </c>
      <c r="P551" s="85"/>
      <c r="R551" s="260"/>
    </row>
    <row r="552" spans="1:18" x14ac:dyDescent="0.35">
      <c r="C552" s="257">
        <v>11.922193977095487</v>
      </c>
      <c r="D552" s="261">
        <v>58.984147159217514</v>
      </c>
      <c r="E552" s="138" t="s">
        <v>395</v>
      </c>
      <c r="F552" s="402">
        <v>4</v>
      </c>
      <c r="G552" s="1" t="s">
        <v>40</v>
      </c>
      <c r="H552" s="402">
        <v>24</v>
      </c>
      <c r="I552" s="63">
        <v>23</v>
      </c>
      <c r="J552" s="235" t="s">
        <v>35</v>
      </c>
      <c r="K552" s="140">
        <v>87</v>
      </c>
      <c r="L552" t="s">
        <v>623</v>
      </c>
      <c r="M552" t="s">
        <v>2767</v>
      </c>
      <c r="N552" s="92" t="s">
        <v>2954</v>
      </c>
      <c r="O552" s="85" t="s">
        <v>1807</v>
      </c>
      <c r="P552" s="85"/>
      <c r="R552" s="260"/>
    </row>
    <row r="553" spans="1:18" x14ac:dyDescent="0.35">
      <c r="C553" s="257">
        <v>-0.16809109125741026</v>
      </c>
      <c r="D553" s="261">
        <v>28.367663763880191</v>
      </c>
      <c r="E553" s="138" t="s">
        <v>395</v>
      </c>
      <c r="F553" s="402">
        <v>85</v>
      </c>
      <c r="G553" s="1" t="s">
        <v>25</v>
      </c>
      <c r="H553" s="402">
        <v>16</v>
      </c>
      <c r="I553" s="63">
        <v>13</v>
      </c>
      <c r="J553" s="235" t="s">
        <v>24</v>
      </c>
      <c r="K553" s="140">
        <v>79</v>
      </c>
      <c r="L553" t="s">
        <v>443</v>
      </c>
      <c r="M553" t="s">
        <v>2791</v>
      </c>
      <c r="O553" t="s">
        <v>2790</v>
      </c>
      <c r="R553" s="260"/>
    </row>
    <row r="554" spans="1:18" x14ac:dyDescent="0.35">
      <c r="C554" s="257">
        <v>-6.1233102269057627</v>
      </c>
      <c r="D554" s="261">
        <v>67.230935876361258</v>
      </c>
      <c r="E554" s="138" t="s">
        <v>395</v>
      </c>
      <c r="F554" s="402">
        <v>84</v>
      </c>
      <c r="G554" s="1" t="s">
        <v>47</v>
      </c>
      <c r="H554" s="402">
        <v>12</v>
      </c>
      <c r="I554" s="63">
        <v>11</v>
      </c>
      <c r="J554" s="235" t="s">
        <v>58</v>
      </c>
      <c r="K554" s="140">
        <v>20</v>
      </c>
      <c r="L554" t="s">
        <v>450</v>
      </c>
      <c r="M554" t="s">
        <v>2793</v>
      </c>
      <c r="O554" s="85" t="s">
        <v>2792</v>
      </c>
      <c r="R554" s="260"/>
    </row>
    <row r="555" spans="1:18" x14ac:dyDescent="0.35">
      <c r="C555" s="257">
        <v>7.6737308499876358</v>
      </c>
      <c r="D555" s="261">
        <v>55.947335107151687</v>
      </c>
      <c r="E555" s="138" t="s">
        <v>395</v>
      </c>
      <c r="F555" s="402">
        <v>25</v>
      </c>
      <c r="G555" s="1" t="s">
        <v>115</v>
      </c>
      <c r="H555" s="402">
        <v>21</v>
      </c>
      <c r="I555" s="63">
        <v>18</v>
      </c>
      <c r="J555" s="235" t="s">
        <v>792</v>
      </c>
      <c r="K555" s="140">
        <v>83</v>
      </c>
      <c r="L555" t="s">
        <v>533</v>
      </c>
      <c r="M555" t="s">
        <v>2794</v>
      </c>
      <c r="R555" s="260"/>
    </row>
    <row r="556" spans="1:18" x14ac:dyDescent="0.35">
      <c r="C556" s="257">
        <v>4.7277451078545631</v>
      </c>
      <c r="D556" s="261">
        <v>60.9087534943896</v>
      </c>
      <c r="E556" s="138" t="s">
        <v>396</v>
      </c>
      <c r="F556" s="402">
        <v>18</v>
      </c>
      <c r="G556" s="1" t="s">
        <v>33</v>
      </c>
      <c r="H556" s="402">
        <v>10</v>
      </c>
      <c r="I556" s="63">
        <v>8</v>
      </c>
      <c r="J556" s="235" t="s">
        <v>1860</v>
      </c>
      <c r="K556" s="140">
        <v>82</v>
      </c>
      <c r="L556" t="s">
        <v>2795</v>
      </c>
      <c r="M556" t="s">
        <v>2796</v>
      </c>
      <c r="O556" s="85" t="s">
        <v>2797</v>
      </c>
      <c r="R556" s="260"/>
    </row>
    <row r="557" spans="1:18" x14ac:dyDescent="0.35">
      <c r="C557" s="257">
        <v>-3.490585168515886</v>
      </c>
      <c r="D557" s="261">
        <v>59.502203691797064</v>
      </c>
      <c r="E557" s="138" t="s">
        <v>395</v>
      </c>
      <c r="F557" s="402">
        <v>78</v>
      </c>
      <c r="G557" s="1" t="s">
        <v>789</v>
      </c>
      <c r="H557" s="402">
        <v>13</v>
      </c>
      <c r="I557" s="63">
        <v>8</v>
      </c>
      <c r="J557" s="235" t="s">
        <v>66</v>
      </c>
      <c r="K557" s="140">
        <v>29</v>
      </c>
      <c r="L557" t="s">
        <v>450</v>
      </c>
      <c r="M557" t="s">
        <v>2798</v>
      </c>
      <c r="R557" s="260"/>
    </row>
    <row r="558" spans="1:18" x14ac:dyDescent="0.35">
      <c r="C558" s="257">
        <v>0.56572971601091449</v>
      </c>
      <c r="D558" s="261">
        <v>38.881621631420771</v>
      </c>
      <c r="E558" s="138" t="s">
        <v>396</v>
      </c>
      <c r="F558" s="402">
        <v>59</v>
      </c>
      <c r="G558" s="1" t="s">
        <v>30</v>
      </c>
      <c r="H558" s="402">
        <v>17</v>
      </c>
      <c r="I558" s="63">
        <v>13</v>
      </c>
      <c r="J558" s="235" t="s">
        <v>27</v>
      </c>
      <c r="K558" s="140">
        <v>77</v>
      </c>
      <c r="L558" t="s">
        <v>507</v>
      </c>
      <c r="M558" t="s">
        <v>2799</v>
      </c>
      <c r="R558" s="260"/>
    </row>
    <row r="559" spans="1:18" x14ac:dyDescent="0.35">
      <c r="A559" s="6" t="s">
        <v>2802</v>
      </c>
      <c r="C559" s="257">
        <v>3.7217818094177528</v>
      </c>
      <c r="D559" s="261">
        <v>47.52015585041589</v>
      </c>
      <c r="E559" s="138" t="s">
        <v>396</v>
      </c>
      <c r="F559" s="402">
        <v>48</v>
      </c>
      <c r="G559" s="1" t="s">
        <v>72</v>
      </c>
      <c r="H559" s="402">
        <v>22</v>
      </c>
      <c r="I559" s="63">
        <v>6</v>
      </c>
      <c r="J559" s="235" t="s">
        <v>783</v>
      </c>
      <c r="K559" s="140">
        <v>76</v>
      </c>
      <c r="L559" s="14" t="s">
        <v>191</v>
      </c>
      <c r="M559" s="43" t="s">
        <v>2800</v>
      </c>
      <c r="N559" s="1" t="s">
        <v>2953</v>
      </c>
      <c r="R559" s="260"/>
    </row>
    <row r="560" spans="1:18" x14ac:dyDescent="0.35">
      <c r="C560" s="257">
        <v>2.7608075027248802</v>
      </c>
      <c r="D560" s="261">
        <v>50.617280355196527</v>
      </c>
      <c r="E560" s="138" t="s">
        <v>396</v>
      </c>
      <c r="F560" s="402">
        <v>43</v>
      </c>
      <c r="G560" s="1" t="s">
        <v>71</v>
      </c>
      <c r="H560" s="402">
        <v>23</v>
      </c>
      <c r="I560" s="63">
        <v>12</v>
      </c>
      <c r="J560" s="235" t="s">
        <v>909</v>
      </c>
      <c r="K560" s="140">
        <v>75</v>
      </c>
      <c r="L560" s="14" t="s">
        <v>178</v>
      </c>
      <c r="M560" s="14" t="s">
        <v>2801</v>
      </c>
      <c r="R560" s="260"/>
    </row>
    <row r="561" spans="1:18" x14ac:dyDescent="0.35">
      <c r="C561" s="257">
        <v>2.876197123419538</v>
      </c>
      <c r="D561" s="261">
        <v>45.71343062612889</v>
      </c>
      <c r="E561" s="138" t="s">
        <v>395</v>
      </c>
      <c r="F561" s="402">
        <v>56</v>
      </c>
      <c r="G561" s="1" t="s">
        <v>79</v>
      </c>
      <c r="H561" s="402">
        <v>18</v>
      </c>
      <c r="I561" s="63">
        <v>11</v>
      </c>
      <c r="J561" s="235" t="s">
        <v>3913</v>
      </c>
      <c r="K561" s="140">
        <v>74</v>
      </c>
      <c r="L561" s="14" t="s">
        <v>178</v>
      </c>
      <c r="M561" s="14" t="s">
        <v>2803</v>
      </c>
      <c r="R561" s="260"/>
    </row>
    <row r="562" spans="1:18" x14ac:dyDescent="0.35">
      <c r="A562" s="6" t="s">
        <v>2807</v>
      </c>
      <c r="C562" s="257">
        <v>10.949643068424432</v>
      </c>
      <c r="D562" s="261">
        <v>63.250254951125399</v>
      </c>
      <c r="E562" s="138" t="s">
        <v>395</v>
      </c>
      <c r="F562" s="402">
        <v>9</v>
      </c>
      <c r="G562" s="1" t="s">
        <v>119</v>
      </c>
      <c r="H562" s="402">
        <v>22</v>
      </c>
      <c r="I562" s="63">
        <v>15</v>
      </c>
      <c r="J562" s="235" t="s">
        <v>292</v>
      </c>
      <c r="K562" s="140">
        <v>72</v>
      </c>
      <c r="L562" s="14" t="s">
        <v>183</v>
      </c>
      <c r="M562" s="14" t="s">
        <v>2806</v>
      </c>
    </row>
    <row r="563" spans="1:18" x14ac:dyDescent="0.35">
      <c r="C563" s="257">
        <v>0.97906224346112314</v>
      </c>
      <c r="D563" s="261">
        <v>49.077455540384904</v>
      </c>
      <c r="E563" s="138" t="s">
        <v>396</v>
      </c>
      <c r="F563" s="402">
        <v>55</v>
      </c>
      <c r="G563" s="1" t="s">
        <v>114</v>
      </c>
      <c r="H563" s="402">
        <v>19</v>
      </c>
      <c r="I563" s="63">
        <v>14</v>
      </c>
      <c r="J563" s="235" t="s">
        <v>784</v>
      </c>
      <c r="K563" s="140">
        <v>70</v>
      </c>
      <c r="L563" s="14" t="s">
        <v>369</v>
      </c>
      <c r="M563" s="14" t="s">
        <v>2808</v>
      </c>
    </row>
    <row r="564" spans="1:18" x14ac:dyDescent="0.35">
      <c r="C564" s="257">
        <v>4.3820186928340616</v>
      </c>
      <c r="D564" s="261">
        <v>67.941415219404249</v>
      </c>
      <c r="E564" s="138" t="s">
        <v>396</v>
      </c>
      <c r="F564" s="402">
        <v>13</v>
      </c>
      <c r="G564" s="1" t="s">
        <v>78</v>
      </c>
      <c r="H564" s="402">
        <v>16</v>
      </c>
      <c r="I564" s="63">
        <v>15</v>
      </c>
      <c r="J564" s="235" t="s">
        <v>958</v>
      </c>
      <c r="K564" s="140">
        <v>68</v>
      </c>
      <c r="L564" s="14" t="s">
        <v>423</v>
      </c>
      <c r="M564" s="14" t="s">
        <v>2809</v>
      </c>
    </row>
    <row r="565" spans="1:18" x14ac:dyDescent="0.35">
      <c r="A565" s="6" t="s">
        <v>2819</v>
      </c>
      <c r="C565" s="257">
        <v>1.4857794367224297</v>
      </c>
      <c r="D565" s="261">
        <v>42.688728973769699</v>
      </c>
      <c r="E565" s="138" t="s">
        <v>395</v>
      </c>
      <c r="F565" s="402">
        <v>60</v>
      </c>
      <c r="G565" s="1" t="s">
        <v>64</v>
      </c>
      <c r="H565" s="402">
        <v>19</v>
      </c>
      <c r="I565" s="63">
        <v>17</v>
      </c>
      <c r="J565" s="235" t="s">
        <v>791</v>
      </c>
      <c r="K565" s="140">
        <v>66</v>
      </c>
      <c r="L565" s="14" t="s">
        <v>443</v>
      </c>
      <c r="M565" s="14" t="s">
        <v>2818</v>
      </c>
    </row>
    <row r="566" spans="1:18" x14ac:dyDescent="0.35">
      <c r="C566" s="257">
        <v>-5.2736186872555573</v>
      </c>
      <c r="D566" s="261">
        <v>73.766870490896835</v>
      </c>
      <c r="E566" s="138" t="s">
        <v>396</v>
      </c>
      <c r="F566" s="402">
        <v>65</v>
      </c>
      <c r="G566" s="1" t="s">
        <v>23</v>
      </c>
      <c r="H566" s="402">
        <v>24</v>
      </c>
      <c r="I566" s="63">
        <v>16</v>
      </c>
      <c r="J566" s="235" t="s">
        <v>34</v>
      </c>
      <c r="K566" s="140">
        <v>19</v>
      </c>
      <c r="L566" s="14" t="s">
        <v>332</v>
      </c>
      <c r="M566" s="14" t="s">
        <v>2820</v>
      </c>
    </row>
    <row r="567" spans="1:18" x14ac:dyDescent="0.35">
      <c r="C567" s="257">
        <v>4.2592374948224663</v>
      </c>
      <c r="D567" s="261">
        <v>60.395187503698232</v>
      </c>
      <c r="E567" s="138" t="s">
        <v>395</v>
      </c>
      <c r="F567" s="402">
        <v>27</v>
      </c>
      <c r="G567" s="1" t="s">
        <v>41</v>
      </c>
      <c r="H567" s="402">
        <v>14</v>
      </c>
      <c r="I567" s="63">
        <v>13</v>
      </c>
      <c r="J567" s="235" t="s">
        <v>44</v>
      </c>
      <c r="K567" s="140">
        <v>64</v>
      </c>
      <c r="L567" s="14" t="s">
        <v>453</v>
      </c>
      <c r="M567" s="14" t="s">
        <v>2822</v>
      </c>
      <c r="O567" s="85" t="s">
        <v>2821</v>
      </c>
    </row>
    <row r="568" spans="1:18" x14ac:dyDescent="0.35">
      <c r="C568" s="257">
        <v>7.6249646689375874</v>
      </c>
      <c r="D568" s="261">
        <v>66.696453807901719</v>
      </c>
      <c r="E568" s="138" t="s">
        <v>395</v>
      </c>
      <c r="F568" s="402">
        <v>15</v>
      </c>
      <c r="G568" s="1" t="s">
        <v>36</v>
      </c>
      <c r="H568" s="402">
        <v>18</v>
      </c>
      <c r="I568" s="63">
        <v>4</v>
      </c>
      <c r="J568" s="235" t="s">
        <v>39</v>
      </c>
      <c r="K568" s="140">
        <v>63</v>
      </c>
      <c r="L568" s="14" t="s">
        <v>603</v>
      </c>
      <c r="M568" s="43" t="s">
        <v>2823</v>
      </c>
      <c r="N568" s="1" t="s">
        <v>2953</v>
      </c>
    </row>
    <row r="569" spans="1:18" x14ac:dyDescent="0.35">
      <c r="C569" s="257">
        <v>-1.0494344794812231</v>
      </c>
      <c r="D569" s="261">
        <v>62.178167485343728</v>
      </c>
      <c r="E569" s="138" t="s">
        <v>395</v>
      </c>
      <c r="F569" s="402">
        <v>62</v>
      </c>
      <c r="G569" s="1" t="s">
        <v>52</v>
      </c>
      <c r="H569" s="402">
        <v>13</v>
      </c>
      <c r="I569" s="63">
        <v>11</v>
      </c>
      <c r="J569" s="235" t="s">
        <v>50</v>
      </c>
      <c r="K569" s="140">
        <v>34</v>
      </c>
      <c r="L569" s="14" t="s">
        <v>186</v>
      </c>
      <c r="M569" s="14" t="s">
        <v>2824</v>
      </c>
    </row>
    <row r="570" spans="1:18" x14ac:dyDescent="0.35">
      <c r="C570" s="257">
        <v>0.93141159671095985</v>
      </c>
      <c r="D570" s="261">
        <v>62.772206002349321</v>
      </c>
      <c r="E570" s="138" t="s">
        <v>396</v>
      </c>
      <c r="F570" s="402">
        <v>33</v>
      </c>
      <c r="G570" s="1" t="s">
        <v>2011</v>
      </c>
      <c r="H570" s="402">
        <v>13</v>
      </c>
      <c r="I570" s="63">
        <v>8</v>
      </c>
      <c r="J570" s="235" t="s">
        <v>900</v>
      </c>
      <c r="K570" s="140">
        <v>58</v>
      </c>
      <c r="L570" s="14" t="s">
        <v>294</v>
      </c>
      <c r="M570" s="14" t="s">
        <v>2825</v>
      </c>
    </row>
    <row r="571" spans="1:18" x14ac:dyDescent="0.35">
      <c r="C571" s="257">
        <v>9.0490443704482857</v>
      </c>
      <c r="D571" s="261">
        <v>72.464968306822655</v>
      </c>
      <c r="E571" s="138" t="s">
        <v>396</v>
      </c>
      <c r="F571" s="402">
        <v>2</v>
      </c>
      <c r="G571" s="1" t="s">
        <v>26</v>
      </c>
      <c r="H571" s="402">
        <v>26</v>
      </c>
      <c r="I571" s="63">
        <v>20</v>
      </c>
      <c r="J571" s="235" t="s">
        <v>22</v>
      </c>
      <c r="K571" s="140">
        <v>57</v>
      </c>
      <c r="L571" s="14" t="s">
        <v>942</v>
      </c>
      <c r="M571" s="14" t="s">
        <v>2826</v>
      </c>
      <c r="N571" s="92" t="s">
        <v>2954</v>
      </c>
    </row>
    <row r="572" spans="1:18" x14ac:dyDescent="0.35">
      <c r="C572" s="257">
        <v>-6.6683819546673129E-2</v>
      </c>
      <c r="D572" s="261">
        <v>59.869059871104767</v>
      </c>
      <c r="E572" s="138" t="s">
        <v>395</v>
      </c>
      <c r="F572" s="402">
        <v>54</v>
      </c>
      <c r="G572" s="1" t="s">
        <v>960</v>
      </c>
      <c r="H572" s="402">
        <v>19</v>
      </c>
      <c r="I572" s="63">
        <v>15</v>
      </c>
      <c r="J572" s="235" t="s">
        <v>74</v>
      </c>
      <c r="K572" s="140">
        <v>46</v>
      </c>
      <c r="L572" s="14" t="s">
        <v>443</v>
      </c>
      <c r="M572" s="14" t="s">
        <v>2828</v>
      </c>
    </row>
    <row r="573" spans="1:18" x14ac:dyDescent="0.35">
      <c r="C573" s="257">
        <v>1.3386147227298237</v>
      </c>
      <c r="D573" s="261">
        <v>57.258132340907267</v>
      </c>
      <c r="E573" s="138" t="s">
        <v>395</v>
      </c>
      <c r="F573" s="402">
        <v>53</v>
      </c>
      <c r="G573" s="1" t="s">
        <v>1858</v>
      </c>
      <c r="H573" s="402">
        <v>16</v>
      </c>
      <c r="I573" s="63">
        <v>13</v>
      </c>
      <c r="J573" s="235" t="s">
        <v>42</v>
      </c>
      <c r="K573" s="140">
        <v>51</v>
      </c>
      <c r="L573" s="14" t="s">
        <v>179</v>
      </c>
      <c r="M573" s="14" t="s">
        <v>2829</v>
      </c>
    </row>
    <row r="574" spans="1:18" x14ac:dyDescent="0.35">
      <c r="C574" s="257">
        <v>-2.6609288778024012</v>
      </c>
      <c r="D574" s="261">
        <v>65.739949198430295</v>
      </c>
      <c r="E574" s="138" t="s">
        <v>396</v>
      </c>
      <c r="F574" s="402">
        <v>52</v>
      </c>
      <c r="G574" s="1" t="s">
        <v>965</v>
      </c>
      <c r="H574" s="402">
        <v>15</v>
      </c>
      <c r="I574" s="63">
        <v>12</v>
      </c>
      <c r="J574" s="235" t="s">
        <v>85</v>
      </c>
      <c r="K574" s="140">
        <v>38</v>
      </c>
      <c r="L574" s="14" t="s">
        <v>190</v>
      </c>
      <c r="M574" s="14" t="s">
        <v>2832</v>
      </c>
    </row>
    <row r="575" spans="1:18" x14ac:dyDescent="0.35">
      <c r="C575" s="257">
        <v>1.7593528024103691</v>
      </c>
      <c r="D575" s="261">
        <v>64.591533712564015</v>
      </c>
      <c r="E575" s="138" t="s">
        <v>395</v>
      </c>
      <c r="F575" s="402">
        <v>35</v>
      </c>
      <c r="G575" s="1" t="s">
        <v>45</v>
      </c>
      <c r="H575" s="402">
        <v>22</v>
      </c>
      <c r="I575" s="63">
        <v>12</v>
      </c>
      <c r="J575" s="235" t="s">
        <v>43</v>
      </c>
      <c r="K575" s="140">
        <v>50</v>
      </c>
      <c r="L575" s="14" t="s">
        <v>331</v>
      </c>
      <c r="M575" s="14" t="s">
        <v>2830</v>
      </c>
    </row>
    <row r="576" spans="1:18" x14ac:dyDescent="0.35">
      <c r="C576" s="257">
        <v>-1.0968376992759044</v>
      </c>
      <c r="D576" s="261">
        <v>76.497741213768506</v>
      </c>
      <c r="E576" s="138" t="s">
        <v>395</v>
      </c>
      <c r="F576" s="402">
        <v>47</v>
      </c>
      <c r="G576" s="1" t="s">
        <v>51</v>
      </c>
      <c r="H576" s="402">
        <v>28</v>
      </c>
      <c r="I576" s="63">
        <v>15</v>
      </c>
      <c r="J576" s="235" t="s">
        <v>49</v>
      </c>
      <c r="K576" s="140">
        <v>21</v>
      </c>
      <c r="L576" s="14" t="s">
        <v>886</v>
      </c>
      <c r="M576" s="43" t="s">
        <v>2831</v>
      </c>
      <c r="N576" s="1" t="s">
        <v>2953</v>
      </c>
    </row>
    <row r="577" spans="1:15" x14ac:dyDescent="0.35">
      <c r="C577" s="257">
        <v>1.134096369517432</v>
      </c>
      <c r="D577" s="261">
        <v>64.636359736058978</v>
      </c>
      <c r="E577" s="138" t="s">
        <v>395</v>
      </c>
      <c r="F577" s="402">
        <v>42</v>
      </c>
      <c r="G577" s="1" t="s">
        <v>961</v>
      </c>
      <c r="H577" s="402">
        <v>24</v>
      </c>
      <c r="I577" s="63">
        <v>19</v>
      </c>
      <c r="J577" s="235" t="s">
        <v>73</v>
      </c>
      <c r="K577" s="140">
        <v>44</v>
      </c>
      <c r="L577" s="14" t="s">
        <v>929</v>
      </c>
      <c r="M577" s="14" t="s">
        <v>2833</v>
      </c>
    </row>
    <row r="578" spans="1:15" x14ac:dyDescent="0.35">
      <c r="C578" s="257">
        <v>-2.0437896391502379</v>
      </c>
      <c r="D578" s="261">
        <v>73.080652747405168</v>
      </c>
      <c r="E578" s="138" t="s">
        <v>396</v>
      </c>
      <c r="F578" s="402">
        <v>41</v>
      </c>
      <c r="G578" s="1" t="s">
        <v>1302</v>
      </c>
      <c r="H578" s="402">
        <v>18</v>
      </c>
      <c r="I578" s="63">
        <v>17</v>
      </c>
      <c r="J578" s="235" t="s">
        <v>75</v>
      </c>
      <c r="K578" s="140">
        <v>31</v>
      </c>
      <c r="L578" s="14" t="s">
        <v>504</v>
      </c>
      <c r="M578" s="14" t="s">
        <v>2835</v>
      </c>
      <c r="O578" t="s">
        <v>2834</v>
      </c>
    </row>
    <row r="579" spans="1:15" x14ac:dyDescent="0.35">
      <c r="C579" s="257">
        <v>5.5407968659343219</v>
      </c>
      <c r="D579" s="261">
        <v>77.470859381475492</v>
      </c>
      <c r="E579" s="138" t="s">
        <v>395</v>
      </c>
      <c r="F579" s="402">
        <v>12</v>
      </c>
      <c r="G579" s="1" t="s">
        <v>60</v>
      </c>
      <c r="H579" s="402">
        <v>15</v>
      </c>
      <c r="I579" s="63">
        <v>7</v>
      </c>
      <c r="J579" s="235" t="s">
        <v>788</v>
      </c>
      <c r="K579" s="140">
        <v>40</v>
      </c>
      <c r="L579" s="14" t="s">
        <v>181</v>
      </c>
      <c r="M579" s="14" t="s">
        <v>2836</v>
      </c>
    </row>
    <row r="580" spans="1:15" x14ac:dyDescent="0.35">
      <c r="C580" s="257">
        <v>1.6025106243002831</v>
      </c>
      <c r="D580" s="261">
        <v>68.721420982642655</v>
      </c>
      <c r="E580" s="138" t="s">
        <v>395</v>
      </c>
      <c r="F580" s="402">
        <v>36</v>
      </c>
      <c r="G580" s="1" t="s">
        <v>62</v>
      </c>
      <c r="H580" s="402">
        <v>18</v>
      </c>
      <c r="I580" s="63">
        <v>15</v>
      </c>
      <c r="J580" s="235" t="s">
        <v>787</v>
      </c>
      <c r="K580" s="140">
        <v>39</v>
      </c>
      <c r="L580" s="14" t="s">
        <v>347</v>
      </c>
      <c r="M580" s="14" t="s">
        <v>2837</v>
      </c>
    </row>
    <row r="581" spans="1:15" x14ac:dyDescent="0.35">
      <c r="C581" s="257">
        <v>5.9797680723572508</v>
      </c>
      <c r="D581" s="261">
        <v>81.443022805459108</v>
      </c>
      <c r="E581" s="138" t="s">
        <v>395</v>
      </c>
      <c r="F581" s="402">
        <v>10</v>
      </c>
      <c r="G581" s="1" t="s">
        <v>59</v>
      </c>
      <c r="H581" s="402">
        <v>18</v>
      </c>
      <c r="I581" s="63">
        <v>11</v>
      </c>
      <c r="J581" s="235" t="s">
        <v>793</v>
      </c>
      <c r="K581" s="140">
        <v>30</v>
      </c>
      <c r="L581" s="14" t="s">
        <v>294</v>
      </c>
      <c r="M581" s="14" t="s">
        <v>2838</v>
      </c>
    </row>
    <row r="582" spans="1:15" x14ac:dyDescent="0.35">
      <c r="C582" s="257">
        <v>5.6423299658314088</v>
      </c>
      <c r="D582" s="261">
        <v>84.541192881548994</v>
      </c>
      <c r="E582" s="138" t="s">
        <v>395</v>
      </c>
      <c r="F582" s="402">
        <v>6</v>
      </c>
      <c r="G582" s="1" t="s">
        <v>795</v>
      </c>
      <c r="H582" s="402">
        <v>25</v>
      </c>
      <c r="I582" s="63">
        <v>7</v>
      </c>
      <c r="J582" s="235" t="s">
        <v>69</v>
      </c>
      <c r="K582" s="140">
        <v>26</v>
      </c>
      <c r="L582" s="14" t="s">
        <v>331</v>
      </c>
      <c r="M582" s="43" t="s">
        <v>2839</v>
      </c>
      <c r="N582" s="1" t="s">
        <v>2953</v>
      </c>
    </row>
    <row r="583" spans="1:15" x14ac:dyDescent="0.35">
      <c r="C583" s="257">
        <v>-4.3969821701375551</v>
      </c>
      <c r="D583" s="261">
        <v>93.140701550098257</v>
      </c>
      <c r="E583" s="138" t="s">
        <v>396</v>
      </c>
      <c r="F583" s="402">
        <v>24</v>
      </c>
      <c r="G583" s="1" t="s">
        <v>83</v>
      </c>
      <c r="H583" s="402">
        <v>15</v>
      </c>
      <c r="I583" s="63">
        <v>12</v>
      </c>
      <c r="J583" s="235" t="s">
        <v>962</v>
      </c>
      <c r="K583" s="140">
        <v>8</v>
      </c>
      <c r="L583" s="14" t="s">
        <v>331</v>
      </c>
      <c r="M583" s="14" t="s">
        <v>2841</v>
      </c>
      <c r="O583" s="85" t="s">
        <v>2840</v>
      </c>
    </row>
    <row r="584" spans="1:15" x14ac:dyDescent="0.35">
      <c r="C584" s="257">
        <v>4.4119946276162523</v>
      </c>
      <c r="D584" s="261">
        <v>91.536075265988387</v>
      </c>
      <c r="E584" s="138" t="s">
        <v>395</v>
      </c>
      <c r="F584" s="402">
        <v>3</v>
      </c>
      <c r="G584" s="1" t="s">
        <v>118</v>
      </c>
      <c r="H584" s="402">
        <v>26</v>
      </c>
      <c r="I584" s="63">
        <v>12</v>
      </c>
      <c r="J584" s="235" t="s">
        <v>145</v>
      </c>
      <c r="K584" s="140">
        <v>14</v>
      </c>
      <c r="L584" s="14" t="s">
        <v>178</v>
      </c>
      <c r="M584" s="43" t="s">
        <v>2842</v>
      </c>
      <c r="N584" s="1" t="s">
        <v>2953</v>
      </c>
    </row>
    <row r="585" spans="1:15" ht="15" thickBot="1" x14ac:dyDescent="0.4">
      <c r="B585" s="57"/>
      <c r="C585" s="258">
        <v>-4.2124972793619602</v>
      </c>
      <c r="D585" s="265">
        <v>101.13392662811569</v>
      </c>
      <c r="E585" s="381" t="s">
        <v>396</v>
      </c>
      <c r="F585" s="381">
        <v>5</v>
      </c>
      <c r="G585" s="44" t="s">
        <v>966</v>
      </c>
      <c r="H585" s="381">
        <v>21</v>
      </c>
      <c r="I585" s="56">
        <v>16</v>
      </c>
      <c r="J585" s="57" t="s">
        <v>87</v>
      </c>
      <c r="K585" s="141">
        <v>1</v>
      </c>
      <c r="L585" s="23" t="s">
        <v>361</v>
      </c>
      <c r="M585" s="23" t="s">
        <v>2843</v>
      </c>
      <c r="N585" s="86"/>
      <c r="O585" s="86" t="s">
        <v>891</v>
      </c>
    </row>
    <row r="586" spans="1:15" x14ac:dyDescent="0.35">
      <c r="A586" s="6" t="s">
        <v>2863</v>
      </c>
      <c r="B586" s="76" t="s">
        <v>2630</v>
      </c>
      <c r="C586" s="257">
        <v>6.6987026373724241</v>
      </c>
      <c r="D586" s="261">
        <v>88.381191161689159</v>
      </c>
      <c r="E586" s="138" t="s">
        <v>395</v>
      </c>
      <c r="F586" s="402">
        <v>1</v>
      </c>
      <c r="G586" s="1" t="s">
        <v>26</v>
      </c>
      <c r="H586" s="402">
        <v>19</v>
      </c>
      <c r="I586" s="63">
        <v>11</v>
      </c>
      <c r="J586" s="235" t="s">
        <v>300</v>
      </c>
      <c r="K586" s="140">
        <v>25</v>
      </c>
      <c r="L586" s="14" t="s">
        <v>294</v>
      </c>
      <c r="M586" s="14" t="s">
        <v>2861</v>
      </c>
    </row>
    <row r="587" spans="1:15" x14ac:dyDescent="0.35">
      <c r="B587" s="76" t="s">
        <v>2631</v>
      </c>
      <c r="C587" s="257">
        <v>-3.9209248595946469</v>
      </c>
      <c r="D587" s="261">
        <v>95.208094552596549</v>
      </c>
      <c r="E587" s="138" t="s">
        <v>395</v>
      </c>
      <c r="F587" s="402">
        <v>25</v>
      </c>
      <c r="G587" s="1" t="s">
        <v>300</v>
      </c>
      <c r="H587" s="402">
        <v>23</v>
      </c>
      <c r="I587" s="63">
        <v>20</v>
      </c>
      <c r="J587" s="235" t="s">
        <v>26</v>
      </c>
      <c r="K587" s="140">
        <v>1</v>
      </c>
      <c r="L587" s="14" t="s">
        <v>1519</v>
      </c>
      <c r="M587" s="14" t="s">
        <v>2862</v>
      </c>
      <c r="O587" s="85" t="s">
        <v>2867</v>
      </c>
    </row>
    <row r="588" spans="1:15" x14ac:dyDescent="0.35">
      <c r="B588" s="76" t="s">
        <v>2630</v>
      </c>
      <c r="C588" s="257">
        <v>12.243550084110737</v>
      </c>
      <c r="D588" s="261">
        <v>55.164860660214529</v>
      </c>
      <c r="E588" s="138" t="s">
        <v>395</v>
      </c>
      <c r="F588" s="402">
        <v>11</v>
      </c>
      <c r="G588" s="1" t="s">
        <v>78</v>
      </c>
      <c r="H588" s="402">
        <v>27</v>
      </c>
      <c r="I588" s="63">
        <v>21</v>
      </c>
      <c r="J588" s="235" t="s">
        <v>70</v>
      </c>
      <c r="K588" s="140">
        <v>104</v>
      </c>
      <c r="L588" s="14" t="s">
        <v>2864</v>
      </c>
      <c r="M588" s="14" t="s">
        <v>2865</v>
      </c>
      <c r="O588" s="85" t="s">
        <v>1807</v>
      </c>
    </row>
    <row r="589" spans="1:15" x14ac:dyDescent="0.35">
      <c r="B589" s="76" t="s">
        <v>2631</v>
      </c>
      <c r="C589" s="257">
        <v>9.618550084110737</v>
      </c>
      <c r="D589" s="261">
        <v>56.852360660214529</v>
      </c>
      <c r="E589" s="138" t="s">
        <v>396</v>
      </c>
      <c r="F589" s="402">
        <v>11</v>
      </c>
      <c r="G589" s="1" t="s">
        <v>78</v>
      </c>
      <c r="H589" s="402">
        <v>17</v>
      </c>
      <c r="I589" s="63">
        <v>9</v>
      </c>
      <c r="J589" s="235" t="s">
        <v>70</v>
      </c>
      <c r="K589" s="140">
        <v>104</v>
      </c>
      <c r="L589" s="14" t="s">
        <v>578</v>
      </c>
      <c r="M589" s="14" t="s">
        <v>2866</v>
      </c>
      <c r="O589" s="85" t="s">
        <v>2868</v>
      </c>
    </row>
    <row r="590" spans="1:15" x14ac:dyDescent="0.35">
      <c r="A590" s="6" t="s">
        <v>2870</v>
      </c>
      <c r="B590" s="76" t="s">
        <v>2632</v>
      </c>
      <c r="C590" s="257">
        <v>4.1732343022336371</v>
      </c>
      <c r="D590" s="261">
        <v>88.598456519992666</v>
      </c>
      <c r="E590" s="138" t="s">
        <v>395</v>
      </c>
      <c r="F590" s="402">
        <v>10</v>
      </c>
      <c r="G590" s="1" t="s">
        <v>60</v>
      </c>
      <c r="H590" s="402">
        <v>12</v>
      </c>
      <c r="I590" s="63">
        <v>11</v>
      </c>
      <c r="J590" s="235" t="s">
        <v>41</v>
      </c>
      <c r="K590" s="140">
        <v>21</v>
      </c>
      <c r="L590" s="14" t="s">
        <v>181</v>
      </c>
      <c r="M590" s="14" t="s">
        <v>2869</v>
      </c>
      <c r="N590" s="92" t="s">
        <v>2954</v>
      </c>
    </row>
    <row r="591" spans="1:15" x14ac:dyDescent="0.35">
      <c r="B591" s="76" t="s">
        <v>2633</v>
      </c>
      <c r="C591" s="257">
        <v>-1.7232343022336374</v>
      </c>
      <c r="D591" s="261">
        <v>92.389043480007331</v>
      </c>
      <c r="E591" s="138" t="s">
        <v>395</v>
      </c>
      <c r="F591" s="402">
        <v>21</v>
      </c>
      <c r="G591" s="1" t="s">
        <v>41</v>
      </c>
      <c r="H591" s="402">
        <v>16</v>
      </c>
      <c r="I591" s="63">
        <v>13</v>
      </c>
      <c r="J591" s="235" t="s">
        <v>60</v>
      </c>
      <c r="K591" s="140">
        <v>10</v>
      </c>
      <c r="L591" s="14" t="s">
        <v>296</v>
      </c>
      <c r="M591" s="14" t="s">
        <v>2871</v>
      </c>
      <c r="O591" s="85" t="s">
        <v>2872</v>
      </c>
    </row>
    <row r="592" spans="1:15" x14ac:dyDescent="0.35">
      <c r="B592" s="76" t="s">
        <v>2632</v>
      </c>
      <c r="C592" s="257">
        <v>9.0538959400735681</v>
      </c>
      <c r="D592" s="261">
        <v>43.916245467095571</v>
      </c>
      <c r="E592" s="138" t="s">
        <v>395</v>
      </c>
      <c r="F592" s="402">
        <v>39</v>
      </c>
      <c r="G592" s="1" t="s">
        <v>58</v>
      </c>
      <c r="H592" s="402">
        <v>27</v>
      </c>
      <c r="I592" s="63">
        <v>15</v>
      </c>
      <c r="J592" s="235" t="s">
        <v>31</v>
      </c>
      <c r="K592" s="140">
        <v>100</v>
      </c>
      <c r="L592" s="14" t="s">
        <v>621</v>
      </c>
      <c r="M592" s="14" t="s">
        <v>2873</v>
      </c>
    </row>
    <row r="593" spans="1:15" x14ac:dyDescent="0.35">
      <c r="B593" s="76" t="s">
        <v>2633</v>
      </c>
      <c r="C593" s="257">
        <v>-6.4844514956291235</v>
      </c>
      <c r="D593" s="261">
        <v>53.905183104333013</v>
      </c>
      <c r="E593" s="138" t="s">
        <v>395</v>
      </c>
      <c r="F593" s="402">
        <v>100</v>
      </c>
      <c r="G593" s="1" t="s">
        <v>31</v>
      </c>
      <c r="H593" s="402">
        <v>15</v>
      </c>
      <c r="I593" s="63">
        <v>14</v>
      </c>
      <c r="J593" s="235" t="s">
        <v>58</v>
      </c>
      <c r="K593" s="140">
        <v>39</v>
      </c>
      <c r="L593" s="14" t="s">
        <v>191</v>
      </c>
      <c r="M593" s="14" t="s">
        <v>2874</v>
      </c>
      <c r="O593" s="85" t="s">
        <v>2878</v>
      </c>
    </row>
    <row r="594" spans="1:15" x14ac:dyDescent="0.35">
      <c r="A594" s="6" t="s">
        <v>2875</v>
      </c>
      <c r="B594" s="76" t="s">
        <v>2634</v>
      </c>
      <c r="C594" s="257">
        <v>5.5340202110048802</v>
      </c>
      <c r="D594" s="261">
        <v>44.009379864354003</v>
      </c>
      <c r="E594" s="138" t="s">
        <v>395</v>
      </c>
      <c r="F594" s="402">
        <v>55</v>
      </c>
      <c r="G594" s="1" t="s">
        <v>42</v>
      </c>
      <c r="H594" s="402">
        <v>26</v>
      </c>
      <c r="I594" s="63">
        <v>17</v>
      </c>
      <c r="J594" s="235" t="s">
        <v>88</v>
      </c>
      <c r="K594" s="140">
        <v>90</v>
      </c>
      <c r="L594" s="14" t="s">
        <v>301</v>
      </c>
      <c r="M594" s="14" t="s">
        <v>2876</v>
      </c>
    </row>
    <row r="595" spans="1:15" x14ac:dyDescent="0.35">
      <c r="B595" s="76" t="s">
        <v>2635</v>
      </c>
      <c r="C595" s="257">
        <v>2.8395757665604355</v>
      </c>
      <c r="D595" s="261">
        <v>45.741522721496878</v>
      </c>
      <c r="E595" s="138" t="s">
        <v>396</v>
      </c>
      <c r="F595" s="402">
        <v>55</v>
      </c>
      <c r="G595" s="1" t="s">
        <v>42</v>
      </c>
      <c r="H595" s="402">
        <v>21</v>
      </c>
      <c r="I595" s="63">
        <v>17</v>
      </c>
      <c r="J595" s="235" t="s">
        <v>88</v>
      </c>
      <c r="K595" s="140">
        <v>90</v>
      </c>
      <c r="L595" s="14" t="s">
        <v>369</v>
      </c>
      <c r="M595" s="14" t="s">
        <v>2877</v>
      </c>
      <c r="O595" s="85" t="s">
        <v>2879</v>
      </c>
    </row>
    <row r="596" spans="1:15" x14ac:dyDescent="0.35">
      <c r="B596" s="76" t="s">
        <v>2634</v>
      </c>
      <c r="C596" s="257">
        <v>5.8772936433147311</v>
      </c>
      <c r="D596" s="261">
        <v>31.132454086440532</v>
      </c>
      <c r="E596" s="138" t="s">
        <v>395</v>
      </c>
      <c r="F596" s="402">
        <v>63</v>
      </c>
      <c r="G596" s="1" t="s">
        <v>28</v>
      </c>
      <c r="H596" s="402">
        <v>18</v>
      </c>
      <c r="I596" s="63">
        <v>9</v>
      </c>
      <c r="J596" s="235" t="s">
        <v>1342</v>
      </c>
      <c r="K596" s="140">
        <v>99</v>
      </c>
      <c r="L596" s="14" t="s">
        <v>400</v>
      </c>
      <c r="M596" s="14" t="s">
        <v>2880</v>
      </c>
    </row>
    <row r="597" spans="1:15" x14ac:dyDescent="0.35">
      <c r="B597" s="76" t="s">
        <v>2635</v>
      </c>
      <c r="C597" s="257">
        <v>2.8911825322036204</v>
      </c>
      <c r="D597" s="261">
        <v>33.0520969435834</v>
      </c>
      <c r="E597" s="138" t="s">
        <v>396</v>
      </c>
      <c r="F597" s="402">
        <v>63</v>
      </c>
      <c r="G597" s="1" t="s">
        <v>28</v>
      </c>
      <c r="H597" s="402">
        <v>13</v>
      </c>
      <c r="I597" s="63">
        <v>12</v>
      </c>
      <c r="J597" s="235" t="s">
        <v>1342</v>
      </c>
      <c r="K597" s="140">
        <v>99</v>
      </c>
      <c r="L597" s="14" t="s">
        <v>578</v>
      </c>
      <c r="M597" s="14" t="s">
        <v>2881</v>
      </c>
      <c r="O597" s="85" t="s">
        <v>2882</v>
      </c>
    </row>
    <row r="598" spans="1:15" x14ac:dyDescent="0.35">
      <c r="B598" s="76" t="s">
        <v>2636</v>
      </c>
      <c r="C598" s="257">
        <v>3.249154197498854</v>
      </c>
      <c r="D598" s="261">
        <v>68.259472301607886</v>
      </c>
      <c r="E598" s="138" t="s">
        <v>395</v>
      </c>
      <c r="F598" s="402">
        <v>28</v>
      </c>
      <c r="G598" s="1" t="s">
        <v>57</v>
      </c>
      <c r="H598" s="402">
        <v>13</v>
      </c>
      <c r="I598" s="63">
        <v>12</v>
      </c>
      <c r="J598" s="235" t="s">
        <v>788</v>
      </c>
      <c r="K598" s="140">
        <v>54</v>
      </c>
      <c r="L598" s="14" t="s">
        <v>365</v>
      </c>
      <c r="M598" s="14" t="s">
        <v>2883</v>
      </c>
    </row>
    <row r="599" spans="1:15" x14ac:dyDescent="0.35">
      <c r="B599" s="76" t="s">
        <v>2637</v>
      </c>
      <c r="C599" s="257">
        <v>-0.49915419749885437</v>
      </c>
      <c r="D599" s="261">
        <v>70.669099126963559</v>
      </c>
      <c r="E599" s="138" t="s">
        <v>395</v>
      </c>
      <c r="F599" s="402">
        <v>54</v>
      </c>
      <c r="G599" s="1" t="s">
        <v>788</v>
      </c>
      <c r="H599" s="402">
        <v>17</v>
      </c>
      <c r="I599" s="63">
        <v>8</v>
      </c>
      <c r="J599" s="235" t="s">
        <v>57</v>
      </c>
      <c r="K599" s="140">
        <v>28</v>
      </c>
      <c r="L599" s="14" t="s">
        <v>332</v>
      </c>
      <c r="M599" s="14" t="s">
        <v>2884</v>
      </c>
      <c r="O599" s="85" t="s">
        <v>2885</v>
      </c>
    </row>
    <row r="600" spans="1:15" x14ac:dyDescent="0.35">
      <c r="B600" s="76" t="s">
        <v>2636</v>
      </c>
      <c r="C600" s="257">
        <v>5.9510797923571825</v>
      </c>
      <c r="D600" s="261">
        <v>82.995734419198953</v>
      </c>
      <c r="E600" s="138" t="s">
        <v>395</v>
      </c>
      <c r="F600" s="402">
        <v>9</v>
      </c>
      <c r="G600" s="1" t="s">
        <v>119</v>
      </c>
      <c r="H600" s="402">
        <v>25</v>
      </c>
      <c r="I600" s="63">
        <v>22</v>
      </c>
      <c r="J600" s="235" t="s">
        <v>75</v>
      </c>
      <c r="K600" s="140">
        <v>32</v>
      </c>
      <c r="L600" s="14" t="s">
        <v>512</v>
      </c>
      <c r="M600" s="14" t="s">
        <v>2886</v>
      </c>
    </row>
    <row r="601" spans="1:15" x14ac:dyDescent="0.35">
      <c r="B601" s="76" t="s">
        <v>2637</v>
      </c>
      <c r="C601" s="257">
        <v>3.4510797923571825</v>
      </c>
      <c r="D601" s="261">
        <v>84.602877276341815</v>
      </c>
      <c r="E601" s="138" t="s">
        <v>396</v>
      </c>
      <c r="F601" s="402">
        <v>9</v>
      </c>
      <c r="G601" s="1" t="s">
        <v>119</v>
      </c>
      <c r="H601" s="402">
        <v>20</v>
      </c>
      <c r="I601" s="63">
        <v>16</v>
      </c>
      <c r="J601" s="235" t="s">
        <v>75</v>
      </c>
      <c r="K601" s="140">
        <v>32</v>
      </c>
      <c r="L601" s="14" t="s">
        <v>533</v>
      </c>
      <c r="M601" s="14" t="s">
        <v>2887</v>
      </c>
      <c r="O601" s="85" t="s">
        <v>2888</v>
      </c>
    </row>
    <row r="602" spans="1:15" x14ac:dyDescent="0.35">
      <c r="B602" s="76" t="s">
        <v>2638</v>
      </c>
      <c r="C602" s="257">
        <v>-7.8960504648274608</v>
      </c>
      <c r="D602" s="261">
        <v>91.897461013103367</v>
      </c>
      <c r="E602" s="138" t="s">
        <v>396</v>
      </c>
      <c r="F602" s="402">
        <v>38</v>
      </c>
      <c r="G602" s="1" t="s">
        <v>69</v>
      </c>
      <c r="H602" s="402">
        <v>23</v>
      </c>
      <c r="I602" s="63">
        <v>19</v>
      </c>
      <c r="J602" s="235" t="s">
        <v>87</v>
      </c>
      <c r="K602" s="140">
        <v>3</v>
      </c>
      <c r="L602" s="14" t="s">
        <v>332</v>
      </c>
      <c r="M602" s="14" t="s">
        <v>2889</v>
      </c>
      <c r="O602" s="85" t="s">
        <v>2890</v>
      </c>
    </row>
    <row r="603" spans="1:15" x14ac:dyDescent="0.35">
      <c r="B603" s="76" t="s">
        <v>2639</v>
      </c>
      <c r="C603" s="257">
        <v>5.0488282426052375</v>
      </c>
      <c r="D603" s="261">
        <v>83.575753272610925</v>
      </c>
      <c r="E603" s="138" t="s">
        <v>396</v>
      </c>
      <c r="F603" s="402">
        <v>3</v>
      </c>
      <c r="G603" s="1" t="s">
        <v>87</v>
      </c>
      <c r="H603" s="402">
        <v>25</v>
      </c>
      <c r="I603" s="63">
        <v>17</v>
      </c>
      <c r="J603" s="235" t="s">
        <v>69</v>
      </c>
      <c r="K603" s="140">
        <v>38</v>
      </c>
      <c r="L603" s="14" t="s">
        <v>347</v>
      </c>
      <c r="M603" s="14" t="s">
        <v>2891</v>
      </c>
      <c r="O603" s="85" t="s">
        <v>2982</v>
      </c>
    </row>
    <row r="604" spans="1:15" x14ac:dyDescent="0.35">
      <c r="B604" s="76" t="s">
        <v>2638</v>
      </c>
      <c r="C604" s="257">
        <v>0.97770458689372752</v>
      </c>
      <c r="D604" s="261">
        <v>60.679511336996896</v>
      </c>
      <c r="E604" s="138" t="s">
        <v>396</v>
      </c>
      <c r="F604" s="402">
        <v>43</v>
      </c>
      <c r="G604" s="1" t="s">
        <v>49</v>
      </c>
      <c r="H604" s="402">
        <v>13</v>
      </c>
      <c r="I604" s="63">
        <v>9</v>
      </c>
      <c r="J604" s="235" t="s">
        <v>37</v>
      </c>
      <c r="K604" s="140">
        <v>64</v>
      </c>
      <c r="L604" s="14" t="s">
        <v>187</v>
      </c>
      <c r="M604" s="14" t="s">
        <v>2892</v>
      </c>
    </row>
    <row r="605" spans="1:15" x14ac:dyDescent="0.35">
      <c r="B605" s="76" t="s">
        <v>2639</v>
      </c>
      <c r="C605" s="257">
        <v>3.8499268091159498</v>
      </c>
      <c r="D605" s="261">
        <v>58.833082765568314</v>
      </c>
      <c r="E605" s="138" t="s">
        <v>395</v>
      </c>
      <c r="F605" s="402">
        <v>43</v>
      </c>
      <c r="G605" s="1" t="s">
        <v>49</v>
      </c>
      <c r="H605" s="402">
        <v>25</v>
      </c>
      <c r="I605" s="63">
        <v>16</v>
      </c>
      <c r="J605" s="235" t="s">
        <v>37</v>
      </c>
      <c r="K605" s="140">
        <v>64</v>
      </c>
      <c r="L605" s="14" t="s">
        <v>359</v>
      </c>
      <c r="M605" s="14" t="s">
        <v>2893</v>
      </c>
      <c r="O605" s="85" t="s">
        <v>2894</v>
      </c>
    </row>
    <row r="606" spans="1:15" x14ac:dyDescent="0.35">
      <c r="B606" s="76" t="s">
        <v>2640</v>
      </c>
      <c r="C606" s="257">
        <v>2.2181856510215727</v>
      </c>
      <c r="D606" s="261">
        <v>96.042773510057572</v>
      </c>
      <c r="E606" s="138" t="s">
        <v>395</v>
      </c>
      <c r="F606" s="402">
        <v>4</v>
      </c>
      <c r="G606" s="1" t="s">
        <v>795</v>
      </c>
      <c r="H606" s="402">
        <v>28</v>
      </c>
      <c r="I606" s="63">
        <v>2</v>
      </c>
      <c r="J606" s="235" t="s">
        <v>966</v>
      </c>
      <c r="K606" s="140">
        <v>5</v>
      </c>
      <c r="L606" s="14" t="s">
        <v>2895</v>
      </c>
      <c r="M606" s="43" t="s">
        <v>2896</v>
      </c>
      <c r="N606" s="1" t="s">
        <v>2953</v>
      </c>
      <c r="O606" s="84" t="s">
        <v>3523</v>
      </c>
    </row>
    <row r="607" spans="1:15" x14ac:dyDescent="0.35">
      <c r="B607" s="76" t="s">
        <v>2641</v>
      </c>
      <c r="C607" s="257">
        <v>-0.83736990453398286</v>
      </c>
      <c r="D607" s="261">
        <v>98.007059224343294</v>
      </c>
      <c r="E607" s="138" t="s">
        <v>396</v>
      </c>
      <c r="F607" s="402">
        <v>4</v>
      </c>
      <c r="G607" s="1" t="s">
        <v>795</v>
      </c>
      <c r="H607" s="402">
        <v>26</v>
      </c>
      <c r="I607" s="63">
        <v>10</v>
      </c>
      <c r="J607" s="235" t="s">
        <v>966</v>
      </c>
      <c r="K607" s="140">
        <v>5</v>
      </c>
      <c r="L607" t="s">
        <v>178</v>
      </c>
      <c r="M607" s="1" t="s">
        <v>2897</v>
      </c>
      <c r="N607" s="1" t="s">
        <v>2953</v>
      </c>
      <c r="O607" s="84" t="s">
        <v>2983</v>
      </c>
    </row>
    <row r="608" spans="1:15" x14ac:dyDescent="0.35">
      <c r="B608" s="76" t="s">
        <v>2640</v>
      </c>
      <c r="C608" s="257">
        <v>3.2218213714280197</v>
      </c>
      <c r="D608" s="261">
        <v>68.638650546939147</v>
      </c>
      <c r="E608" s="138" t="s">
        <v>395</v>
      </c>
      <c r="F608" s="402">
        <v>31</v>
      </c>
      <c r="G608" s="1" t="s">
        <v>62</v>
      </c>
      <c r="H608" s="402">
        <v>17</v>
      </c>
      <c r="I608" s="63">
        <v>11</v>
      </c>
      <c r="J608" s="235" t="s">
        <v>79</v>
      </c>
      <c r="K608" s="140">
        <v>50</v>
      </c>
      <c r="L608" s="14" t="s">
        <v>507</v>
      </c>
      <c r="M608" s="14" t="s">
        <v>2898</v>
      </c>
    </row>
    <row r="609" spans="1:15" x14ac:dyDescent="0.35">
      <c r="B609" s="76" t="s">
        <v>2641</v>
      </c>
      <c r="C609" s="257">
        <v>0.59682137142801961</v>
      </c>
      <c r="D609" s="261">
        <v>70.326150546939132</v>
      </c>
      <c r="E609" s="138" t="s">
        <v>396</v>
      </c>
      <c r="F609" s="402">
        <v>31</v>
      </c>
      <c r="G609" s="1" t="s">
        <v>62</v>
      </c>
      <c r="H609" s="402">
        <v>15</v>
      </c>
      <c r="I609" s="63">
        <v>13</v>
      </c>
      <c r="J609" s="235" t="s">
        <v>79</v>
      </c>
      <c r="K609" s="140">
        <v>50</v>
      </c>
      <c r="L609" s="14" t="s">
        <v>179</v>
      </c>
      <c r="M609" s="14" t="s">
        <v>2899</v>
      </c>
      <c r="O609" s="85" t="s">
        <v>2902</v>
      </c>
    </row>
    <row r="610" spans="1:15" x14ac:dyDescent="0.35">
      <c r="B610" s="76" t="s">
        <v>2642</v>
      </c>
      <c r="C610" s="257">
        <v>9.3038568417244694</v>
      </c>
      <c r="D610" s="261">
        <v>63.161806316034273</v>
      </c>
      <c r="E610" s="138" t="s">
        <v>396</v>
      </c>
      <c r="F610" s="402">
        <v>8</v>
      </c>
      <c r="G610" s="1" t="s">
        <v>36</v>
      </c>
      <c r="H610" s="402">
        <v>25</v>
      </c>
      <c r="I610" s="63">
        <v>5</v>
      </c>
      <c r="J610" s="235" t="s">
        <v>3913</v>
      </c>
      <c r="K610" s="140">
        <v>88</v>
      </c>
      <c r="L610" s="14" t="s">
        <v>495</v>
      </c>
      <c r="M610" s="43" t="s">
        <v>2900</v>
      </c>
      <c r="N610" s="1" t="s">
        <v>2953</v>
      </c>
    </row>
    <row r="611" spans="1:15" x14ac:dyDescent="0.35">
      <c r="B611" s="76" t="s">
        <v>2643</v>
      </c>
      <c r="C611" s="257">
        <v>12.637190175057803</v>
      </c>
      <c r="D611" s="261">
        <v>61.018949173177127</v>
      </c>
      <c r="E611" s="138" t="s">
        <v>395</v>
      </c>
      <c r="F611" s="402">
        <v>8</v>
      </c>
      <c r="G611" s="1" t="s">
        <v>36</v>
      </c>
      <c r="H611" s="402">
        <v>24</v>
      </c>
      <c r="I611" s="63">
        <v>15</v>
      </c>
      <c r="J611" s="235" t="s">
        <v>3913</v>
      </c>
      <c r="K611" s="140">
        <v>88</v>
      </c>
      <c r="L611" s="14" t="s">
        <v>365</v>
      </c>
      <c r="M611" s="14" t="s">
        <v>2901</v>
      </c>
      <c r="O611" s="85" t="s">
        <v>2903</v>
      </c>
    </row>
    <row r="612" spans="1:15" x14ac:dyDescent="0.35">
      <c r="B612" s="76" t="s">
        <v>2642</v>
      </c>
      <c r="C612" s="257">
        <v>11.137670473977582</v>
      </c>
      <c r="D612" s="261">
        <v>62.625783266728696</v>
      </c>
      <c r="E612" s="138" t="s">
        <v>395</v>
      </c>
      <c r="F612" s="402">
        <v>12</v>
      </c>
      <c r="G612" s="1" t="s">
        <v>59</v>
      </c>
      <c r="H612" s="402">
        <v>36</v>
      </c>
      <c r="I612" s="63">
        <v>9</v>
      </c>
      <c r="J612" s="235" t="s">
        <v>783</v>
      </c>
      <c r="K612" s="140">
        <v>82</v>
      </c>
      <c r="L612" s="14" t="s">
        <v>359</v>
      </c>
      <c r="M612" s="43" t="s">
        <v>2904</v>
      </c>
      <c r="N612" s="1" t="s">
        <v>2953</v>
      </c>
      <c r="O612" s="85" t="s">
        <v>2984</v>
      </c>
    </row>
    <row r="613" spans="1:15" x14ac:dyDescent="0.35">
      <c r="B613" s="76" t="s">
        <v>2643</v>
      </c>
      <c r="C613" s="257">
        <v>8.5543371406442485</v>
      </c>
      <c r="D613" s="261">
        <v>64.286497552442981</v>
      </c>
      <c r="E613" s="138" t="s">
        <v>396</v>
      </c>
      <c r="F613" s="402">
        <v>12</v>
      </c>
      <c r="G613" s="1" t="s">
        <v>59</v>
      </c>
      <c r="H613" s="402">
        <v>30</v>
      </c>
      <c r="I613" s="63">
        <v>17</v>
      </c>
      <c r="J613" s="235" t="s">
        <v>783</v>
      </c>
      <c r="K613" s="140">
        <v>82</v>
      </c>
      <c r="L613" s="14" t="s">
        <v>416</v>
      </c>
      <c r="M613" s="14" t="s">
        <v>2905</v>
      </c>
      <c r="O613" s="85" t="s">
        <v>2986</v>
      </c>
    </row>
    <row r="614" spans="1:15" x14ac:dyDescent="0.35">
      <c r="B614" s="76" t="s">
        <v>2644</v>
      </c>
      <c r="C614" s="257">
        <v>6.8277494003169306</v>
      </c>
      <c r="D614" s="261">
        <v>84.039303956939122</v>
      </c>
      <c r="E614" s="138" t="s">
        <v>395</v>
      </c>
      <c r="F614" s="402">
        <v>6</v>
      </c>
      <c r="G614" s="1" t="s">
        <v>46</v>
      </c>
      <c r="H614" s="402">
        <v>21</v>
      </c>
      <c r="I614" s="63">
        <v>17</v>
      </c>
      <c r="J614" s="235" t="s">
        <v>34</v>
      </c>
      <c r="K614" s="140">
        <v>30</v>
      </c>
      <c r="L614" s="14" t="s">
        <v>507</v>
      </c>
      <c r="M614" s="14" t="s">
        <v>2906</v>
      </c>
    </row>
    <row r="615" spans="1:15" x14ac:dyDescent="0.35">
      <c r="B615" s="76" t="s">
        <v>2645</v>
      </c>
      <c r="C615" s="257">
        <v>-3.8416382892058194</v>
      </c>
      <c r="D615" s="261">
        <v>90.898196043060892</v>
      </c>
      <c r="E615" s="138" t="s">
        <v>395</v>
      </c>
      <c r="F615" s="402">
        <v>30</v>
      </c>
      <c r="G615" s="1" t="s">
        <v>34</v>
      </c>
      <c r="H615" s="402">
        <v>22</v>
      </c>
      <c r="I615" s="63">
        <v>16</v>
      </c>
      <c r="J615" s="235" t="s">
        <v>46</v>
      </c>
      <c r="K615" s="140">
        <v>6</v>
      </c>
      <c r="L615" s="14" t="s">
        <v>465</v>
      </c>
      <c r="M615" s="14" t="s">
        <v>2907</v>
      </c>
      <c r="O615" s="85" t="s">
        <v>2922</v>
      </c>
    </row>
    <row r="616" spans="1:15" x14ac:dyDescent="0.35">
      <c r="B616" s="76" t="s">
        <v>2644</v>
      </c>
      <c r="C616" s="257">
        <v>3.4337070627792987</v>
      </c>
      <c r="D616" s="261">
        <v>54.038152602499025</v>
      </c>
      <c r="E616" s="138" t="s">
        <v>396</v>
      </c>
      <c r="F616" s="402">
        <v>41</v>
      </c>
      <c r="G616" s="1" t="s">
        <v>961</v>
      </c>
      <c r="H616" s="402">
        <v>20</v>
      </c>
      <c r="I616" s="63">
        <v>1</v>
      </c>
      <c r="J616" s="235" t="s">
        <v>792</v>
      </c>
      <c r="K616" s="140">
        <v>80</v>
      </c>
      <c r="L616" s="14" t="s">
        <v>2908</v>
      </c>
      <c r="M616" s="43" t="s">
        <v>2909</v>
      </c>
      <c r="N616" s="1" t="s">
        <v>2953</v>
      </c>
    </row>
    <row r="617" spans="1:15" ht="15" thickBot="1" x14ac:dyDescent="0.4">
      <c r="B617" s="77" t="s">
        <v>2645</v>
      </c>
      <c r="C617" s="259">
        <v>6.2670403961126322</v>
      </c>
      <c r="D617" s="262">
        <v>52.216724031070449</v>
      </c>
      <c r="E617" s="222" t="s">
        <v>395</v>
      </c>
      <c r="F617" s="381">
        <v>41</v>
      </c>
      <c r="G617" s="44" t="s">
        <v>961</v>
      </c>
      <c r="H617" s="381">
        <v>15</v>
      </c>
      <c r="I617" s="56">
        <v>12</v>
      </c>
      <c r="J617" s="57" t="s">
        <v>792</v>
      </c>
      <c r="K617" s="141">
        <v>80</v>
      </c>
      <c r="L617" s="23" t="s">
        <v>187</v>
      </c>
      <c r="M617" s="23" t="s">
        <v>2910</v>
      </c>
      <c r="N617" s="86"/>
      <c r="O617" s="86" t="s">
        <v>2985</v>
      </c>
    </row>
    <row r="618" spans="1:15" x14ac:dyDescent="0.35">
      <c r="B618" s="235" t="s">
        <v>4276</v>
      </c>
      <c r="C618" s="257">
        <v>2.8593728723898191</v>
      </c>
      <c r="D618" s="261">
        <v>89.039287173218412</v>
      </c>
      <c r="E618" s="138" t="s">
        <v>395</v>
      </c>
      <c r="F618" s="402">
        <v>11</v>
      </c>
      <c r="G618" s="1" t="s">
        <v>78</v>
      </c>
      <c r="H618" s="402">
        <v>15</v>
      </c>
      <c r="I618" s="63">
        <v>13</v>
      </c>
      <c r="J618" s="235" t="s">
        <v>83</v>
      </c>
      <c r="K618" s="140">
        <v>19</v>
      </c>
      <c r="L618" s="14" t="s">
        <v>2911</v>
      </c>
      <c r="M618" s="14" t="s">
        <v>2912</v>
      </c>
    </row>
    <row r="619" spans="1:15" x14ac:dyDescent="0.35">
      <c r="A619" s="6" t="s">
        <v>2915</v>
      </c>
      <c r="B619" s="235" t="s">
        <v>4276</v>
      </c>
      <c r="C619" s="257">
        <v>0.53797611163484238</v>
      </c>
      <c r="D619" s="261">
        <v>82.831102094878958</v>
      </c>
      <c r="E619" s="138" t="s">
        <v>396</v>
      </c>
      <c r="F619" s="402">
        <v>17</v>
      </c>
      <c r="G619" s="1" t="s">
        <v>77</v>
      </c>
      <c r="H619" s="402">
        <v>19</v>
      </c>
      <c r="I619" s="63">
        <v>17</v>
      </c>
      <c r="J619" s="235" t="s">
        <v>75</v>
      </c>
      <c r="K619" s="140">
        <v>32</v>
      </c>
      <c r="L619" s="14" t="s">
        <v>185</v>
      </c>
      <c r="M619" s="14" t="s">
        <v>2914</v>
      </c>
      <c r="O619" s="85" t="s">
        <v>2913</v>
      </c>
    </row>
    <row r="620" spans="1:15" x14ac:dyDescent="0.35">
      <c r="B620" s="235" t="s">
        <v>4276</v>
      </c>
      <c r="C620" s="257">
        <v>11.237288902533251</v>
      </c>
      <c r="D620" s="261">
        <v>69.290677451156242</v>
      </c>
      <c r="E620" s="138" t="s">
        <v>395</v>
      </c>
      <c r="F620" s="402">
        <v>3</v>
      </c>
      <c r="G620" s="1" t="s">
        <v>87</v>
      </c>
      <c r="H620" s="402">
        <v>23</v>
      </c>
      <c r="I620" s="63">
        <v>21</v>
      </c>
      <c r="J620" s="235" t="s">
        <v>86</v>
      </c>
      <c r="K620" s="140">
        <v>66</v>
      </c>
      <c r="L620" s="14" t="s">
        <v>183</v>
      </c>
      <c r="M620" s="14" t="s">
        <v>2916</v>
      </c>
      <c r="N620" s="92" t="s">
        <v>2954</v>
      </c>
      <c r="O620" t="s">
        <v>2987</v>
      </c>
    </row>
    <row r="621" spans="1:15" x14ac:dyDescent="0.35">
      <c r="B621" s="235" t="s">
        <v>4276</v>
      </c>
      <c r="C621" s="257">
        <v>-4.0323887884662089</v>
      </c>
      <c r="D621" s="261">
        <v>47.60792374066255</v>
      </c>
      <c r="E621" s="138" t="s">
        <v>395</v>
      </c>
      <c r="F621" s="402">
        <v>90</v>
      </c>
      <c r="G621" s="1" t="s">
        <v>88</v>
      </c>
      <c r="H621" s="402">
        <v>19</v>
      </c>
      <c r="I621" s="63">
        <v>17</v>
      </c>
      <c r="J621" s="235" t="s">
        <v>73</v>
      </c>
      <c r="K621" s="140">
        <v>53</v>
      </c>
      <c r="L621" s="14" t="s">
        <v>361</v>
      </c>
      <c r="M621" s="14" t="s">
        <v>2917</v>
      </c>
    </row>
    <row r="622" spans="1:15" x14ac:dyDescent="0.35">
      <c r="B622" s="235" t="s">
        <v>4283</v>
      </c>
      <c r="C622" s="257">
        <v>3.3301820252143375</v>
      </c>
      <c r="D622" s="261">
        <v>63.002160896995882</v>
      </c>
      <c r="E622" s="138" t="s">
        <v>395</v>
      </c>
      <c r="F622" s="402">
        <v>31</v>
      </c>
      <c r="G622" s="1" t="s">
        <v>62</v>
      </c>
      <c r="H622" s="402">
        <v>18</v>
      </c>
      <c r="I622" s="63">
        <v>5</v>
      </c>
      <c r="J622" s="235" t="s">
        <v>64</v>
      </c>
      <c r="K622" s="140">
        <v>59</v>
      </c>
      <c r="L622" s="14" t="s">
        <v>530</v>
      </c>
      <c r="M622" s="43" t="s">
        <v>2921</v>
      </c>
      <c r="N622" s="1" t="s">
        <v>2953</v>
      </c>
    </row>
    <row r="623" spans="1:15" x14ac:dyDescent="0.35">
      <c r="B623" s="235" t="s">
        <v>4283</v>
      </c>
      <c r="C623" s="257">
        <v>-1.1806174143048194</v>
      </c>
      <c r="D623" s="261">
        <v>94.33020026389039</v>
      </c>
      <c r="E623" s="138" t="s">
        <v>396</v>
      </c>
      <c r="F623" s="402">
        <v>12</v>
      </c>
      <c r="G623" s="1" t="s">
        <v>59</v>
      </c>
      <c r="H623" s="402">
        <v>20</v>
      </c>
      <c r="I623" s="63">
        <v>17</v>
      </c>
      <c r="J623" s="235" t="s">
        <v>60</v>
      </c>
      <c r="K623" s="140">
        <v>10</v>
      </c>
      <c r="L623" s="14" t="s">
        <v>184</v>
      </c>
      <c r="M623" s="14" t="s">
        <v>2924</v>
      </c>
      <c r="O623" t="s">
        <v>2923</v>
      </c>
    </row>
    <row r="624" spans="1:15" x14ac:dyDescent="0.35">
      <c r="B624" s="235" t="s">
        <v>4283</v>
      </c>
      <c r="C624" s="257">
        <v>6.0517283847442833</v>
      </c>
      <c r="D624" s="261">
        <v>41.850243393318209</v>
      </c>
      <c r="E624" s="138" t="s">
        <v>396</v>
      </c>
      <c r="F624" s="402">
        <v>36</v>
      </c>
      <c r="G624" s="1" t="s">
        <v>67</v>
      </c>
      <c r="H624" s="402">
        <v>21</v>
      </c>
      <c r="I624" s="63">
        <v>9</v>
      </c>
      <c r="J624" s="235" t="s">
        <v>70</v>
      </c>
      <c r="K624" s="140">
        <v>104</v>
      </c>
      <c r="L624" s="14" t="s">
        <v>296</v>
      </c>
      <c r="M624" s="14" t="s">
        <v>2925</v>
      </c>
    </row>
    <row r="625" spans="1:15" x14ac:dyDescent="0.35">
      <c r="B625" s="235" t="s">
        <v>4283</v>
      </c>
      <c r="C625" s="257">
        <v>1.9668913316589238</v>
      </c>
      <c r="D625" s="261">
        <v>65.865560229719605</v>
      </c>
      <c r="E625" s="138" t="s">
        <v>395</v>
      </c>
      <c r="F625" s="402">
        <v>38</v>
      </c>
      <c r="G625" s="1" t="s">
        <v>69</v>
      </c>
      <c r="H625" s="402">
        <v>16</v>
      </c>
      <c r="I625" s="63">
        <v>12</v>
      </c>
      <c r="J625" s="235" t="s">
        <v>114</v>
      </c>
      <c r="K625" s="140">
        <v>47</v>
      </c>
      <c r="L625" s="14" t="s">
        <v>360</v>
      </c>
      <c r="M625" s="14" t="s">
        <v>2926</v>
      </c>
    </row>
    <row r="626" spans="1:15" x14ac:dyDescent="0.35">
      <c r="B626" s="235" t="s">
        <v>4290</v>
      </c>
      <c r="C626" s="257">
        <v>1.5527349294670412</v>
      </c>
      <c r="D626" s="261">
        <v>80.420981762651166</v>
      </c>
      <c r="E626" s="138" t="s">
        <v>396</v>
      </c>
      <c r="F626" s="402">
        <v>15</v>
      </c>
      <c r="G626" s="1" t="s">
        <v>145</v>
      </c>
      <c r="H626" s="402">
        <v>15</v>
      </c>
      <c r="I626" s="63">
        <v>11</v>
      </c>
      <c r="J626" s="235" t="s">
        <v>58</v>
      </c>
      <c r="K626" s="140">
        <v>39</v>
      </c>
      <c r="L626" s="14" t="s">
        <v>179</v>
      </c>
      <c r="M626" s="14" t="s">
        <v>2927</v>
      </c>
    </row>
    <row r="627" spans="1:15" x14ac:dyDescent="0.35">
      <c r="B627" s="235" t="s">
        <v>4290</v>
      </c>
      <c r="C627" s="257">
        <v>-2.9326620716191685</v>
      </c>
      <c r="D627" s="261">
        <v>75.010968277681727</v>
      </c>
      <c r="E627" s="138" t="s">
        <v>396</v>
      </c>
      <c r="F627" s="402">
        <v>42</v>
      </c>
      <c r="G627" s="1" t="s">
        <v>53</v>
      </c>
      <c r="H627" s="402">
        <v>19</v>
      </c>
      <c r="I627" s="63">
        <v>9</v>
      </c>
      <c r="J627" s="235" t="s">
        <v>57</v>
      </c>
      <c r="K627" s="140">
        <v>28</v>
      </c>
      <c r="L627" s="14" t="s">
        <v>339</v>
      </c>
      <c r="M627" s="43" t="s">
        <v>2928</v>
      </c>
      <c r="N627" s="1" t="s">
        <v>2953</v>
      </c>
    </row>
    <row r="628" spans="1:15" x14ac:dyDescent="0.35">
      <c r="B628" s="235" t="s">
        <v>4290</v>
      </c>
      <c r="C628" s="257">
        <v>5.1944713667442313E-2</v>
      </c>
      <c r="D628" s="261">
        <v>72.192952196342318</v>
      </c>
      <c r="E628" s="138" t="s">
        <v>395</v>
      </c>
      <c r="F628" s="402">
        <v>43</v>
      </c>
      <c r="G628" s="1" t="s">
        <v>49</v>
      </c>
      <c r="H628" s="402">
        <v>21</v>
      </c>
      <c r="I628" s="63">
        <v>8</v>
      </c>
      <c r="J628" s="235" t="s">
        <v>51</v>
      </c>
      <c r="K628" s="140">
        <v>29</v>
      </c>
      <c r="L628" s="14" t="s">
        <v>744</v>
      </c>
      <c r="M628" s="43" t="s">
        <v>2929</v>
      </c>
      <c r="N628" s="1" t="s">
        <v>2953</v>
      </c>
    </row>
    <row r="629" spans="1:15" x14ac:dyDescent="0.35">
      <c r="B629" s="235" t="s">
        <v>4290</v>
      </c>
      <c r="C629" s="257">
        <v>3.7185043709884535</v>
      </c>
      <c r="D629" s="261">
        <v>89.350168431322203</v>
      </c>
      <c r="E629" s="138" t="s">
        <v>396</v>
      </c>
      <c r="F629" s="402">
        <v>2</v>
      </c>
      <c r="G629" s="1" t="s">
        <v>118</v>
      </c>
      <c r="H629" s="402">
        <v>11</v>
      </c>
      <c r="I629" s="63">
        <v>6</v>
      </c>
      <c r="J629" s="235" t="s">
        <v>300</v>
      </c>
      <c r="K629" s="140">
        <v>25</v>
      </c>
      <c r="L629" s="14" t="s">
        <v>639</v>
      </c>
      <c r="M629" s="14" t="s">
        <v>2930</v>
      </c>
    </row>
    <row r="630" spans="1:15" x14ac:dyDescent="0.35">
      <c r="B630" s="235" t="s">
        <v>4297</v>
      </c>
      <c r="C630" s="257">
        <v>6.856433595674881</v>
      </c>
      <c r="D630" s="261">
        <v>71.298445534394375</v>
      </c>
      <c r="E630" s="138" t="s">
        <v>396</v>
      </c>
      <c r="F630" s="402">
        <v>6</v>
      </c>
      <c r="G630" s="1" t="s">
        <v>46</v>
      </c>
      <c r="H630" s="402">
        <v>28</v>
      </c>
      <c r="I630" s="63">
        <v>13</v>
      </c>
      <c r="J630" s="235" t="s">
        <v>37</v>
      </c>
      <c r="K630" s="140">
        <v>64</v>
      </c>
      <c r="L630" s="14" t="s">
        <v>339</v>
      </c>
      <c r="M630" s="14" t="s">
        <v>2931</v>
      </c>
    </row>
    <row r="631" spans="1:15" x14ac:dyDescent="0.35">
      <c r="B631" s="235" t="s">
        <v>4297</v>
      </c>
      <c r="C631" s="257">
        <v>1.4438311234930683</v>
      </c>
      <c r="D631" s="261">
        <v>55.809944372461892</v>
      </c>
      <c r="E631" s="138" t="s">
        <v>395</v>
      </c>
      <c r="F631" s="402">
        <v>55</v>
      </c>
      <c r="G631" s="1" t="s">
        <v>42</v>
      </c>
      <c r="H631" s="402">
        <v>20</v>
      </c>
      <c r="I631" s="63">
        <v>17</v>
      </c>
      <c r="J631" s="235" t="s">
        <v>43</v>
      </c>
      <c r="K631" s="140">
        <v>57</v>
      </c>
      <c r="L631" s="14" t="s">
        <v>621</v>
      </c>
      <c r="M631" s="14" t="s">
        <v>2932</v>
      </c>
    </row>
    <row r="632" spans="1:15" x14ac:dyDescent="0.35">
      <c r="A632" s="6" t="s">
        <v>2936</v>
      </c>
      <c r="B632" s="235" t="s">
        <v>4297</v>
      </c>
      <c r="C632" s="257">
        <v>5.5579195213923942</v>
      </c>
      <c r="D632" s="261">
        <v>86.588855185330928</v>
      </c>
      <c r="E632" s="138" t="s">
        <v>395</v>
      </c>
      <c r="F632" s="402">
        <v>8</v>
      </c>
      <c r="G632" s="1" t="s">
        <v>36</v>
      </c>
      <c r="H632" s="402">
        <v>18</v>
      </c>
      <c r="I632" s="63">
        <v>9</v>
      </c>
      <c r="J632" s="235" t="s">
        <v>45</v>
      </c>
      <c r="K632" s="140">
        <v>24</v>
      </c>
      <c r="L632" s="14" t="s">
        <v>190</v>
      </c>
      <c r="M632" s="14" t="s">
        <v>2934</v>
      </c>
    </row>
    <row r="633" spans="1:15" x14ac:dyDescent="0.35">
      <c r="B633" s="235" t="s">
        <v>4297</v>
      </c>
      <c r="C633" s="257">
        <v>-2.3514846385957364</v>
      </c>
      <c r="D633" s="261">
        <v>93.212446609322782</v>
      </c>
      <c r="E633" s="138" t="s">
        <v>395</v>
      </c>
      <c r="F633" s="402">
        <v>21</v>
      </c>
      <c r="G633" s="1" t="s">
        <v>41</v>
      </c>
      <c r="H633" s="402">
        <v>19</v>
      </c>
      <c r="I633" s="63">
        <v>12</v>
      </c>
      <c r="J633" s="235" t="s">
        <v>40</v>
      </c>
      <c r="K633" s="140">
        <v>7</v>
      </c>
      <c r="L633" s="14" t="s">
        <v>290</v>
      </c>
      <c r="M633" s="14" t="s">
        <v>2935</v>
      </c>
    </row>
    <row r="634" spans="1:15" x14ac:dyDescent="0.35">
      <c r="B634" s="235" t="s">
        <v>4304</v>
      </c>
      <c r="C634" s="257">
        <v>9.935540040296436</v>
      </c>
      <c r="D634" s="261">
        <v>68.501343972368161</v>
      </c>
      <c r="E634" s="138" t="s">
        <v>395</v>
      </c>
      <c r="F634" s="402">
        <v>9</v>
      </c>
      <c r="G634" s="1" t="s">
        <v>119</v>
      </c>
      <c r="H634" s="402">
        <v>13</v>
      </c>
      <c r="I634" s="63">
        <v>12</v>
      </c>
      <c r="J634" s="235" t="s">
        <v>28</v>
      </c>
      <c r="K634" s="140">
        <v>63</v>
      </c>
      <c r="L634" s="14" t="s">
        <v>2937</v>
      </c>
      <c r="M634" s="14" t="s">
        <v>2938</v>
      </c>
      <c r="N634" s="92" t="s">
        <v>2954</v>
      </c>
    </row>
    <row r="635" spans="1:15" x14ac:dyDescent="0.35">
      <c r="B635" s="235" t="s">
        <v>4304</v>
      </c>
      <c r="C635" s="257">
        <v>10.133494411794167</v>
      </c>
      <c r="D635" s="261">
        <v>64</v>
      </c>
      <c r="E635" s="138" t="s">
        <v>395</v>
      </c>
      <c r="F635" s="402">
        <v>1</v>
      </c>
      <c r="G635" s="1" t="s">
        <v>26</v>
      </c>
      <c r="H635" s="402">
        <v>21</v>
      </c>
      <c r="I635" s="63">
        <v>18</v>
      </c>
      <c r="J635" s="235" t="s">
        <v>1860</v>
      </c>
      <c r="K635" s="140">
        <v>83</v>
      </c>
      <c r="L635" t="s">
        <v>179</v>
      </c>
      <c r="M635" t="s">
        <v>2939</v>
      </c>
      <c r="N635" s="92" t="s">
        <v>2954</v>
      </c>
    </row>
    <row r="636" spans="1:15" x14ac:dyDescent="0.35">
      <c r="B636" s="235" t="s">
        <v>4304</v>
      </c>
      <c r="C636" s="257">
        <v>9.1700420745781432</v>
      </c>
      <c r="D636" s="261">
        <v>53.940542577432126</v>
      </c>
      <c r="E636" s="138" t="s">
        <v>396</v>
      </c>
      <c r="F636" s="402">
        <v>16</v>
      </c>
      <c r="G636" s="1" t="s">
        <v>33</v>
      </c>
      <c r="H636" s="402">
        <v>26</v>
      </c>
      <c r="I636" s="63">
        <v>7</v>
      </c>
      <c r="J636" s="235" t="s">
        <v>31</v>
      </c>
      <c r="K636" s="140">
        <v>100</v>
      </c>
      <c r="L636" s="14" t="s">
        <v>286</v>
      </c>
      <c r="M636" s="14" t="s">
        <v>2940</v>
      </c>
    </row>
    <row r="637" spans="1:15" x14ac:dyDescent="0.35">
      <c r="B637" s="235" t="s">
        <v>4304</v>
      </c>
      <c r="C637" s="257">
        <v>-5.1269760350398386</v>
      </c>
      <c r="D637" s="261">
        <v>58.77278356688447</v>
      </c>
      <c r="E637" s="138" t="s">
        <v>396</v>
      </c>
      <c r="F637" s="402">
        <v>86</v>
      </c>
      <c r="G637" s="1" t="s">
        <v>27</v>
      </c>
      <c r="H637" s="402">
        <v>12</v>
      </c>
      <c r="I637" s="63">
        <v>8</v>
      </c>
      <c r="J637" s="235" t="s">
        <v>34</v>
      </c>
      <c r="K637" s="140">
        <v>30</v>
      </c>
      <c r="L637" s="14" t="s">
        <v>398</v>
      </c>
      <c r="M637" s="14" t="s">
        <v>2941</v>
      </c>
    </row>
    <row r="638" spans="1:15" x14ac:dyDescent="0.35">
      <c r="A638" s="6" t="s">
        <v>2945</v>
      </c>
      <c r="B638" s="235" t="s">
        <v>4445</v>
      </c>
      <c r="C638" s="257">
        <v>-0.18759370420502988</v>
      </c>
      <c r="D638" s="261">
        <v>60.092027201394806</v>
      </c>
      <c r="E638" s="138" t="s">
        <v>395</v>
      </c>
      <c r="F638" s="402">
        <v>61</v>
      </c>
      <c r="G638" s="1" t="s">
        <v>794</v>
      </c>
      <c r="H638" s="402">
        <v>21</v>
      </c>
      <c r="I638" s="63">
        <v>19</v>
      </c>
      <c r="J638" s="235" t="s">
        <v>787</v>
      </c>
      <c r="K638" s="140">
        <v>45</v>
      </c>
      <c r="L638" s="14" t="s">
        <v>606</v>
      </c>
      <c r="M638" s="14" t="s">
        <v>2943</v>
      </c>
      <c r="O638" t="s">
        <v>2942</v>
      </c>
    </row>
    <row r="639" spans="1:15" x14ac:dyDescent="0.35">
      <c r="B639" s="235" t="s">
        <v>4445</v>
      </c>
      <c r="C639" s="257">
        <v>9.1871114164609828</v>
      </c>
      <c r="D639" s="261">
        <v>68.671695028712463</v>
      </c>
      <c r="E639" s="138" t="s">
        <v>395</v>
      </c>
      <c r="F639" s="402">
        <v>4</v>
      </c>
      <c r="G639" s="1" t="s">
        <v>795</v>
      </c>
      <c r="H639" s="402">
        <v>35</v>
      </c>
      <c r="I639" s="63">
        <v>11</v>
      </c>
      <c r="J639" s="235" t="s">
        <v>791</v>
      </c>
      <c r="K639" s="140">
        <v>69</v>
      </c>
      <c r="L639" s="14" t="s">
        <v>876</v>
      </c>
      <c r="M639" s="43" t="s">
        <v>2944</v>
      </c>
      <c r="N639" s="1" t="s">
        <v>2953</v>
      </c>
      <c r="O639" s="85" t="s">
        <v>2988</v>
      </c>
    </row>
    <row r="640" spans="1:15" x14ac:dyDescent="0.35">
      <c r="B640" s="235" t="s">
        <v>4445</v>
      </c>
      <c r="C640" s="257">
        <v>6.9997596175720149</v>
      </c>
      <c r="D640" s="261">
        <v>60.914450547950615</v>
      </c>
      <c r="E640" s="138" t="s">
        <v>396</v>
      </c>
      <c r="F640" s="402">
        <v>18</v>
      </c>
      <c r="G640" s="1" t="s">
        <v>785</v>
      </c>
      <c r="H640" s="402">
        <v>21</v>
      </c>
      <c r="I640" s="63">
        <v>15</v>
      </c>
      <c r="J640" s="235" t="s">
        <v>783</v>
      </c>
      <c r="K640" s="140">
        <v>82</v>
      </c>
      <c r="L640" s="14" t="s">
        <v>623</v>
      </c>
      <c r="M640" s="14" t="s">
        <v>2946</v>
      </c>
    </row>
    <row r="641" spans="1:15" x14ac:dyDescent="0.35">
      <c r="B641" s="235" t="s">
        <v>4445</v>
      </c>
      <c r="C641" s="257">
        <v>-2.154379537760239</v>
      </c>
      <c r="D641" s="261">
        <v>76.105860254464162</v>
      </c>
      <c r="E641" s="138" t="s">
        <v>395</v>
      </c>
      <c r="F641" s="402">
        <v>54</v>
      </c>
      <c r="G641" s="1" t="s">
        <v>788</v>
      </c>
      <c r="H641" s="402">
        <v>13</v>
      </c>
      <c r="I641" s="63">
        <v>9</v>
      </c>
      <c r="J641" s="235" t="s">
        <v>790</v>
      </c>
      <c r="K641" s="140">
        <v>20</v>
      </c>
      <c r="L641" s="14" t="s">
        <v>331</v>
      </c>
      <c r="M641" s="14" t="s">
        <v>2947</v>
      </c>
    </row>
    <row r="642" spans="1:15" x14ac:dyDescent="0.35">
      <c r="B642" s="235" t="s">
        <v>4311</v>
      </c>
      <c r="C642" s="257">
        <v>-1.4996493829013362</v>
      </c>
      <c r="D642" s="261">
        <v>70.942616719703778</v>
      </c>
      <c r="E642" s="138" t="s">
        <v>396</v>
      </c>
      <c r="F642" s="402">
        <v>37</v>
      </c>
      <c r="G642" s="1" t="s">
        <v>1302</v>
      </c>
      <c r="H642" s="402">
        <v>20</v>
      </c>
      <c r="I642" s="63">
        <v>11</v>
      </c>
      <c r="J642" s="235" t="s">
        <v>961</v>
      </c>
      <c r="K642" s="140">
        <v>41</v>
      </c>
      <c r="L642" s="14" t="s">
        <v>286</v>
      </c>
      <c r="M642" s="14" t="s">
        <v>2948</v>
      </c>
    </row>
    <row r="643" spans="1:15" x14ac:dyDescent="0.35">
      <c r="B643" s="235" t="s">
        <v>4311</v>
      </c>
      <c r="C643" s="257">
        <v>2.5825811653182691</v>
      </c>
      <c r="D643" s="261">
        <v>20.657658629496044</v>
      </c>
      <c r="E643" s="138" t="s">
        <v>395</v>
      </c>
      <c r="F643" s="402">
        <v>88</v>
      </c>
      <c r="G643" s="1" t="s">
        <v>3913</v>
      </c>
      <c r="H643" s="402">
        <v>23</v>
      </c>
      <c r="I643" s="63">
        <v>15</v>
      </c>
      <c r="J643" s="235" t="s">
        <v>959</v>
      </c>
      <c r="K643" s="140">
        <v>93</v>
      </c>
      <c r="L643" s="14" t="s">
        <v>507</v>
      </c>
      <c r="M643" s="14" t="s">
        <v>2949</v>
      </c>
    </row>
    <row r="644" spans="1:15" x14ac:dyDescent="0.35">
      <c r="B644" s="235" t="s">
        <v>4311</v>
      </c>
      <c r="C644" s="257">
        <v>10.491318714807838</v>
      </c>
      <c r="D644" s="261">
        <v>54.063095738417488</v>
      </c>
      <c r="E644" s="138" t="s">
        <v>396</v>
      </c>
      <c r="F644" s="402">
        <v>14</v>
      </c>
      <c r="G644" s="1" t="s">
        <v>962</v>
      </c>
      <c r="H644" s="402">
        <v>42</v>
      </c>
      <c r="I644" s="63">
        <v>14</v>
      </c>
      <c r="J644" s="235" t="s">
        <v>1342</v>
      </c>
      <c r="K644" s="140">
        <v>99</v>
      </c>
      <c r="L644" s="14" t="s">
        <v>358</v>
      </c>
      <c r="M644" s="43" t="s">
        <v>2950</v>
      </c>
      <c r="N644" s="1" t="s">
        <v>2953</v>
      </c>
      <c r="O644" s="85" t="s">
        <v>2989</v>
      </c>
    </row>
    <row r="645" spans="1:15" ht="15" thickBot="1" x14ac:dyDescent="0.4">
      <c r="B645" s="57" t="s">
        <v>4311</v>
      </c>
      <c r="C645" s="259">
        <v>4.8735293698056283</v>
      </c>
      <c r="D645" s="262">
        <v>88.55815128927614</v>
      </c>
      <c r="E645" s="222" t="s">
        <v>395</v>
      </c>
      <c r="F645" s="381">
        <v>5</v>
      </c>
      <c r="G645" s="44" t="s">
        <v>966</v>
      </c>
      <c r="H645" s="381">
        <v>29</v>
      </c>
      <c r="I645" s="56">
        <v>9</v>
      </c>
      <c r="J645" s="57" t="s">
        <v>1301</v>
      </c>
      <c r="K645" s="141">
        <v>22</v>
      </c>
      <c r="L645" s="23" t="s">
        <v>334</v>
      </c>
      <c r="M645" s="271" t="s">
        <v>2951</v>
      </c>
      <c r="N645" s="274" t="s">
        <v>2953</v>
      </c>
      <c r="O645" s="86"/>
    </row>
    <row r="646" spans="1:15" x14ac:dyDescent="0.35">
      <c r="B646" s="235" t="s">
        <v>2570</v>
      </c>
      <c r="C646" s="257">
        <v>6.7245258629608236</v>
      </c>
      <c r="D646" s="261">
        <v>9.9289100978851348</v>
      </c>
      <c r="E646" s="138" t="s">
        <v>395</v>
      </c>
      <c r="F646" s="402">
        <v>79</v>
      </c>
      <c r="G646" s="1" t="s">
        <v>80</v>
      </c>
      <c r="H646" s="402">
        <v>29</v>
      </c>
      <c r="I646" s="63">
        <v>10</v>
      </c>
      <c r="J646" s="235" t="s">
        <v>76</v>
      </c>
      <c r="K646" s="140">
        <v>112</v>
      </c>
      <c r="L646" s="14" t="s">
        <v>286</v>
      </c>
      <c r="M646" s="14" t="s">
        <v>3086</v>
      </c>
    </row>
    <row r="647" spans="1:15" x14ac:dyDescent="0.35">
      <c r="B647" s="237" t="s">
        <v>3012</v>
      </c>
      <c r="C647" s="257">
        <v>8.9075024298352332</v>
      </c>
      <c r="D647" s="261">
        <v>17.298212550117686</v>
      </c>
      <c r="E647" s="138" t="s">
        <v>395</v>
      </c>
      <c r="F647" s="402">
        <v>60</v>
      </c>
      <c r="G647" s="1" t="s">
        <v>52</v>
      </c>
      <c r="H647" s="402">
        <v>34</v>
      </c>
      <c r="I647" s="63">
        <v>5</v>
      </c>
      <c r="J647" s="235" t="s">
        <v>48</v>
      </c>
      <c r="K647" s="140">
        <v>111</v>
      </c>
      <c r="L647" s="14" t="s">
        <v>744</v>
      </c>
      <c r="M647" s="43" t="s">
        <v>3085</v>
      </c>
      <c r="N647" s="1" t="s">
        <v>2953</v>
      </c>
    </row>
    <row r="648" spans="1:15" x14ac:dyDescent="0.35">
      <c r="B648" s="237" t="s">
        <v>3014</v>
      </c>
      <c r="C648" s="257">
        <v>5.5388658682258534</v>
      </c>
      <c r="D648" s="261">
        <v>31.356167236981534</v>
      </c>
      <c r="E648" s="138" t="s">
        <v>396</v>
      </c>
      <c r="F648" s="402">
        <v>51</v>
      </c>
      <c r="G648" s="1" t="s">
        <v>965</v>
      </c>
      <c r="H648" s="402">
        <v>20</v>
      </c>
      <c r="I648" s="63">
        <v>12</v>
      </c>
      <c r="J648" s="235" t="s">
        <v>964</v>
      </c>
      <c r="K648" s="140">
        <v>110</v>
      </c>
      <c r="L648" s="14" t="s">
        <v>294</v>
      </c>
      <c r="M648" s="14" t="s">
        <v>3084</v>
      </c>
    </row>
    <row r="649" spans="1:15" x14ac:dyDescent="0.35">
      <c r="C649" s="257">
        <v>-7.6058589422889575</v>
      </c>
      <c r="D649" s="261">
        <v>47.977399244492112</v>
      </c>
      <c r="E649" s="138" t="s">
        <v>396</v>
      </c>
      <c r="F649" s="402">
        <v>109</v>
      </c>
      <c r="G649" s="1" t="s">
        <v>65</v>
      </c>
      <c r="H649" s="402">
        <v>22</v>
      </c>
      <c r="I649" s="63">
        <v>20</v>
      </c>
      <c r="J649" s="235" t="s">
        <v>66</v>
      </c>
      <c r="K649" s="140">
        <v>34</v>
      </c>
      <c r="L649" s="14" t="s">
        <v>359</v>
      </c>
      <c r="M649" s="14" t="s">
        <v>3083</v>
      </c>
      <c r="O649" s="85" t="s">
        <v>2990</v>
      </c>
    </row>
    <row r="650" spans="1:15" x14ac:dyDescent="0.35">
      <c r="C650" s="257">
        <v>-0.71154740495982172</v>
      </c>
      <c r="D650" s="261">
        <v>11.668962432114149</v>
      </c>
      <c r="E650" s="138" t="s">
        <v>395</v>
      </c>
      <c r="F650" s="402">
        <v>108</v>
      </c>
      <c r="G650" s="1" t="s">
        <v>38</v>
      </c>
      <c r="H650" s="402">
        <v>14</v>
      </c>
      <c r="I650" s="63">
        <v>9</v>
      </c>
      <c r="J650" s="235" t="s">
        <v>35</v>
      </c>
      <c r="K650" s="140">
        <v>91</v>
      </c>
      <c r="L650" s="14" t="s">
        <v>295</v>
      </c>
      <c r="M650" s="14" t="s">
        <v>3082</v>
      </c>
    </row>
    <row r="651" spans="1:15" x14ac:dyDescent="0.35">
      <c r="C651" s="257">
        <v>6.2019345628325917</v>
      </c>
      <c r="D651" s="261">
        <v>49.855761026548151</v>
      </c>
      <c r="E651" s="138" t="s">
        <v>396</v>
      </c>
      <c r="F651" s="402">
        <v>21</v>
      </c>
      <c r="G651" s="1" t="s">
        <v>41</v>
      </c>
      <c r="H651" s="402">
        <v>22</v>
      </c>
      <c r="I651" s="63">
        <v>3</v>
      </c>
      <c r="J651" s="235" t="s">
        <v>1859</v>
      </c>
      <c r="K651" s="140">
        <v>107</v>
      </c>
      <c r="L651" s="14" t="s">
        <v>200</v>
      </c>
      <c r="M651" s="43" t="s">
        <v>3081</v>
      </c>
      <c r="N651" s="1" t="s">
        <v>2953</v>
      </c>
    </row>
    <row r="652" spans="1:15" x14ac:dyDescent="0.35">
      <c r="C652" s="257">
        <v>7.4302467568677599</v>
      </c>
      <c r="D652" s="261">
        <v>47.906966602237311</v>
      </c>
      <c r="E652" s="138" t="s">
        <v>395</v>
      </c>
      <c r="F652" s="402">
        <v>25</v>
      </c>
      <c r="G652" s="1" t="s">
        <v>300</v>
      </c>
      <c r="H652" s="402">
        <v>24</v>
      </c>
      <c r="I652" s="63">
        <v>7</v>
      </c>
      <c r="J652" s="235" t="s">
        <v>117</v>
      </c>
      <c r="K652" s="140">
        <v>106</v>
      </c>
      <c r="L652" s="14" t="s">
        <v>281</v>
      </c>
      <c r="M652" s="43" t="s">
        <v>3080</v>
      </c>
      <c r="N652" s="1" t="s">
        <v>2953</v>
      </c>
      <c r="O652" s="84" t="s">
        <v>2952</v>
      </c>
    </row>
    <row r="653" spans="1:15" x14ac:dyDescent="0.35">
      <c r="A653" s="6" t="s">
        <v>2993</v>
      </c>
      <c r="C653" s="257">
        <v>7.1256055086631056</v>
      </c>
      <c r="D653" s="261">
        <v>52.053138922383503</v>
      </c>
      <c r="E653" s="138" t="s">
        <v>396</v>
      </c>
      <c r="F653" s="402">
        <v>15</v>
      </c>
      <c r="G653" s="1" t="s">
        <v>145</v>
      </c>
      <c r="H653" s="402">
        <v>27</v>
      </c>
      <c r="I653" s="63">
        <v>24</v>
      </c>
      <c r="J653" s="235" t="s">
        <v>54</v>
      </c>
      <c r="K653" s="140">
        <v>105</v>
      </c>
      <c r="L653" s="14" t="s">
        <v>2991</v>
      </c>
      <c r="M653" s="14" t="s">
        <v>3079</v>
      </c>
    </row>
    <row r="654" spans="1:15" x14ac:dyDescent="0.35">
      <c r="C654" s="257">
        <v>-9.488337074279789</v>
      </c>
      <c r="D654" s="261">
        <v>48.920240767342705</v>
      </c>
      <c r="E654" s="138" t="s">
        <v>395</v>
      </c>
      <c r="F654" s="402">
        <v>104</v>
      </c>
      <c r="G654" s="1" t="s">
        <v>70</v>
      </c>
      <c r="H654" s="402">
        <v>21</v>
      </c>
      <c r="I654" s="63">
        <v>19</v>
      </c>
      <c r="J654" s="235" t="s">
        <v>72</v>
      </c>
      <c r="K654" s="140">
        <v>40</v>
      </c>
      <c r="L654" s="14" t="s">
        <v>337</v>
      </c>
      <c r="M654" s="14" t="s">
        <v>3078</v>
      </c>
      <c r="N654" t="s">
        <v>2992</v>
      </c>
    </row>
    <row r="655" spans="1:15" x14ac:dyDescent="0.35">
      <c r="C655" s="257">
        <v>6.9657960679600688</v>
      </c>
      <c r="D655" s="261">
        <v>50.381574237171378</v>
      </c>
      <c r="E655" s="138" t="s">
        <v>396</v>
      </c>
      <c r="F655" s="402">
        <v>22</v>
      </c>
      <c r="G655" s="1" t="s">
        <v>1301</v>
      </c>
      <c r="H655" s="402">
        <v>20</v>
      </c>
      <c r="I655" s="63">
        <v>19</v>
      </c>
      <c r="J655" s="235" t="s">
        <v>1308</v>
      </c>
      <c r="K655" s="140">
        <v>103</v>
      </c>
      <c r="L655" s="14" t="s">
        <v>623</v>
      </c>
      <c r="M655" s="14" t="s">
        <v>3077</v>
      </c>
      <c r="N655" s="92" t="s">
        <v>2954</v>
      </c>
      <c r="O655" t="s">
        <v>3076</v>
      </c>
    </row>
    <row r="656" spans="1:15" x14ac:dyDescent="0.35">
      <c r="C656" s="257">
        <v>1.2370116388430226</v>
      </c>
      <c r="D656" s="261">
        <v>9.8307059722549823</v>
      </c>
      <c r="E656" s="138" t="s">
        <v>395</v>
      </c>
      <c r="F656" s="402">
        <v>98</v>
      </c>
      <c r="G656" s="1" t="s">
        <v>55</v>
      </c>
      <c r="H656" s="402">
        <v>11</v>
      </c>
      <c r="I656" s="63">
        <v>8</v>
      </c>
      <c r="J656" s="235" t="s">
        <v>56</v>
      </c>
      <c r="K656" s="140">
        <v>102</v>
      </c>
      <c r="L656" s="14" t="s">
        <v>403</v>
      </c>
      <c r="M656" s="14" t="s">
        <v>3075</v>
      </c>
      <c r="N656" t="s">
        <v>2992</v>
      </c>
    </row>
    <row r="657" spans="1:15" x14ac:dyDescent="0.35">
      <c r="C657" s="257">
        <v>7.7733451661598432</v>
      </c>
      <c r="D657" s="261">
        <v>43.01903916702868</v>
      </c>
      <c r="E657" s="138" t="s">
        <v>395</v>
      </c>
      <c r="F657" s="402">
        <v>27</v>
      </c>
      <c r="G657" s="1" t="s">
        <v>71</v>
      </c>
      <c r="H657" s="402">
        <v>29</v>
      </c>
      <c r="I657" s="63">
        <v>11</v>
      </c>
      <c r="J657" s="235" t="s">
        <v>63</v>
      </c>
      <c r="K657" s="140">
        <v>101</v>
      </c>
      <c r="L657" s="14" t="s">
        <v>339</v>
      </c>
      <c r="M657" s="14" t="s">
        <v>3074</v>
      </c>
    </row>
    <row r="658" spans="1:15" x14ac:dyDescent="0.35">
      <c r="C658" s="257">
        <v>6.3964208917965948E-4</v>
      </c>
      <c r="D658" s="261">
        <v>14.285257398507722</v>
      </c>
      <c r="E658" s="138" t="s">
        <v>396</v>
      </c>
      <c r="F658" s="402">
        <v>92</v>
      </c>
      <c r="G658" s="1" t="s">
        <v>29</v>
      </c>
      <c r="H658" s="402">
        <v>19</v>
      </c>
      <c r="I658" s="63">
        <v>14</v>
      </c>
      <c r="J658" s="235" t="s">
        <v>31</v>
      </c>
      <c r="K658" s="140">
        <v>100</v>
      </c>
      <c r="L658" s="14" t="s">
        <v>296</v>
      </c>
      <c r="M658" s="14" t="s">
        <v>3073</v>
      </c>
      <c r="O658" s="84" t="s">
        <v>2994</v>
      </c>
    </row>
    <row r="659" spans="1:15" x14ac:dyDescent="0.35">
      <c r="C659" s="257">
        <v>12.245033663890794</v>
      </c>
      <c r="D659" s="261">
        <v>54.110690240078</v>
      </c>
      <c r="E659" s="138" t="s">
        <v>396</v>
      </c>
      <c r="F659" s="402">
        <v>5</v>
      </c>
      <c r="G659" s="1" t="s">
        <v>966</v>
      </c>
      <c r="H659" s="402">
        <v>30</v>
      </c>
      <c r="I659" s="63">
        <v>13</v>
      </c>
      <c r="J659" s="235" t="s">
        <v>1342</v>
      </c>
      <c r="K659" s="140">
        <v>99</v>
      </c>
      <c r="L659" s="14" t="s">
        <v>186</v>
      </c>
      <c r="M659" s="14" t="s">
        <v>3072</v>
      </c>
    </row>
    <row r="660" spans="1:15" x14ac:dyDescent="0.35">
      <c r="B660" s="235"/>
      <c r="C660" s="257">
        <v>-0.70994502205015209</v>
      </c>
      <c r="D660" s="261">
        <v>14.346389301464392</v>
      </c>
      <c r="E660" s="138" t="s">
        <v>396</v>
      </c>
      <c r="F660" s="402">
        <v>97</v>
      </c>
      <c r="G660" s="1" t="s">
        <v>796</v>
      </c>
      <c r="H660" s="402">
        <v>10</v>
      </c>
      <c r="I660" s="63">
        <v>6</v>
      </c>
      <c r="J660" s="235" t="s">
        <v>786</v>
      </c>
      <c r="K660" s="140">
        <v>96</v>
      </c>
      <c r="L660" s="14" t="s">
        <v>371</v>
      </c>
      <c r="M660" s="14" t="s">
        <v>3071</v>
      </c>
      <c r="O660" s="85" t="s">
        <v>2995</v>
      </c>
    </row>
    <row r="661" spans="1:15" x14ac:dyDescent="0.35">
      <c r="C661" s="257">
        <v>7.6874448745028117</v>
      </c>
      <c r="D661" s="261">
        <v>56.294682232497998</v>
      </c>
      <c r="E661" s="138" t="s">
        <v>396</v>
      </c>
      <c r="F661" s="402">
        <v>12</v>
      </c>
      <c r="G661" s="1" t="s">
        <v>59</v>
      </c>
      <c r="H661" s="402">
        <v>34</v>
      </c>
      <c r="I661" s="63">
        <v>22</v>
      </c>
      <c r="J661" s="235" t="s">
        <v>68</v>
      </c>
      <c r="K661" s="140">
        <v>95</v>
      </c>
      <c r="L661" s="14" t="s">
        <v>301</v>
      </c>
      <c r="M661" s="14" t="s">
        <v>3070</v>
      </c>
    </row>
    <row r="662" spans="1:15" x14ac:dyDescent="0.35">
      <c r="A662" s="6" t="s">
        <v>3015</v>
      </c>
      <c r="C662" s="257">
        <v>-1.2104882784055229</v>
      </c>
      <c r="D662" s="261">
        <v>27.650348770289657</v>
      </c>
      <c r="E662" s="138" t="s">
        <v>395</v>
      </c>
      <c r="F662" s="402">
        <v>94</v>
      </c>
      <c r="G662" s="1" t="s">
        <v>963</v>
      </c>
      <c r="H662" s="402">
        <v>18</v>
      </c>
      <c r="I662" s="63">
        <v>8</v>
      </c>
      <c r="J662" s="235" t="s">
        <v>1343</v>
      </c>
      <c r="K662" s="140">
        <v>70</v>
      </c>
      <c r="L662" s="14" t="s">
        <v>281</v>
      </c>
      <c r="M662" s="14" t="s">
        <v>3013</v>
      </c>
      <c r="N662" t="s">
        <v>2992</v>
      </c>
    </row>
    <row r="663" spans="1:15" x14ac:dyDescent="0.35">
      <c r="C663" s="257">
        <v>7.0040531321849704</v>
      </c>
      <c r="D663" s="261">
        <v>38.345319191296454</v>
      </c>
      <c r="E663" s="138" t="s">
        <v>395</v>
      </c>
      <c r="F663" s="402">
        <v>48</v>
      </c>
      <c r="G663" s="1" t="s">
        <v>960</v>
      </c>
      <c r="H663" s="402">
        <v>26</v>
      </c>
      <c r="I663" s="63">
        <v>2</v>
      </c>
      <c r="J663" s="235" t="s">
        <v>959</v>
      </c>
      <c r="K663" s="140">
        <v>93</v>
      </c>
      <c r="L663" s="14" t="s">
        <v>418</v>
      </c>
      <c r="M663" s="43" t="s">
        <v>3016</v>
      </c>
      <c r="N663" s="1" t="s">
        <v>2953</v>
      </c>
    </row>
    <row r="664" spans="1:15" x14ac:dyDescent="0.35">
      <c r="B664" s="235"/>
      <c r="C664" s="257">
        <v>2.4176175036723428</v>
      </c>
      <c r="D664" s="261">
        <v>20.594558925948327</v>
      </c>
      <c r="E664" s="138" t="s">
        <v>395</v>
      </c>
      <c r="F664" s="402">
        <v>84</v>
      </c>
      <c r="G664" s="1" t="s">
        <v>84</v>
      </c>
      <c r="H664" s="402">
        <v>24</v>
      </c>
      <c r="I664" s="63">
        <v>22</v>
      </c>
      <c r="J664" s="235" t="s">
        <v>88</v>
      </c>
      <c r="K664" s="140">
        <v>90</v>
      </c>
      <c r="L664" s="14" t="s">
        <v>179</v>
      </c>
      <c r="M664" s="14" t="s">
        <v>3018</v>
      </c>
      <c r="N664" t="s">
        <v>2992</v>
      </c>
      <c r="O664" s="85" t="s">
        <v>3017</v>
      </c>
    </row>
    <row r="665" spans="1:15" x14ac:dyDescent="0.35">
      <c r="B665" s="235"/>
      <c r="C665" s="257">
        <v>7.7231070575407745</v>
      </c>
      <c r="D665" s="261">
        <v>55.91206638747088</v>
      </c>
      <c r="E665" s="138" t="s">
        <v>395</v>
      </c>
      <c r="F665" s="402">
        <v>19</v>
      </c>
      <c r="G665" s="1" t="s">
        <v>83</v>
      </c>
      <c r="H665" s="402">
        <v>24</v>
      </c>
      <c r="I665" s="63">
        <v>18</v>
      </c>
      <c r="J665" s="235" t="s">
        <v>81</v>
      </c>
      <c r="K665" s="140">
        <v>89</v>
      </c>
      <c r="L665" s="14" t="s">
        <v>446</v>
      </c>
      <c r="M665" s="14" t="s">
        <v>3019</v>
      </c>
      <c r="N665" t="s">
        <v>2992</v>
      </c>
    </row>
    <row r="666" spans="1:15" x14ac:dyDescent="0.35">
      <c r="A666" s="6" t="s">
        <v>3021</v>
      </c>
      <c r="B666" s="235"/>
      <c r="C666" s="257">
        <v>4.4387642569138563</v>
      </c>
      <c r="D666" s="261">
        <v>46.606239816490103</v>
      </c>
      <c r="E666" s="138" t="s">
        <v>396</v>
      </c>
      <c r="F666" s="402">
        <v>37</v>
      </c>
      <c r="G666" s="1" t="s">
        <v>1302</v>
      </c>
      <c r="H666" s="402">
        <v>15</v>
      </c>
      <c r="I666" s="63">
        <v>12</v>
      </c>
      <c r="J666" s="235" t="s">
        <v>3913</v>
      </c>
      <c r="K666" s="140">
        <v>88</v>
      </c>
      <c r="L666" s="14" t="s">
        <v>493</v>
      </c>
      <c r="M666" s="14" t="s">
        <v>3020</v>
      </c>
    </row>
    <row r="667" spans="1:15" x14ac:dyDescent="0.35">
      <c r="B667" s="235"/>
      <c r="C667" s="257">
        <v>5.2495159456014155</v>
      </c>
      <c r="D667" s="261">
        <v>58.036060038856128</v>
      </c>
      <c r="E667" s="138" t="s">
        <v>396</v>
      </c>
      <c r="F667" s="402">
        <v>20</v>
      </c>
      <c r="G667" s="1" t="s">
        <v>790</v>
      </c>
      <c r="H667" s="402">
        <v>24</v>
      </c>
      <c r="I667" s="63">
        <v>17</v>
      </c>
      <c r="J667" s="235" t="s">
        <v>909</v>
      </c>
      <c r="K667" s="140">
        <v>87</v>
      </c>
      <c r="L667" s="14" t="s">
        <v>443</v>
      </c>
      <c r="M667" s="14" t="s">
        <v>3022</v>
      </c>
    </row>
    <row r="668" spans="1:15" x14ac:dyDescent="0.35">
      <c r="B668" s="235"/>
      <c r="C668" s="257">
        <v>8.7772101167390186</v>
      </c>
      <c r="D668" s="261">
        <v>59.801992773757839</v>
      </c>
      <c r="E668" s="138" t="s">
        <v>395</v>
      </c>
      <c r="F668" s="402">
        <v>9</v>
      </c>
      <c r="G668" s="1" t="s">
        <v>119</v>
      </c>
      <c r="H668" s="402">
        <v>31</v>
      </c>
      <c r="I668" s="63">
        <v>4</v>
      </c>
      <c r="J668" s="235" t="s">
        <v>27</v>
      </c>
      <c r="K668" s="140">
        <v>86</v>
      </c>
      <c r="L668" s="14" t="s">
        <v>3037</v>
      </c>
      <c r="M668" s="43" t="s">
        <v>3023</v>
      </c>
      <c r="N668" s="1" t="s">
        <v>2953</v>
      </c>
    </row>
    <row r="669" spans="1:15" x14ac:dyDescent="0.35">
      <c r="B669" s="235"/>
      <c r="C669" s="257">
        <v>-8.4009054825311562</v>
      </c>
      <c r="D669" s="261">
        <v>69.92921820180797</v>
      </c>
      <c r="E669" s="138" t="s">
        <v>396</v>
      </c>
      <c r="F669" s="402">
        <v>85</v>
      </c>
      <c r="G669" s="1" t="s">
        <v>24</v>
      </c>
      <c r="H669" s="402">
        <v>22</v>
      </c>
      <c r="I669" s="63">
        <v>18</v>
      </c>
      <c r="J669" s="235" t="s">
        <v>33</v>
      </c>
      <c r="K669" s="140">
        <v>16</v>
      </c>
      <c r="L669" s="14" t="s">
        <v>339</v>
      </c>
      <c r="M669" s="14" t="s">
        <v>3024</v>
      </c>
    </row>
    <row r="670" spans="1:15" x14ac:dyDescent="0.35">
      <c r="A670" s="6" t="s">
        <v>3026</v>
      </c>
      <c r="B670" s="235"/>
      <c r="C670" s="257">
        <v>1.2393855568003618</v>
      </c>
      <c r="D670" s="261">
        <v>27.239724602285463</v>
      </c>
      <c r="E670" s="138" t="s">
        <v>395</v>
      </c>
      <c r="F670" s="402">
        <v>83</v>
      </c>
      <c r="G670" s="1" t="s">
        <v>1860</v>
      </c>
      <c r="H670" s="402">
        <v>29</v>
      </c>
      <c r="I670" s="63">
        <v>19</v>
      </c>
      <c r="J670" s="235" t="s">
        <v>25</v>
      </c>
      <c r="K670" s="140">
        <v>78</v>
      </c>
      <c r="L670" s="14" t="s">
        <v>347</v>
      </c>
      <c r="M670" s="14" t="s">
        <v>3025</v>
      </c>
    </row>
    <row r="671" spans="1:15" x14ac:dyDescent="0.35">
      <c r="B671" s="235"/>
      <c r="C671" s="257">
        <v>4.3956250698406665</v>
      </c>
      <c r="D671" s="261">
        <v>32.574553521542384</v>
      </c>
      <c r="E671" s="138" t="s">
        <v>395</v>
      </c>
      <c r="F671" s="402">
        <v>62</v>
      </c>
      <c r="G671" s="1" t="s">
        <v>908</v>
      </c>
      <c r="H671" s="402">
        <v>24</v>
      </c>
      <c r="I671" s="63">
        <v>15</v>
      </c>
      <c r="J671" s="235" t="s">
        <v>783</v>
      </c>
      <c r="K671" s="140">
        <v>82</v>
      </c>
      <c r="L671" s="14" t="s">
        <v>301</v>
      </c>
      <c r="M671" s="14" t="s">
        <v>3027</v>
      </c>
    </row>
    <row r="672" spans="1:15" x14ac:dyDescent="0.35">
      <c r="B672" s="235"/>
      <c r="C672" s="257">
        <v>4.3032714230461213</v>
      </c>
      <c r="D672" s="261">
        <v>49.917306126395623</v>
      </c>
      <c r="E672" s="138" t="s">
        <v>395</v>
      </c>
      <c r="F672" s="402">
        <v>36</v>
      </c>
      <c r="G672" s="1" t="s">
        <v>67</v>
      </c>
      <c r="H672" s="402">
        <v>31</v>
      </c>
      <c r="I672" s="63">
        <v>7</v>
      </c>
      <c r="J672" s="235" t="s">
        <v>61</v>
      </c>
      <c r="K672" s="140">
        <v>81</v>
      </c>
      <c r="L672" s="14" t="s">
        <v>546</v>
      </c>
      <c r="M672" s="43" t="s">
        <v>3028</v>
      </c>
      <c r="N672" s="1" t="s">
        <v>2953</v>
      </c>
    </row>
    <row r="673" spans="1:15" x14ac:dyDescent="0.35">
      <c r="B673" s="235"/>
      <c r="C673" s="257">
        <v>5.8473961981153719</v>
      </c>
      <c r="D673" s="261">
        <v>45.600074144203305</v>
      </c>
      <c r="E673" s="138" t="s">
        <v>395</v>
      </c>
      <c r="F673" s="402">
        <v>45</v>
      </c>
      <c r="G673" s="1" t="s">
        <v>787</v>
      </c>
      <c r="H673" s="402">
        <v>26</v>
      </c>
      <c r="I673" s="63">
        <v>14</v>
      </c>
      <c r="J673" s="235" t="s">
        <v>792</v>
      </c>
      <c r="K673" s="140">
        <v>80</v>
      </c>
      <c r="L673" s="14" t="s">
        <v>347</v>
      </c>
      <c r="M673" s="14" t="s">
        <v>3029</v>
      </c>
    </row>
    <row r="674" spans="1:15" x14ac:dyDescent="0.35">
      <c r="B674" s="235"/>
      <c r="C674" s="257">
        <v>9.5863151144177348</v>
      </c>
      <c r="D674" s="261">
        <v>64.224060632558761</v>
      </c>
      <c r="E674" s="138" t="s">
        <v>395</v>
      </c>
      <c r="F674" s="402">
        <v>4</v>
      </c>
      <c r="G674" s="1" t="s">
        <v>795</v>
      </c>
      <c r="H674" s="402">
        <v>26</v>
      </c>
      <c r="I674" s="63">
        <v>13</v>
      </c>
      <c r="J674" s="235" t="s">
        <v>784</v>
      </c>
      <c r="K674" s="140">
        <v>77</v>
      </c>
      <c r="L674" s="14" t="s">
        <v>186</v>
      </c>
      <c r="M674" s="14" t="s">
        <v>3030</v>
      </c>
    </row>
    <row r="675" spans="1:15" x14ac:dyDescent="0.35">
      <c r="B675" s="235"/>
      <c r="C675" s="257">
        <v>-3.9649068798798894</v>
      </c>
      <c r="D675" s="261">
        <v>61.849933485628497</v>
      </c>
      <c r="E675" s="138" t="s">
        <v>395</v>
      </c>
      <c r="F675" s="402">
        <v>76</v>
      </c>
      <c r="G675" s="1" t="s">
        <v>39</v>
      </c>
      <c r="H675" s="402">
        <v>31</v>
      </c>
      <c r="I675" s="63">
        <v>18</v>
      </c>
      <c r="J675" s="235" t="s">
        <v>2011</v>
      </c>
      <c r="K675" s="140">
        <v>26</v>
      </c>
      <c r="L675" s="14" t="s">
        <v>3036</v>
      </c>
      <c r="M675" s="14" t="s">
        <v>3031</v>
      </c>
    </row>
    <row r="676" spans="1:15" x14ac:dyDescent="0.35">
      <c r="B676" s="235"/>
      <c r="C676" s="257">
        <v>0.8564865490462128</v>
      </c>
      <c r="D676" s="261">
        <v>40.013223893538417</v>
      </c>
      <c r="E676" s="138" t="s">
        <v>396</v>
      </c>
      <c r="F676" s="402">
        <v>58</v>
      </c>
      <c r="G676" s="1" t="s">
        <v>30</v>
      </c>
      <c r="H676" s="402">
        <v>11</v>
      </c>
      <c r="I676" s="63">
        <v>7</v>
      </c>
      <c r="J676" s="235" t="s">
        <v>292</v>
      </c>
      <c r="K676" s="140">
        <v>75</v>
      </c>
      <c r="L676" s="14" t="s">
        <v>639</v>
      </c>
      <c r="M676" s="14" t="s">
        <v>3032</v>
      </c>
    </row>
    <row r="677" spans="1:15" x14ac:dyDescent="0.35">
      <c r="B677" s="235"/>
      <c r="C677" s="257">
        <v>8.4791918430009297</v>
      </c>
      <c r="D677" s="261">
        <v>65.372005826427909</v>
      </c>
      <c r="E677" s="138" t="s">
        <v>395</v>
      </c>
      <c r="F677" s="402">
        <v>6</v>
      </c>
      <c r="G677" s="1" t="s">
        <v>46</v>
      </c>
      <c r="H677" s="402">
        <v>23</v>
      </c>
      <c r="I677" s="63">
        <v>18</v>
      </c>
      <c r="J677" s="235" t="s">
        <v>44</v>
      </c>
      <c r="K677" s="140">
        <v>74</v>
      </c>
      <c r="L677" s="14" t="s">
        <v>194</v>
      </c>
      <c r="M677" s="14" t="s">
        <v>3033</v>
      </c>
    </row>
    <row r="678" spans="1:15" x14ac:dyDescent="0.35">
      <c r="A678" s="6" t="s">
        <v>3038</v>
      </c>
      <c r="B678" s="235"/>
      <c r="C678" s="257">
        <v>5.5415280916251328</v>
      </c>
      <c r="D678" s="261">
        <v>55.95843033586241</v>
      </c>
      <c r="E678" s="138" t="s">
        <v>395</v>
      </c>
      <c r="F678" s="402">
        <v>29</v>
      </c>
      <c r="G678" s="1" t="s">
        <v>51</v>
      </c>
      <c r="H678" s="402">
        <v>20</v>
      </c>
      <c r="I678" s="63">
        <v>17</v>
      </c>
      <c r="J678" s="235" t="s">
        <v>47</v>
      </c>
      <c r="K678" s="140">
        <v>73</v>
      </c>
      <c r="L678" s="14" t="s">
        <v>186</v>
      </c>
      <c r="M678" s="14" t="s">
        <v>3035</v>
      </c>
      <c r="N678" s="92" t="s">
        <v>2954</v>
      </c>
      <c r="O678" t="s">
        <v>3034</v>
      </c>
    </row>
    <row r="679" spans="1:15" x14ac:dyDescent="0.35">
      <c r="B679" s="235"/>
      <c r="C679" s="257">
        <v>-0.28927107474218872</v>
      </c>
      <c r="D679" s="261">
        <v>42.014989752319529</v>
      </c>
      <c r="E679" s="138" t="s">
        <v>396</v>
      </c>
      <c r="F679" s="402">
        <v>61</v>
      </c>
      <c r="G679" s="1" t="s">
        <v>794</v>
      </c>
      <c r="H679" s="402">
        <v>18</v>
      </c>
      <c r="I679" s="63">
        <v>14</v>
      </c>
      <c r="J679" s="235" t="s">
        <v>789</v>
      </c>
      <c r="K679" s="140">
        <v>72</v>
      </c>
      <c r="L679" s="14" t="s">
        <v>443</v>
      </c>
      <c r="M679" s="14" t="s">
        <v>3040</v>
      </c>
      <c r="O679" t="s">
        <v>3039</v>
      </c>
    </row>
    <row r="680" spans="1:15" x14ac:dyDescent="0.35">
      <c r="B680" s="235"/>
      <c r="C680" s="257">
        <v>3.0910974124238182</v>
      </c>
      <c r="D680" s="261">
        <v>52.792073276840121</v>
      </c>
      <c r="E680" s="138" t="s">
        <v>395</v>
      </c>
      <c r="F680" s="402">
        <v>41</v>
      </c>
      <c r="G680" s="1" t="s">
        <v>961</v>
      </c>
      <c r="H680" s="402">
        <v>21</v>
      </c>
      <c r="I680" s="63">
        <v>20</v>
      </c>
      <c r="J680" s="235" t="s">
        <v>958</v>
      </c>
      <c r="K680" s="140">
        <v>71</v>
      </c>
      <c r="L680" s="14" t="s">
        <v>3041</v>
      </c>
      <c r="M680" s="14" t="s">
        <v>3042</v>
      </c>
    </row>
    <row r="681" spans="1:15" x14ac:dyDescent="0.35">
      <c r="B681" s="235"/>
      <c r="C681" s="257">
        <v>2.3207376817674574</v>
      </c>
      <c r="D681" s="261">
        <v>48.922687370166109</v>
      </c>
      <c r="E681" s="138" t="s">
        <v>395</v>
      </c>
      <c r="F681" s="402">
        <v>54</v>
      </c>
      <c r="G681" s="1" t="s">
        <v>788</v>
      </c>
      <c r="H681" s="402">
        <v>24</v>
      </c>
      <c r="I681" s="63">
        <v>11</v>
      </c>
      <c r="J681" s="235" t="s">
        <v>791</v>
      </c>
      <c r="K681" s="140">
        <v>69</v>
      </c>
      <c r="L681" s="14" t="s">
        <v>190</v>
      </c>
      <c r="M681" s="14" t="s">
        <v>3043</v>
      </c>
    </row>
    <row r="682" spans="1:15" x14ac:dyDescent="0.35">
      <c r="B682" s="235"/>
      <c r="C682" s="257">
        <v>-1.576841843001701</v>
      </c>
      <c r="D682" s="261">
        <v>42.644172745001221</v>
      </c>
      <c r="E682" s="138" t="s">
        <v>396</v>
      </c>
      <c r="F682" s="402">
        <v>63</v>
      </c>
      <c r="G682" s="1" t="s">
        <v>28</v>
      </c>
      <c r="H682" s="402">
        <v>23</v>
      </c>
      <c r="I682" s="63">
        <v>10</v>
      </c>
      <c r="J682" s="235" t="s">
        <v>32</v>
      </c>
      <c r="K682" s="140">
        <v>68</v>
      </c>
      <c r="L682" s="14" t="s">
        <v>332</v>
      </c>
      <c r="M682" s="14" t="s">
        <v>3044</v>
      </c>
    </row>
    <row r="683" spans="1:15" x14ac:dyDescent="0.35">
      <c r="B683" s="235"/>
      <c r="C683" s="257">
        <v>7.4017283391128839</v>
      </c>
      <c r="D683" s="261">
        <v>68.568790162620985</v>
      </c>
      <c r="E683" s="138" t="s">
        <v>395</v>
      </c>
      <c r="F683" s="402">
        <v>8</v>
      </c>
      <c r="G683" s="1" t="s">
        <v>36</v>
      </c>
      <c r="H683" s="402">
        <v>28</v>
      </c>
      <c r="I683" s="63">
        <v>26</v>
      </c>
      <c r="J683" s="235" t="s">
        <v>900</v>
      </c>
      <c r="K683" s="140">
        <v>67</v>
      </c>
      <c r="L683" s="14" t="s">
        <v>647</v>
      </c>
      <c r="M683" s="14" t="s">
        <v>3046</v>
      </c>
      <c r="N683" s="92" t="s">
        <v>2954</v>
      </c>
      <c r="O683" t="s">
        <v>3045</v>
      </c>
    </row>
    <row r="684" spans="1:15" x14ac:dyDescent="0.35">
      <c r="B684" s="235"/>
      <c r="C684" s="257">
        <v>1.9937660846703302</v>
      </c>
      <c r="D684" s="261">
        <v>54.379452796664054</v>
      </c>
      <c r="E684" s="138" t="s">
        <v>396</v>
      </c>
      <c r="F684" s="402">
        <v>44</v>
      </c>
      <c r="G684" s="1" t="s">
        <v>85</v>
      </c>
      <c r="H684" s="402">
        <v>31</v>
      </c>
      <c r="I684" s="63">
        <v>11</v>
      </c>
      <c r="J684" s="235" t="s">
        <v>86</v>
      </c>
      <c r="K684" s="140">
        <v>66</v>
      </c>
      <c r="L684" s="14" t="s">
        <v>404</v>
      </c>
      <c r="M684" s="43" t="s">
        <v>3047</v>
      </c>
      <c r="N684" s="1" t="s">
        <v>2953</v>
      </c>
    </row>
    <row r="685" spans="1:15" x14ac:dyDescent="0.35">
      <c r="B685" s="235"/>
      <c r="C685" s="257">
        <v>1.5494076582424319</v>
      </c>
      <c r="D685" s="261">
        <v>60.723637386969685</v>
      </c>
      <c r="E685" s="138" t="s">
        <v>396</v>
      </c>
      <c r="F685" s="402">
        <v>30</v>
      </c>
      <c r="G685" s="1" t="s">
        <v>34</v>
      </c>
      <c r="H685" s="402">
        <v>13</v>
      </c>
      <c r="I685" s="63">
        <v>4</v>
      </c>
      <c r="J685" s="235" t="s">
        <v>22</v>
      </c>
      <c r="K685" s="140">
        <v>65</v>
      </c>
      <c r="L685" s="14" t="s">
        <v>561</v>
      </c>
      <c r="M685" s="14" t="s">
        <v>3050</v>
      </c>
      <c r="O685" s="85" t="s">
        <v>3049</v>
      </c>
    </row>
    <row r="686" spans="1:15" x14ac:dyDescent="0.35">
      <c r="B686" s="235"/>
      <c r="C686" s="257">
        <v>-7.7585092061250256</v>
      </c>
      <c r="D686" s="261">
        <v>80.184649432946458</v>
      </c>
      <c r="E686" s="138" t="s">
        <v>395</v>
      </c>
      <c r="F686" s="402">
        <v>64</v>
      </c>
      <c r="G686" s="1" t="s">
        <v>37</v>
      </c>
      <c r="H686" s="402">
        <v>20</v>
      </c>
      <c r="I686" s="63">
        <v>13</v>
      </c>
      <c r="J686" s="235" t="s">
        <v>40</v>
      </c>
      <c r="K686" s="140">
        <v>7</v>
      </c>
      <c r="L686" s="14" t="s">
        <v>495</v>
      </c>
      <c r="M686" s="14" t="s">
        <v>3051</v>
      </c>
      <c r="N686" t="s">
        <v>2992</v>
      </c>
      <c r="O686" s="85" t="s">
        <v>4551</v>
      </c>
    </row>
    <row r="687" spans="1:15" x14ac:dyDescent="0.35">
      <c r="B687" s="235"/>
      <c r="C687" s="257">
        <v>5.5442304778402534</v>
      </c>
      <c r="D687" s="261">
        <v>71.396978230114101</v>
      </c>
      <c r="E687" s="138" t="s">
        <v>395</v>
      </c>
      <c r="F687" s="402">
        <v>10</v>
      </c>
      <c r="G687" s="1" t="s">
        <v>60</v>
      </c>
      <c r="H687" s="402">
        <v>23</v>
      </c>
      <c r="I687" s="63">
        <v>10</v>
      </c>
      <c r="J687" s="235" t="s">
        <v>64</v>
      </c>
      <c r="K687" s="140">
        <v>59</v>
      </c>
      <c r="L687" s="14" t="s">
        <v>339</v>
      </c>
      <c r="M687" s="14" t="s">
        <v>3052</v>
      </c>
    </row>
    <row r="688" spans="1:15" x14ac:dyDescent="0.35">
      <c r="B688" s="235"/>
      <c r="C688" s="257">
        <v>-0.99383112349306824</v>
      </c>
      <c r="D688" s="261">
        <v>55.70987937392362</v>
      </c>
      <c r="E688" s="138" t="s">
        <v>396</v>
      </c>
      <c r="F688" s="402">
        <v>57</v>
      </c>
      <c r="G688" s="1" t="s">
        <v>43</v>
      </c>
      <c r="H688" s="402">
        <v>19</v>
      </c>
      <c r="I688" s="63">
        <v>17</v>
      </c>
      <c r="J688" s="235" t="s">
        <v>42</v>
      </c>
      <c r="K688" s="140">
        <v>55</v>
      </c>
      <c r="L688" s="14" t="s">
        <v>337</v>
      </c>
      <c r="M688" s="14" t="s">
        <v>3053</v>
      </c>
      <c r="O688" s="85" t="s">
        <v>3054</v>
      </c>
    </row>
    <row r="689" spans="1:15" x14ac:dyDescent="0.35">
      <c r="B689" s="235"/>
      <c r="C689" s="257">
        <v>6.8896226643104663</v>
      </c>
      <c r="D689" s="261">
        <v>74.721698096921102</v>
      </c>
      <c r="E689" s="138" t="s">
        <v>395</v>
      </c>
      <c r="F689" s="402">
        <v>1</v>
      </c>
      <c r="G689" s="1" t="s">
        <v>26</v>
      </c>
      <c r="H689" s="402">
        <v>25</v>
      </c>
      <c r="I689" s="63">
        <v>15</v>
      </c>
      <c r="J689" s="235" t="s">
        <v>23</v>
      </c>
      <c r="K689" s="140">
        <v>56</v>
      </c>
      <c r="L689" s="14" t="s">
        <v>301</v>
      </c>
      <c r="M689" s="14" t="s">
        <v>3055</v>
      </c>
    </row>
    <row r="690" spans="1:15" x14ac:dyDescent="0.35">
      <c r="B690" s="235"/>
      <c r="C690" s="257">
        <v>-2.8644271253354407</v>
      </c>
      <c r="D690" s="261">
        <v>79.188876518096734</v>
      </c>
      <c r="E690" s="138" t="s">
        <v>395</v>
      </c>
      <c r="F690" s="402">
        <v>53</v>
      </c>
      <c r="G690" s="1" t="s">
        <v>73</v>
      </c>
      <c r="H690" s="402">
        <v>24</v>
      </c>
      <c r="I690" s="63">
        <v>14</v>
      </c>
      <c r="J690" s="235" t="s">
        <v>78</v>
      </c>
      <c r="K690" s="140">
        <v>11</v>
      </c>
      <c r="L690" s="14" t="s">
        <v>546</v>
      </c>
      <c r="M690" s="14" t="s">
        <v>3056</v>
      </c>
    </row>
    <row r="691" spans="1:15" x14ac:dyDescent="0.35">
      <c r="B691" s="235"/>
      <c r="C691" s="257">
        <v>1.2428042229681988</v>
      </c>
      <c r="D691" s="261">
        <v>71.96942555502271</v>
      </c>
      <c r="E691" s="138" t="s">
        <v>396</v>
      </c>
      <c r="F691" s="402">
        <v>24</v>
      </c>
      <c r="G691" s="1" t="s">
        <v>45</v>
      </c>
      <c r="H691" s="402">
        <v>17</v>
      </c>
      <c r="I691" s="63">
        <v>11</v>
      </c>
      <c r="J691" s="235" t="s">
        <v>1858</v>
      </c>
      <c r="K691" s="140">
        <v>52</v>
      </c>
      <c r="L691" s="14" t="s">
        <v>191</v>
      </c>
      <c r="M691" s="14" t="s">
        <v>3057</v>
      </c>
    </row>
    <row r="692" spans="1:15" x14ac:dyDescent="0.35">
      <c r="B692" s="235"/>
      <c r="C692" s="257">
        <v>-9.8441301646373935E-3</v>
      </c>
      <c r="D692" s="261">
        <v>67.060602950117598</v>
      </c>
      <c r="E692" s="138" t="s">
        <v>396</v>
      </c>
      <c r="F692" s="402">
        <v>32</v>
      </c>
      <c r="G692" s="1" t="s">
        <v>75</v>
      </c>
      <c r="H692" s="402">
        <v>15</v>
      </c>
      <c r="I692" s="63">
        <v>13</v>
      </c>
      <c r="J692" s="235" t="s">
        <v>79</v>
      </c>
      <c r="K692" s="140">
        <v>50</v>
      </c>
      <c r="L692" s="14" t="s">
        <v>186</v>
      </c>
      <c r="M692" s="14" t="s">
        <v>3058</v>
      </c>
      <c r="N692" t="s">
        <v>2992</v>
      </c>
    </row>
    <row r="693" spans="1:15" x14ac:dyDescent="0.35">
      <c r="B693" s="235"/>
      <c r="C693" s="257">
        <v>2.3301891744626313</v>
      </c>
      <c r="D693" s="261">
        <v>74.764150589669541</v>
      </c>
      <c r="E693" s="138" t="s">
        <v>396</v>
      </c>
      <c r="F693" s="402">
        <v>17</v>
      </c>
      <c r="G693" s="1" t="s">
        <v>77</v>
      </c>
      <c r="H693" s="402">
        <v>38</v>
      </c>
      <c r="I693" s="63">
        <v>13</v>
      </c>
      <c r="J693" s="235" t="s">
        <v>74</v>
      </c>
      <c r="K693" s="140">
        <v>49</v>
      </c>
      <c r="L693" s="14" t="s">
        <v>482</v>
      </c>
      <c r="M693" s="43" t="s">
        <v>3059</v>
      </c>
      <c r="N693" s="1" t="s">
        <v>2953</v>
      </c>
      <c r="O693" s="85" t="s">
        <v>3060</v>
      </c>
    </row>
    <row r="694" spans="1:15" x14ac:dyDescent="0.35">
      <c r="B694" s="235"/>
      <c r="C694" s="257">
        <v>1.4807802205478129</v>
      </c>
      <c r="D694" s="261">
        <v>64.790514128180135</v>
      </c>
      <c r="E694" s="138" t="s">
        <v>395</v>
      </c>
      <c r="F694" s="402">
        <v>38</v>
      </c>
      <c r="G694" s="1" t="s">
        <v>69</v>
      </c>
      <c r="H694" s="402">
        <v>25</v>
      </c>
      <c r="I694" s="63">
        <v>10</v>
      </c>
      <c r="J694" s="235" t="s">
        <v>114</v>
      </c>
      <c r="K694" s="140">
        <v>47</v>
      </c>
      <c r="L694" s="14" t="s">
        <v>425</v>
      </c>
      <c r="M694" s="43" t="s">
        <v>3061</v>
      </c>
      <c r="N694" s="1" t="s">
        <v>2953</v>
      </c>
    </row>
    <row r="695" spans="1:15" x14ac:dyDescent="0.35">
      <c r="B695" s="235"/>
      <c r="C695" s="257">
        <v>-0.14840425746702138</v>
      </c>
      <c r="D695" s="261">
        <v>70.373860183905009</v>
      </c>
      <c r="E695" s="138" t="s">
        <v>395</v>
      </c>
      <c r="F695" s="402">
        <v>46</v>
      </c>
      <c r="G695" s="1" t="s">
        <v>50</v>
      </c>
      <c r="H695" s="402">
        <v>19</v>
      </c>
      <c r="I695" s="63">
        <v>9</v>
      </c>
      <c r="J695" s="235" t="s">
        <v>57</v>
      </c>
      <c r="K695" s="140">
        <v>28</v>
      </c>
      <c r="L695" s="14" t="s">
        <v>190</v>
      </c>
      <c r="M695" s="14" t="s">
        <v>3062</v>
      </c>
      <c r="N695" t="s">
        <v>2992</v>
      </c>
    </row>
    <row r="696" spans="1:15" x14ac:dyDescent="0.35">
      <c r="B696" s="235"/>
      <c r="C696" s="257">
        <v>-0.58240510074861451</v>
      </c>
      <c r="D696" s="261">
        <v>67.469575071963291</v>
      </c>
      <c r="E696" s="138" t="s">
        <v>396</v>
      </c>
      <c r="F696" s="402">
        <v>39</v>
      </c>
      <c r="G696" s="1" t="s">
        <v>58</v>
      </c>
      <c r="H696" s="402">
        <v>14</v>
      </c>
      <c r="I696" s="63">
        <v>11</v>
      </c>
      <c r="J696" s="235" t="s">
        <v>49</v>
      </c>
      <c r="K696" s="140">
        <v>43</v>
      </c>
      <c r="L696" s="14" t="s">
        <v>447</v>
      </c>
      <c r="M696" s="14" t="s">
        <v>3063</v>
      </c>
      <c r="N696" t="s">
        <v>2992</v>
      </c>
    </row>
    <row r="697" spans="1:15" x14ac:dyDescent="0.35">
      <c r="B697" s="235"/>
      <c r="C697" s="257">
        <v>-6.0006303764020066</v>
      </c>
      <c r="D697" s="261">
        <v>88.571878840287141</v>
      </c>
      <c r="E697" s="138" t="s">
        <v>395</v>
      </c>
      <c r="F697" s="402">
        <v>42</v>
      </c>
      <c r="G697" s="1" t="s">
        <v>53</v>
      </c>
      <c r="H697" s="402">
        <v>25</v>
      </c>
      <c r="I697" s="63">
        <v>21</v>
      </c>
      <c r="J697" s="235" t="s">
        <v>118</v>
      </c>
      <c r="K697" s="140">
        <v>2</v>
      </c>
      <c r="L697" s="14" t="s">
        <v>546</v>
      </c>
      <c r="M697" s="14" t="s">
        <v>3064</v>
      </c>
      <c r="O697" s="143"/>
    </row>
    <row r="698" spans="1:15" x14ac:dyDescent="0.35">
      <c r="B698" s="235"/>
      <c r="C698" s="257">
        <v>3.4543838962204689</v>
      </c>
      <c r="D698" s="261">
        <v>78.604011502699663</v>
      </c>
      <c r="E698" s="138" t="s">
        <v>395</v>
      </c>
      <c r="F698" s="402">
        <v>18</v>
      </c>
      <c r="G698" s="1" t="s">
        <v>785</v>
      </c>
      <c r="H698" s="402">
        <v>27</v>
      </c>
      <c r="I698" s="63">
        <v>20</v>
      </c>
      <c r="J698" s="235" t="s">
        <v>793</v>
      </c>
      <c r="K698" s="140">
        <v>35</v>
      </c>
      <c r="L698" s="14" t="s">
        <v>942</v>
      </c>
      <c r="M698" s="14" t="s">
        <v>3065</v>
      </c>
    </row>
    <row r="699" spans="1:15" x14ac:dyDescent="0.35">
      <c r="B699" s="235"/>
      <c r="C699" s="257">
        <v>3.6395365102358697</v>
      </c>
      <c r="D699" s="261">
        <v>84.543188206974378</v>
      </c>
      <c r="E699" s="138" t="s">
        <v>396</v>
      </c>
      <c r="F699" s="402">
        <v>3</v>
      </c>
      <c r="G699" s="1" t="s">
        <v>87</v>
      </c>
      <c r="H699" s="402">
        <v>29</v>
      </c>
      <c r="I699" s="63">
        <v>9</v>
      </c>
      <c r="J699" s="235" t="s">
        <v>82</v>
      </c>
      <c r="K699" s="140">
        <v>33</v>
      </c>
      <c r="L699" s="14" t="s">
        <v>178</v>
      </c>
      <c r="M699" s="43" t="s">
        <v>3066</v>
      </c>
      <c r="N699" s="1" t="s">
        <v>2953</v>
      </c>
    </row>
    <row r="700" spans="1:15" x14ac:dyDescent="0.35">
      <c r="B700" s="235"/>
      <c r="C700" s="257">
        <v>-0.12593955679559854</v>
      </c>
      <c r="D700" s="261">
        <v>80.804242540568282</v>
      </c>
      <c r="E700" s="138" t="s">
        <v>396</v>
      </c>
      <c r="F700" s="402">
        <v>23</v>
      </c>
      <c r="G700" s="1" t="s">
        <v>115</v>
      </c>
      <c r="H700" s="402">
        <v>19</v>
      </c>
      <c r="I700" s="63">
        <v>16</v>
      </c>
      <c r="J700" s="235" t="s">
        <v>62</v>
      </c>
      <c r="K700" s="140">
        <v>31</v>
      </c>
      <c r="L700" s="14" t="s">
        <v>179</v>
      </c>
      <c r="M700" s="14" t="s">
        <v>3067</v>
      </c>
      <c r="N700" t="s">
        <v>2992</v>
      </c>
      <c r="O700" s="85" t="s">
        <v>3068</v>
      </c>
    </row>
    <row r="701" spans="1:15" ht="15" thickBot="1" x14ac:dyDescent="0.4">
      <c r="B701" s="57"/>
      <c r="C701" s="259">
        <v>-0.65404335036403449</v>
      </c>
      <c r="D701" s="262">
        <v>92.02967382168859</v>
      </c>
      <c r="E701" s="222" t="s">
        <v>396</v>
      </c>
      <c r="F701" s="381">
        <v>13</v>
      </c>
      <c r="G701" s="44" t="s">
        <v>1344</v>
      </c>
      <c r="H701" s="381">
        <v>23</v>
      </c>
      <c r="I701" s="56">
        <v>21</v>
      </c>
      <c r="J701" s="57" t="s">
        <v>962</v>
      </c>
      <c r="K701" s="141">
        <v>14</v>
      </c>
      <c r="L701" s="23" t="s">
        <v>301</v>
      </c>
      <c r="M701" s="23" t="s">
        <v>3069</v>
      </c>
      <c r="N701" s="283" t="s">
        <v>2954</v>
      </c>
      <c r="O701" s="86"/>
    </row>
    <row r="702" spans="1:15" x14ac:dyDescent="0.35">
      <c r="A702" s="6" t="s">
        <v>3161</v>
      </c>
      <c r="B702" s="235" t="s">
        <v>2846</v>
      </c>
      <c r="C702" s="257">
        <v>-0.46216102003683412</v>
      </c>
      <c r="D702" s="261">
        <v>67.029246370023671</v>
      </c>
      <c r="E702" s="138" t="s">
        <v>395</v>
      </c>
      <c r="F702" s="402">
        <v>56</v>
      </c>
      <c r="G702" s="1" t="s">
        <v>43</v>
      </c>
      <c r="H702" s="402">
        <v>16</v>
      </c>
      <c r="I702" s="63">
        <v>14</v>
      </c>
      <c r="J702" s="235" t="s">
        <v>75</v>
      </c>
      <c r="K702" s="140">
        <v>36</v>
      </c>
      <c r="L702" s="14" t="s">
        <v>296</v>
      </c>
      <c r="M702" s="14" t="s">
        <v>3150</v>
      </c>
    </row>
    <row r="703" spans="1:15" x14ac:dyDescent="0.35">
      <c r="B703" s="235" t="s">
        <v>2847</v>
      </c>
      <c r="C703" s="257">
        <v>2.712161020036834</v>
      </c>
      <c r="D703" s="261">
        <v>65.766641644548287</v>
      </c>
      <c r="E703" s="138" t="s">
        <v>395</v>
      </c>
      <c r="F703" s="402">
        <v>36</v>
      </c>
      <c r="G703" s="1" t="s">
        <v>75</v>
      </c>
      <c r="H703" s="402">
        <v>25</v>
      </c>
      <c r="I703" s="63">
        <v>24</v>
      </c>
      <c r="J703" s="235" t="s">
        <v>43</v>
      </c>
      <c r="K703" s="140">
        <v>56</v>
      </c>
      <c r="L703" s="14" t="s">
        <v>750</v>
      </c>
      <c r="M703" s="14" t="s">
        <v>3151</v>
      </c>
      <c r="O703" t="s">
        <v>3152</v>
      </c>
    </row>
    <row r="704" spans="1:15" x14ac:dyDescent="0.35">
      <c r="B704" s="235" t="s">
        <v>2846</v>
      </c>
      <c r="C704" s="257">
        <v>0.31266672150423352</v>
      </c>
      <c r="D704" s="261">
        <v>58.937392821890136</v>
      </c>
      <c r="E704" s="138" t="s">
        <v>395</v>
      </c>
      <c r="F704" s="402">
        <v>61</v>
      </c>
      <c r="G704" s="1" t="s">
        <v>114</v>
      </c>
      <c r="H704" s="402">
        <v>30</v>
      </c>
      <c r="I704" s="63">
        <v>19</v>
      </c>
      <c r="J704" s="235" t="s">
        <v>82</v>
      </c>
      <c r="K704" s="140">
        <v>52</v>
      </c>
      <c r="L704" s="14" t="s">
        <v>289</v>
      </c>
      <c r="M704" s="43" t="s">
        <v>3153</v>
      </c>
      <c r="N704" s="1" t="s">
        <v>2953</v>
      </c>
    </row>
    <row r="705" spans="1:15" x14ac:dyDescent="0.35">
      <c r="B705" s="235" t="s">
        <v>2847</v>
      </c>
      <c r="C705" s="257">
        <v>-2.5856709920216367</v>
      </c>
      <c r="D705" s="261">
        <v>60.800609923442487</v>
      </c>
      <c r="E705" s="138" t="s">
        <v>396</v>
      </c>
      <c r="F705" s="402">
        <v>61</v>
      </c>
      <c r="G705" s="1" t="s">
        <v>114</v>
      </c>
      <c r="H705" s="402">
        <v>18</v>
      </c>
      <c r="I705" s="63">
        <v>17</v>
      </c>
      <c r="J705" s="235" t="s">
        <v>82</v>
      </c>
      <c r="K705" s="140">
        <v>52</v>
      </c>
      <c r="L705" s="14" t="s">
        <v>194</v>
      </c>
      <c r="M705" s="14" t="s">
        <v>3154</v>
      </c>
      <c r="N705" t="s">
        <v>2992</v>
      </c>
      <c r="O705" s="85" t="s">
        <v>3155</v>
      </c>
    </row>
    <row r="706" spans="1:15" x14ac:dyDescent="0.35">
      <c r="B706" s="235" t="s">
        <v>2846</v>
      </c>
      <c r="C706" s="257">
        <v>12.515151954358865</v>
      </c>
      <c r="D706" s="261">
        <v>63.347402315055021</v>
      </c>
      <c r="E706" s="138" t="s">
        <v>395</v>
      </c>
      <c r="F706" s="402">
        <v>5</v>
      </c>
      <c r="G706" s="1" t="s">
        <v>119</v>
      </c>
      <c r="H706" s="402">
        <v>37</v>
      </c>
      <c r="I706" s="63">
        <v>14</v>
      </c>
      <c r="J706" s="235" t="s">
        <v>3913</v>
      </c>
      <c r="K706" s="140">
        <v>84</v>
      </c>
      <c r="L706" s="14" t="s">
        <v>337</v>
      </c>
      <c r="M706" s="14" t="s">
        <v>3158</v>
      </c>
      <c r="N706" t="s">
        <v>2992</v>
      </c>
    </row>
    <row r="707" spans="1:15" x14ac:dyDescent="0.35">
      <c r="B707" s="235" t="s">
        <v>2847</v>
      </c>
      <c r="C707" s="257">
        <v>9.5290408432477527</v>
      </c>
      <c r="D707" s="261">
        <v>65.267045172197882</v>
      </c>
      <c r="E707" s="138" t="s">
        <v>396</v>
      </c>
      <c r="F707" s="402">
        <v>5</v>
      </c>
      <c r="G707" s="1" t="s">
        <v>119</v>
      </c>
      <c r="H707" s="402">
        <v>24</v>
      </c>
      <c r="I707" s="63">
        <v>13</v>
      </c>
      <c r="J707" s="235" t="s">
        <v>3913</v>
      </c>
      <c r="K707" s="140">
        <v>84</v>
      </c>
      <c r="L707" s="14" t="s">
        <v>400</v>
      </c>
      <c r="M707" s="14" t="s">
        <v>3159</v>
      </c>
      <c r="N707" t="s">
        <v>2992</v>
      </c>
      <c r="O707" s="85" t="s">
        <v>3160</v>
      </c>
    </row>
    <row r="708" spans="1:15" x14ac:dyDescent="0.35">
      <c r="B708" s="235" t="s">
        <v>2846</v>
      </c>
      <c r="C708" s="257">
        <v>-1.093396597184884</v>
      </c>
      <c r="D708" s="261">
        <v>76.113612098190288</v>
      </c>
      <c r="E708" s="138" t="s">
        <v>396</v>
      </c>
      <c r="F708" s="402">
        <v>28</v>
      </c>
      <c r="G708" s="1" t="s">
        <v>71</v>
      </c>
      <c r="H708" s="402">
        <v>14</v>
      </c>
      <c r="I708" s="63">
        <v>9</v>
      </c>
      <c r="J708" s="235" t="s">
        <v>50</v>
      </c>
      <c r="K708" s="140">
        <v>40</v>
      </c>
      <c r="L708" s="14" t="s">
        <v>190</v>
      </c>
      <c r="M708" s="14" t="s">
        <v>3162</v>
      </c>
      <c r="N708" t="s">
        <v>2992</v>
      </c>
    </row>
    <row r="709" spans="1:15" x14ac:dyDescent="0.35">
      <c r="B709" s="235" t="s">
        <v>2847</v>
      </c>
      <c r="C709" s="257">
        <v>1.489936736148449</v>
      </c>
      <c r="D709" s="261">
        <v>74.452897812475996</v>
      </c>
      <c r="E709" s="138" t="s">
        <v>395</v>
      </c>
      <c r="F709" s="402">
        <v>28</v>
      </c>
      <c r="G709" s="1" t="s">
        <v>71</v>
      </c>
      <c r="H709" s="402">
        <v>25</v>
      </c>
      <c r="I709" s="63">
        <v>10</v>
      </c>
      <c r="J709" s="235" t="s">
        <v>50</v>
      </c>
      <c r="K709" s="140">
        <v>40</v>
      </c>
      <c r="L709" s="14" t="s">
        <v>546</v>
      </c>
      <c r="M709" s="43" t="s">
        <v>3163</v>
      </c>
      <c r="N709" s="1" t="s">
        <v>2953</v>
      </c>
      <c r="O709" s="85" t="s">
        <v>3164</v>
      </c>
    </row>
    <row r="710" spans="1:15" x14ac:dyDescent="0.35">
      <c r="A710" s="6" t="s">
        <v>3225</v>
      </c>
      <c r="B710" s="235" t="s">
        <v>2846</v>
      </c>
      <c r="C710" s="257">
        <v>-5.1015185661148736</v>
      </c>
      <c r="D710" s="261">
        <v>61.83881167012936</v>
      </c>
      <c r="E710" s="138" t="s">
        <v>396</v>
      </c>
      <c r="F710" s="402">
        <v>79</v>
      </c>
      <c r="G710" s="1" t="s">
        <v>292</v>
      </c>
      <c r="H710" s="402">
        <v>23</v>
      </c>
      <c r="I710" s="63">
        <v>19</v>
      </c>
      <c r="J710" s="235" t="s">
        <v>51</v>
      </c>
      <c r="K710" s="140">
        <v>38</v>
      </c>
      <c r="L710" s="14" t="s">
        <v>886</v>
      </c>
      <c r="M710" s="14" t="s">
        <v>3194</v>
      </c>
      <c r="O710" t="s">
        <v>3193</v>
      </c>
    </row>
    <row r="711" spans="1:15" x14ac:dyDescent="0.35">
      <c r="B711" s="235" t="s">
        <v>2847</v>
      </c>
      <c r="C711" s="257">
        <v>2.7265185661148736</v>
      </c>
      <c r="D711" s="261">
        <v>55.939202350354719</v>
      </c>
      <c r="E711" s="138" t="s">
        <v>396</v>
      </c>
      <c r="F711" s="402">
        <v>38</v>
      </c>
      <c r="G711" s="1" t="s">
        <v>51</v>
      </c>
      <c r="H711" s="402">
        <v>34</v>
      </c>
      <c r="I711" s="63">
        <v>11</v>
      </c>
      <c r="J711" s="235" t="s">
        <v>292</v>
      </c>
      <c r="K711" s="140">
        <v>79</v>
      </c>
      <c r="L711" s="14" t="s">
        <v>876</v>
      </c>
      <c r="M711" s="43" t="s">
        <v>3195</v>
      </c>
      <c r="N711" s="1" t="s">
        <v>2953</v>
      </c>
      <c r="O711" s="85" t="s">
        <v>3196</v>
      </c>
    </row>
    <row r="712" spans="1:15" x14ac:dyDescent="0.35">
      <c r="B712" s="235" t="s">
        <v>2846</v>
      </c>
      <c r="C712" s="257">
        <v>8.3157652302339145</v>
      </c>
      <c r="D712" s="261">
        <v>75.047008066278195</v>
      </c>
      <c r="E712" s="138" t="s">
        <v>395</v>
      </c>
      <c r="F712" s="402">
        <v>8</v>
      </c>
      <c r="G712" s="1" t="s">
        <v>59</v>
      </c>
      <c r="H712" s="402">
        <v>20</v>
      </c>
      <c r="I712" s="63">
        <v>15</v>
      </c>
      <c r="J712" s="235" t="s">
        <v>794</v>
      </c>
      <c r="K712" s="140">
        <v>53</v>
      </c>
      <c r="L712" s="14" t="s">
        <v>493</v>
      </c>
      <c r="M712" s="14" t="s">
        <v>3197</v>
      </c>
      <c r="N712" t="s">
        <v>2992</v>
      </c>
    </row>
    <row r="713" spans="1:15" x14ac:dyDescent="0.35">
      <c r="B713" s="235" t="s">
        <v>2847</v>
      </c>
      <c r="C713" s="257">
        <v>5.6532652302339148</v>
      </c>
      <c r="D713" s="261">
        <v>76.758615209135343</v>
      </c>
      <c r="E713" s="138" t="s">
        <v>396</v>
      </c>
      <c r="F713" s="402">
        <v>8</v>
      </c>
      <c r="G713" s="1" t="s">
        <v>59</v>
      </c>
      <c r="H713" s="402">
        <v>27</v>
      </c>
      <c r="I713" s="63">
        <v>19</v>
      </c>
      <c r="J713" s="235" t="s">
        <v>794</v>
      </c>
      <c r="K713" s="140">
        <v>53</v>
      </c>
      <c r="L713" s="14" t="s">
        <v>184</v>
      </c>
      <c r="M713" s="14" t="s">
        <v>3198</v>
      </c>
      <c r="O713" s="85" t="s">
        <v>3199</v>
      </c>
    </row>
    <row r="714" spans="1:15" x14ac:dyDescent="0.35">
      <c r="B714" s="235" t="s">
        <v>2846</v>
      </c>
      <c r="C714" s="257">
        <v>9.2269885201569828</v>
      </c>
      <c r="D714" s="261">
        <v>59.675507379899088</v>
      </c>
      <c r="E714" s="138" t="s">
        <v>395</v>
      </c>
      <c r="F714" s="402">
        <v>19</v>
      </c>
      <c r="G714" s="1" t="s">
        <v>67</v>
      </c>
      <c r="H714" s="402">
        <v>32</v>
      </c>
      <c r="I714" s="63">
        <v>22</v>
      </c>
      <c r="J714" s="235" t="s">
        <v>792</v>
      </c>
      <c r="K714" s="140">
        <v>88</v>
      </c>
      <c r="L714" s="14" t="s">
        <v>416</v>
      </c>
      <c r="M714" s="14" t="s">
        <v>3204</v>
      </c>
      <c r="N714" t="s">
        <v>2992</v>
      </c>
    </row>
    <row r="715" spans="1:15" x14ac:dyDescent="0.35">
      <c r="B715" s="235" t="s">
        <v>2847</v>
      </c>
      <c r="C715" s="257">
        <v>6.4707385201569814</v>
      </c>
      <c r="D715" s="261">
        <v>61.447382379899082</v>
      </c>
      <c r="E715" s="138" t="s">
        <v>396</v>
      </c>
      <c r="F715" s="402">
        <v>19</v>
      </c>
      <c r="G715" s="1" t="s">
        <v>67</v>
      </c>
      <c r="H715" s="402">
        <v>17</v>
      </c>
      <c r="I715" s="63">
        <v>9</v>
      </c>
      <c r="J715" s="235" t="s">
        <v>792</v>
      </c>
      <c r="K715" s="140">
        <v>88</v>
      </c>
      <c r="L715" s="14" t="s">
        <v>639</v>
      </c>
      <c r="M715" s="14" t="s">
        <v>3205</v>
      </c>
      <c r="O715" s="85" t="s">
        <v>3206</v>
      </c>
    </row>
    <row r="716" spans="1:15" x14ac:dyDescent="0.35">
      <c r="B716" s="235" t="s">
        <v>2846</v>
      </c>
      <c r="C716" s="257">
        <v>0.31857910816358315</v>
      </c>
      <c r="D716" s="261">
        <v>82.438056287609129</v>
      </c>
      <c r="E716" s="138" t="s">
        <v>395</v>
      </c>
      <c r="F716" s="402">
        <v>33</v>
      </c>
      <c r="G716" s="1" t="s">
        <v>960</v>
      </c>
      <c r="H716" s="402">
        <v>18</v>
      </c>
      <c r="I716" s="63">
        <v>14</v>
      </c>
      <c r="J716" s="235" t="s">
        <v>115</v>
      </c>
      <c r="K716" s="140">
        <v>21</v>
      </c>
      <c r="L716" s="14" t="s">
        <v>296</v>
      </c>
      <c r="M716" s="14" t="s">
        <v>3207</v>
      </c>
      <c r="N716" t="s">
        <v>2992</v>
      </c>
    </row>
    <row r="717" spans="1:15" x14ac:dyDescent="0.35">
      <c r="B717" s="235" t="s">
        <v>2847</v>
      </c>
      <c r="C717" s="257">
        <v>2.1814208918364169</v>
      </c>
      <c r="D717" s="261">
        <v>81.240515140962316</v>
      </c>
      <c r="E717" s="138" t="s">
        <v>395</v>
      </c>
      <c r="F717" s="402">
        <v>21</v>
      </c>
      <c r="G717" s="1" t="s">
        <v>115</v>
      </c>
      <c r="H717" s="402">
        <v>17</v>
      </c>
      <c r="I717" s="63">
        <v>15</v>
      </c>
      <c r="J717" s="235" t="s">
        <v>960</v>
      </c>
      <c r="K717" s="140">
        <v>33</v>
      </c>
      <c r="L717" s="14" t="s">
        <v>179</v>
      </c>
      <c r="M717" s="14" t="s">
        <v>3208</v>
      </c>
      <c r="N717" t="s">
        <v>2992</v>
      </c>
      <c r="O717" s="85" t="s">
        <v>3209</v>
      </c>
    </row>
    <row r="718" spans="1:15" x14ac:dyDescent="0.35">
      <c r="B718" s="235" t="s">
        <v>2846</v>
      </c>
      <c r="C718" s="257">
        <v>-5.8812875496679125</v>
      </c>
      <c r="D718" s="261">
        <v>52.071006281929378</v>
      </c>
      <c r="E718" s="138" t="s">
        <v>395</v>
      </c>
      <c r="F718" s="402">
        <v>104</v>
      </c>
      <c r="G718" s="1" t="s">
        <v>959</v>
      </c>
      <c r="H718" s="402">
        <v>25</v>
      </c>
      <c r="I718" s="63">
        <v>24</v>
      </c>
      <c r="J718" s="235" t="s">
        <v>62</v>
      </c>
      <c r="K718" s="140">
        <v>39</v>
      </c>
      <c r="L718" s="14" t="s">
        <v>199</v>
      </c>
      <c r="M718" s="14" t="s">
        <v>3210</v>
      </c>
    </row>
    <row r="719" spans="1:15" x14ac:dyDescent="0.35">
      <c r="B719" s="235" t="s">
        <v>2847</v>
      </c>
      <c r="C719" s="257">
        <v>8.181287549667914</v>
      </c>
      <c r="D719" s="261">
        <v>43.030779432356347</v>
      </c>
      <c r="E719" s="138" t="s">
        <v>395</v>
      </c>
      <c r="F719" s="402">
        <v>39</v>
      </c>
      <c r="G719" s="1" t="s">
        <v>62</v>
      </c>
      <c r="H719" s="402">
        <v>27</v>
      </c>
      <c r="I719" s="63">
        <v>19</v>
      </c>
      <c r="J719" s="235" t="s">
        <v>959</v>
      </c>
      <c r="K719" s="140">
        <v>104</v>
      </c>
      <c r="L719" s="14" t="s">
        <v>185</v>
      </c>
      <c r="M719" s="14" t="s">
        <v>3211</v>
      </c>
      <c r="O719" s="85" t="s">
        <v>3212</v>
      </c>
    </row>
    <row r="720" spans="1:15" x14ac:dyDescent="0.35">
      <c r="B720" s="235" t="s">
        <v>2846</v>
      </c>
      <c r="C720" s="257">
        <v>9.3226321053531596</v>
      </c>
      <c r="D720" s="261">
        <v>80.506879360844394</v>
      </c>
      <c r="E720" s="138" t="s">
        <v>395</v>
      </c>
      <c r="F720" s="402">
        <v>1</v>
      </c>
      <c r="G720" s="1" t="s">
        <v>795</v>
      </c>
      <c r="H720" s="402">
        <v>25</v>
      </c>
      <c r="I720" s="63">
        <v>8</v>
      </c>
      <c r="J720" s="235" t="s">
        <v>58</v>
      </c>
      <c r="K720" s="140">
        <v>41</v>
      </c>
      <c r="L720" s="14" t="s">
        <v>447</v>
      </c>
      <c r="M720" s="43" t="s">
        <v>3213</v>
      </c>
      <c r="N720" s="1" t="s">
        <v>2953</v>
      </c>
    </row>
    <row r="721" spans="1:15" x14ac:dyDescent="0.35">
      <c r="B721" s="235" t="s">
        <v>2847</v>
      </c>
      <c r="C721" s="257">
        <v>6.6559654386864917</v>
      </c>
      <c r="D721" s="261">
        <v>82.221165075130102</v>
      </c>
      <c r="E721" s="138" t="s">
        <v>396</v>
      </c>
      <c r="F721" s="402">
        <v>1</v>
      </c>
      <c r="G721" s="1" t="s">
        <v>795</v>
      </c>
      <c r="H721" s="402">
        <v>25</v>
      </c>
      <c r="I721" s="63">
        <v>11</v>
      </c>
      <c r="J721" s="235" t="s">
        <v>58</v>
      </c>
      <c r="K721" s="140">
        <v>41</v>
      </c>
      <c r="L721" s="14" t="s">
        <v>190</v>
      </c>
      <c r="M721" s="14" t="s">
        <v>3214</v>
      </c>
      <c r="N721" t="s">
        <v>2992</v>
      </c>
      <c r="O721" s="85" t="s">
        <v>3216</v>
      </c>
    </row>
    <row r="722" spans="1:15" x14ac:dyDescent="0.35">
      <c r="B722" s="235" t="s">
        <v>2846</v>
      </c>
      <c r="C722" s="257">
        <v>10.636375933695929</v>
      </c>
      <c r="D722" s="261">
        <v>41.452508328338332</v>
      </c>
      <c r="E722" s="138" t="s">
        <v>395</v>
      </c>
      <c r="F722" s="402">
        <v>35</v>
      </c>
      <c r="G722" s="1" t="s">
        <v>85</v>
      </c>
      <c r="H722" s="402">
        <v>35</v>
      </c>
      <c r="I722" s="63">
        <v>6</v>
      </c>
      <c r="J722" s="235" t="s">
        <v>1342</v>
      </c>
      <c r="K722" s="140">
        <v>108</v>
      </c>
      <c r="L722" s="14" t="s">
        <v>397</v>
      </c>
      <c r="M722" s="43" t="s">
        <v>3215</v>
      </c>
      <c r="N722" s="1" t="s">
        <v>2953</v>
      </c>
    </row>
    <row r="723" spans="1:15" x14ac:dyDescent="0.35">
      <c r="B723" s="235" t="s">
        <v>2847</v>
      </c>
      <c r="C723" s="257">
        <v>7.6815148225848198</v>
      </c>
      <c r="D723" s="261">
        <v>43.352061899766916</v>
      </c>
      <c r="E723" s="138" t="s">
        <v>396</v>
      </c>
      <c r="F723" s="402">
        <v>35</v>
      </c>
      <c r="G723" s="1" t="s">
        <v>85</v>
      </c>
      <c r="H723" s="402">
        <v>28</v>
      </c>
      <c r="I723" s="63">
        <v>15</v>
      </c>
      <c r="J723" s="235" t="s">
        <v>1342</v>
      </c>
      <c r="K723" s="140">
        <v>108</v>
      </c>
      <c r="L723" s="14" t="s">
        <v>331</v>
      </c>
      <c r="M723" s="14" t="s">
        <v>3217</v>
      </c>
      <c r="N723" t="s">
        <v>2992</v>
      </c>
      <c r="O723" s="85" t="s">
        <v>3218</v>
      </c>
    </row>
    <row r="724" spans="1:15" x14ac:dyDescent="0.35">
      <c r="B724" s="235" t="s">
        <v>2846</v>
      </c>
      <c r="C724" s="257">
        <v>7.3365164119471258</v>
      </c>
      <c r="D724" s="261">
        <v>77.605096592319711</v>
      </c>
      <c r="E724" s="138" t="s">
        <v>395</v>
      </c>
      <c r="F724" s="402">
        <v>6</v>
      </c>
      <c r="G724" s="1" t="s">
        <v>118</v>
      </c>
      <c r="H724" s="402">
        <v>23</v>
      </c>
      <c r="I724" s="63">
        <v>18</v>
      </c>
      <c r="J724" s="235" t="s">
        <v>66</v>
      </c>
      <c r="K724" s="140">
        <v>49</v>
      </c>
      <c r="L724" s="14" t="s">
        <v>194</v>
      </c>
      <c r="M724" s="14" t="s">
        <v>3219</v>
      </c>
      <c r="N724" t="s">
        <v>2992</v>
      </c>
    </row>
    <row r="725" spans="1:15" x14ac:dyDescent="0.35">
      <c r="B725" s="235" t="s">
        <v>2847</v>
      </c>
      <c r="C725" s="257">
        <v>-4.4073497452804595</v>
      </c>
      <c r="D725" s="261">
        <v>85.154724836251731</v>
      </c>
      <c r="E725" s="138" t="s">
        <v>395</v>
      </c>
      <c r="F725" s="402">
        <v>49</v>
      </c>
      <c r="G725" s="1" t="s">
        <v>66</v>
      </c>
      <c r="H725" s="402">
        <v>14</v>
      </c>
      <c r="I725" s="63">
        <v>9</v>
      </c>
      <c r="J725" s="235" t="s">
        <v>118</v>
      </c>
      <c r="K725" s="140">
        <v>6</v>
      </c>
      <c r="L725" s="14" t="s">
        <v>447</v>
      </c>
      <c r="M725" s="14" t="s">
        <v>3220</v>
      </c>
      <c r="N725" t="s">
        <v>2992</v>
      </c>
      <c r="O725" s="85" t="s">
        <v>3221</v>
      </c>
    </row>
    <row r="726" spans="1:15" x14ac:dyDescent="0.35">
      <c r="A726" s="6" t="s">
        <v>3224</v>
      </c>
      <c r="B726" s="235" t="s">
        <v>2846</v>
      </c>
      <c r="C726" s="257">
        <v>3.1361773257619552</v>
      </c>
      <c r="D726" s="261">
        <v>85.448171719153038</v>
      </c>
      <c r="E726" s="138" t="s">
        <v>395</v>
      </c>
      <c r="F726" s="402">
        <v>12</v>
      </c>
      <c r="G726" s="1" t="s">
        <v>1344</v>
      </c>
      <c r="H726" s="402">
        <v>20</v>
      </c>
      <c r="I726" s="63">
        <v>8</v>
      </c>
      <c r="J726" s="235" t="s">
        <v>53</v>
      </c>
      <c r="K726" s="140">
        <v>27</v>
      </c>
      <c r="L726" s="14" t="s">
        <v>191</v>
      </c>
      <c r="M726" s="14" t="s">
        <v>3222</v>
      </c>
    </row>
    <row r="727" spans="1:15" x14ac:dyDescent="0.35">
      <c r="B727" s="235" t="s">
        <v>2847</v>
      </c>
      <c r="C727" s="257">
        <v>-0.33617732576195497</v>
      </c>
      <c r="D727" s="261">
        <v>87.680399709418396</v>
      </c>
      <c r="E727" s="138" t="s">
        <v>395</v>
      </c>
      <c r="F727" s="402">
        <v>27</v>
      </c>
      <c r="G727" s="1" t="s">
        <v>53</v>
      </c>
      <c r="H727" s="402">
        <v>19</v>
      </c>
      <c r="I727" s="63">
        <v>11</v>
      </c>
      <c r="J727" s="235" t="s">
        <v>1344</v>
      </c>
      <c r="K727" s="140">
        <v>12</v>
      </c>
      <c r="L727" s="14" t="s">
        <v>488</v>
      </c>
      <c r="M727" s="14" t="s">
        <v>3223</v>
      </c>
      <c r="O727" s="85" t="s">
        <v>3228</v>
      </c>
    </row>
    <row r="728" spans="1:15" x14ac:dyDescent="0.35">
      <c r="B728" s="235" t="s">
        <v>2846</v>
      </c>
      <c r="C728" s="257">
        <v>1.0673498632148251</v>
      </c>
      <c r="D728" s="261">
        <v>83.563846516504753</v>
      </c>
      <c r="E728" s="138" t="s">
        <v>395</v>
      </c>
      <c r="F728" s="402">
        <v>20</v>
      </c>
      <c r="G728" s="1" t="s">
        <v>83</v>
      </c>
      <c r="H728" s="402">
        <v>15</v>
      </c>
      <c r="I728" s="63">
        <v>11</v>
      </c>
      <c r="J728" s="235" t="s">
        <v>1302</v>
      </c>
      <c r="K728" s="140">
        <v>29</v>
      </c>
      <c r="L728" s="14" t="s">
        <v>190</v>
      </c>
      <c r="M728" s="14" t="s">
        <v>3226</v>
      </c>
    </row>
    <row r="729" spans="1:15" x14ac:dyDescent="0.35">
      <c r="B729" s="235" t="s">
        <v>2847</v>
      </c>
      <c r="C729" s="257">
        <v>1.4326501367851749</v>
      </c>
      <c r="D729" s="261">
        <v>83.329010626352385</v>
      </c>
      <c r="E729" s="138" t="s">
        <v>395</v>
      </c>
      <c r="F729" s="402">
        <v>29</v>
      </c>
      <c r="G729" s="1" t="s">
        <v>1302</v>
      </c>
      <c r="H729" s="402">
        <v>15</v>
      </c>
      <c r="I729" s="63">
        <v>12</v>
      </c>
      <c r="J729" s="235" t="s">
        <v>83</v>
      </c>
      <c r="K729" s="140">
        <v>20</v>
      </c>
      <c r="L729" s="14" t="s">
        <v>294</v>
      </c>
      <c r="M729" s="14" t="s">
        <v>3227</v>
      </c>
      <c r="N729" s="92" t="s">
        <v>3338</v>
      </c>
      <c r="O729" s="85" t="s">
        <v>3337</v>
      </c>
    </row>
    <row r="730" spans="1:15" x14ac:dyDescent="0.35">
      <c r="B730" s="235" t="s">
        <v>2846</v>
      </c>
      <c r="C730" s="257">
        <v>2.01509600037424</v>
      </c>
      <c r="D730" s="261">
        <v>77.490295428330853</v>
      </c>
      <c r="E730" s="138" t="s">
        <v>396</v>
      </c>
      <c r="F730" s="402">
        <v>18</v>
      </c>
      <c r="G730" s="1" t="s">
        <v>78</v>
      </c>
      <c r="H730" s="402">
        <v>14</v>
      </c>
      <c r="I730" s="63">
        <v>8</v>
      </c>
      <c r="J730" s="235" t="s">
        <v>793</v>
      </c>
      <c r="K730" s="140">
        <v>48</v>
      </c>
      <c r="L730" s="14" t="s">
        <v>187</v>
      </c>
      <c r="M730" s="14" t="s">
        <v>3229</v>
      </c>
    </row>
    <row r="731" spans="1:15" x14ac:dyDescent="0.35">
      <c r="B731" s="235" t="s">
        <v>2847</v>
      </c>
      <c r="C731" s="257">
        <v>-4.4706515559297957</v>
      </c>
      <c r="D731" s="261">
        <v>81.659704571669153</v>
      </c>
      <c r="E731" s="138" t="s">
        <v>396</v>
      </c>
      <c r="F731" s="402">
        <v>48</v>
      </c>
      <c r="G731" s="1" t="s">
        <v>793</v>
      </c>
      <c r="H731" s="402">
        <v>24</v>
      </c>
      <c r="I731" s="63">
        <v>15</v>
      </c>
      <c r="J731" s="235" t="s">
        <v>78</v>
      </c>
      <c r="K731" s="140">
        <v>18</v>
      </c>
      <c r="L731" s="14" t="s">
        <v>339</v>
      </c>
      <c r="M731" s="14" t="s">
        <v>3230</v>
      </c>
      <c r="O731" s="85" t="s">
        <v>3231</v>
      </c>
    </row>
    <row r="732" spans="1:15" x14ac:dyDescent="0.35">
      <c r="B732" s="235" t="s">
        <v>2846</v>
      </c>
      <c r="C732" s="257">
        <v>1.0731633472206021</v>
      </c>
      <c r="D732" s="261">
        <v>58.448502133929622</v>
      </c>
      <c r="E732" s="138" t="s">
        <v>395</v>
      </c>
      <c r="F732" s="402">
        <v>58</v>
      </c>
      <c r="G732" s="1" t="s">
        <v>79</v>
      </c>
      <c r="H732" s="402">
        <v>18</v>
      </c>
      <c r="I732" s="63">
        <v>5</v>
      </c>
      <c r="J732" s="235" t="s">
        <v>42</v>
      </c>
      <c r="K732" s="140">
        <v>55</v>
      </c>
      <c r="L732" s="14" t="s">
        <v>297</v>
      </c>
      <c r="M732" s="43" t="s">
        <v>3232</v>
      </c>
      <c r="N732" s="1" t="s">
        <v>2953</v>
      </c>
    </row>
    <row r="733" spans="1:15" x14ac:dyDescent="0.35">
      <c r="B733" s="235" t="s">
        <v>2847</v>
      </c>
      <c r="C733" s="257">
        <v>-2.1429315747369153</v>
      </c>
      <c r="D733" s="261">
        <v>60.515991726616591</v>
      </c>
      <c r="E733" s="138" t="s">
        <v>396</v>
      </c>
      <c r="F733" s="402">
        <v>58</v>
      </c>
      <c r="G733" s="1" t="s">
        <v>79</v>
      </c>
      <c r="H733" s="402">
        <v>19</v>
      </c>
      <c r="I733" s="63">
        <v>10</v>
      </c>
      <c r="J733" s="235" t="s">
        <v>42</v>
      </c>
      <c r="K733" s="140">
        <v>55</v>
      </c>
      <c r="L733" s="14" t="s">
        <v>339</v>
      </c>
      <c r="M733" s="14" t="s">
        <v>3233</v>
      </c>
      <c r="O733" s="85" t="s">
        <v>3234</v>
      </c>
    </row>
    <row r="734" spans="1:15" x14ac:dyDescent="0.35">
      <c r="A734" s="6" t="s">
        <v>3240</v>
      </c>
      <c r="B734" s="235" t="s">
        <v>2846</v>
      </c>
      <c r="C734" s="257">
        <v>12.194970780285908</v>
      </c>
      <c r="D734" s="261">
        <v>59.374661641244785</v>
      </c>
      <c r="E734" s="138" t="s">
        <v>395</v>
      </c>
      <c r="F734" s="402">
        <v>7</v>
      </c>
      <c r="G734" s="1" t="s">
        <v>46</v>
      </c>
      <c r="H734" s="402">
        <v>25</v>
      </c>
      <c r="I734" s="63">
        <v>14</v>
      </c>
      <c r="J734" s="235" t="s">
        <v>783</v>
      </c>
      <c r="K734" s="140">
        <v>95</v>
      </c>
      <c r="L734" s="14" t="s">
        <v>294</v>
      </c>
      <c r="M734" s="14" t="s">
        <v>3238</v>
      </c>
    </row>
    <row r="735" spans="1:15" x14ac:dyDescent="0.35">
      <c r="B735" s="235" t="s">
        <v>2847</v>
      </c>
      <c r="C735" s="257">
        <v>9.6533041136192423</v>
      </c>
      <c r="D735" s="261">
        <v>61.008590212673354</v>
      </c>
      <c r="E735" s="138" t="s">
        <v>396</v>
      </c>
      <c r="F735" s="402">
        <v>7</v>
      </c>
      <c r="G735" s="1" t="s">
        <v>46</v>
      </c>
      <c r="H735" s="402">
        <v>30</v>
      </c>
      <c r="I735" s="63">
        <v>17</v>
      </c>
      <c r="J735" s="235" t="s">
        <v>783</v>
      </c>
      <c r="K735" s="140">
        <v>95</v>
      </c>
      <c r="L735" s="14" t="s">
        <v>621</v>
      </c>
      <c r="M735" s="14" t="s">
        <v>3239</v>
      </c>
      <c r="O735" s="85" t="s">
        <v>3241</v>
      </c>
    </row>
    <row r="736" spans="1:15" x14ac:dyDescent="0.35">
      <c r="B736" s="235" t="s">
        <v>2846</v>
      </c>
      <c r="C736" s="257">
        <v>5.8021326527741612</v>
      </c>
      <c r="D736" s="261">
        <v>78.270057580359477</v>
      </c>
      <c r="E736" s="138" t="s">
        <v>395</v>
      </c>
      <c r="F736" s="402">
        <v>14</v>
      </c>
      <c r="G736" s="1" t="s">
        <v>962</v>
      </c>
      <c r="H736" s="402">
        <v>19</v>
      </c>
      <c r="I736" s="63">
        <v>15</v>
      </c>
      <c r="J736" s="235" t="s">
        <v>787</v>
      </c>
      <c r="K736" s="140">
        <v>42</v>
      </c>
      <c r="L736" s="14" t="s">
        <v>488</v>
      </c>
      <c r="M736" s="14" t="s">
        <v>3242</v>
      </c>
    </row>
    <row r="737" spans="1:15" x14ac:dyDescent="0.35">
      <c r="B737" s="235" t="s">
        <v>2847</v>
      </c>
      <c r="C737" s="257">
        <v>-3.2743548749963831</v>
      </c>
      <c r="D737" s="261">
        <v>84.104942419640523</v>
      </c>
      <c r="E737" s="138" t="s">
        <v>395</v>
      </c>
      <c r="F737" s="402">
        <v>42</v>
      </c>
      <c r="G737" s="1" t="s">
        <v>787</v>
      </c>
      <c r="H737" s="402">
        <v>22</v>
      </c>
      <c r="I737" s="63">
        <v>9</v>
      </c>
      <c r="J737" s="235" t="s">
        <v>962</v>
      </c>
      <c r="K737" s="140">
        <v>14</v>
      </c>
      <c r="L737" s="14" t="s">
        <v>397</v>
      </c>
      <c r="M737" s="43" t="s">
        <v>3243</v>
      </c>
      <c r="N737" s="1" t="s">
        <v>2953</v>
      </c>
      <c r="O737" s="85" t="s">
        <v>3244</v>
      </c>
    </row>
    <row r="738" spans="1:15" x14ac:dyDescent="0.35">
      <c r="B738" s="235" t="s">
        <v>2846</v>
      </c>
      <c r="C738" s="257">
        <v>10.81779817776485</v>
      </c>
      <c r="D738" s="261">
        <v>58.65284402857975</v>
      </c>
      <c r="E738" s="138" t="s">
        <v>395</v>
      </c>
      <c r="F738" s="402">
        <v>15</v>
      </c>
      <c r="G738" s="1" t="s">
        <v>145</v>
      </c>
      <c r="H738" s="402">
        <v>32</v>
      </c>
      <c r="I738" s="63">
        <v>17</v>
      </c>
      <c r="J738" s="235" t="s">
        <v>70</v>
      </c>
      <c r="K738" s="140">
        <v>92</v>
      </c>
      <c r="L738" s="14" t="s">
        <v>621</v>
      </c>
      <c r="M738" s="14" t="s">
        <v>3245</v>
      </c>
    </row>
    <row r="739" spans="1:15" x14ac:dyDescent="0.35">
      <c r="B739" s="235" t="s">
        <v>2847</v>
      </c>
      <c r="C739" s="257">
        <v>8.0677981777648498</v>
      </c>
      <c r="D739" s="261">
        <v>60.420701171436889</v>
      </c>
      <c r="E739" s="138" t="s">
        <v>396</v>
      </c>
      <c r="F739" s="402">
        <v>15</v>
      </c>
      <c r="G739" s="1" t="s">
        <v>145</v>
      </c>
      <c r="H739" s="402">
        <v>25</v>
      </c>
      <c r="I739" s="63">
        <v>18</v>
      </c>
      <c r="J739" s="235" t="s">
        <v>70</v>
      </c>
      <c r="K739" s="140">
        <v>92</v>
      </c>
      <c r="L739" s="14" t="s">
        <v>942</v>
      </c>
      <c r="M739" s="14" t="s">
        <v>3246</v>
      </c>
      <c r="O739" s="85" t="s">
        <v>3247</v>
      </c>
    </row>
    <row r="740" spans="1:15" x14ac:dyDescent="0.35">
      <c r="B740" s="235" t="s">
        <v>2846</v>
      </c>
      <c r="C740" s="257">
        <v>3.0601299175634615</v>
      </c>
      <c r="D740" s="261">
        <v>67.657773624423484</v>
      </c>
      <c r="E740" s="138" t="s">
        <v>395</v>
      </c>
      <c r="F740" s="402">
        <v>32</v>
      </c>
      <c r="G740" s="1" t="s">
        <v>961</v>
      </c>
      <c r="H740" s="402">
        <v>17</v>
      </c>
      <c r="I740" s="63">
        <v>12</v>
      </c>
      <c r="J740" s="235" t="s">
        <v>57</v>
      </c>
      <c r="K740" s="140">
        <v>51</v>
      </c>
      <c r="L740" s="14" t="s">
        <v>400</v>
      </c>
      <c r="M740" s="14" t="s">
        <v>3248</v>
      </c>
    </row>
    <row r="741" spans="1:15" ht="15" thickBot="1" x14ac:dyDescent="0.4">
      <c r="B741" s="57" t="s">
        <v>2847</v>
      </c>
      <c r="C741" s="259">
        <v>0.75804658423012827</v>
      </c>
      <c r="D741" s="262">
        <v>69.137684338709207</v>
      </c>
      <c r="E741" s="222" t="s">
        <v>396</v>
      </c>
      <c r="F741" s="381">
        <v>32</v>
      </c>
      <c r="G741" s="44" t="s">
        <v>961</v>
      </c>
      <c r="H741" s="381">
        <v>15</v>
      </c>
      <c r="I741" s="56">
        <v>14</v>
      </c>
      <c r="J741" s="57" t="s">
        <v>57</v>
      </c>
      <c r="K741" s="141">
        <v>51</v>
      </c>
      <c r="L741" s="23" t="s">
        <v>179</v>
      </c>
      <c r="M741" s="23" t="s">
        <v>3249</v>
      </c>
      <c r="N741" s="86" t="s">
        <v>2992</v>
      </c>
      <c r="O741" s="86" t="s">
        <v>3250</v>
      </c>
    </row>
    <row r="742" spans="1:15" x14ac:dyDescent="0.35">
      <c r="A742" s="6" t="s">
        <v>3273</v>
      </c>
      <c r="B742" s="254" t="s">
        <v>3274</v>
      </c>
      <c r="C742" s="257">
        <v>7.5554841247022431</v>
      </c>
      <c r="D742" s="261">
        <v>65.792110432338518</v>
      </c>
      <c r="E742" s="138" t="s">
        <v>395</v>
      </c>
      <c r="F742" s="402">
        <v>18</v>
      </c>
      <c r="G742" s="1" t="s">
        <v>40</v>
      </c>
      <c r="H742" s="402">
        <v>24</v>
      </c>
      <c r="I742" s="63">
        <v>5</v>
      </c>
      <c r="J742" s="235" t="s">
        <v>24</v>
      </c>
      <c r="K742" s="140">
        <v>71</v>
      </c>
      <c r="L742" s="14" t="s">
        <v>297</v>
      </c>
      <c r="M742" s="43" t="s">
        <v>3271</v>
      </c>
      <c r="N742" s="1" t="s">
        <v>2953</v>
      </c>
      <c r="O742" s="84" t="s">
        <v>3336</v>
      </c>
    </row>
    <row r="743" spans="1:15" x14ac:dyDescent="0.35">
      <c r="B743" s="76" t="s">
        <v>2849</v>
      </c>
      <c r="C743" s="257">
        <v>4.8506230135911315</v>
      </c>
      <c r="D743" s="261">
        <v>67.569590591068689</v>
      </c>
      <c r="E743" s="138" t="s">
        <v>396</v>
      </c>
      <c r="F743" s="402">
        <v>18</v>
      </c>
      <c r="G743" s="1" t="s">
        <v>40</v>
      </c>
      <c r="H743" s="402">
        <v>16</v>
      </c>
      <c r="I743" s="63">
        <v>15</v>
      </c>
      <c r="J743" s="235" t="s">
        <v>24</v>
      </c>
      <c r="K743" s="140">
        <v>71</v>
      </c>
      <c r="L743" s="14" t="s">
        <v>488</v>
      </c>
      <c r="M743" s="14" t="s">
        <v>3272</v>
      </c>
      <c r="N743" t="s">
        <v>2992</v>
      </c>
      <c r="O743" s="85" t="s">
        <v>3277</v>
      </c>
    </row>
    <row r="744" spans="1:15" x14ac:dyDescent="0.35">
      <c r="B744" s="76" t="s">
        <v>2848</v>
      </c>
      <c r="C744" s="257">
        <v>0.226295167592034</v>
      </c>
      <c r="D744" s="261">
        <v>70.649506032725242</v>
      </c>
      <c r="E744" s="138" t="s">
        <v>396</v>
      </c>
      <c r="F744" s="402">
        <v>29</v>
      </c>
      <c r="G744" s="1" t="s">
        <v>53</v>
      </c>
      <c r="H744" s="402">
        <v>7</v>
      </c>
      <c r="I744" s="63">
        <v>6</v>
      </c>
      <c r="J744" s="235" t="s">
        <v>965</v>
      </c>
      <c r="K744" s="140">
        <v>50</v>
      </c>
      <c r="L744" s="14" t="s">
        <v>187</v>
      </c>
      <c r="M744" s="14" t="s">
        <v>3275</v>
      </c>
      <c r="N744" t="s">
        <v>2992</v>
      </c>
    </row>
    <row r="745" spans="1:15" x14ac:dyDescent="0.35">
      <c r="B745" s="76" t="s">
        <v>2849</v>
      </c>
      <c r="C745" s="257">
        <v>-2.6346285009253667</v>
      </c>
      <c r="D745" s="261">
        <v>72.529541586322381</v>
      </c>
      <c r="E745" s="138" t="s">
        <v>396</v>
      </c>
      <c r="F745" s="402">
        <v>50</v>
      </c>
      <c r="G745" s="1" t="s">
        <v>965</v>
      </c>
      <c r="H745" s="402">
        <v>17</v>
      </c>
      <c r="I745" s="63">
        <v>16</v>
      </c>
      <c r="J745" s="235" t="s">
        <v>53</v>
      </c>
      <c r="K745" s="140">
        <v>29</v>
      </c>
      <c r="L745" s="14" t="s">
        <v>186</v>
      </c>
      <c r="M745" s="14" t="s">
        <v>3276</v>
      </c>
      <c r="N745" t="s">
        <v>2992</v>
      </c>
      <c r="O745" s="333" t="s">
        <v>3897</v>
      </c>
    </row>
    <row r="746" spans="1:15" x14ac:dyDescent="0.35">
      <c r="B746" s="76" t="s">
        <v>2850</v>
      </c>
      <c r="C746" s="257">
        <v>-5.8631696028259874</v>
      </c>
      <c r="D746" s="261">
        <v>75.924368596142799</v>
      </c>
      <c r="E746" s="138" t="s">
        <v>395</v>
      </c>
      <c r="F746" s="402">
        <v>73</v>
      </c>
      <c r="G746" s="1" t="s">
        <v>32</v>
      </c>
      <c r="H746" s="402">
        <v>22</v>
      </c>
      <c r="I746" s="63">
        <v>19</v>
      </c>
      <c r="J746" s="235" t="s">
        <v>77</v>
      </c>
      <c r="K746" s="140">
        <v>12</v>
      </c>
      <c r="L746" s="14" t="s">
        <v>332</v>
      </c>
      <c r="M746" s="14" t="s">
        <v>3278</v>
      </c>
    </row>
    <row r="747" spans="1:15" x14ac:dyDescent="0.35">
      <c r="B747" s="76" t="s">
        <v>2851</v>
      </c>
      <c r="C747" s="257">
        <v>8.2777529361593221</v>
      </c>
      <c r="D747" s="261">
        <v>66.631762356238156</v>
      </c>
      <c r="E747" s="138" t="s">
        <v>395</v>
      </c>
      <c r="F747" s="402">
        <v>12</v>
      </c>
      <c r="G747" s="1" t="s">
        <v>77</v>
      </c>
      <c r="H747" s="402">
        <v>24</v>
      </c>
      <c r="I747" s="63">
        <v>21</v>
      </c>
      <c r="J747" s="235" t="s">
        <v>32</v>
      </c>
      <c r="K747" s="140">
        <v>73</v>
      </c>
      <c r="L747" s="14" t="s">
        <v>185</v>
      </c>
      <c r="M747" s="14" t="s">
        <v>3279</v>
      </c>
      <c r="N747" s="92" t="s">
        <v>2954</v>
      </c>
      <c r="O747" s="333" t="s">
        <v>3898</v>
      </c>
    </row>
    <row r="748" spans="1:15" x14ac:dyDescent="0.35">
      <c r="B748" s="76" t="s">
        <v>2850</v>
      </c>
      <c r="C748" s="257">
        <v>4.2905186729981502</v>
      </c>
      <c r="D748" s="261">
        <v>85.35194487202979</v>
      </c>
      <c r="E748" s="138" t="s">
        <v>395</v>
      </c>
      <c r="F748" s="402">
        <v>8</v>
      </c>
      <c r="G748" s="1" t="s">
        <v>118</v>
      </c>
      <c r="H748" s="402">
        <v>21</v>
      </c>
      <c r="I748" s="63">
        <v>14</v>
      </c>
      <c r="J748" s="235" t="s">
        <v>45</v>
      </c>
      <c r="K748" s="140">
        <v>28</v>
      </c>
      <c r="L748" s="14" t="s">
        <v>507</v>
      </c>
      <c r="M748" s="14" t="s">
        <v>3280</v>
      </c>
    </row>
    <row r="749" spans="1:15" x14ac:dyDescent="0.35">
      <c r="B749" s="76" t="s">
        <v>2851</v>
      </c>
      <c r="C749" s="257">
        <v>1.9655186729981509</v>
      </c>
      <c r="D749" s="261">
        <v>86.879802014886934</v>
      </c>
      <c r="E749" s="138" t="s">
        <v>396</v>
      </c>
      <c r="F749" s="402">
        <v>8</v>
      </c>
      <c r="G749" s="1" t="s">
        <v>118</v>
      </c>
      <c r="H749" s="402">
        <v>21</v>
      </c>
      <c r="I749" s="63">
        <v>8</v>
      </c>
      <c r="J749" s="235" t="s">
        <v>45</v>
      </c>
      <c r="K749" s="140">
        <v>28</v>
      </c>
      <c r="L749" s="14" t="s">
        <v>191</v>
      </c>
      <c r="M749" s="43" t="s">
        <v>3281</v>
      </c>
      <c r="N749" s="1" t="s">
        <v>2953</v>
      </c>
      <c r="O749" s="85" t="s">
        <v>3282</v>
      </c>
    </row>
    <row r="750" spans="1:15" x14ac:dyDescent="0.35">
      <c r="A750" s="6" t="s">
        <v>3324</v>
      </c>
      <c r="B750" s="76" t="s">
        <v>2852</v>
      </c>
      <c r="C750" s="257">
        <v>-3.9609793173464629</v>
      </c>
      <c r="D750" s="261">
        <v>70.813643551399096</v>
      </c>
      <c r="E750" s="138" t="s">
        <v>396</v>
      </c>
      <c r="F750" s="402">
        <v>56</v>
      </c>
      <c r="G750" s="1" t="s">
        <v>43</v>
      </c>
      <c r="H750" s="402">
        <v>18</v>
      </c>
      <c r="I750" s="63">
        <v>16</v>
      </c>
      <c r="J750" s="235" t="s">
        <v>1302</v>
      </c>
      <c r="K750" s="140">
        <v>30</v>
      </c>
      <c r="L750" s="14" t="s">
        <v>299</v>
      </c>
      <c r="M750" s="14" t="s">
        <v>3323</v>
      </c>
      <c r="N750" t="s">
        <v>2992</v>
      </c>
    </row>
    <row r="751" spans="1:15" x14ac:dyDescent="0.35">
      <c r="B751" s="76" t="s">
        <v>2853</v>
      </c>
      <c r="C751" s="257">
        <v>-1.294312650679796</v>
      </c>
      <c r="D751" s="261">
        <v>69.061262599018164</v>
      </c>
      <c r="E751" s="138" t="s">
        <v>395</v>
      </c>
      <c r="F751" s="402">
        <v>56</v>
      </c>
      <c r="G751" s="1" t="s">
        <v>43</v>
      </c>
      <c r="H751" s="402">
        <v>27</v>
      </c>
      <c r="I751" s="63">
        <v>14</v>
      </c>
      <c r="J751" s="235" t="s">
        <v>1302</v>
      </c>
      <c r="K751" s="140">
        <v>30</v>
      </c>
      <c r="L751" s="14" t="s">
        <v>916</v>
      </c>
      <c r="M751" s="43" t="s">
        <v>3325</v>
      </c>
      <c r="N751" s="1" t="s">
        <v>2953</v>
      </c>
      <c r="O751" s="85" t="s">
        <v>3326</v>
      </c>
    </row>
    <row r="752" spans="1:15" x14ac:dyDescent="0.35">
      <c r="B752" s="76" t="s">
        <v>2852</v>
      </c>
      <c r="C752" s="257">
        <v>2.1404780702660111</v>
      </c>
      <c r="D752" s="261">
        <v>71.979114410968052</v>
      </c>
      <c r="E752" s="138" t="s">
        <v>396</v>
      </c>
      <c r="F752" s="402">
        <v>24</v>
      </c>
      <c r="G752" s="1" t="s">
        <v>790</v>
      </c>
      <c r="H752" s="402">
        <v>26</v>
      </c>
      <c r="I752" s="63">
        <v>16</v>
      </c>
      <c r="J752" s="235" t="s">
        <v>114</v>
      </c>
      <c r="K752" s="140">
        <v>57</v>
      </c>
      <c r="L752" s="14" t="s">
        <v>178</v>
      </c>
      <c r="M752" s="14" t="s">
        <v>3327</v>
      </c>
      <c r="N752" t="s">
        <v>2992</v>
      </c>
    </row>
    <row r="753" spans="1:15" x14ac:dyDescent="0.35">
      <c r="B753" s="76" t="s">
        <v>2853</v>
      </c>
      <c r="C753" s="257">
        <v>4.8904780702660116</v>
      </c>
      <c r="D753" s="261">
        <v>70.171971553825202</v>
      </c>
      <c r="E753" s="138" t="s">
        <v>395</v>
      </c>
      <c r="F753" s="402">
        <v>24</v>
      </c>
      <c r="G753" s="1" t="s">
        <v>790</v>
      </c>
      <c r="H753" s="402">
        <v>14</v>
      </c>
      <c r="I753" s="63">
        <v>13</v>
      </c>
      <c r="J753" s="235" t="s">
        <v>114</v>
      </c>
      <c r="K753" s="140">
        <v>57</v>
      </c>
      <c r="L753" s="14" t="s">
        <v>893</v>
      </c>
      <c r="M753" s="14" t="s">
        <v>3328</v>
      </c>
      <c r="N753" t="s">
        <v>2992</v>
      </c>
      <c r="O753" s="85" t="s">
        <v>3332</v>
      </c>
    </row>
    <row r="754" spans="1:15" x14ac:dyDescent="0.35">
      <c r="B754" s="76" t="s">
        <v>2854</v>
      </c>
      <c r="C754" s="257">
        <v>1.6919910447151012</v>
      </c>
      <c r="D754" s="261">
        <v>64.511334456330076</v>
      </c>
      <c r="E754" s="138" t="s">
        <v>395</v>
      </c>
      <c r="F754" s="402">
        <v>44</v>
      </c>
      <c r="G754" s="1" t="s">
        <v>50</v>
      </c>
      <c r="H754" s="402">
        <v>15</v>
      </c>
      <c r="I754" s="63">
        <v>10</v>
      </c>
      <c r="J754" s="235" t="s">
        <v>66</v>
      </c>
      <c r="K754" s="140">
        <v>49</v>
      </c>
      <c r="L754" s="14" t="s">
        <v>296</v>
      </c>
      <c r="M754" s="14" t="s">
        <v>3330</v>
      </c>
    </row>
    <row r="755" spans="1:15" x14ac:dyDescent="0.35">
      <c r="B755" s="76" t="s">
        <v>2855</v>
      </c>
      <c r="C755" s="257">
        <v>1.1968978441737876</v>
      </c>
      <c r="D755" s="261">
        <v>64.836681416685792</v>
      </c>
      <c r="E755" s="138" t="s">
        <v>395</v>
      </c>
      <c r="F755" s="402">
        <v>49</v>
      </c>
      <c r="G755" s="1" t="s">
        <v>66</v>
      </c>
      <c r="H755" s="402">
        <v>20</v>
      </c>
      <c r="I755" s="63">
        <v>13</v>
      </c>
      <c r="J755" s="235" t="s">
        <v>50</v>
      </c>
      <c r="K755" s="140">
        <v>44</v>
      </c>
      <c r="L755" s="14" t="s">
        <v>507</v>
      </c>
      <c r="M755" s="14" t="s">
        <v>3331</v>
      </c>
      <c r="N755" t="s">
        <v>2992</v>
      </c>
      <c r="O755" s="85" t="s">
        <v>3333</v>
      </c>
    </row>
    <row r="756" spans="1:15" x14ac:dyDescent="0.35">
      <c r="B756" s="76" t="s">
        <v>2854</v>
      </c>
      <c r="C756" s="257">
        <v>-7.4628407051083805</v>
      </c>
      <c r="D756" s="261">
        <v>72.04700960621409</v>
      </c>
      <c r="E756" s="138" t="s">
        <v>396</v>
      </c>
      <c r="F756" s="402">
        <v>83</v>
      </c>
      <c r="G756" s="1" t="s">
        <v>784</v>
      </c>
      <c r="H756" s="402">
        <v>29</v>
      </c>
      <c r="I756" s="63">
        <v>27</v>
      </c>
      <c r="J756" s="235" t="s">
        <v>962</v>
      </c>
      <c r="K756" s="140">
        <v>17</v>
      </c>
      <c r="L756" s="14" t="s">
        <v>609</v>
      </c>
      <c r="M756" s="14" t="s">
        <v>3334</v>
      </c>
      <c r="N756" t="s">
        <v>2992</v>
      </c>
    </row>
    <row r="757" spans="1:15" x14ac:dyDescent="0.35">
      <c r="B757" s="76" t="s">
        <v>2855</v>
      </c>
      <c r="C757" s="257">
        <v>5.196174038441713</v>
      </c>
      <c r="D757" s="261">
        <v>63.728228489024019</v>
      </c>
      <c r="E757" s="138" t="s">
        <v>396</v>
      </c>
      <c r="F757" s="402">
        <v>17</v>
      </c>
      <c r="G757" s="1" t="s">
        <v>962</v>
      </c>
      <c r="H757" s="402">
        <v>17</v>
      </c>
      <c r="I757" s="63">
        <v>15</v>
      </c>
      <c r="J757" s="235" t="s">
        <v>784</v>
      </c>
      <c r="K757" s="140">
        <v>83</v>
      </c>
      <c r="L757" s="14" t="s">
        <v>294</v>
      </c>
      <c r="M757" s="14" t="s">
        <v>3335</v>
      </c>
      <c r="N757" s="92" t="s">
        <v>3338</v>
      </c>
      <c r="O757" s="333" t="s">
        <v>4162</v>
      </c>
    </row>
    <row r="758" spans="1:15" x14ac:dyDescent="0.35">
      <c r="B758" s="76" t="s">
        <v>2856</v>
      </c>
      <c r="C758" s="257">
        <v>3.388533792578248E-2</v>
      </c>
      <c r="D758" s="261">
        <v>56.729518206505915</v>
      </c>
      <c r="E758" s="138" t="s">
        <v>396</v>
      </c>
      <c r="F758" s="402">
        <v>53</v>
      </c>
      <c r="G758" s="1" t="s">
        <v>794</v>
      </c>
      <c r="H758" s="402">
        <v>25</v>
      </c>
      <c r="I758" s="63">
        <v>19</v>
      </c>
      <c r="J758" s="235" t="s">
        <v>74</v>
      </c>
      <c r="K758" s="140">
        <v>64</v>
      </c>
      <c r="L758" s="14" t="s">
        <v>289</v>
      </c>
      <c r="M758" s="43" t="s">
        <v>3339</v>
      </c>
      <c r="N758" s="1" t="s">
        <v>2953</v>
      </c>
    </row>
    <row r="759" spans="1:15" x14ac:dyDescent="0.35">
      <c r="B759" s="76" t="s">
        <v>2857</v>
      </c>
      <c r="C759" s="257">
        <v>2.4422186712591158</v>
      </c>
      <c r="D759" s="261">
        <v>55.146899158886868</v>
      </c>
      <c r="E759" s="138" t="s">
        <v>395</v>
      </c>
      <c r="F759" s="402">
        <v>53</v>
      </c>
      <c r="G759" s="1" t="s">
        <v>794</v>
      </c>
      <c r="H759" s="402">
        <v>24</v>
      </c>
      <c r="I759" s="63">
        <v>14</v>
      </c>
      <c r="J759" s="235" t="s">
        <v>74</v>
      </c>
      <c r="K759" s="140">
        <v>64</v>
      </c>
      <c r="L759" s="14" t="s">
        <v>178</v>
      </c>
      <c r="M759" s="14" t="s">
        <v>3340</v>
      </c>
      <c r="O759" s="85" t="s">
        <v>3341</v>
      </c>
    </row>
    <row r="760" spans="1:15" x14ac:dyDescent="0.35">
      <c r="A760" s="6" t="s">
        <v>3398</v>
      </c>
      <c r="B760" s="76" t="s">
        <v>2856</v>
      </c>
      <c r="C760" s="257">
        <v>9.715155022346778</v>
      </c>
      <c r="D760" s="261">
        <v>50.572898128172113</v>
      </c>
      <c r="E760" s="138" t="s">
        <v>396</v>
      </c>
      <c r="F760" s="402">
        <v>25</v>
      </c>
      <c r="G760" s="1" t="s">
        <v>33</v>
      </c>
      <c r="H760" s="402">
        <v>32</v>
      </c>
      <c r="I760" s="63">
        <v>16</v>
      </c>
      <c r="J760" s="235" t="s">
        <v>959</v>
      </c>
      <c r="K760" s="140">
        <v>106</v>
      </c>
      <c r="L760" s="14" t="s">
        <v>178</v>
      </c>
      <c r="M760" s="14" t="s">
        <v>3342</v>
      </c>
      <c r="N760" t="s">
        <v>2992</v>
      </c>
    </row>
    <row r="761" spans="1:15" x14ac:dyDescent="0.35">
      <c r="B761" s="76" t="s">
        <v>2857</v>
      </c>
      <c r="C761" s="257">
        <v>12.694321689013446</v>
      </c>
      <c r="D761" s="261">
        <v>48.615160032934014</v>
      </c>
      <c r="E761" s="138" t="s">
        <v>395</v>
      </c>
      <c r="F761" s="402">
        <v>25</v>
      </c>
      <c r="G761" s="1" t="s">
        <v>33</v>
      </c>
      <c r="H761" s="402">
        <v>33</v>
      </c>
      <c r="I761" s="63">
        <v>17</v>
      </c>
      <c r="J761" s="235" t="s">
        <v>959</v>
      </c>
      <c r="K761" s="140">
        <v>106</v>
      </c>
      <c r="L761" s="14" t="s">
        <v>285</v>
      </c>
      <c r="M761" s="14" t="s">
        <v>3343</v>
      </c>
      <c r="N761" t="s">
        <v>2992</v>
      </c>
      <c r="O761" s="85" t="s">
        <v>3344</v>
      </c>
    </row>
    <row r="762" spans="1:15" x14ac:dyDescent="0.35">
      <c r="B762" s="76" t="s">
        <v>2858</v>
      </c>
      <c r="C762" s="257">
        <v>7.9974894786409942</v>
      </c>
      <c r="D762" s="261">
        <v>57.944506914035919</v>
      </c>
      <c r="E762" s="138" t="s">
        <v>396</v>
      </c>
      <c r="F762" s="402">
        <v>11</v>
      </c>
      <c r="G762" s="1" t="s">
        <v>145</v>
      </c>
      <c r="H762" s="402">
        <v>25</v>
      </c>
      <c r="I762" s="63">
        <v>13</v>
      </c>
      <c r="J762" s="235" t="s">
        <v>786</v>
      </c>
      <c r="K762" s="140">
        <v>101</v>
      </c>
      <c r="L762" s="14" t="s">
        <v>185</v>
      </c>
      <c r="M762" s="14" t="s">
        <v>3345</v>
      </c>
    </row>
    <row r="763" spans="1:15" x14ac:dyDescent="0.35">
      <c r="B763" s="76" t="s">
        <v>2859</v>
      </c>
      <c r="C763" s="257">
        <v>10.476656145307661</v>
      </c>
      <c r="D763" s="261">
        <v>56.315340247369264</v>
      </c>
      <c r="E763" s="138" t="s">
        <v>395</v>
      </c>
      <c r="F763" s="402">
        <v>11</v>
      </c>
      <c r="G763" s="1" t="s">
        <v>145</v>
      </c>
      <c r="H763" s="402">
        <v>35</v>
      </c>
      <c r="I763" s="63">
        <v>12</v>
      </c>
      <c r="J763" s="235" t="s">
        <v>786</v>
      </c>
      <c r="K763" s="140">
        <v>101</v>
      </c>
      <c r="L763" s="14" t="s">
        <v>359</v>
      </c>
      <c r="M763" s="43" t="s">
        <v>3346</v>
      </c>
      <c r="N763" s="1" t="s">
        <v>2953</v>
      </c>
      <c r="O763" s="85" t="s">
        <v>3347</v>
      </c>
    </row>
    <row r="764" spans="1:15" x14ac:dyDescent="0.35">
      <c r="B764" s="76" t="s">
        <v>2858</v>
      </c>
      <c r="C764" s="257">
        <v>4.9393449638276588</v>
      </c>
      <c r="D764" s="261">
        <v>65.868430452341826</v>
      </c>
      <c r="E764" s="138" t="s">
        <v>396</v>
      </c>
      <c r="F764" s="402">
        <v>16</v>
      </c>
      <c r="G764" s="1" t="s">
        <v>67</v>
      </c>
      <c r="H764" s="402">
        <v>22</v>
      </c>
      <c r="I764" s="63">
        <v>12</v>
      </c>
      <c r="J764" s="235" t="s">
        <v>86</v>
      </c>
      <c r="K764" s="140">
        <v>78</v>
      </c>
      <c r="L764" s="14" t="s">
        <v>488</v>
      </c>
      <c r="M764" s="14" t="s">
        <v>3348</v>
      </c>
    </row>
    <row r="765" spans="1:15" ht="15" thickBot="1" x14ac:dyDescent="0.4">
      <c r="B765" s="77" t="s">
        <v>2859</v>
      </c>
      <c r="C765" s="259">
        <v>-7.5018449638276579</v>
      </c>
      <c r="D765" s="262">
        <v>74.044069547658182</v>
      </c>
      <c r="E765" s="222" t="s">
        <v>396</v>
      </c>
      <c r="F765" s="381">
        <v>78</v>
      </c>
      <c r="G765" s="44" t="s">
        <v>86</v>
      </c>
      <c r="H765" s="381">
        <v>24</v>
      </c>
      <c r="I765" s="56">
        <v>21</v>
      </c>
      <c r="J765" s="57" t="s">
        <v>67</v>
      </c>
      <c r="K765" s="141">
        <v>16</v>
      </c>
      <c r="L765" s="23" t="s">
        <v>178</v>
      </c>
      <c r="M765" s="23" t="s">
        <v>3349</v>
      </c>
      <c r="N765" s="283" t="s">
        <v>3338</v>
      </c>
      <c r="O765" s="86" t="s">
        <v>3350</v>
      </c>
    </row>
    <row r="766" spans="1:15" x14ac:dyDescent="0.35">
      <c r="A766" s="6" t="s">
        <v>3399</v>
      </c>
      <c r="B766" s="235" t="s">
        <v>2860</v>
      </c>
      <c r="C766" s="257">
        <v>-4.0898049180382907</v>
      </c>
      <c r="D766" s="261">
        <v>15.42128922717021</v>
      </c>
      <c r="E766" s="138" t="s">
        <v>395</v>
      </c>
      <c r="F766" s="402">
        <v>112</v>
      </c>
      <c r="G766" s="1" t="s">
        <v>48</v>
      </c>
      <c r="H766" s="402">
        <v>25</v>
      </c>
      <c r="I766" s="63">
        <v>11</v>
      </c>
      <c r="J766" s="235" t="s">
        <v>796</v>
      </c>
      <c r="K766" s="140">
        <v>84</v>
      </c>
      <c r="L766" s="14" t="s">
        <v>546</v>
      </c>
      <c r="M766" s="14" t="s">
        <v>3380</v>
      </c>
      <c r="N766" t="s">
        <v>2992</v>
      </c>
    </row>
    <row r="767" spans="1:15" x14ac:dyDescent="0.35">
      <c r="B767" s="237" t="s">
        <v>3381</v>
      </c>
      <c r="C767" s="257">
        <v>-2.2036911367094385</v>
      </c>
      <c r="D767" s="261">
        <v>8.2704936690781707</v>
      </c>
      <c r="E767" s="138" t="s">
        <v>395</v>
      </c>
      <c r="F767" s="402">
        <v>111</v>
      </c>
      <c r="G767" s="1" t="s">
        <v>76</v>
      </c>
      <c r="H767" s="402">
        <v>20</v>
      </c>
      <c r="I767" s="63">
        <v>14</v>
      </c>
      <c r="J767" s="235" t="s">
        <v>35</v>
      </c>
      <c r="K767" s="140">
        <v>98</v>
      </c>
      <c r="L767" s="14" t="s">
        <v>201</v>
      </c>
      <c r="M767" s="14" t="s">
        <v>3383</v>
      </c>
      <c r="N767" t="s">
        <v>2992</v>
      </c>
    </row>
    <row r="768" spans="1:15" x14ac:dyDescent="0.35">
      <c r="B768" s="237" t="s">
        <v>3382</v>
      </c>
      <c r="C768" s="257">
        <v>12.150694680229858</v>
      </c>
      <c r="D768" s="261">
        <v>50.249503799835814</v>
      </c>
      <c r="E768" s="138" t="s">
        <v>395</v>
      </c>
      <c r="F768" s="402">
        <v>5</v>
      </c>
      <c r="G768" s="1" t="s">
        <v>119</v>
      </c>
      <c r="H768" s="402">
        <v>40</v>
      </c>
      <c r="I768" s="63">
        <v>20</v>
      </c>
      <c r="J768" s="235" t="s">
        <v>964</v>
      </c>
      <c r="K768" s="140">
        <v>110</v>
      </c>
      <c r="L768" s="14" t="s">
        <v>874</v>
      </c>
      <c r="M768" s="14" t="s">
        <v>3384</v>
      </c>
    </row>
    <row r="769" spans="1:15" x14ac:dyDescent="0.35">
      <c r="B769" s="235"/>
      <c r="C769" s="257">
        <v>7.6568150843097058</v>
      </c>
      <c r="D769" s="261">
        <v>15.015229440983212</v>
      </c>
      <c r="E769" s="138" t="s">
        <v>395</v>
      </c>
      <c r="F769" s="402">
        <v>73</v>
      </c>
      <c r="G769" s="1" t="s">
        <v>32</v>
      </c>
      <c r="H769" s="402">
        <v>24</v>
      </c>
      <c r="I769" s="63">
        <v>21</v>
      </c>
      <c r="J769" s="235" t="s">
        <v>1342</v>
      </c>
      <c r="K769" s="140">
        <v>109</v>
      </c>
      <c r="L769" s="14" t="s">
        <v>443</v>
      </c>
      <c r="M769" s="14" t="s">
        <v>3386</v>
      </c>
      <c r="N769" s="92" t="s">
        <v>2954</v>
      </c>
      <c r="O769" t="s">
        <v>3385</v>
      </c>
    </row>
    <row r="770" spans="1:15" x14ac:dyDescent="0.35">
      <c r="B770" s="235"/>
      <c r="C770" s="257">
        <v>11.622835831310518</v>
      </c>
      <c r="D770" s="261">
        <v>47.055117263349629</v>
      </c>
      <c r="E770" s="138" t="s">
        <v>395</v>
      </c>
      <c r="F770" s="402">
        <v>17</v>
      </c>
      <c r="G770" s="1" t="s">
        <v>962</v>
      </c>
      <c r="H770" s="402">
        <v>24</v>
      </c>
      <c r="I770" s="63">
        <v>16</v>
      </c>
      <c r="J770" s="235" t="s">
        <v>31</v>
      </c>
      <c r="K770" s="140">
        <v>108</v>
      </c>
      <c r="L770" s="14" t="s">
        <v>453</v>
      </c>
      <c r="M770" s="14" t="s">
        <v>3392</v>
      </c>
      <c r="N770" t="s">
        <v>2992</v>
      </c>
    </row>
    <row r="771" spans="1:15" x14ac:dyDescent="0.35">
      <c r="B771" s="235"/>
      <c r="C771" s="257">
        <v>2.6587844794080682</v>
      </c>
      <c r="D771" s="261">
        <v>19.826350864414355</v>
      </c>
      <c r="E771" s="138" t="s">
        <v>396</v>
      </c>
      <c r="F771" s="402">
        <v>72</v>
      </c>
      <c r="G771" s="1" t="s">
        <v>84</v>
      </c>
      <c r="H771" s="402">
        <v>17</v>
      </c>
      <c r="I771" s="63">
        <v>15</v>
      </c>
      <c r="J771" s="235" t="s">
        <v>1859</v>
      </c>
      <c r="K771" s="140">
        <v>107</v>
      </c>
      <c r="L771" s="14" t="s">
        <v>295</v>
      </c>
      <c r="M771" s="14" t="s">
        <v>3395</v>
      </c>
      <c r="N771" t="s">
        <v>2992</v>
      </c>
      <c r="O771" t="s">
        <v>3394</v>
      </c>
    </row>
    <row r="772" spans="1:15" x14ac:dyDescent="0.35">
      <c r="B772" s="235"/>
      <c r="C772" s="257">
        <v>3.6190362707941062</v>
      </c>
      <c r="D772" s="261">
        <v>18.397116949432778</v>
      </c>
      <c r="E772" s="138" t="s">
        <v>396</v>
      </c>
      <c r="F772" s="402">
        <v>71</v>
      </c>
      <c r="G772" s="1" t="s">
        <v>24</v>
      </c>
      <c r="H772" s="402">
        <v>20</v>
      </c>
      <c r="I772" s="63">
        <v>11</v>
      </c>
      <c r="J772" s="235" t="s">
        <v>959</v>
      </c>
      <c r="K772" s="140">
        <v>106</v>
      </c>
      <c r="L772" s="14" t="s">
        <v>179</v>
      </c>
      <c r="M772" s="14" t="s">
        <v>3396</v>
      </c>
      <c r="N772" t="s">
        <v>2992</v>
      </c>
    </row>
    <row r="773" spans="1:15" x14ac:dyDescent="0.35">
      <c r="B773" s="235"/>
      <c r="C773" s="257">
        <v>1.5567266767053667</v>
      </c>
      <c r="D773" s="261">
        <v>14.066623802353305</v>
      </c>
      <c r="E773" s="138" t="s">
        <v>396</v>
      </c>
      <c r="F773" s="402">
        <v>85</v>
      </c>
      <c r="G773" s="1" t="s">
        <v>791</v>
      </c>
      <c r="H773" s="402">
        <v>18</v>
      </c>
      <c r="I773" s="63">
        <v>17</v>
      </c>
      <c r="J773" s="235" t="s">
        <v>117</v>
      </c>
      <c r="K773" s="140">
        <v>105</v>
      </c>
      <c r="L773" s="14" t="s">
        <v>185</v>
      </c>
      <c r="M773" s="14" t="s">
        <v>3397</v>
      </c>
    </row>
    <row r="774" spans="1:15" x14ac:dyDescent="0.35">
      <c r="B774" s="235"/>
      <c r="C774" s="257">
        <v>5.0318926297175199</v>
      </c>
      <c r="D774" s="261">
        <v>17.290175159197741</v>
      </c>
      <c r="E774" s="138" t="s">
        <v>395</v>
      </c>
      <c r="F774" s="402">
        <v>77</v>
      </c>
      <c r="G774" s="1" t="s">
        <v>789</v>
      </c>
      <c r="H774" s="402">
        <v>19</v>
      </c>
      <c r="I774" s="63">
        <v>14</v>
      </c>
      <c r="J774" s="235" t="s">
        <v>54</v>
      </c>
      <c r="K774" s="140">
        <v>104</v>
      </c>
      <c r="L774" s="14" t="s">
        <v>299</v>
      </c>
      <c r="M774" s="14" t="s">
        <v>3401</v>
      </c>
      <c r="N774" t="s">
        <v>2992</v>
      </c>
      <c r="O774" t="s">
        <v>3400</v>
      </c>
    </row>
    <row r="775" spans="1:15" x14ac:dyDescent="0.35">
      <c r="B775" s="235"/>
      <c r="C775" s="257">
        <v>4.8923316873752443</v>
      </c>
      <c r="D775" s="261">
        <v>21.505477366160541</v>
      </c>
      <c r="E775" s="138" t="s">
        <v>395</v>
      </c>
      <c r="F775" s="402">
        <v>65</v>
      </c>
      <c r="G775" s="1" t="s">
        <v>64</v>
      </c>
      <c r="H775" s="402">
        <v>24</v>
      </c>
      <c r="I775" s="63">
        <v>16</v>
      </c>
      <c r="J775" s="235" t="s">
        <v>63</v>
      </c>
      <c r="K775" s="140">
        <v>103</v>
      </c>
      <c r="L775" s="14" t="s">
        <v>507</v>
      </c>
      <c r="M775" s="14" t="s">
        <v>3402</v>
      </c>
      <c r="N775" t="s">
        <v>2992</v>
      </c>
    </row>
    <row r="776" spans="1:15" x14ac:dyDescent="0.35">
      <c r="B776" s="235"/>
      <c r="C776" s="257">
        <v>5.8039123243452257</v>
      </c>
      <c r="D776" s="261">
        <v>24.872205482610553</v>
      </c>
      <c r="E776" s="138" t="s">
        <v>395</v>
      </c>
      <c r="F776" s="402">
        <v>67</v>
      </c>
      <c r="G776" s="1" t="s">
        <v>1860</v>
      </c>
      <c r="H776" s="402">
        <v>21</v>
      </c>
      <c r="I776" s="63">
        <v>13</v>
      </c>
      <c r="J776" s="235" t="s">
        <v>3913</v>
      </c>
      <c r="K776" s="140">
        <v>92</v>
      </c>
      <c r="L776" s="14" t="s">
        <v>400</v>
      </c>
      <c r="M776" s="14" t="s">
        <v>3403</v>
      </c>
      <c r="N776" t="s">
        <v>2992</v>
      </c>
    </row>
    <row r="777" spans="1:15" x14ac:dyDescent="0.35">
      <c r="B777" s="235"/>
      <c r="C777" s="257">
        <v>4.9869932814609443</v>
      </c>
      <c r="D777" s="261">
        <v>20.098576227527897</v>
      </c>
      <c r="E777" s="138" t="s">
        <v>395</v>
      </c>
      <c r="F777" s="402">
        <v>69</v>
      </c>
      <c r="G777" s="1" t="s">
        <v>22</v>
      </c>
      <c r="H777" s="402">
        <v>21</v>
      </c>
      <c r="I777" s="63">
        <v>8</v>
      </c>
      <c r="J777" s="235" t="s">
        <v>1308</v>
      </c>
      <c r="K777" s="140">
        <v>102</v>
      </c>
      <c r="L777" s="14" t="s">
        <v>331</v>
      </c>
      <c r="M777" s="43" t="s">
        <v>3404</v>
      </c>
      <c r="N777" s="1" t="s">
        <v>2953</v>
      </c>
    </row>
    <row r="778" spans="1:15" x14ac:dyDescent="0.35">
      <c r="B778" s="235"/>
      <c r="C778" s="257">
        <v>9.9551263282453082</v>
      </c>
      <c r="D778" s="261">
        <v>37.442766908396209</v>
      </c>
      <c r="E778" s="138" t="s">
        <v>395</v>
      </c>
      <c r="F778" s="402">
        <v>37</v>
      </c>
      <c r="G778" s="1" t="s">
        <v>52</v>
      </c>
      <c r="H778" s="402">
        <v>19</v>
      </c>
      <c r="I778" s="63">
        <v>12</v>
      </c>
      <c r="J778" s="235" t="s">
        <v>786</v>
      </c>
      <c r="K778" s="140">
        <v>101</v>
      </c>
      <c r="L778" s="14" t="s">
        <v>608</v>
      </c>
      <c r="M778" s="14" t="s">
        <v>3405</v>
      </c>
      <c r="N778" t="s">
        <v>2992</v>
      </c>
    </row>
    <row r="779" spans="1:15" x14ac:dyDescent="0.35">
      <c r="B779" s="235"/>
      <c r="C779" s="257">
        <v>8.4441104267015792</v>
      </c>
      <c r="D779" s="261">
        <v>49.682778266641726</v>
      </c>
      <c r="E779" s="138" t="s">
        <v>395</v>
      </c>
      <c r="F779" s="402">
        <v>24</v>
      </c>
      <c r="G779" s="1" t="s">
        <v>790</v>
      </c>
      <c r="H779" s="402">
        <v>28</v>
      </c>
      <c r="I779" s="63">
        <v>24</v>
      </c>
      <c r="J779" s="235" t="s">
        <v>56</v>
      </c>
      <c r="K779" s="140">
        <v>100</v>
      </c>
      <c r="L779" s="14" t="s">
        <v>633</v>
      </c>
      <c r="M779" s="14" t="s">
        <v>3406</v>
      </c>
      <c r="N779" t="s">
        <v>2992</v>
      </c>
      <c r="O779" s="85" t="s">
        <v>3407</v>
      </c>
    </row>
    <row r="780" spans="1:15" x14ac:dyDescent="0.35">
      <c r="A780" s="6" t="s">
        <v>3410</v>
      </c>
      <c r="B780" s="235"/>
      <c r="C780" s="257">
        <v>-4.8861963136802711</v>
      </c>
      <c r="D780" s="261">
        <v>45.539087419576198</v>
      </c>
      <c r="E780" s="138" t="s">
        <v>395</v>
      </c>
      <c r="F780" s="402">
        <v>99</v>
      </c>
      <c r="G780" s="1" t="s">
        <v>783</v>
      </c>
      <c r="H780" s="402">
        <v>24</v>
      </c>
      <c r="I780" s="63">
        <v>23</v>
      </c>
      <c r="J780" s="235" t="s">
        <v>58</v>
      </c>
      <c r="K780" s="140">
        <v>48</v>
      </c>
      <c r="L780" s="14" t="s">
        <v>1519</v>
      </c>
      <c r="M780" s="14" t="s">
        <v>3409</v>
      </c>
      <c r="O780" t="s">
        <v>3408</v>
      </c>
    </row>
    <row r="781" spans="1:15" x14ac:dyDescent="0.35">
      <c r="B781" s="235"/>
      <c r="C781" s="257">
        <v>-1.6701584221755401</v>
      </c>
      <c r="D781" s="261">
        <v>15.478684587268244</v>
      </c>
      <c r="E781" s="138" t="s">
        <v>396</v>
      </c>
      <c r="F781" s="402">
        <v>97</v>
      </c>
      <c r="G781" s="1" t="s">
        <v>70</v>
      </c>
      <c r="H781" s="402">
        <v>21</v>
      </c>
      <c r="I781" s="63">
        <v>17</v>
      </c>
      <c r="J781" s="235" t="s">
        <v>68</v>
      </c>
      <c r="K781" s="140">
        <v>95</v>
      </c>
      <c r="L781" s="14" t="s">
        <v>301</v>
      </c>
      <c r="M781" s="14" t="s">
        <v>3411</v>
      </c>
    </row>
    <row r="782" spans="1:15" x14ac:dyDescent="0.35">
      <c r="B782" s="235"/>
      <c r="C782" s="257">
        <v>10.388757201864221</v>
      </c>
      <c r="D782" s="261">
        <v>52.936601998668408</v>
      </c>
      <c r="E782" s="138" t="s">
        <v>395</v>
      </c>
      <c r="F782" s="402">
        <v>15</v>
      </c>
      <c r="G782" s="1" t="s">
        <v>41</v>
      </c>
      <c r="H782" s="402">
        <v>29</v>
      </c>
      <c r="I782" s="63">
        <v>10</v>
      </c>
      <c r="J782" s="235" t="s">
        <v>88</v>
      </c>
      <c r="K782" s="140">
        <v>96</v>
      </c>
      <c r="L782" s="14" t="s">
        <v>190</v>
      </c>
      <c r="M782" s="43" t="s">
        <v>3412</v>
      </c>
      <c r="N782" s="1" t="s">
        <v>2953</v>
      </c>
    </row>
    <row r="783" spans="1:15" x14ac:dyDescent="0.35">
      <c r="B783" s="235"/>
      <c r="C783" s="257">
        <v>11.957101226653334</v>
      </c>
      <c r="D783" s="261">
        <v>55.030641980961903</v>
      </c>
      <c r="E783" s="138" t="s">
        <v>395</v>
      </c>
      <c r="F783" s="402">
        <v>8</v>
      </c>
      <c r="G783" s="1" t="s">
        <v>118</v>
      </c>
      <c r="H783" s="402">
        <v>22</v>
      </c>
      <c r="I783" s="63">
        <v>19</v>
      </c>
      <c r="J783" s="235" t="s">
        <v>792</v>
      </c>
      <c r="K783" s="140">
        <v>94</v>
      </c>
      <c r="L783" s="14" t="s">
        <v>3413</v>
      </c>
      <c r="M783" s="14" t="s">
        <v>3414</v>
      </c>
      <c r="N783" s="92" t="s">
        <v>2954</v>
      </c>
      <c r="O783" s="85" t="s">
        <v>4552</v>
      </c>
    </row>
    <row r="784" spans="1:15" x14ac:dyDescent="0.35">
      <c r="B784" s="235"/>
      <c r="C784" s="257">
        <v>8.625744281663053</v>
      </c>
      <c r="D784" s="261">
        <v>53.124468370240677</v>
      </c>
      <c r="E784" s="138" t="s">
        <v>395</v>
      </c>
      <c r="F784" s="402">
        <v>21</v>
      </c>
      <c r="G784" s="1" t="s">
        <v>115</v>
      </c>
      <c r="H784" s="402">
        <v>26</v>
      </c>
      <c r="I784" s="63">
        <v>18</v>
      </c>
      <c r="J784" s="235" t="s">
        <v>65</v>
      </c>
      <c r="K784" s="140">
        <v>93</v>
      </c>
      <c r="L784" s="14" t="s">
        <v>369</v>
      </c>
      <c r="M784" s="14" t="s">
        <v>3415</v>
      </c>
      <c r="N784" t="s">
        <v>2992</v>
      </c>
    </row>
    <row r="785" spans="1:15" x14ac:dyDescent="0.35">
      <c r="B785" s="235"/>
      <c r="C785" s="257">
        <v>1.6664542823969006</v>
      </c>
      <c r="D785" s="261">
        <v>19.345389798287925</v>
      </c>
      <c r="E785" s="138" t="s">
        <v>395</v>
      </c>
      <c r="F785" s="402">
        <v>87</v>
      </c>
      <c r="G785" s="1" t="s">
        <v>909</v>
      </c>
      <c r="H785" s="402">
        <v>22</v>
      </c>
      <c r="I785" s="63">
        <v>20</v>
      </c>
      <c r="J785" s="235" t="s">
        <v>55</v>
      </c>
      <c r="K785" s="140">
        <v>91</v>
      </c>
      <c r="L785" s="14" t="s">
        <v>443</v>
      </c>
      <c r="M785" s="14" t="s">
        <v>3416</v>
      </c>
      <c r="O785" s="85" t="s">
        <v>3417</v>
      </c>
    </row>
    <row r="786" spans="1:15" x14ac:dyDescent="0.35">
      <c r="B786" s="235"/>
      <c r="C786" s="257">
        <v>2.1183398705679179</v>
      </c>
      <c r="D786" s="261">
        <v>32.861900092451478</v>
      </c>
      <c r="E786" s="138" t="s">
        <v>396</v>
      </c>
      <c r="F786" s="402">
        <v>57</v>
      </c>
      <c r="G786" s="1" t="s">
        <v>114</v>
      </c>
      <c r="H786" s="402">
        <v>21</v>
      </c>
      <c r="I786" s="63">
        <v>16</v>
      </c>
      <c r="J786" s="235" t="s">
        <v>61</v>
      </c>
      <c r="K786" s="140">
        <v>90</v>
      </c>
      <c r="L786" s="14" t="s">
        <v>337</v>
      </c>
      <c r="M786" s="14" t="s">
        <v>3418</v>
      </c>
    </row>
    <row r="787" spans="1:15" x14ac:dyDescent="0.35">
      <c r="B787" s="235"/>
      <c r="C787" s="257">
        <v>6.8845829282085287</v>
      </c>
      <c r="D787" s="261">
        <v>48.073512194136768</v>
      </c>
      <c r="E787" s="138" t="s">
        <v>395</v>
      </c>
      <c r="F787" s="402">
        <v>28</v>
      </c>
      <c r="G787" s="1" t="s">
        <v>45</v>
      </c>
      <c r="H787" s="402">
        <v>28</v>
      </c>
      <c r="I787" s="63">
        <v>11</v>
      </c>
      <c r="J787" s="235" t="s">
        <v>81</v>
      </c>
      <c r="K787" s="140">
        <v>89</v>
      </c>
      <c r="L787" s="14" t="s">
        <v>290</v>
      </c>
      <c r="M787" s="14" t="s">
        <v>3419</v>
      </c>
      <c r="N787" t="s">
        <v>2992</v>
      </c>
    </row>
    <row r="788" spans="1:15" x14ac:dyDescent="0.35">
      <c r="B788" s="235"/>
      <c r="C788" s="257">
        <v>4.4913916665914932</v>
      </c>
      <c r="D788" s="261">
        <v>28.041863095291784</v>
      </c>
      <c r="E788" s="138" t="s">
        <v>395</v>
      </c>
      <c r="F788" s="402">
        <v>66</v>
      </c>
      <c r="G788" s="1" t="s">
        <v>80</v>
      </c>
      <c r="H788" s="402">
        <v>30</v>
      </c>
      <c r="I788" s="63">
        <v>15</v>
      </c>
      <c r="J788" s="235" t="s">
        <v>38</v>
      </c>
      <c r="K788" s="140">
        <v>88</v>
      </c>
      <c r="L788" s="14" t="s">
        <v>285</v>
      </c>
      <c r="M788" s="14" t="s">
        <v>3420</v>
      </c>
    </row>
    <row r="789" spans="1:15" x14ac:dyDescent="0.35">
      <c r="B789" s="235"/>
      <c r="C789" s="257">
        <v>-2.1632645124546519</v>
      </c>
      <c r="D789" s="261">
        <v>27.884474651753322</v>
      </c>
      <c r="E789" s="138" t="s">
        <v>396</v>
      </c>
      <c r="F789" s="402">
        <v>86</v>
      </c>
      <c r="G789" s="1" t="s">
        <v>292</v>
      </c>
      <c r="H789" s="402">
        <v>14</v>
      </c>
      <c r="I789" s="63">
        <v>11</v>
      </c>
      <c r="J789" s="235" t="s">
        <v>963</v>
      </c>
      <c r="K789" s="140">
        <v>79</v>
      </c>
      <c r="L789" s="14" t="s">
        <v>190</v>
      </c>
      <c r="M789" s="14" t="s">
        <v>3421</v>
      </c>
    </row>
    <row r="790" spans="1:15" x14ac:dyDescent="0.35">
      <c r="A790" s="6" t="s">
        <v>3423</v>
      </c>
      <c r="B790" s="235"/>
      <c r="C790" s="257">
        <v>1.0131515300619955</v>
      </c>
      <c r="D790" s="261">
        <v>35.883463192812869</v>
      </c>
      <c r="E790" s="138" t="s">
        <v>396</v>
      </c>
      <c r="F790" s="402">
        <v>59</v>
      </c>
      <c r="G790" s="1" t="s">
        <v>57</v>
      </c>
      <c r="H790" s="402">
        <v>28</v>
      </c>
      <c r="I790" s="63">
        <v>13</v>
      </c>
      <c r="J790" s="235" t="s">
        <v>784</v>
      </c>
      <c r="K790" s="140">
        <v>83</v>
      </c>
      <c r="L790" s="14" t="s">
        <v>425</v>
      </c>
      <c r="M790" s="43" t="s">
        <v>3422</v>
      </c>
      <c r="N790" s="1" t="s">
        <v>2953</v>
      </c>
    </row>
    <row r="791" spans="1:15" x14ac:dyDescent="0.35">
      <c r="B791" s="235"/>
      <c r="C791" s="257">
        <v>2.467821395970422</v>
      </c>
      <c r="D791" s="261">
        <v>45.20155614573541</v>
      </c>
      <c r="E791" s="138" t="s">
        <v>396</v>
      </c>
      <c r="F791" s="402">
        <v>50</v>
      </c>
      <c r="G791" s="1" t="s">
        <v>965</v>
      </c>
      <c r="H791" s="402">
        <v>17</v>
      </c>
      <c r="I791" s="63">
        <v>2</v>
      </c>
      <c r="J791" s="235" t="s">
        <v>27</v>
      </c>
      <c r="K791" s="140">
        <v>82</v>
      </c>
      <c r="L791" s="14" t="s">
        <v>418</v>
      </c>
      <c r="M791" s="43" t="s">
        <v>3424</v>
      </c>
      <c r="N791" s="1" t="s">
        <v>2953</v>
      </c>
    </row>
    <row r="792" spans="1:15" x14ac:dyDescent="0.35">
      <c r="B792" s="235"/>
      <c r="C792" s="257">
        <v>3.5896536885202712</v>
      </c>
      <c r="D792" s="261">
        <v>52.837747365342658</v>
      </c>
      <c r="E792" s="138" t="s">
        <v>396</v>
      </c>
      <c r="F792" s="402">
        <v>30</v>
      </c>
      <c r="G792" s="1" t="s">
        <v>1302</v>
      </c>
      <c r="H792" s="402">
        <v>11</v>
      </c>
      <c r="I792" s="63">
        <v>10</v>
      </c>
      <c r="J792" s="235" t="s">
        <v>25</v>
      </c>
      <c r="K792" s="140">
        <v>81</v>
      </c>
      <c r="L792" s="14" t="s">
        <v>639</v>
      </c>
      <c r="M792" s="14" t="s">
        <v>3425</v>
      </c>
    </row>
    <row r="793" spans="1:15" x14ac:dyDescent="0.35">
      <c r="B793" s="235"/>
      <c r="C793" s="257">
        <v>9.2646791086459928</v>
      </c>
      <c r="D793" s="261">
        <v>61.23951492239572</v>
      </c>
      <c r="E793" s="138" t="s">
        <v>395</v>
      </c>
      <c r="F793" s="402">
        <v>10</v>
      </c>
      <c r="G793" s="1" t="s">
        <v>1344</v>
      </c>
      <c r="H793" s="402">
        <v>32</v>
      </c>
      <c r="I793" s="63">
        <v>16</v>
      </c>
      <c r="J793" s="235" t="s">
        <v>29</v>
      </c>
      <c r="K793" s="140">
        <v>80</v>
      </c>
      <c r="L793" s="14" t="s">
        <v>185</v>
      </c>
      <c r="M793" s="14" t="s">
        <v>3426</v>
      </c>
    </row>
    <row r="794" spans="1:15" x14ac:dyDescent="0.35">
      <c r="B794" s="235"/>
      <c r="C794" s="257">
        <v>-7.1814542271279764</v>
      </c>
      <c r="D794" s="261">
        <v>75.129610162234272</v>
      </c>
      <c r="E794" s="138" t="s">
        <v>395</v>
      </c>
      <c r="F794" s="402">
        <v>78</v>
      </c>
      <c r="G794" s="1" t="s">
        <v>86</v>
      </c>
      <c r="H794" s="402">
        <v>26</v>
      </c>
      <c r="I794" s="63">
        <v>25</v>
      </c>
      <c r="J794" s="235" t="s">
        <v>46</v>
      </c>
      <c r="K794" s="140">
        <v>6</v>
      </c>
      <c r="L794" s="14" t="s">
        <v>871</v>
      </c>
      <c r="M794" s="14" t="s">
        <v>3428</v>
      </c>
      <c r="O794" s="85" t="s">
        <v>3427</v>
      </c>
    </row>
    <row r="795" spans="1:15" x14ac:dyDescent="0.35">
      <c r="B795" s="235"/>
      <c r="C795" s="257">
        <v>1.9257020561915312</v>
      </c>
      <c r="D795" s="261">
        <v>47.597712817006055</v>
      </c>
      <c r="E795" s="138" t="s">
        <v>396</v>
      </c>
      <c r="F795" s="402">
        <v>51</v>
      </c>
      <c r="G795" s="1" t="s">
        <v>30</v>
      </c>
      <c r="H795" s="402">
        <v>21</v>
      </c>
      <c r="I795" s="63">
        <v>16</v>
      </c>
      <c r="J795" s="235" t="s">
        <v>1343</v>
      </c>
      <c r="K795" s="140">
        <v>76</v>
      </c>
      <c r="L795" s="14" t="s">
        <v>194</v>
      </c>
      <c r="M795" s="14" t="s">
        <v>3429</v>
      </c>
    </row>
    <row r="796" spans="1:15" x14ac:dyDescent="0.35">
      <c r="B796" s="235"/>
      <c r="C796" s="257">
        <v>0.60203099841081664</v>
      </c>
      <c r="D796" s="261">
        <v>38.855692143992279</v>
      </c>
      <c r="E796" s="138" t="s">
        <v>396</v>
      </c>
      <c r="F796" s="402">
        <v>61</v>
      </c>
      <c r="G796" s="1" t="s">
        <v>23</v>
      </c>
      <c r="H796" s="402">
        <v>22</v>
      </c>
      <c r="I796" s="63">
        <v>16</v>
      </c>
      <c r="J796" s="235" t="s">
        <v>958</v>
      </c>
      <c r="K796" s="140">
        <v>75</v>
      </c>
      <c r="L796" s="14" t="s">
        <v>332</v>
      </c>
      <c r="M796" s="14" t="s">
        <v>3430</v>
      </c>
    </row>
    <row r="797" spans="1:15" x14ac:dyDescent="0.35">
      <c r="B797" s="235"/>
      <c r="C797" s="257">
        <v>-2.6300168852936663</v>
      </c>
      <c r="D797" s="261">
        <v>55.673226346638337</v>
      </c>
      <c r="E797" s="138" t="s">
        <v>395</v>
      </c>
      <c r="F797" s="402">
        <v>74</v>
      </c>
      <c r="G797" s="1" t="s">
        <v>47</v>
      </c>
      <c r="H797" s="402">
        <v>18</v>
      </c>
      <c r="I797" s="63">
        <v>8</v>
      </c>
      <c r="J797" s="235" t="s">
        <v>793</v>
      </c>
      <c r="K797" s="140">
        <v>41</v>
      </c>
      <c r="L797" s="14" t="s">
        <v>450</v>
      </c>
      <c r="M797" s="14" t="s">
        <v>3431</v>
      </c>
    </row>
    <row r="798" spans="1:15" x14ac:dyDescent="0.35">
      <c r="A798" s="6" t="s">
        <v>3433</v>
      </c>
      <c r="B798" s="235"/>
      <c r="C798" s="257">
        <v>6.2361268194599457</v>
      </c>
      <c r="D798" s="261">
        <v>62.331337986100046</v>
      </c>
      <c r="E798" s="138" t="s">
        <v>395</v>
      </c>
      <c r="F798" s="402">
        <v>23</v>
      </c>
      <c r="G798" s="1" t="s">
        <v>85</v>
      </c>
      <c r="H798" s="402">
        <v>18</v>
      </c>
      <c r="I798" s="63">
        <v>7</v>
      </c>
      <c r="J798" s="235" t="s">
        <v>44</v>
      </c>
      <c r="K798" s="140">
        <v>70</v>
      </c>
      <c r="L798" s="14" t="s">
        <v>181</v>
      </c>
      <c r="M798" s="14" t="s">
        <v>3432</v>
      </c>
    </row>
    <row r="799" spans="1:15" x14ac:dyDescent="0.35">
      <c r="B799" s="235"/>
      <c r="C799" s="257">
        <v>4.1902540223256413</v>
      </c>
      <c r="D799" s="261">
        <v>68.435532841195965</v>
      </c>
      <c r="E799" s="138" t="s">
        <v>396</v>
      </c>
      <c r="F799" s="402">
        <v>12</v>
      </c>
      <c r="G799" s="1" t="s">
        <v>77</v>
      </c>
      <c r="H799" s="402">
        <v>17</v>
      </c>
      <c r="I799" s="63">
        <v>13</v>
      </c>
      <c r="J799" s="235" t="s">
        <v>900</v>
      </c>
      <c r="K799" s="140">
        <v>68</v>
      </c>
      <c r="L799" s="14" t="s">
        <v>181</v>
      </c>
      <c r="M799" s="14" t="s">
        <v>3434</v>
      </c>
      <c r="N799" t="s">
        <v>2992</v>
      </c>
    </row>
    <row r="800" spans="1:15" x14ac:dyDescent="0.35">
      <c r="B800" s="235"/>
      <c r="C800" s="257">
        <v>8.9596568778248447</v>
      </c>
      <c r="D800" s="261">
        <v>67.528816515839395</v>
      </c>
      <c r="E800" s="138" t="s">
        <v>395</v>
      </c>
      <c r="F800" s="402">
        <v>9</v>
      </c>
      <c r="G800" s="1" t="s">
        <v>36</v>
      </c>
      <c r="H800" s="402">
        <v>24</v>
      </c>
      <c r="I800" s="63">
        <v>15</v>
      </c>
      <c r="J800" s="235" t="s">
        <v>74</v>
      </c>
      <c r="K800" s="140">
        <v>64</v>
      </c>
      <c r="L800" s="14" t="s">
        <v>179</v>
      </c>
      <c r="M800" s="14" t="s">
        <v>3435</v>
      </c>
    </row>
    <row r="801" spans="1:15" x14ac:dyDescent="0.35">
      <c r="A801" s="6" t="s">
        <v>3449</v>
      </c>
      <c r="B801" s="235"/>
      <c r="C801" s="257">
        <v>-2.7757674760034505</v>
      </c>
      <c r="D801" s="261">
        <v>47.964833911431036</v>
      </c>
      <c r="E801" s="138" t="s">
        <v>396</v>
      </c>
      <c r="F801" s="402">
        <v>63</v>
      </c>
      <c r="G801" s="1" t="s">
        <v>42</v>
      </c>
      <c r="H801" s="402">
        <v>22</v>
      </c>
      <c r="I801" s="63">
        <v>13</v>
      </c>
      <c r="J801" s="235" t="s">
        <v>82</v>
      </c>
      <c r="K801" s="140">
        <v>58</v>
      </c>
      <c r="L801" s="14" t="s">
        <v>286</v>
      </c>
      <c r="M801" s="14" t="s">
        <v>3436</v>
      </c>
    </row>
    <row r="802" spans="1:15" x14ac:dyDescent="0.35">
      <c r="B802" s="235"/>
      <c r="C802" s="257">
        <v>1.5447380509130748</v>
      </c>
      <c r="D802" s="261">
        <v>56.709115677919229</v>
      </c>
      <c r="E802" s="138" t="s">
        <v>396</v>
      </c>
      <c r="F802" s="402">
        <v>43</v>
      </c>
      <c r="G802" s="1" t="s">
        <v>73</v>
      </c>
      <c r="H802" s="402">
        <v>20</v>
      </c>
      <c r="I802" s="63">
        <v>12</v>
      </c>
      <c r="J802" s="235" t="s">
        <v>37</v>
      </c>
      <c r="K802" s="140">
        <v>62</v>
      </c>
      <c r="L802" s="14" t="s">
        <v>179</v>
      </c>
      <c r="M802" s="14" t="s">
        <v>3437</v>
      </c>
    </row>
    <row r="803" spans="1:15" x14ac:dyDescent="0.35">
      <c r="B803" s="235"/>
      <c r="C803" s="257">
        <v>-1.2481174351775959</v>
      </c>
      <c r="D803" s="261">
        <v>55.087941025126867</v>
      </c>
      <c r="E803" s="138" t="s">
        <v>396</v>
      </c>
      <c r="F803" s="402">
        <v>60</v>
      </c>
      <c r="G803" s="1" t="s">
        <v>39</v>
      </c>
      <c r="H803" s="402">
        <v>12</v>
      </c>
      <c r="I803" s="63">
        <v>10</v>
      </c>
      <c r="J803" s="235" t="s">
        <v>79</v>
      </c>
      <c r="K803" s="140">
        <v>54</v>
      </c>
      <c r="L803" s="14" t="s">
        <v>295</v>
      </c>
      <c r="M803" s="14" t="s">
        <v>3438</v>
      </c>
      <c r="N803" s="92" t="s">
        <v>2954</v>
      </c>
    </row>
    <row r="804" spans="1:15" x14ac:dyDescent="0.35">
      <c r="B804" s="235"/>
      <c r="C804" s="257">
        <v>9.7358967241807317</v>
      </c>
      <c r="D804" s="261">
        <v>72.331502339870909</v>
      </c>
      <c r="E804" s="138" t="s">
        <v>395</v>
      </c>
      <c r="F804" s="402">
        <v>2</v>
      </c>
      <c r="G804" s="1" t="s">
        <v>87</v>
      </c>
      <c r="H804" s="402">
        <v>28</v>
      </c>
      <c r="I804" s="63">
        <v>14</v>
      </c>
      <c r="J804" s="235" t="s">
        <v>43</v>
      </c>
      <c r="K804" s="140">
        <v>56</v>
      </c>
      <c r="L804" s="14" t="s">
        <v>337</v>
      </c>
      <c r="M804" s="14" t="s">
        <v>3439</v>
      </c>
    </row>
    <row r="805" spans="1:15" x14ac:dyDescent="0.35">
      <c r="B805" s="235"/>
      <c r="C805" s="257">
        <v>2.2033025442025309</v>
      </c>
      <c r="D805" s="261">
        <v>70.926212468426769</v>
      </c>
      <c r="E805" s="138" t="s">
        <v>396</v>
      </c>
      <c r="F805" s="402">
        <v>22</v>
      </c>
      <c r="G805" s="1" t="s">
        <v>83</v>
      </c>
      <c r="H805" s="402">
        <v>23</v>
      </c>
      <c r="I805" s="63">
        <v>10</v>
      </c>
      <c r="J805" s="235" t="s">
        <v>1858</v>
      </c>
      <c r="K805" s="140">
        <v>55</v>
      </c>
      <c r="L805" s="14" t="s">
        <v>191</v>
      </c>
      <c r="M805" s="43" t="s">
        <v>3440</v>
      </c>
      <c r="N805" s="1" t="s">
        <v>2953</v>
      </c>
    </row>
    <row r="806" spans="1:15" x14ac:dyDescent="0.35">
      <c r="B806" s="235"/>
      <c r="C806" s="257">
        <v>3.5865200003878841</v>
      </c>
      <c r="D806" s="261">
        <v>74.581057142580079</v>
      </c>
      <c r="E806" s="138" t="s">
        <v>396</v>
      </c>
      <c r="F806" s="402">
        <v>11</v>
      </c>
      <c r="G806" s="1" t="s">
        <v>145</v>
      </c>
      <c r="H806" s="402">
        <v>21</v>
      </c>
      <c r="I806" s="63">
        <v>7</v>
      </c>
      <c r="J806" s="235" t="s">
        <v>794</v>
      </c>
      <c r="K806" s="140">
        <v>53</v>
      </c>
      <c r="L806" s="14" t="s">
        <v>200</v>
      </c>
      <c r="M806" s="43" t="s">
        <v>3441</v>
      </c>
      <c r="N806" s="1" t="s">
        <v>2953</v>
      </c>
    </row>
    <row r="807" spans="1:15" x14ac:dyDescent="0.35">
      <c r="B807" s="235"/>
      <c r="C807" s="257">
        <v>0.25312746723880464</v>
      </c>
      <c r="D807" s="261">
        <v>60.042408951972284</v>
      </c>
      <c r="E807" s="138" t="s">
        <v>395</v>
      </c>
      <c r="F807" s="402">
        <v>52</v>
      </c>
      <c r="G807" s="1" t="s">
        <v>908</v>
      </c>
      <c r="H807" s="402">
        <v>15</v>
      </c>
      <c r="I807" s="63">
        <v>14</v>
      </c>
      <c r="J807" s="235" t="s">
        <v>49</v>
      </c>
      <c r="K807" s="140">
        <v>47</v>
      </c>
      <c r="L807" s="14" t="s">
        <v>533</v>
      </c>
      <c r="M807" s="14" t="s">
        <v>3442</v>
      </c>
      <c r="N807" t="s">
        <v>2992</v>
      </c>
    </row>
    <row r="808" spans="1:15" x14ac:dyDescent="0.35">
      <c r="B808" s="235"/>
      <c r="C808" s="257">
        <v>-2.5309550565399102</v>
      </c>
      <c r="D808" s="261">
        <v>66.852467897528498</v>
      </c>
      <c r="E808" s="138" t="s">
        <v>396</v>
      </c>
      <c r="F808" s="402">
        <v>49</v>
      </c>
      <c r="G808" s="1" t="s">
        <v>66</v>
      </c>
      <c r="H808" s="402">
        <v>22</v>
      </c>
      <c r="I808" s="63">
        <v>16</v>
      </c>
      <c r="J808" s="235" t="s">
        <v>62</v>
      </c>
      <c r="K808" s="140">
        <v>38</v>
      </c>
      <c r="L808" s="14" t="s">
        <v>285</v>
      </c>
      <c r="M808" s="14" t="s">
        <v>3443</v>
      </c>
      <c r="N808" t="s">
        <v>2992</v>
      </c>
    </row>
    <row r="809" spans="1:15" x14ac:dyDescent="0.35">
      <c r="B809" s="235"/>
      <c r="C809" s="257">
        <v>5.6687926435578966</v>
      </c>
      <c r="D809" s="261">
        <v>78.093719540315789</v>
      </c>
      <c r="E809" s="138" t="s">
        <v>396</v>
      </c>
      <c r="F809" s="402">
        <v>4</v>
      </c>
      <c r="G809" s="1" t="s">
        <v>966</v>
      </c>
      <c r="H809" s="402">
        <v>28</v>
      </c>
      <c r="I809" s="63">
        <v>17</v>
      </c>
      <c r="J809" s="235" t="s">
        <v>28</v>
      </c>
      <c r="K809" s="140">
        <v>46</v>
      </c>
      <c r="L809" s="14" t="s">
        <v>337</v>
      </c>
      <c r="M809" s="14" t="s">
        <v>3444</v>
      </c>
    </row>
    <row r="810" spans="1:15" x14ac:dyDescent="0.35">
      <c r="B810" s="235"/>
      <c r="C810" s="257">
        <v>-4.9320991409520536</v>
      </c>
      <c r="D810" s="261">
        <v>85.252469398666449</v>
      </c>
      <c r="E810" s="138" t="s">
        <v>396</v>
      </c>
      <c r="F810" s="402">
        <v>45</v>
      </c>
      <c r="G810" s="1" t="s">
        <v>72</v>
      </c>
      <c r="H810" s="402">
        <v>19</v>
      </c>
      <c r="I810" s="63">
        <v>15</v>
      </c>
      <c r="J810" s="235" t="s">
        <v>59</v>
      </c>
      <c r="K810" s="140">
        <v>7</v>
      </c>
      <c r="L810" s="14" t="s">
        <v>295</v>
      </c>
      <c r="M810" s="14" t="s">
        <v>3446</v>
      </c>
      <c r="O810" t="s">
        <v>3445</v>
      </c>
    </row>
    <row r="811" spans="1:15" x14ac:dyDescent="0.35">
      <c r="B811" s="235"/>
      <c r="C811" s="257">
        <v>9.9840063168819704</v>
      </c>
      <c r="D811" s="261">
        <v>76.797138345084306</v>
      </c>
      <c r="E811" s="138" t="s">
        <v>395</v>
      </c>
      <c r="F811" s="402">
        <v>1</v>
      </c>
      <c r="G811" s="1" t="s">
        <v>795</v>
      </c>
      <c r="H811" s="402">
        <v>24</v>
      </c>
      <c r="I811" s="63">
        <v>23</v>
      </c>
      <c r="J811" s="235" t="s">
        <v>50</v>
      </c>
      <c r="K811" s="140">
        <v>44</v>
      </c>
      <c r="L811" s="14" t="s">
        <v>623</v>
      </c>
      <c r="M811" s="14" t="s">
        <v>3448</v>
      </c>
      <c r="O811" s="85" t="s">
        <v>3447</v>
      </c>
    </row>
    <row r="812" spans="1:15" x14ac:dyDescent="0.35">
      <c r="B812" s="235"/>
      <c r="C812" s="257">
        <v>0.57821249239907513</v>
      </c>
      <c r="D812" s="261">
        <v>66.64056250542923</v>
      </c>
      <c r="E812" s="138" t="s">
        <v>395</v>
      </c>
      <c r="F812" s="402">
        <v>40</v>
      </c>
      <c r="G812" s="1" t="s">
        <v>75</v>
      </c>
      <c r="H812" s="402">
        <v>18</v>
      </c>
      <c r="I812" s="63">
        <v>11</v>
      </c>
      <c r="J812" s="235" t="s">
        <v>2011</v>
      </c>
      <c r="K812" s="140">
        <v>42</v>
      </c>
      <c r="L812" s="14" t="s">
        <v>296</v>
      </c>
      <c r="M812" s="14" t="s">
        <v>3450</v>
      </c>
    </row>
    <row r="813" spans="1:15" x14ac:dyDescent="0.35">
      <c r="B813" s="235"/>
      <c r="C813" s="257">
        <v>2.2813861366551635</v>
      </c>
      <c r="D813" s="261">
        <v>71.049906649150742</v>
      </c>
      <c r="E813" s="138" t="s">
        <v>395</v>
      </c>
      <c r="F813" s="402">
        <v>32</v>
      </c>
      <c r="G813" s="1" t="s">
        <v>300</v>
      </c>
      <c r="H813" s="402">
        <v>28</v>
      </c>
      <c r="I813" s="63">
        <v>25</v>
      </c>
      <c r="J813" s="235" t="s">
        <v>788</v>
      </c>
      <c r="K813" s="140">
        <v>39</v>
      </c>
      <c r="L813" s="14" t="s">
        <v>644</v>
      </c>
      <c r="M813" s="14" t="s">
        <v>3452</v>
      </c>
      <c r="N813" t="s">
        <v>2992</v>
      </c>
      <c r="O813" t="s">
        <v>3451</v>
      </c>
    </row>
    <row r="814" spans="1:15" x14ac:dyDescent="0.35">
      <c r="A814" s="6" t="s">
        <v>3459</v>
      </c>
      <c r="B814" s="235"/>
      <c r="C814" s="257">
        <v>0.11081232099712281</v>
      </c>
      <c r="D814" s="261">
        <v>73.00120548500206</v>
      </c>
      <c r="E814" s="138" t="s">
        <v>396</v>
      </c>
      <c r="F814" s="402">
        <v>31</v>
      </c>
      <c r="G814" s="1" t="s">
        <v>1301</v>
      </c>
      <c r="H814" s="402">
        <v>16</v>
      </c>
      <c r="I814" s="63">
        <v>14</v>
      </c>
      <c r="J814" s="235" t="s">
        <v>34</v>
      </c>
      <c r="K814" s="140">
        <v>36</v>
      </c>
      <c r="L814" s="14" t="s">
        <v>347</v>
      </c>
      <c r="M814" s="14" t="s">
        <v>3453</v>
      </c>
    </row>
    <row r="815" spans="1:15" x14ac:dyDescent="0.35">
      <c r="B815" s="235"/>
      <c r="C815" s="257">
        <v>1.3057049523358435</v>
      </c>
      <c r="D815" s="261">
        <v>73.353067891188687</v>
      </c>
      <c r="E815" s="138" t="s">
        <v>395</v>
      </c>
      <c r="F815" s="402">
        <v>29</v>
      </c>
      <c r="G815" s="1" t="s">
        <v>53</v>
      </c>
      <c r="H815" s="402">
        <v>21</v>
      </c>
      <c r="I815" s="63">
        <v>20</v>
      </c>
      <c r="J815" s="235" t="s">
        <v>787</v>
      </c>
      <c r="K815" s="140">
        <v>35</v>
      </c>
      <c r="L815" s="14" t="s">
        <v>577</v>
      </c>
      <c r="M815" s="14" t="s">
        <v>3455</v>
      </c>
      <c r="O815" s="85" t="s">
        <v>3454</v>
      </c>
    </row>
    <row r="816" spans="1:15" x14ac:dyDescent="0.35">
      <c r="B816" s="235"/>
      <c r="C816" s="257">
        <v>2.6334278004254528</v>
      </c>
      <c r="D816" s="261">
        <v>80.656600539702183</v>
      </c>
      <c r="E816" s="138" t="s">
        <v>395</v>
      </c>
      <c r="F816" s="402">
        <v>16</v>
      </c>
      <c r="G816" s="1" t="s">
        <v>67</v>
      </c>
      <c r="H816" s="402">
        <v>18</v>
      </c>
      <c r="I816" s="63">
        <v>17</v>
      </c>
      <c r="J816" s="235" t="s">
        <v>69</v>
      </c>
      <c r="K816" s="140">
        <v>34</v>
      </c>
      <c r="L816" s="14" t="s">
        <v>179</v>
      </c>
      <c r="M816" s="14" t="s">
        <v>3457</v>
      </c>
      <c r="N816" s="92" t="s">
        <v>2954</v>
      </c>
      <c r="O816" t="s">
        <v>3456</v>
      </c>
    </row>
    <row r="817" spans="1:15" x14ac:dyDescent="0.35">
      <c r="B817" s="235"/>
      <c r="C817" s="257">
        <v>4.2680728220355828</v>
      </c>
      <c r="D817" s="261">
        <v>84.094233698546006</v>
      </c>
      <c r="E817" s="138" t="s">
        <v>396</v>
      </c>
      <c r="F817" s="402">
        <v>3</v>
      </c>
      <c r="G817" s="1" t="s">
        <v>26</v>
      </c>
      <c r="H817" s="402">
        <v>26</v>
      </c>
      <c r="I817" s="63">
        <v>6</v>
      </c>
      <c r="J817" s="235" t="s">
        <v>961</v>
      </c>
      <c r="K817" s="140">
        <v>33</v>
      </c>
      <c r="L817" s="14" t="s">
        <v>450</v>
      </c>
      <c r="M817" s="43" t="s">
        <v>3458</v>
      </c>
      <c r="N817" s="1" t="s">
        <v>2953</v>
      </c>
    </row>
    <row r="818" spans="1:15" x14ac:dyDescent="0.35">
      <c r="B818" s="235"/>
      <c r="C818" s="257">
        <v>-0.38972651183889789</v>
      </c>
      <c r="D818" s="261">
        <v>85.635518937027783</v>
      </c>
      <c r="E818" s="138" t="s">
        <v>395</v>
      </c>
      <c r="F818" s="402">
        <v>27</v>
      </c>
      <c r="G818" s="1" t="s">
        <v>51</v>
      </c>
      <c r="H818" s="402">
        <v>17</v>
      </c>
      <c r="I818" s="63">
        <v>8</v>
      </c>
      <c r="J818" s="235" t="s">
        <v>785</v>
      </c>
      <c r="K818" s="140">
        <v>14</v>
      </c>
      <c r="L818" s="14" t="s">
        <v>403</v>
      </c>
      <c r="M818" s="14" t="s">
        <v>3460</v>
      </c>
    </row>
    <row r="819" spans="1:15" x14ac:dyDescent="0.35">
      <c r="B819" s="235"/>
      <c r="C819" s="257">
        <v>-0.78530235449332375</v>
      </c>
      <c r="D819" s="261">
        <v>82.346644538923812</v>
      </c>
      <c r="E819" s="138" t="s">
        <v>396</v>
      </c>
      <c r="F819" s="402">
        <v>25</v>
      </c>
      <c r="G819" s="1" t="s">
        <v>33</v>
      </c>
      <c r="H819" s="402">
        <v>24</v>
      </c>
      <c r="I819" s="63">
        <v>15</v>
      </c>
      <c r="J819" s="235" t="s">
        <v>960</v>
      </c>
      <c r="K819" s="140">
        <v>26</v>
      </c>
      <c r="L819" s="14" t="s">
        <v>507</v>
      </c>
      <c r="M819" s="14" t="s">
        <v>3461</v>
      </c>
      <c r="N819" t="s">
        <v>2992</v>
      </c>
    </row>
    <row r="820" spans="1:15" x14ac:dyDescent="0.35">
      <c r="B820" s="235"/>
      <c r="C820" s="257">
        <v>-1.9581958554530501</v>
      </c>
      <c r="D820" s="261">
        <v>89.523711325323603</v>
      </c>
      <c r="E820" s="138" t="s">
        <v>396</v>
      </c>
      <c r="F820" s="402">
        <v>20</v>
      </c>
      <c r="G820" s="1" t="s">
        <v>78</v>
      </c>
      <c r="H820" s="402">
        <v>15</v>
      </c>
      <c r="I820" s="63">
        <v>6</v>
      </c>
      <c r="J820" s="235" t="s">
        <v>40</v>
      </c>
      <c r="K820" s="140">
        <v>18</v>
      </c>
      <c r="L820" s="14" t="s">
        <v>341</v>
      </c>
      <c r="M820" s="43" t="s">
        <v>3462</v>
      </c>
      <c r="N820" s="1" t="s">
        <v>2953</v>
      </c>
    </row>
    <row r="821" spans="1:15" ht="15" thickBot="1" x14ac:dyDescent="0.4">
      <c r="B821" s="57"/>
      <c r="C821" s="259">
        <v>2.4932334351750196</v>
      </c>
      <c r="D821" s="262">
        <v>88.219118974874988</v>
      </c>
      <c r="E821" s="222" t="s">
        <v>395</v>
      </c>
      <c r="F821" s="381">
        <v>13</v>
      </c>
      <c r="G821" s="44" t="s">
        <v>60</v>
      </c>
      <c r="H821" s="381">
        <v>28</v>
      </c>
      <c r="I821" s="56">
        <v>10</v>
      </c>
      <c r="J821" s="57" t="s">
        <v>71</v>
      </c>
      <c r="K821" s="141">
        <v>19</v>
      </c>
      <c r="L821" s="23" t="s">
        <v>290</v>
      </c>
      <c r="M821" s="271" t="s">
        <v>3463</v>
      </c>
      <c r="N821" s="44" t="s">
        <v>2953</v>
      </c>
      <c r="O821" s="86"/>
    </row>
    <row r="822" spans="1:15" x14ac:dyDescent="0.35">
      <c r="A822" s="6" t="s">
        <v>3473</v>
      </c>
      <c r="B822" s="76" t="s">
        <v>3089</v>
      </c>
      <c r="C822" s="257">
        <v>6.2974043387832461</v>
      </c>
      <c r="D822" s="261">
        <v>54.366847210782197</v>
      </c>
      <c r="E822" s="138" t="s">
        <v>396</v>
      </c>
      <c r="F822" s="402">
        <v>29</v>
      </c>
      <c r="G822" s="1" t="s">
        <v>300</v>
      </c>
      <c r="H822" s="402">
        <v>26</v>
      </c>
      <c r="I822" s="63">
        <v>9</v>
      </c>
      <c r="J822" s="235" t="s">
        <v>70</v>
      </c>
      <c r="K822" s="140">
        <v>86</v>
      </c>
      <c r="L822" s="14" t="s">
        <v>190</v>
      </c>
      <c r="M822" s="43" t="s">
        <v>3467</v>
      </c>
      <c r="N822" s="1" t="s">
        <v>2953</v>
      </c>
    </row>
    <row r="823" spans="1:15" x14ac:dyDescent="0.35">
      <c r="B823" s="76" t="s">
        <v>3090</v>
      </c>
      <c r="C823" s="257">
        <v>9.3529598943388041</v>
      </c>
      <c r="D823" s="261">
        <v>52.402561496496482</v>
      </c>
      <c r="E823" s="138" t="s">
        <v>395</v>
      </c>
      <c r="F823" s="402">
        <v>29</v>
      </c>
      <c r="G823" s="1" t="s">
        <v>300</v>
      </c>
      <c r="H823" s="402">
        <v>39</v>
      </c>
      <c r="I823" s="63">
        <v>15</v>
      </c>
      <c r="J823" s="235" t="s">
        <v>70</v>
      </c>
      <c r="K823" s="140">
        <v>86</v>
      </c>
      <c r="L823" s="14" t="s">
        <v>290</v>
      </c>
      <c r="M823" s="43" t="s">
        <v>3468</v>
      </c>
      <c r="N823" s="1" t="s">
        <v>3469</v>
      </c>
      <c r="O823" s="85" t="s">
        <v>3470</v>
      </c>
    </row>
    <row r="824" spans="1:15" x14ac:dyDescent="0.35">
      <c r="B824" s="76" t="s">
        <v>3089</v>
      </c>
      <c r="C824" s="257">
        <v>-2.3720032250589318</v>
      </c>
      <c r="D824" s="261">
        <v>96.18110921610932</v>
      </c>
      <c r="E824" s="138" t="s">
        <v>395</v>
      </c>
      <c r="F824" s="402">
        <v>17</v>
      </c>
      <c r="G824" s="1" t="s">
        <v>78</v>
      </c>
      <c r="H824" s="402">
        <v>14</v>
      </c>
      <c r="I824" s="63">
        <v>8</v>
      </c>
      <c r="J824" s="235" t="s">
        <v>26</v>
      </c>
      <c r="K824" s="140">
        <v>2</v>
      </c>
      <c r="L824" s="14" t="s">
        <v>450</v>
      </c>
      <c r="M824" s="14" t="s">
        <v>3471</v>
      </c>
      <c r="N824" t="s">
        <v>2992</v>
      </c>
    </row>
    <row r="825" spans="1:15" x14ac:dyDescent="0.35">
      <c r="B825" s="76" t="s">
        <v>3090</v>
      </c>
      <c r="C825" s="257">
        <v>5.5497810028367116</v>
      </c>
      <c r="D825" s="261">
        <v>91.088533641033536</v>
      </c>
      <c r="E825" s="138" t="s">
        <v>395</v>
      </c>
      <c r="F825" s="402">
        <v>2</v>
      </c>
      <c r="G825" s="1" t="s">
        <v>26</v>
      </c>
      <c r="H825" s="402">
        <v>26</v>
      </c>
      <c r="I825" s="63">
        <v>10</v>
      </c>
      <c r="J825" s="235" t="s">
        <v>78</v>
      </c>
      <c r="K825" s="140">
        <v>17</v>
      </c>
      <c r="L825" s="14" t="s">
        <v>297</v>
      </c>
      <c r="M825" s="43" t="s">
        <v>3472</v>
      </c>
      <c r="N825" s="1" t="s">
        <v>2953</v>
      </c>
      <c r="O825" s="85" t="s">
        <v>3474</v>
      </c>
    </row>
    <row r="826" spans="1:15" x14ac:dyDescent="0.35">
      <c r="B826" s="76" t="s">
        <v>3091</v>
      </c>
      <c r="C826" s="257">
        <v>11.613648824467358</v>
      </c>
      <c r="D826" s="261">
        <v>53.641225755699566</v>
      </c>
      <c r="E826" s="138" t="s">
        <v>396</v>
      </c>
      <c r="F826" s="402">
        <v>13</v>
      </c>
      <c r="G826" s="1" t="s">
        <v>41</v>
      </c>
      <c r="H826" s="402">
        <v>34</v>
      </c>
      <c r="I826" s="63">
        <v>12</v>
      </c>
      <c r="J826" s="235" t="s">
        <v>31</v>
      </c>
      <c r="K826" s="140">
        <v>108</v>
      </c>
      <c r="L826" s="14" t="s">
        <v>347</v>
      </c>
      <c r="M826" s="43" t="s">
        <v>3475</v>
      </c>
      <c r="N826" s="1" t="s">
        <v>2953</v>
      </c>
    </row>
    <row r="827" spans="1:15" x14ac:dyDescent="0.35">
      <c r="B827" s="76" t="s">
        <v>3092</v>
      </c>
      <c r="C827" s="257">
        <v>14.280315491134026</v>
      </c>
      <c r="D827" s="261">
        <v>51.92694004141385</v>
      </c>
      <c r="E827" s="138" t="s">
        <v>395</v>
      </c>
      <c r="F827" s="402">
        <v>13</v>
      </c>
      <c r="G827" s="1" t="s">
        <v>41</v>
      </c>
      <c r="H827" s="402">
        <v>47</v>
      </c>
      <c r="I827" s="63">
        <v>10</v>
      </c>
      <c r="J827" s="235" t="s">
        <v>31</v>
      </c>
      <c r="K827" s="140">
        <v>108</v>
      </c>
      <c r="L827" s="14" t="s">
        <v>950</v>
      </c>
      <c r="M827" s="43" t="s">
        <v>3476</v>
      </c>
      <c r="N827" s="1" t="s">
        <v>3469</v>
      </c>
      <c r="O827" s="85" t="s">
        <v>3477</v>
      </c>
    </row>
    <row r="828" spans="1:15" x14ac:dyDescent="0.35">
      <c r="B828" s="76" t="s">
        <v>3091</v>
      </c>
      <c r="C828" s="257">
        <v>4.9752278814019268</v>
      </c>
      <c r="D828" s="261">
        <v>76.230210647670191</v>
      </c>
      <c r="E828" s="138" t="s">
        <v>396</v>
      </c>
      <c r="F828" s="402">
        <v>11</v>
      </c>
      <c r="G828" s="1" t="s">
        <v>60</v>
      </c>
      <c r="H828" s="402">
        <v>33</v>
      </c>
      <c r="I828" s="63">
        <v>4</v>
      </c>
      <c r="J828" s="235" t="s">
        <v>58</v>
      </c>
      <c r="K828" s="140">
        <v>53</v>
      </c>
      <c r="L828" s="14" t="s">
        <v>3037</v>
      </c>
      <c r="M828" s="43" t="s">
        <v>3478</v>
      </c>
      <c r="N828" s="1" t="s">
        <v>2953</v>
      </c>
    </row>
    <row r="829" spans="1:15" x14ac:dyDescent="0.35">
      <c r="B829" s="76" t="s">
        <v>3092</v>
      </c>
      <c r="C829" s="257">
        <v>-8.489116770290817</v>
      </c>
      <c r="D829" s="261">
        <v>84.88586078090124</v>
      </c>
      <c r="E829" s="138" t="s">
        <v>396</v>
      </c>
      <c r="F829" s="402">
        <v>53</v>
      </c>
      <c r="G829" s="1" t="s">
        <v>58</v>
      </c>
      <c r="H829" s="402">
        <v>18</v>
      </c>
      <c r="I829" s="63">
        <v>17</v>
      </c>
      <c r="J829" s="235" t="s">
        <v>60</v>
      </c>
      <c r="K829" s="140">
        <v>11</v>
      </c>
      <c r="L829" s="14" t="s">
        <v>331</v>
      </c>
      <c r="M829" s="14" t="s">
        <v>3479</v>
      </c>
      <c r="N829" s="1" t="s">
        <v>3480</v>
      </c>
      <c r="O829" s="85" t="s">
        <v>3481</v>
      </c>
    </row>
    <row r="830" spans="1:15" x14ac:dyDescent="0.35">
      <c r="B830" s="76" t="s">
        <v>3093</v>
      </c>
      <c r="C830" s="257">
        <v>0.93568497310972187</v>
      </c>
      <c r="D830" s="261">
        <v>15.82705966014376</v>
      </c>
      <c r="E830" s="138" t="s">
        <v>396</v>
      </c>
      <c r="F830" s="402">
        <v>99</v>
      </c>
      <c r="G830" s="1" t="s">
        <v>88</v>
      </c>
      <c r="H830" s="402">
        <v>20</v>
      </c>
      <c r="I830" s="63">
        <v>18</v>
      </c>
      <c r="J830" s="235" t="s">
        <v>1342</v>
      </c>
      <c r="K830" s="140">
        <v>109</v>
      </c>
      <c r="L830" s="14" t="s">
        <v>185</v>
      </c>
      <c r="M830" s="14" t="s">
        <v>3483</v>
      </c>
      <c r="N830" s="92" t="s">
        <v>2954</v>
      </c>
      <c r="O830" s="85" t="s">
        <v>3482</v>
      </c>
    </row>
    <row r="831" spans="1:15" x14ac:dyDescent="0.35">
      <c r="B831" s="76" t="s">
        <v>3094</v>
      </c>
      <c r="C831" s="257">
        <v>3.7773516397763882</v>
      </c>
      <c r="D831" s="261">
        <v>14.000273945858044</v>
      </c>
      <c r="E831" s="138" t="s">
        <v>395</v>
      </c>
      <c r="F831" s="402">
        <v>99</v>
      </c>
      <c r="G831" s="1" t="s">
        <v>88</v>
      </c>
      <c r="H831" s="402">
        <v>24</v>
      </c>
      <c r="I831" s="63">
        <v>10</v>
      </c>
      <c r="J831" s="235" t="s">
        <v>1342</v>
      </c>
      <c r="K831" s="140">
        <v>109</v>
      </c>
      <c r="L831" s="14" t="s">
        <v>191</v>
      </c>
      <c r="M831" s="14" t="s">
        <v>3484</v>
      </c>
      <c r="N831" t="s">
        <v>2992</v>
      </c>
      <c r="O831" s="85" t="s">
        <v>3485</v>
      </c>
    </row>
    <row r="832" spans="1:15" x14ac:dyDescent="0.35">
      <c r="B832" s="76" t="s">
        <v>3093</v>
      </c>
      <c r="C832" s="257">
        <v>-2.0201873139602196</v>
      </c>
      <c r="D832" s="261">
        <v>61.521906130403003</v>
      </c>
      <c r="E832" s="138" t="s">
        <v>396</v>
      </c>
      <c r="F832" s="402">
        <v>59</v>
      </c>
      <c r="G832" s="1" t="s">
        <v>42</v>
      </c>
      <c r="H832" s="402">
        <v>17</v>
      </c>
      <c r="I832" s="63">
        <v>16</v>
      </c>
      <c r="J832" s="235" t="s">
        <v>28</v>
      </c>
      <c r="K832" s="140">
        <v>51</v>
      </c>
      <c r="L832" s="14" t="s">
        <v>299</v>
      </c>
      <c r="M832" s="14" t="s">
        <v>3487</v>
      </c>
      <c r="N832" s="92" t="s">
        <v>2954</v>
      </c>
      <c r="O832" s="85" t="s">
        <v>3486</v>
      </c>
    </row>
    <row r="833" spans="1:15" x14ac:dyDescent="0.35">
      <c r="B833" s="76" t="s">
        <v>3094</v>
      </c>
      <c r="C833" s="257">
        <v>-1.0471194703961841</v>
      </c>
      <c r="D833" s="261">
        <v>60.896362516683268</v>
      </c>
      <c r="E833" s="138" t="s">
        <v>396</v>
      </c>
      <c r="F833" s="402">
        <v>51</v>
      </c>
      <c r="G833" s="1" t="s">
        <v>28</v>
      </c>
      <c r="H833" s="402">
        <v>19</v>
      </c>
      <c r="I833" s="63">
        <v>14</v>
      </c>
      <c r="J833" s="235" t="s">
        <v>42</v>
      </c>
      <c r="K833" s="140">
        <v>59</v>
      </c>
      <c r="L833" s="14" t="s">
        <v>185</v>
      </c>
      <c r="M833" s="14" t="s">
        <v>3488</v>
      </c>
      <c r="N833" t="s">
        <v>2992</v>
      </c>
      <c r="O833" s="85" t="s">
        <v>3489</v>
      </c>
    </row>
    <row r="834" spans="1:15" x14ac:dyDescent="0.35">
      <c r="A834" s="6" t="s">
        <v>3500</v>
      </c>
      <c r="B834" s="76" t="s">
        <v>3095</v>
      </c>
      <c r="C834" s="257">
        <v>-1.7304798583048495</v>
      </c>
      <c r="D834" s="261">
        <v>72.545487051767395</v>
      </c>
      <c r="E834" s="138" t="s">
        <v>396</v>
      </c>
      <c r="F834" s="402">
        <v>44</v>
      </c>
      <c r="G834" s="1" t="s">
        <v>788</v>
      </c>
      <c r="H834" s="402">
        <v>16</v>
      </c>
      <c r="I834" s="63">
        <v>15</v>
      </c>
      <c r="J834" s="235" t="s">
        <v>75</v>
      </c>
      <c r="K834" s="140">
        <v>35</v>
      </c>
      <c r="L834" s="14" t="s">
        <v>347</v>
      </c>
      <c r="M834" s="14" t="s">
        <v>3499</v>
      </c>
      <c r="N834" s="92" t="s">
        <v>2954</v>
      </c>
    </row>
    <row r="835" spans="1:15" x14ac:dyDescent="0.35">
      <c r="B835" s="76" t="s">
        <v>3096</v>
      </c>
      <c r="C835" s="257">
        <v>-0.74191350651629495</v>
      </c>
      <c r="D835" s="261">
        <v>71.909980111331919</v>
      </c>
      <c r="E835" s="138" t="s">
        <v>396</v>
      </c>
      <c r="F835" s="402">
        <v>35</v>
      </c>
      <c r="G835" s="1" t="s">
        <v>75</v>
      </c>
      <c r="H835" s="402">
        <v>19</v>
      </c>
      <c r="I835" s="63">
        <v>16</v>
      </c>
      <c r="J835" s="235" t="s">
        <v>788</v>
      </c>
      <c r="K835" s="140">
        <v>44</v>
      </c>
      <c r="L835" s="14" t="s">
        <v>347</v>
      </c>
      <c r="M835" s="14" t="s">
        <v>3501</v>
      </c>
      <c r="N835" t="s">
        <v>2992</v>
      </c>
      <c r="O835" s="85" t="s">
        <v>3502</v>
      </c>
    </row>
    <row r="836" spans="1:15" x14ac:dyDescent="0.35">
      <c r="B836" s="76" t="s">
        <v>3095</v>
      </c>
      <c r="C836" s="257">
        <v>8.8541485286480572</v>
      </c>
      <c r="D836" s="261">
        <v>76.950904517297687</v>
      </c>
      <c r="E836" s="138" t="s">
        <v>395</v>
      </c>
      <c r="F836" s="402">
        <v>4</v>
      </c>
      <c r="G836" s="1" t="s">
        <v>119</v>
      </c>
      <c r="H836" s="402">
        <v>23</v>
      </c>
      <c r="I836" s="63">
        <v>6</v>
      </c>
      <c r="J836" s="235" t="s">
        <v>57</v>
      </c>
      <c r="K836" s="140">
        <v>50</v>
      </c>
      <c r="L836" s="14" t="s">
        <v>530</v>
      </c>
      <c r="M836" s="43" t="s">
        <v>3510</v>
      </c>
      <c r="N836" s="1" t="s">
        <v>2953</v>
      </c>
    </row>
    <row r="837" spans="1:15" x14ac:dyDescent="0.35">
      <c r="B837" s="76" t="s">
        <v>3096</v>
      </c>
      <c r="C837" s="257">
        <v>-6.1041485286480572</v>
      </c>
      <c r="D837" s="261">
        <v>86.566952625559466</v>
      </c>
      <c r="E837" s="138" t="s">
        <v>395</v>
      </c>
      <c r="F837" s="402">
        <v>50</v>
      </c>
      <c r="G837" s="1" t="s">
        <v>57</v>
      </c>
      <c r="H837" s="402">
        <v>19</v>
      </c>
      <c r="I837" s="63">
        <v>17</v>
      </c>
      <c r="J837" s="235" t="s">
        <v>119</v>
      </c>
      <c r="K837" s="140">
        <v>4</v>
      </c>
      <c r="L837" s="14" t="s">
        <v>297</v>
      </c>
      <c r="M837" s="14" t="s">
        <v>3511</v>
      </c>
      <c r="N837" t="s">
        <v>2992</v>
      </c>
      <c r="O837" s="85" t="s">
        <v>3512</v>
      </c>
    </row>
    <row r="838" spans="1:15" x14ac:dyDescent="0.35">
      <c r="A838" s="6" t="s">
        <v>3515</v>
      </c>
      <c r="B838" s="76" t="s">
        <v>3097</v>
      </c>
      <c r="C838" s="257">
        <v>-9.1947667660858934E-2</v>
      </c>
      <c r="D838" s="261">
        <v>67.514466357781984</v>
      </c>
      <c r="E838" s="138" t="s">
        <v>396</v>
      </c>
      <c r="F838" s="402">
        <v>38</v>
      </c>
      <c r="G838" s="1" t="s">
        <v>69</v>
      </c>
      <c r="H838" s="402">
        <v>14</v>
      </c>
      <c r="I838" s="63">
        <v>8</v>
      </c>
      <c r="J838" s="235" t="s">
        <v>49</v>
      </c>
      <c r="K838" s="140">
        <v>52</v>
      </c>
      <c r="L838" s="14" t="s">
        <v>281</v>
      </c>
      <c r="M838" s="14" t="s">
        <v>3514</v>
      </c>
      <c r="N838" t="s">
        <v>2992</v>
      </c>
    </row>
    <row r="839" spans="1:15" x14ac:dyDescent="0.35">
      <c r="B839" s="76" t="s">
        <v>3098</v>
      </c>
      <c r="C839" s="257">
        <v>2.6858301101169189</v>
      </c>
      <c r="D839" s="261">
        <v>65.728752072067692</v>
      </c>
      <c r="E839" s="138" t="s">
        <v>395</v>
      </c>
      <c r="F839" s="402">
        <v>38</v>
      </c>
      <c r="G839" s="1" t="s">
        <v>69</v>
      </c>
      <c r="H839" s="402">
        <v>17</v>
      </c>
      <c r="I839" s="63">
        <v>15</v>
      </c>
      <c r="J839" s="235" t="s">
        <v>49</v>
      </c>
      <c r="K839" s="140">
        <v>52</v>
      </c>
      <c r="L839" s="14" t="s">
        <v>533</v>
      </c>
      <c r="M839" s="14" t="s">
        <v>3516</v>
      </c>
      <c r="N839" t="s">
        <v>2992</v>
      </c>
      <c r="O839" s="85" t="s">
        <v>3517</v>
      </c>
    </row>
    <row r="840" spans="1:15" x14ac:dyDescent="0.35">
      <c r="B840" s="76" t="s">
        <v>3097</v>
      </c>
      <c r="C840" s="257">
        <v>8.3063906599475406</v>
      </c>
      <c r="D840" s="261">
        <v>72.160177432890876</v>
      </c>
      <c r="E840" s="138" t="s">
        <v>396</v>
      </c>
      <c r="F840" s="402">
        <v>3</v>
      </c>
      <c r="G840" s="1" t="s">
        <v>87</v>
      </c>
      <c r="H840" s="402">
        <v>31</v>
      </c>
      <c r="I840" s="63">
        <v>6</v>
      </c>
      <c r="J840" s="235" t="s">
        <v>37</v>
      </c>
      <c r="K840" s="140">
        <v>67</v>
      </c>
      <c r="L840" s="14" t="s">
        <v>200</v>
      </c>
      <c r="M840" s="43" t="s">
        <v>3518</v>
      </c>
      <c r="N840" s="1" t="s">
        <v>2953</v>
      </c>
    </row>
    <row r="841" spans="1:15" x14ac:dyDescent="0.35">
      <c r="B841" s="76" t="s">
        <v>3098</v>
      </c>
      <c r="C841" s="257">
        <v>11.292501771058653</v>
      </c>
      <c r="D841" s="261">
        <v>70.240534575748015</v>
      </c>
      <c r="E841" s="138" t="s">
        <v>395</v>
      </c>
      <c r="F841" s="402">
        <v>3</v>
      </c>
      <c r="G841" s="1" t="s">
        <v>87</v>
      </c>
      <c r="H841" s="402">
        <v>33</v>
      </c>
      <c r="I841" s="63">
        <v>12</v>
      </c>
      <c r="J841" s="235" t="s">
        <v>37</v>
      </c>
      <c r="K841" s="140">
        <v>67</v>
      </c>
      <c r="L841" s="14" t="s">
        <v>286</v>
      </c>
      <c r="M841" s="43" t="s">
        <v>3519</v>
      </c>
      <c r="N841" s="1" t="s">
        <v>3469</v>
      </c>
      <c r="O841" s="85" t="s">
        <v>3520</v>
      </c>
    </row>
    <row r="842" spans="1:15" x14ac:dyDescent="0.35">
      <c r="B842" s="76" t="s">
        <v>3099</v>
      </c>
      <c r="C842" s="257">
        <v>7.3794156562118429</v>
      </c>
      <c r="D842" s="261">
        <v>73.720375649578102</v>
      </c>
      <c r="E842" s="138" t="s">
        <v>396</v>
      </c>
      <c r="F842" s="402">
        <v>5</v>
      </c>
      <c r="G842" s="1" t="s">
        <v>966</v>
      </c>
      <c r="H842" s="402">
        <v>23</v>
      </c>
      <c r="I842" s="63">
        <v>13</v>
      </c>
      <c r="J842" s="235" t="s">
        <v>79</v>
      </c>
      <c r="K842" s="140">
        <v>62</v>
      </c>
      <c r="L842" s="14" t="s">
        <v>507</v>
      </c>
      <c r="M842" s="14" t="s">
        <v>3549</v>
      </c>
      <c r="N842" t="s">
        <v>2992</v>
      </c>
    </row>
    <row r="843" spans="1:15" x14ac:dyDescent="0.35">
      <c r="B843" s="76" t="s">
        <v>3100</v>
      </c>
      <c r="C843" s="257">
        <v>10.587748989545178</v>
      </c>
      <c r="D843" s="261">
        <v>71.657875649578102</v>
      </c>
      <c r="E843" s="138" t="s">
        <v>395</v>
      </c>
      <c r="F843" s="402">
        <v>5</v>
      </c>
      <c r="G843" s="1" t="s">
        <v>966</v>
      </c>
      <c r="H843" s="402">
        <v>34</v>
      </c>
      <c r="I843" s="63">
        <v>15</v>
      </c>
      <c r="J843" s="235" t="s">
        <v>79</v>
      </c>
      <c r="K843" s="140">
        <v>62</v>
      </c>
      <c r="L843" s="14" t="s">
        <v>290</v>
      </c>
      <c r="M843" s="43" t="s">
        <v>3550</v>
      </c>
      <c r="N843" s="1" t="s">
        <v>2953</v>
      </c>
      <c r="O843" s="85" t="s">
        <v>3551</v>
      </c>
    </row>
    <row r="844" spans="1:15" x14ac:dyDescent="0.35">
      <c r="B844" s="76" t="s">
        <v>3099</v>
      </c>
      <c r="C844" s="257">
        <v>6.8691041446463199</v>
      </c>
      <c r="D844" s="261">
        <v>80.798433049870226</v>
      </c>
      <c r="E844" s="138" t="s">
        <v>396</v>
      </c>
      <c r="F844" s="402">
        <v>1</v>
      </c>
      <c r="G844" s="1" t="s">
        <v>795</v>
      </c>
      <c r="H844" s="402">
        <v>24</v>
      </c>
      <c r="I844" s="63">
        <v>14</v>
      </c>
      <c r="J844" s="235" t="s">
        <v>62</v>
      </c>
      <c r="K844" s="140">
        <v>45</v>
      </c>
      <c r="L844" s="14" t="s">
        <v>301</v>
      </c>
      <c r="M844" s="14" t="s">
        <v>3552</v>
      </c>
      <c r="N844" t="s">
        <v>2992</v>
      </c>
    </row>
    <row r="845" spans="1:15" x14ac:dyDescent="0.35">
      <c r="B845" s="76" t="s">
        <v>3100</v>
      </c>
      <c r="C845" s="257">
        <v>9.7579930335352074</v>
      </c>
      <c r="D845" s="261">
        <v>78.941290192727365</v>
      </c>
      <c r="E845" s="138" t="s">
        <v>395</v>
      </c>
      <c r="F845" s="402">
        <v>1</v>
      </c>
      <c r="G845" s="1" t="s">
        <v>795</v>
      </c>
      <c r="H845" s="402">
        <v>24</v>
      </c>
      <c r="I845" s="63">
        <v>17</v>
      </c>
      <c r="J845" s="235" t="s">
        <v>62</v>
      </c>
      <c r="K845" s="140">
        <v>45</v>
      </c>
      <c r="L845" s="14" t="s">
        <v>400</v>
      </c>
      <c r="M845" s="14" t="s">
        <v>3553</v>
      </c>
      <c r="N845" t="s">
        <v>2992</v>
      </c>
      <c r="O845" s="85" t="s">
        <v>3554</v>
      </c>
    </row>
    <row r="846" spans="1:15" x14ac:dyDescent="0.35">
      <c r="B846" s="76" t="s">
        <v>3101</v>
      </c>
      <c r="C846" s="257">
        <v>11.524992930365961</v>
      </c>
      <c r="D846" s="261">
        <v>60.126790259050452</v>
      </c>
      <c r="E846" s="138" t="s">
        <v>396</v>
      </c>
      <c r="F846" s="402">
        <v>7</v>
      </c>
      <c r="G846" s="1" t="s">
        <v>36</v>
      </c>
      <c r="H846" s="402">
        <v>23</v>
      </c>
      <c r="I846" s="63">
        <v>11</v>
      </c>
      <c r="J846" s="235" t="s">
        <v>783</v>
      </c>
      <c r="K846" s="140">
        <v>94</v>
      </c>
      <c r="L846" s="14" t="s">
        <v>365</v>
      </c>
      <c r="M846" s="14" t="s">
        <v>3557</v>
      </c>
      <c r="N846" t="s">
        <v>2992</v>
      </c>
    </row>
    <row r="847" spans="1:15" x14ac:dyDescent="0.35">
      <c r="B847" s="76" t="s">
        <v>3102</v>
      </c>
      <c r="C847" s="257">
        <v>14.274992930365961</v>
      </c>
      <c r="D847" s="261">
        <v>58.358933116193313</v>
      </c>
      <c r="E847" s="138" t="s">
        <v>395</v>
      </c>
      <c r="F847" s="402">
        <v>7</v>
      </c>
      <c r="G847" s="1" t="s">
        <v>36</v>
      </c>
      <c r="H847" s="402">
        <v>31</v>
      </c>
      <c r="I847" s="63">
        <v>14</v>
      </c>
      <c r="J847" s="235" t="s">
        <v>783</v>
      </c>
      <c r="K847" s="140">
        <v>94</v>
      </c>
      <c r="L847" s="14" t="s">
        <v>194</v>
      </c>
      <c r="M847" s="43" t="s">
        <v>3558</v>
      </c>
      <c r="N847" s="1" t="s">
        <v>2953</v>
      </c>
      <c r="O847" s="85" t="s">
        <v>3559</v>
      </c>
    </row>
    <row r="848" spans="1:15" x14ac:dyDescent="0.35">
      <c r="B848" s="76" t="s">
        <v>3101</v>
      </c>
      <c r="C848" s="257">
        <v>12.677024867434463</v>
      </c>
      <c r="D848" s="261">
        <v>58.100484013792133</v>
      </c>
      <c r="E848" s="138" t="s">
        <v>395</v>
      </c>
      <c r="F848" s="402">
        <v>12</v>
      </c>
      <c r="G848" s="1" t="s">
        <v>59</v>
      </c>
      <c r="H848" s="402">
        <v>35</v>
      </c>
      <c r="I848" s="63">
        <v>11</v>
      </c>
      <c r="J848" s="235" t="s">
        <v>3913</v>
      </c>
      <c r="K848" s="140">
        <v>93</v>
      </c>
      <c r="L848" s="14" t="s">
        <v>297</v>
      </c>
      <c r="M848" s="43" t="s">
        <v>3560</v>
      </c>
      <c r="N848" s="1" t="s">
        <v>2953</v>
      </c>
    </row>
    <row r="849" spans="1:15" x14ac:dyDescent="0.35">
      <c r="B849" s="76" t="s">
        <v>3102</v>
      </c>
      <c r="C849" s="257">
        <v>9.2603582007677971</v>
      </c>
      <c r="D849" s="261">
        <v>60.296912585220696</v>
      </c>
      <c r="E849" s="138" t="s">
        <v>396</v>
      </c>
      <c r="F849" s="402">
        <v>12</v>
      </c>
      <c r="G849" s="1" t="s">
        <v>59</v>
      </c>
      <c r="H849" s="402">
        <v>25</v>
      </c>
      <c r="I849" s="63">
        <v>20</v>
      </c>
      <c r="J849" s="235" t="s">
        <v>3913</v>
      </c>
      <c r="K849" s="140">
        <v>93</v>
      </c>
      <c r="L849" s="14" t="s">
        <v>472</v>
      </c>
      <c r="M849" s="14" t="s">
        <v>3561</v>
      </c>
      <c r="N849" s="92" t="s">
        <v>2954</v>
      </c>
      <c r="O849" s="85" t="s">
        <v>3562</v>
      </c>
    </row>
    <row r="850" spans="1:15" x14ac:dyDescent="0.35">
      <c r="B850" s="76" t="s">
        <v>3103</v>
      </c>
      <c r="C850" s="257">
        <v>1.8451161617388789</v>
      </c>
      <c r="D850" s="261">
        <v>68.800461038882162</v>
      </c>
      <c r="E850" s="138" t="s">
        <v>395</v>
      </c>
      <c r="F850" s="402">
        <v>41</v>
      </c>
      <c r="G850" s="1" t="s">
        <v>961</v>
      </c>
      <c r="H850" s="402">
        <v>18</v>
      </c>
      <c r="I850" s="63">
        <v>17</v>
      </c>
      <c r="J850" s="235" t="s">
        <v>34</v>
      </c>
      <c r="K850" s="140">
        <v>42</v>
      </c>
      <c r="L850" s="14" t="s">
        <v>369</v>
      </c>
      <c r="M850" s="14" t="s">
        <v>3565</v>
      </c>
      <c r="N850" t="s">
        <v>2992</v>
      </c>
    </row>
    <row r="851" spans="1:15" x14ac:dyDescent="0.35">
      <c r="B851" s="76" t="s">
        <v>3104</v>
      </c>
      <c r="C851" s="257">
        <v>0.57124691343025891</v>
      </c>
      <c r="D851" s="261">
        <v>69.619376984223408</v>
      </c>
      <c r="E851" s="138" t="s">
        <v>395</v>
      </c>
      <c r="F851" s="402">
        <v>42</v>
      </c>
      <c r="G851" s="1" t="s">
        <v>34</v>
      </c>
      <c r="H851" s="402">
        <v>18</v>
      </c>
      <c r="I851" s="63">
        <v>7</v>
      </c>
      <c r="J851" s="235" t="s">
        <v>961</v>
      </c>
      <c r="K851" s="140">
        <v>41</v>
      </c>
      <c r="L851" s="14" t="s">
        <v>447</v>
      </c>
      <c r="M851" s="43" t="s">
        <v>3566</v>
      </c>
      <c r="N851" s="1" t="s">
        <v>2953</v>
      </c>
      <c r="O851" s="85" t="s">
        <v>3567</v>
      </c>
    </row>
    <row r="852" spans="1:15" x14ac:dyDescent="0.35">
      <c r="B852" s="76" t="s">
        <v>3103</v>
      </c>
      <c r="C852" s="257">
        <v>9.1455383674148187</v>
      </c>
      <c r="D852" s="261">
        <v>61.335011049519053</v>
      </c>
      <c r="E852" s="138" t="s">
        <v>396</v>
      </c>
      <c r="F852" s="402">
        <v>10</v>
      </c>
      <c r="G852" s="1" t="s">
        <v>46</v>
      </c>
      <c r="H852" s="402">
        <v>33</v>
      </c>
      <c r="I852" s="63">
        <v>11</v>
      </c>
      <c r="J852" s="235" t="s">
        <v>792</v>
      </c>
      <c r="K852" s="140">
        <v>92</v>
      </c>
      <c r="L852" s="14" t="s">
        <v>339</v>
      </c>
      <c r="M852" s="43" t="s">
        <v>3568</v>
      </c>
      <c r="N852" s="1" t="s">
        <v>2953</v>
      </c>
    </row>
    <row r="853" spans="1:15" ht="15" thickBot="1" x14ac:dyDescent="0.4">
      <c r="B853" s="77" t="s">
        <v>3104</v>
      </c>
      <c r="C853" s="259">
        <v>12.228871700748151</v>
      </c>
      <c r="D853" s="262">
        <v>59.352868192376192</v>
      </c>
      <c r="E853" s="222" t="s">
        <v>395</v>
      </c>
      <c r="F853" s="381">
        <v>10</v>
      </c>
      <c r="G853" s="44" t="s">
        <v>46</v>
      </c>
      <c r="H853" s="381">
        <v>28</v>
      </c>
      <c r="I853" s="56">
        <v>13</v>
      </c>
      <c r="J853" s="57" t="s">
        <v>792</v>
      </c>
      <c r="K853" s="141">
        <v>92</v>
      </c>
      <c r="L853" s="23" t="s">
        <v>186</v>
      </c>
      <c r="M853" s="23" t="s">
        <v>3569</v>
      </c>
      <c r="N853" s="12" t="s">
        <v>2992</v>
      </c>
      <c r="O853" s="86" t="s">
        <v>3570</v>
      </c>
    </row>
    <row r="854" spans="1:15" x14ac:dyDescent="0.35">
      <c r="A854" s="6" t="s">
        <v>3596</v>
      </c>
      <c r="B854" s="235" t="s">
        <v>4277</v>
      </c>
      <c r="C854" s="257">
        <v>-2.5356353926908062</v>
      </c>
      <c r="D854" s="261">
        <v>96.848801323872664</v>
      </c>
      <c r="E854" s="138" t="s">
        <v>395</v>
      </c>
      <c r="F854" s="402">
        <v>14</v>
      </c>
      <c r="G854" s="1" t="s">
        <v>77</v>
      </c>
      <c r="H854" s="402">
        <v>17</v>
      </c>
      <c r="I854" s="63">
        <v>11</v>
      </c>
      <c r="J854" s="235" t="s">
        <v>87</v>
      </c>
      <c r="K854" s="140">
        <v>3</v>
      </c>
      <c r="L854" s="14" t="s">
        <v>450</v>
      </c>
      <c r="M854" s="14" t="s">
        <v>3594</v>
      </c>
      <c r="N854" t="s">
        <v>2992</v>
      </c>
      <c r="O854" s="87" t="s">
        <v>3593</v>
      </c>
    </row>
    <row r="855" spans="1:15" x14ac:dyDescent="0.35">
      <c r="B855" s="235" t="s">
        <v>4278</v>
      </c>
      <c r="C855" s="257">
        <v>6.8012603926908071</v>
      </c>
      <c r="D855" s="261">
        <v>90.643100313374617</v>
      </c>
      <c r="E855" s="138" t="s">
        <v>395</v>
      </c>
      <c r="F855" s="402">
        <v>3</v>
      </c>
      <c r="G855" s="1" t="s">
        <v>87</v>
      </c>
      <c r="H855" s="402">
        <v>24</v>
      </c>
      <c r="I855" s="63">
        <v>12</v>
      </c>
      <c r="J855" s="235" t="s">
        <v>77</v>
      </c>
      <c r="K855" s="140">
        <v>14</v>
      </c>
      <c r="L855" s="14" t="s">
        <v>194</v>
      </c>
      <c r="M855" s="43" t="s">
        <v>3595</v>
      </c>
      <c r="N855" s="1" t="s">
        <v>2953</v>
      </c>
      <c r="O855" s="87" t="s">
        <v>3598</v>
      </c>
    </row>
    <row r="856" spans="1:15" x14ac:dyDescent="0.35">
      <c r="B856" s="235" t="s">
        <v>4277</v>
      </c>
      <c r="C856" s="257">
        <v>13.175537229161502</v>
      </c>
      <c r="D856" s="261">
        <v>53.227504106551017</v>
      </c>
      <c r="E856" s="138" t="s">
        <v>395</v>
      </c>
      <c r="F856" s="402">
        <v>17</v>
      </c>
      <c r="G856" s="1" t="s">
        <v>78</v>
      </c>
      <c r="H856" s="402">
        <v>24</v>
      </c>
      <c r="I856" s="63">
        <v>15</v>
      </c>
      <c r="J856" s="235" t="s">
        <v>88</v>
      </c>
      <c r="K856" s="140">
        <v>99</v>
      </c>
      <c r="L856" s="14" t="s">
        <v>488</v>
      </c>
      <c r="M856" s="14" t="s">
        <v>3597</v>
      </c>
      <c r="N856" t="s">
        <v>2992</v>
      </c>
    </row>
    <row r="857" spans="1:15" x14ac:dyDescent="0.35">
      <c r="B857" s="235" t="s">
        <v>4278</v>
      </c>
      <c r="C857" s="257">
        <v>9.4255372291615043</v>
      </c>
      <c r="D857" s="261">
        <v>55.691789820836732</v>
      </c>
      <c r="E857" s="138" t="s">
        <v>396</v>
      </c>
      <c r="F857" s="402">
        <v>17</v>
      </c>
      <c r="G857" s="1" t="s">
        <v>78</v>
      </c>
      <c r="H857" s="402">
        <v>26</v>
      </c>
      <c r="I857" s="63">
        <v>14</v>
      </c>
      <c r="J857" s="235" t="s">
        <v>88</v>
      </c>
      <c r="K857" s="140">
        <v>99</v>
      </c>
      <c r="L857" s="14" t="s">
        <v>299</v>
      </c>
      <c r="M857" s="14" t="s">
        <v>3599</v>
      </c>
      <c r="N857" t="s">
        <v>2992</v>
      </c>
      <c r="O857" s="85" t="s">
        <v>3600</v>
      </c>
    </row>
    <row r="858" spans="1:15" x14ac:dyDescent="0.35">
      <c r="A858" s="6" t="s">
        <v>3808</v>
      </c>
      <c r="B858" s="235" t="s">
        <v>4284</v>
      </c>
      <c r="C858" s="257">
        <v>0.37469624312972549</v>
      </c>
      <c r="D858" s="261">
        <v>91.703771040229043</v>
      </c>
      <c r="E858" s="138" t="s">
        <v>395</v>
      </c>
      <c r="F858" s="402">
        <v>16</v>
      </c>
      <c r="G858" s="1" t="s">
        <v>67</v>
      </c>
      <c r="H858" s="402">
        <v>19</v>
      </c>
      <c r="I858" s="63">
        <v>15</v>
      </c>
      <c r="J858" s="235" t="s">
        <v>59</v>
      </c>
      <c r="K858" s="140">
        <v>12</v>
      </c>
      <c r="L858" s="14" t="s">
        <v>296</v>
      </c>
      <c r="M858" s="14" t="s">
        <v>3809</v>
      </c>
      <c r="N858" t="s">
        <v>2992</v>
      </c>
    </row>
    <row r="859" spans="1:15" x14ac:dyDescent="0.35">
      <c r="B859" s="235" t="s">
        <v>4285</v>
      </c>
      <c r="C859" s="257">
        <v>4.6171120470671454</v>
      </c>
      <c r="D859" s="261">
        <v>88.915897797641591</v>
      </c>
      <c r="E859" s="138" t="s">
        <v>395</v>
      </c>
      <c r="F859" s="402">
        <v>12</v>
      </c>
      <c r="G859" s="1" t="s">
        <v>59</v>
      </c>
      <c r="H859" s="402">
        <v>22</v>
      </c>
      <c r="I859" s="63">
        <v>13</v>
      </c>
      <c r="J859" s="235" t="s">
        <v>67</v>
      </c>
      <c r="K859" s="140">
        <v>16</v>
      </c>
      <c r="L859" s="14" t="s">
        <v>190</v>
      </c>
      <c r="M859" s="43" t="s">
        <v>3810</v>
      </c>
      <c r="N859" s="1" t="s">
        <v>2953</v>
      </c>
      <c r="O859" s="85" t="s">
        <v>3811</v>
      </c>
    </row>
    <row r="860" spans="1:15" x14ac:dyDescent="0.35">
      <c r="B860" s="235" t="s">
        <v>4284</v>
      </c>
      <c r="C860" s="257">
        <v>-1.2445020247761942</v>
      </c>
      <c r="D860" s="261">
        <v>70.13745847342436</v>
      </c>
      <c r="E860" s="138" t="s">
        <v>396</v>
      </c>
      <c r="F860" s="402">
        <v>38</v>
      </c>
      <c r="G860" s="1" t="s">
        <v>69</v>
      </c>
      <c r="H860" s="402">
        <v>26</v>
      </c>
      <c r="I860" s="63">
        <v>6</v>
      </c>
      <c r="J860" s="235" t="s">
        <v>62</v>
      </c>
      <c r="K860" s="140">
        <v>45</v>
      </c>
      <c r="L860" s="14" t="s">
        <v>3037</v>
      </c>
      <c r="M860" s="43" t="s">
        <v>3812</v>
      </c>
      <c r="N860" s="1" t="s">
        <v>2953</v>
      </c>
    </row>
    <row r="861" spans="1:15" x14ac:dyDescent="0.35">
      <c r="B861" s="235" t="s">
        <v>4285</v>
      </c>
      <c r="C861" s="257">
        <v>2.7185253030513179</v>
      </c>
      <c r="D861" s="261">
        <v>67.533183372280561</v>
      </c>
      <c r="E861" s="138" t="s">
        <v>395</v>
      </c>
      <c r="F861" s="402">
        <v>38</v>
      </c>
      <c r="G861" s="1" t="s">
        <v>69</v>
      </c>
      <c r="H861" s="402">
        <v>23</v>
      </c>
      <c r="I861" s="63">
        <v>17</v>
      </c>
      <c r="J861" s="235" t="s">
        <v>62</v>
      </c>
      <c r="K861" s="140">
        <v>45</v>
      </c>
      <c r="L861" s="14" t="s">
        <v>184</v>
      </c>
      <c r="M861" s="14" t="s">
        <v>3813</v>
      </c>
      <c r="N861" s="1" t="s">
        <v>3480</v>
      </c>
      <c r="O861" s="85" t="s">
        <v>3814</v>
      </c>
    </row>
    <row r="862" spans="1:15" x14ac:dyDescent="0.35">
      <c r="B862" s="235" t="s">
        <v>4291</v>
      </c>
      <c r="C862" s="257">
        <v>4.0770883025126716</v>
      </c>
      <c r="D862" s="261">
        <v>68.118984829777389</v>
      </c>
      <c r="E862" s="138" t="s">
        <v>395</v>
      </c>
      <c r="F862" s="402">
        <v>27</v>
      </c>
      <c r="G862" s="1" t="s">
        <v>53</v>
      </c>
      <c r="H862" s="402">
        <v>34</v>
      </c>
      <c r="I862" s="63">
        <v>16</v>
      </c>
      <c r="J862" s="235" t="s">
        <v>49</v>
      </c>
      <c r="K862" s="140">
        <v>52</v>
      </c>
      <c r="L862" s="14" t="s">
        <v>536</v>
      </c>
      <c r="M862" s="43" t="s">
        <v>3817</v>
      </c>
      <c r="N862" s="1" t="s">
        <v>2953</v>
      </c>
    </row>
    <row r="863" spans="1:15" x14ac:dyDescent="0.35">
      <c r="B863" s="235" t="s">
        <v>4292</v>
      </c>
      <c r="C863" s="257">
        <v>0.59444941362378279</v>
      </c>
      <c r="D863" s="261">
        <v>70.407576099618652</v>
      </c>
      <c r="E863" s="138" t="s">
        <v>396</v>
      </c>
      <c r="F863" s="402">
        <v>27</v>
      </c>
      <c r="G863" s="1" t="s">
        <v>53</v>
      </c>
      <c r="H863" s="402">
        <v>24</v>
      </c>
      <c r="I863" s="63">
        <v>15</v>
      </c>
      <c r="J863" s="235" t="s">
        <v>49</v>
      </c>
      <c r="K863" s="140">
        <v>52</v>
      </c>
      <c r="L863" s="14" t="s">
        <v>290</v>
      </c>
      <c r="M863" s="43" t="s">
        <v>3818</v>
      </c>
      <c r="N863" s="1" t="s">
        <v>3469</v>
      </c>
      <c r="O863" s="85" t="s">
        <v>3819</v>
      </c>
    </row>
    <row r="864" spans="1:15" x14ac:dyDescent="0.35">
      <c r="B864" s="235" t="s">
        <v>4291</v>
      </c>
      <c r="C864" s="257">
        <v>2.6365555147120583</v>
      </c>
      <c r="D864" s="261">
        <v>94.367571454827953</v>
      </c>
      <c r="E864" s="138" t="s">
        <v>395</v>
      </c>
      <c r="F864" s="402">
        <v>6</v>
      </c>
      <c r="G864" s="1" t="s">
        <v>118</v>
      </c>
      <c r="H864" s="402">
        <v>25</v>
      </c>
      <c r="I864" s="63">
        <v>23</v>
      </c>
      <c r="J864" s="235" t="s">
        <v>145</v>
      </c>
      <c r="K864" s="140">
        <v>8</v>
      </c>
      <c r="L864" s="14" t="s">
        <v>3041</v>
      </c>
      <c r="M864" s="14" t="s">
        <v>3821</v>
      </c>
      <c r="N864" t="s">
        <v>2992</v>
      </c>
      <c r="O864" s="87" t="s">
        <v>3820</v>
      </c>
    </row>
    <row r="865" spans="1:15" x14ac:dyDescent="0.35">
      <c r="B865" s="235" t="s">
        <v>4292</v>
      </c>
      <c r="C865" s="257">
        <v>1.6342778186212752</v>
      </c>
      <c r="D865" s="261">
        <v>94.901046004906021</v>
      </c>
      <c r="E865" s="138" t="s">
        <v>395</v>
      </c>
      <c r="F865" s="402">
        <v>8</v>
      </c>
      <c r="G865" s="1" t="s">
        <v>145</v>
      </c>
      <c r="H865" s="402">
        <v>20</v>
      </c>
      <c r="I865" s="63">
        <v>17</v>
      </c>
      <c r="J865" s="235" t="s">
        <v>118</v>
      </c>
      <c r="K865" s="140">
        <v>6</v>
      </c>
      <c r="L865" s="14" t="s">
        <v>942</v>
      </c>
      <c r="M865" s="14" t="s">
        <v>3822</v>
      </c>
      <c r="N865" t="s">
        <v>2992</v>
      </c>
      <c r="O865" s="87" t="s">
        <v>3823</v>
      </c>
    </row>
    <row r="866" spans="1:15" x14ac:dyDescent="0.35">
      <c r="A866" s="6" t="s">
        <v>3848</v>
      </c>
      <c r="B866" s="235" t="s">
        <v>4298</v>
      </c>
      <c r="C866" s="257">
        <v>7.9342230018706257</v>
      </c>
      <c r="D866" s="261">
        <v>73.100367741627863</v>
      </c>
      <c r="E866" s="138" t="s">
        <v>396</v>
      </c>
      <c r="F866" s="402">
        <v>7</v>
      </c>
      <c r="G866" s="1" t="s">
        <v>36</v>
      </c>
      <c r="H866" s="402">
        <v>28</v>
      </c>
      <c r="I866" s="63">
        <v>18</v>
      </c>
      <c r="J866" s="235" t="s">
        <v>42</v>
      </c>
      <c r="K866" s="140">
        <v>59</v>
      </c>
      <c r="L866" s="14" t="s">
        <v>507</v>
      </c>
      <c r="M866" s="14" t="s">
        <v>3847</v>
      </c>
      <c r="N866" t="s">
        <v>2992</v>
      </c>
    </row>
    <row r="867" spans="1:15" x14ac:dyDescent="0.35">
      <c r="B867" s="235" t="s">
        <v>4299</v>
      </c>
      <c r="C867" s="257">
        <v>-12.17380633520396</v>
      </c>
      <c r="D867" s="261">
        <v>86.314215591705462</v>
      </c>
      <c r="E867" s="138" t="s">
        <v>396</v>
      </c>
      <c r="F867" s="402">
        <v>59</v>
      </c>
      <c r="G867" s="1" t="s">
        <v>42</v>
      </c>
      <c r="H867" s="402">
        <v>16</v>
      </c>
      <c r="I867" s="63">
        <v>12</v>
      </c>
      <c r="J867" s="235" t="s">
        <v>36</v>
      </c>
      <c r="K867" s="140">
        <v>7</v>
      </c>
      <c r="L867" s="14" t="s">
        <v>288</v>
      </c>
      <c r="M867" s="14" t="s">
        <v>3849</v>
      </c>
      <c r="N867" s="92" t="s">
        <v>3338</v>
      </c>
      <c r="O867" s="85" t="s">
        <v>4553</v>
      </c>
    </row>
    <row r="868" spans="1:15" x14ac:dyDescent="0.35">
      <c r="B868" s="235" t="s">
        <v>4298</v>
      </c>
      <c r="C868" s="257">
        <v>2.3034970294580068</v>
      </c>
      <c r="D868" s="261">
        <v>91.873773380641879</v>
      </c>
      <c r="E868" s="138" t="s">
        <v>395</v>
      </c>
      <c r="F868" s="402">
        <v>10</v>
      </c>
      <c r="G868" s="1" t="s">
        <v>46</v>
      </c>
      <c r="H868" s="402">
        <v>11</v>
      </c>
      <c r="I868" s="63">
        <v>10</v>
      </c>
      <c r="J868" s="235" t="s">
        <v>41</v>
      </c>
      <c r="K868" s="140">
        <v>13</v>
      </c>
      <c r="L868" s="14" t="s">
        <v>578</v>
      </c>
      <c r="M868" s="14" t="s">
        <v>3850</v>
      </c>
      <c r="N868" t="s">
        <v>2992</v>
      </c>
    </row>
    <row r="869" spans="1:15" x14ac:dyDescent="0.35">
      <c r="B869" s="235" t="s">
        <v>4299</v>
      </c>
      <c r="C869" s="257">
        <v>-1.6533647417735473</v>
      </c>
      <c r="D869" s="261">
        <v>94.473996830308323</v>
      </c>
      <c r="E869" s="138" t="s">
        <v>396</v>
      </c>
      <c r="F869" s="402">
        <v>10</v>
      </c>
      <c r="G869" s="1" t="s">
        <v>46</v>
      </c>
      <c r="H869" s="402">
        <v>18</v>
      </c>
      <c r="I869" s="63">
        <v>6</v>
      </c>
      <c r="J869" s="235" t="s">
        <v>41</v>
      </c>
      <c r="K869" s="140">
        <v>13</v>
      </c>
      <c r="L869" s="14" t="s">
        <v>545</v>
      </c>
      <c r="M869" s="43" t="s">
        <v>3851</v>
      </c>
      <c r="N869" s="1" t="s">
        <v>2953</v>
      </c>
      <c r="O869" s="85" t="s">
        <v>3852</v>
      </c>
    </row>
    <row r="870" spans="1:15" x14ac:dyDescent="0.35">
      <c r="B870" s="235" t="s">
        <v>4305</v>
      </c>
      <c r="C870" s="257">
        <v>2.5092150193963416</v>
      </c>
      <c r="D870" s="261">
        <v>92.601087272968115</v>
      </c>
      <c r="E870" s="138" t="s">
        <v>396</v>
      </c>
      <c r="F870" s="402">
        <v>2</v>
      </c>
      <c r="G870" s="1" t="s">
        <v>26</v>
      </c>
      <c r="H870" s="402">
        <v>18</v>
      </c>
      <c r="I870" s="63">
        <v>13</v>
      </c>
      <c r="J870" s="235" t="s">
        <v>33</v>
      </c>
      <c r="K870" s="140">
        <v>18</v>
      </c>
      <c r="L870" s="14" t="s">
        <v>423</v>
      </c>
      <c r="M870" s="14" t="s">
        <v>3853</v>
      </c>
      <c r="N870" t="s">
        <v>2992</v>
      </c>
    </row>
    <row r="871" spans="1:15" x14ac:dyDescent="0.35">
      <c r="B871" s="235" t="s">
        <v>4306</v>
      </c>
      <c r="C871" s="257">
        <v>6.7383816860630086</v>
      </c>
      <c r="D871" s="261">
        <v>89.821920606301447</v>
      </c>
      <c r="E871" s="138" t="s">
        <v>395</v>
      </c>
      <c r="F871" s="402">
        <v>2</v>
      </c>
      <c r="G871" s="1" t="s">
        <v>26</v>
      </c>
      <c r="H871" s="402">
        <v>22</v>
      </c>
      <c r="I871" s="63">
        <v>14</v>
      </c>
      <c r="J871" s="235" t="s">
        <v>33</v>
      </c>
      <c r="K871" s="140">
        <v>18</v>
      </c>
      <c r="L871" s="14" t="s">
        <v>507</v>
      </c>
      <c r="M871" s="14" t="s">
        <v>3854</v>
      </c>
      <c r="N871" t="s">
        <v>2992</v>
      </c>
      <c r="O871" s="85" t="s">
        <v>3855</v>
      </c>
    </row>
    <row r="872" spans="1:15" x14ac:dyDescent="0.35">
      <c r="B872" s="235" t="s">
        <v>4305</v>
      </c>
      <c r="C872" s="257">
        <v>10.784389747339988</v>
      </c>
      <c r="D872" s="261">
        <v>63.013115308890868</v>
      </c>
      <c r="E872" s="138" t="s">
        <v>396</v>
      </c>
      <c r="F872" s="402">
        <v>4</v>
      </c>
      <c r="G872" s="1" t="s">
        <v>119</v>
      </c>
      <c r="H872" s="402">
        <v>20</v>
      </c>
      <c r="I872" s="63">
        <v>14</v>
      </c>
      <c r="J872" s="235" t="s">
        <v>27</v>
      </c>
      <c r="K872" s="140">
        <v>87</v>
      </c>
      <c r="L872" s="14" t="s">
        <v>181</v>
      </c>
      <c r="M872" s="14" t="s">
        <v>3856</v>
      </c>
      <c r="N872" t="s">
        <v>2992</v>
      </c>
    </row>
    <row r="873" spans="1:15" x14ac:dyDescent="0.35">
      <c r="B873" s="235" t="s">
        <v>4306</v>
      </c>
      <c r="C873" s="257">
        <v>14.44411196956221</v>
      </c>
      <c r="D873" s="261">
        <v>60.608154991430553</v>
      </c>
      <c r="E873" s="138" t="s">
        <v>395</v>
      </c>
      <c r="F873" s="402">
        <v>4</v>
      </c>
      <c r="G873" s="1" t="s">
        <v>119</v>
      </c>
      <c r="H873" s="402">
        <v>33</v>
      </c>
      <c r="I873" s="63">
        <v>10</v>
      </c>
      <c r="J873" s="235" t="s">
        <v>27</v>
      </c>
      <c r="K873" s="140">
        <v>87</v>
      </c>
      <c r="L873" s="14" t="s">
        <v>331</v>
      </c>
      <c r="M873" s="43" t="s">
        <v>3857</v>
      </c>
      <c r="N873" s="1" t="s">
        <v>2953</v>
      </c>
      <c r="O873" s="85" t="s">
        <v>3861</v>
      </c>
    </row>
    <row r="874" spans="1:15" x14ac:dyDescent="0.35">
      <c r="A874" s="6" t="s">
        <v>3860</v>
      </c>
      <c r="B874" s="235" t="s">
        <v>4446</v>
      </c>
      <c r="C874" s="257">
        <v>4.5257850115244302</v>
      </c>
      <c r="D874" s="261">
        <v>89.838412706712518</v>
      </c>
      <c r="E874" s="138" t="s">
        <v>396</v>
      </c>
      <c r="F874" s="402">
        <v>1</v>
      </c>
      <c r="G874" s="1" t="s">
        <v>795</v>
      </c>
      <c r="H874" s="402">
        <v>19</v>
      </c>
      <c r="I874" s="63">
        <v>9</v>
      </c>
      <c r="J874" s="235" t="s">
        <v>785</v>
      </c>
      <c r="K874" s="140">
        <v>24</v>
      </c>
      <c r="L874" s="14" t="s">
        <v>179</v>
      </c>
      <c r="M874" s="14" t="s">
        <v>3859</v>
      </c>
      <c r="N874" t="s">
        <v>2992</v>
      </c>
    </row>
    <row r="875" spans="1:15" x14ac:dyDescent="0.35">
      <c r="B875" s="235" t="s">
        <v>4447</v>
      </c>
      <c r="C875" s="257">
        <v>7.9493961226355427</v>
      </c>
      <c r="D875" s="261">
        <v>87.588611119410928</v>
      </c>
      <c r="E875" s="138" t="s">
        <v>395</v>
      </c>
      <c r="F875" s="402">
        <v>1</v>
      </c>
      <c r="G875" s="1" t="s">
        <v>795</v>
      </c>
      <c r="H875" s="402">
        <v>34</v>
      </c>
      <c r="I875" s="63">
        <v>15</v>
      </c>
      <c r="J875" s="235" t="s">
        <v>785</v>
      </c>
      <c r="K875" s="140">
        <v>24</v>
      </c>
      <c r="L875" s="14" t="s">
        <v>942</v>
      </c>
      <c r="M875" s="43" t="s">
        <v>3862</v>
      </c>
      <c r="N875" s="1" t="s">
        <v>3469</v>
      </c>
      <c r="O875" s="85" t="s">
        <v>3863</v>
      </c>
    </row>
    <row r="876" spans="1:15" x14ac:dyDescent="0.35">
      <c r="B876" s="235" t="s">
        <v>4446</v>
      </c>
      <c r="C876" s="257">
        <v>0.65766980746472625</v>
      </c>
      <c r="D876" s="261">
        <v>62.973174126523176</v>
      </c>
      <c r="E876" s="138" t="s">
        <v>395</v>
      </c>
      <c r="F876" s="402">
        <v>55</v>
      </c>
      <c r="G876" s="1" t="s">
        <v>794</v>
      </c>
      <c r="H876" s="402">
        <v>23</v>
      </c>
      <c r="I876" s="63">
        <v>7</v>
      </c>
      <c r="J876" s="235" t="s">
        <v>788</v>
      </c>
      <c r="K876" s="140">
        <v>44</v>
      </c>
      <c r="L876" s="14" t="s">
        <v>360</v>
      </c>
      <c r="M876" s="43" t="s">
        <v>3864</v>
      </c>
      <c r="N876" s="1" t="s">
        <v>2953</v>
      </c>
    </row>
    <row r="877" spans="1:15" x14ac:dyDescent="0.35">
      <c r="B877" s="235" t="s">
        <v>4447</v>
      </c>
      <c r="C877" s="257">
        <v>-3.9018781036261538</v>
      </c>
      <c r="D877" s="261">
        <v>65.969448468097184</v>
      </c>
      <c r="E877" s="138" t="s">
        <v>396</v>
      </c>
      <c r="F877" s="402">
        <v>55</v>
      </c>
      <c r="G877" s="1" t="s">
        <v>794</v>
      </c>
      <c r="H877" s="402">
        <v>14</v>
      </c>
      <c r="I877" s="63">
        <v>13</v>
      </c>
      <c r="J877" s="235" t="s">
        <v>788</v>
      </c>
      <c r="K877" s="140">
        <v>44</v>
      </c>
      <c r="L877" s="14" t="s">
        <v>295</v>
      </c>
      <c r="M877" s="14" t="s">
        <v>3865</v>
      </c>
      <c r="N877" s="1" t="s">
        <v>3469</v>
      </c>
      <c r="O877" s="85" t="s">
        <v>3866</v>
      </c>
    </row>
    <row r="878" spans="1:15" x14ac:dyDescent="0.35">
      <c r="B878" s="235" t="s">
        <v>4312</v>
      </c>
      <c r="C878" s="257">
        <v>13.342840059528987</v>
      </c>
      <c r="D878" s="261">
        <v>54.431847960880965</v>
      </c>
      <c r="E878" s="138" t="s">
        <v>395</v>
      </c>
      <c r="F878" s="402">
        <v>19</v>
      </c>
      <c r="G878" s="1" t="s">
        <v>962</v>
      </c>
      <c r="H878" s="402">
        <v>34</v>
      </c>
      <c r="I878" s="63">
        <v>13</v>
      </c>
      <c r="J878" s="235" t="s">
        <v>3913</v>
      </c>
      <c r="K878" s="140">
        <v>93</v>
      </c>
      <c r="L878" s="14" t="s">
        <v>296</v>
      </c>
      <c r="M878" s="14" t="s">
        <v>3867</v>
      </c>
      <c r="N878" t="s">
        <v>2992</v>
      </c>
    </row>
    <row r="879" spans="1:15" x14ac:dyDescent="0.35">
      <c r="A879" s="6" t="s">
        <v>3876</v>
      </c>
      <c r="B879" s="235" t="s">
        <v>4313</v>
      </c>
      <c r="C879" s="257">
        <v>-8.5928400595289869</v>
      </c>
      <c r="D879" s="261">
        <v>68.846723467690481</v>
      </c>
      <c r="E879" s="138" t="s">
        <v>395</v>
      </c>
      <c r="F879" s="402">
        <v>93</v>
      </c>
      <c r="G879" s="1" t="s">
        <v>3913</v>
      </c>
      <c r="H879" s="402">
        <v>28</v>
      </c>
      <c r="I879" s="63">
        <v>19</v>
      </c>
      <c r="J879" s="235" t="s">
        <v>962</v>
      </c>
      <c r="K879" s="140">
        <v>19</v>
      </c>
      <c r="L879" s="14" t="s">
        <v>465</v>
      </c>
      <c r="M879" s="14" t="s">
        <v>3868</v>
      </c>
      <c r="N879" t="s">
        <v>2992</v>
      </c>
      <c r="O879" s="85" t="s">
        <v>3869</v>
      </c>
    </row>
    <row r="880" spans="1:15" x14ac:dyDescent="0.35">
      <c r="B880" s="235" t="s">
        <v>4312</v>
      </c>
      <c r="C880" s="257">
        <v>5.8030716856772386</v>
      </c>
      <c r="D880" s="261">
        <v>84.029410035126389</v>
      </c>
      <c r="E880" s="138" t="s">
        <v>396</v>
      </c>
      <c r="F880" s="402">
        <v>5</v>
      </c>
      <c r="G880" s="1" t="s">
        <v>966</v>
      </c>
      <c r="H880" s="402">
        <v>28</v>
      </c>
      <c r="I880" s="63">
        <v>23</v>
      </c>
      <c r="J880" s="235" t="s">
        <v>1302</v>
      </c>
      <c r="K880" s="140">
        <v>32</v>
      </c>
      <c r="L880" s="14" t="s">
        <v>3041</v>
      </c>
      <c r="M880" s="14" t="s">
        <v>3870</v>
      </c>
      <c r="N880" t="s">
        <v>2992</v>
      </c>
    </row>
    <row r="881" spans="1:15" ht="15" thickBot="1" x14ac:dyDescent="0.4">
      <c r="B881" s="57" t="s">
        <v>4313</v>
      </c>
      <c r="C881" s="259">
        <v>10.594738352343906</v>
      </c>
      <c r="D881" s="262">
        <v>80.880600511316871</v>
      </c>
      <c r="E881" s="222" t="s">
        <v>395</v>
      </c>
      <c r="F881" s="381">
        <v>5</v>
      </c>
      <c r="G881" s="44" t="s">
        <v>966</v>
      </c>
      <c r="H881" s="381">
        <v>30</v>
      </c>
      <c r="I881" s="56">
        <v>15</v>
      </c>
      <c r="J881" s="57" t="s">
        <v>1302</v>
      </c>
      <c r="K881" s="141">
        <v>32</v>
      </c>
      <c r="L881" s="23" t="s">
        <v>404</v>
      </c>
      <c r="M881" s="271" t="s">
        <v>3871</v>
      </c>
      <c r="N881" s="44" t="s">
        <v>2953</v>
      </c>
      <c r="O881" s="86" t="s">
        <v>3872</v>
      </c>
    </row>
    <row r="882" spans="1:15" x14ac:dyDescent="0.35">
      <c r="A882" s="6" t="s">
        <v>3998</v>
      </c>
      <c r="B882" s="72" t="s">
        <v>3105</v>
      </c>
      <c r="C882" s="257">
        <v>3.4599859401600912</v>
      </c>
      <c r="D882" s="261">
        <v>1.5464386141713637</v>
      </c>
      <c r="E882" s="138" t="s">
        <v>395</v>
      </c>
      <c r="F882" s="402">
        <v>103</v>
      </c>
      <c r="G882" s="1" t="s">
        <v>1308</v>
      </c>
      <c r="H882" s="402">
        <v>19</v>
      </c>
      <c r="I882" s="63">
        <v>14</v>
      </c>
      <c r="J882" s="235" t="s">
        <v>964</v>
      </c>
      <c r="K882" s="140">
        <v>112</v>
      </c>
      <c r="L882" s="14" t="s">
        <v>296</v>
      </c>
      <c r="M882" s="14" t="s">
        <v>3908</v>
      </c>
      <c r="N882" t="s">
        <v>2992</v>
      </c>
    </row>
    <row r="883" spans="1:15" x14ac:dyDescent="0.35">
      <c r="B883" s="237" t="s">
        <v>3906</v>
      </c>
      <c r="C883" s="257">
        <v>1.0016919482641455</v>
      </c>
      <c r="D883" s="261">
        <v>4.1952200369541721</v>
      </c>
      <c r="E883" s="138" t="s">
        <v>396</v>
      </c>
      <c r="F883" s="402">
        <v>102</v>
      </c>
      <c r="G883" s="1" t="s">
        <v>117</v>
      </c>
      <c r="H883" s="402">
        <v>26</v>
      </c>
      <c r="I883" s="63">
        <v>12</v>
      </c>
      <c r="J883" s="235" t="s">
        <v>48</v>
      </c>
      <c r="K883" s="140">
        <v>111</v>
      </c>
      <c r="L883" s="14" t="s">
        <v>334</v>
      </c>
      <c r="M883" s="14" t="s">
        <v>3909</v>
      </c>
      <c r="N883" t="s">
        <v>2992</v>
      </c>
    </row>
    <row r="884" spans="1:15" x14ac:dyDescent="0.35">
      <c r="B884" s="237" t="s">
        <v>3907</v>
      </c>
      <c r="C884" s="257">
        <v>12.013173353874327</v>
      </c>
      <c r="D884" s="261">
        <v>44.63344760437549</v>
      </c>
      <c r="E884" s="138" t="s">
        <v>395</v>
      </c>
      <c r="F884" s="402">
        <v>21</v>
      </c>
      <c r="G884" s="1" t="s">
        <v>33</v>
      </c>
      <c r="H884" s="402">
        <v>18</v>
      </c>
      <c r="I884" s="63">
        <v>14</v>
      </c>
      <c r="J884" s="235" t="s">
        <v>31</v>
      </c>
      <c r="K884" s="140">
        <v>110</v>
      </c>
      <c r="L884" s="14" t="s">
        <v>3910</v>
      </c>
      <c r="M884" s="14" t="s">
        <v>3911</v>
      </c>
      <c r="N884" t="s">
        <v>2992</v>
      </c>
      <c r="O884" s="85" t="s">
        <v>4554</v>
      </c>
    </row>
    <row r="885" spans="1:15" x14ac:dyDescent="0.35">
      <c r="B885" s="235"/>
      <c r="C885" s="257">
        <v>9.8138363109466145</v>
      </c>
      <c r="D885" s="261">
        <v>46.918688349323844</v>
      </c>
      <c r="E885" s="138" t="s">
        <v>396</v>
      </c>
      <c r="F885" s="402">
        <v>20</v>
      </c>
      <c r="G885" s="1" t="s">
        <v>85</v>
      </c>
      <c r="H885" s="402">
        <v>33</v>
      </c>
      <c r="I885" s="63">
        <v>12</v>
      </c>
      <c r="J885" s="235" t="s">
        <v>76</v>
      </c>
      <c r="K885" s="140">
        <v>109</v>
      </c>
      <c r="L885" s="14" t="s">
        <v>347</v>
      </c>
      <c r="M885" s="43" t="s">
        <v>3912</v>
      </c>
      <c r="N885" s="1" t="s">
        <v>2953</v>
      </c>
    </row>
    <row r="886" spans="1:15" x14ac:dyDescent="0.35">
      <c r="B886" s="235"/>
      <c r="C886" s="257">
        <v>3.3730296689574102</v>
      </c>
      <c r="D886" s="261">
        <v>8.3049788078875757</v>
      </c>
      <c r="E886" s="138" t="s">
        <v>395</v>
      </c>
      <c r="F886" s="402">
        <v>92</v>
      </c>
      <c r="G886" s="1" t="s">
        <v>3913</v>
      </c>
      <c r="H886" s="402">
        <v>20</v>
      </c>
      <c r="I886" s="63">
        <v>10</v>
      </c>
      <c r="J886" s="235" t="s">
        <v>1342</v>
      </c>
      <c r="K886" s="140">
        <v>108</v>
      </c>
      <c r="L886" s="14" t="s">
        <v>295</v>
      </c>
      <c r="M886" s="14" t="s">
        <v>3915</v>
      </c>
      <c r="N886" t="s">
        <v>2992</v>
      </c>
    </row>
    <row r="887" spans="1:15" x14ac:dyDescent="0.35">
      <c r="B887" s="235"/>
      <c r="C887" s="257">
        <v>-5.3455363075534246</v>
      </c>
      <c r="D887" s="261">
        <v>23.461097362538162</v>
      </c>
      <c r="E887" s="138" t="s">
        <v>396</v>
      </c>
      <c r="F887" s="402">
        <v>107</v>
      </c>
      <c r="G887" s="1" t="s">
        <v>1859</v>
      </c>
      <c r="H887" s="402">
        <v>18</v>
      </c>
      <c r="I887" s="63">
        <v>14</v>
      </c>
      <c r="J887" s="235" t="s">
        <v>37</v>
      </c>
      <c r="K887" s="140">
        <v>73</v>
      </c>
      <c r="L887" s="14" t="s">
        <v>360</v>
      </c>
      <c r="M887" s="14" t="s">
        <v>3916</v>
      </c>
      <c r="N887" t="s">
        <v>2992</v>
      </c>
    </row>
    <row r="888" spans="1:15" x14ac:dyDescent="0.35">
      <c r="B888" s="235"/>
      <c r="C888" s="257">
        <v>12.781249890087233</v>
      </c>
      <c r="D888" s="261">
        <v>49.441964364223402</v>
      </c>
      <c r="E888" s="138" t="s">
        <v>396</v>
      </c>
      <c r="F888" s="402">
        <v>10</v>
      </c>
      <c r="G888" s="1" t="s">
        <v>1344</v>
      </c>
      <c r="H888" s="402">
        <v>28</v>
      </c>
      <c r="I888" s="63">
        <v>22</v>
      </c>
      <c r="J888" s="235" t="s">
        <v>959</v>
      </c>
      <c r="K888" s="140">
        <v>106</v>
      </c>
      <c r="L888" s="14" t="s">
        <v>640</v>
      </c>
      <c r="M888" s="14" t="s">
        <v>3917</v>
      </c>
      <c r="N888" t="s">
        <v>2992</v>
      </c>
    </row>
    <row r="889" spans="1:15" x14ac:dyDescent="0.35">
      <c r="A889" s="6" t="s">
        <v>3999</v>
      </c>
      <c r="B889" s="235"/>
      <c r="C889" s="257">
        <v>6.8028774085285608</v>
      </c>
      <c r="D889" s="261">
        <v>32.864016136765315</v>
      </c>
      <c r="E889" s="138" t="s">
        <v>395</v>
      </c>
      <c r="F889" s="402">
        <v>50</v>
      </c>
      <c r="G889" s="1" t="s">
        <v>114</v>
      </c>
      <c r="H889" s="402">
        <v>27</v>
      </c>
      <c r="I889" s="63">
        <v>13</v>
      </c>
      <c r="J889" s="235" t="s">
        <v>63</v>
      </c>
      <c r="K889" s="140">
        <v>105</v>
      </c>
      <c r="L889" s="14" t="s">
        <v>290</v>
      </c>
      <c r="M889" s="14" t="s">
        <v>3997</v>
      </c>
      <c r="N889" t="s">
        <v>2992</v>
      </c>
    </row>
    <row r="890" spans="1:15" x14ac:dyDescent="0.35">
      <c r="B890" s="235"/>
      <c r="C890" s="257">
        <v>5.6575856441206156</v>
      </c>
      <c r="D890" s="261">
        <v>21.851724539913842</v>
      </c>
      <c r="E890" s="138" t="s">
        <v>395</v>
      </c>
      <c r="F890" s="402">
        <v>62</v>
      </c>
      <c r="G890" s="1" t="s">
        <v>49</v>
      </c>
      <c r="H890" s="402">
        <v>30</v>
      </c>
      <c r="I890" s="63">
        <v>20</v>
      </c>
      <c r="J890" s="235" t="s">
        <v>54</v>
      </c>
      <c r="K890" s="140">
        <v>104</v>
      </c>
      <c r="L890" s="14" t="s">
        <v>621</v>
      </c>
      <c r="M890" s="14" t="s">
        <v>4000</v>
      </c>
      <c r="N890" t="s">
        <v>2992</v>
      </c>
    </row>
    <row r="891" spans="1:15" x14ac:dyDescent="0.35">
      <c r="B891" s="235"/>
      <c r="C891" s="257">
        <v>1.938606784986435</v>
      </c>
      <c r="D891" s="261">
        <v>19.150995153581118</v>
      </c>
      <c r="E891" s="138" t="s">
        <v>396</v>
      </c>
      <c r="F891" s="402">
        <v>77</v>
      </c>
      <c r="G891" s="1" t="s">
        <v>44</v>
      </c>
      <c r="H891" s="402">
        <v>18</v>
      </c>
      <c r="I891" s="63">
        <v>8</v>
      </c>
      <c r="J891" s="235" t="s">
        <v>35</v>
      </c>
      <c r="K891" s="140">
        <v>101</v>
      </c>
      <c r="L891" s="14" t="s">
        <v>360</v>
      </c>
      <c r="M891" s="14" t="s">
        <v>4001</v>
      </c>
      <c r="N891" t="s">
        <v>2992</v>
      </c>
    </row>
    <row r="892" spans="1:15" x14ac:dyDescent="0.35">
      <c r="B892" s="235"/>
      <c r="C892" s="257">
        <v>-5.1997088239339053</v>
      </c>
      <c r="D892" s="261">
        <v>42.240863445667074</v>
      </c>
      <c r="E892" s="138" t="s">
        <v>396</v>
      </c>
      <c r="F892" s="402">
        <v>100</v>
      </c>
      <c r="G892" s="1" t="s">
        <v>56</v>
      </c>
      <c r="H892" s="402">
        <v>23</v>
      </c>
      <c r="I892" s="63">
        <v>15</v>
      </c>
      <c r="J892" s="235" t="s">
        <v>57</v>
      </c>
      <c r="K892" s="140">
        <v>53</v>
      </c>
      <c r="L892" s="14" t="s">
        <v>546</v>
      </c>
      <c r="M892" s="14" t="s">
        <v>4002</v>
      </c>
      <c r="N892" t="s">
        <v>2992</v>
      </c>
    </row>
    <row r="893" spans="1:15" x14ac:dyDescent="0.35">
      <c r="B893" s="235"/>
      <c r="C893" s="257">
        <v>3.8678035138680751</v>
      </c>
      <c r="D893" s="261">
        <v>36.655037540292355</v>
      </c>
      <c r="E893" s="138" t="s">
        <v>396</v>
      </c>
      <c r="F893" s="402">
        <v>55</v>
      </c>
      <c r="G893" s="1" t="s">
        <v>62</v>
      </c>
      <c r="H893" s="402">
        <v>22</v>
      </c>
      <c r="I893" s="63">
        <v>18</v>
      </c>
      <c r="J893" s="235" t="s">
        <v>68</v>
      </c>
      <c r="K893" s="140">
        <v>99</v>
      </c>
      <c r="L893" s="14" t="s">
        <v>179</v>
      </c>
      <c r="M893" s="14" t="s">
        <v>4004</v>
      </c>
      <c r="N893" s="92" t="s">
        <v>2954</v>
      </c>
      <c r="O893" s="87" t="s">
        <v>4003</v>
      </c>
    </row>
    <row r="894" spans="1:15" x14ac:dyDescent="0.35">
      <c r="B894" s="235"/>
      <c r="C894" s="257">
        <v>9.1202628594206949</v>
      </c>
      <c r="D894" s="261">
        <v>40.048026528985226</v>
      </c>
      <c r="E894" s="138" t="s">
        <v>395</v>
      </c>
      <c r="F894" s="402">
        <v>35</v>
      </c>
      <c r="G894" s="1" t="s">
        <v>72</v>
      </c>
      <c r="H894" s="402">
        <v>32</v>
      </c>
      <c r="I894" s="63">
        <v>28</v>
      </c>
      <c r="J894" s="235" t="s">
        <v>65</v>
      </c>
      <c r="K894" s="140">
        <v>98</v>
      </c>
      <c r="L894" s="14" t="s">
        <v>647</v>
      </c>
      <c r="M894" s="14" t="s">
        <v>4005</v>
      </c>
      <c r="N894" s="92" t="s">
        <v>2954</v>
      </c>
    </row>
    <row r="895" spans="1:15" x14ac:dyDescent="0.35">
      <c r="B895" s="235"/>
      <c r="C895" s="257">
        <v>6.0212128090341226</v>
      </c>
      <c r="D895" s="261">
        <v>40.654490850689903</v>
      </c>
      <c r="E895" s="138" t="s">
        <v>395</v>
      </c>
      <c r="F895" s="402">
        <v>40</v>
      </c>
      <c r="G895" s="1" t="s">
        <v>50</v>
      </c>
      <c r="H895" s="402">
        <v>21</v>
      </c>
      <c r="I895" s="63">
        <v>9</v>
      </c>
      <c r="J895" s="235" t="s">
        <v>55</v>
      </c>
      <c r="K895" s="140">
        <v>97</v>
      </c>
      <c r="L895" s="14" t="s">
        <v>400</v>
      </c>
      <c r="M895" s="14" t="s">
        <v>4006</v>
      </c>
      <c r="N895" t="s">
        <v>2992</v>
      </c>
    </row>
    <row r="896" spans="1:15" x14ac:dyDescent="0.35">
      <c r="B896" s="235"/>
      <c r="C896" s="257">
        <v>-4.462345480163564</v>
      </c>
      <c r="D896" s="261">
        <v>44.124889628688258</v>
      </c>
      <c r="E896" s="138" t="s">
        <v>395</v>
      </c>
      <c r="F896" s="402">
        <v>96</v>
      </c>
      <c r="G896" s="1" t="s">
        <v>786</v>
      </c>
      <c r="H896" s="402">
        <v>21</v>
      </c>
      <c r="I896" s="63">
        <v>14</v>
      </c>
      <c r="J896" s="235" t="s">
        <v>788</v>
      </c>
      <c r="K896" s="140">
        <v>51</v>
      </c>
      <c r="L896" s="14" t="s">
        <v>404</v>
      </c>
      <c r="M896" s="14" t="s">
        <v>4007</v>
      </c>
      <c r="N896" t="s">
        <v>2992</v>
      </c>
    </row>
    <row r="897" spans="2:15" x14ac:dyDescent="0.35">
      <c r="B897" s="235"/>
      <c r="C897" s="257">
        <v>10.263804929388396</v>
      </c>
      <c r="D897" s="261">
        <v>53.740139336151138</v>
      </c>
      <c r="E897" s="138" t="s">
        <v>395</v>
      </c>
      <c r="F897" s="402">
        <v>14</v>
      </c>
      <c r="G897" s="1" t="s">
        <v>78</v>
      </c>
      <c r="H897" s="402">
        <v>34</v>
      </c>
      <c r="I897" s="63">
        <v>17</v>
      </c>
      <c r="J897" s="235" t="s">
        <v>88</v>
      </c>
      <c r="K897" s="140">
        <v>95</v>
      </c>
      <c r="L897" s="14" t="s">
        <v>577</v>
      </c>
      <c r="M897" s="14" t="s">
        <v>4008</v>
      </c>
      <c r="N897" t="s">
        <v>2992</v>
      </c>
    </row>
    <row r="898" spans="2:15" x14ac:dyDescent="0.35">
      <c r="B898" s="235"/>
      <c r="C898" s="257">
        <v>-8.6804917213521264</v>
      </c>
      <c r="D898" s="261">
        <v>70.486065515251511</v>
      </c>
      <c r="E898" s="138" t="s">
        <v>395</v>
      </c>
      <c r="F898" s="402">
        <v>94</v>
      </c>
      <c r="G898" s="1" t="s">
        <v>38</v>
      </c>
      <c r="H898" s="402">
        <v>17</v>
      </c>
      <c r="I898" s="63">
        <v>16</v>
      </c>
      <c r="J898" s="235" t="s">
        <v>46</v>
      </c>
      <c r="K898" s="140">
        <v>6</v>
      </c>
      <c r="L898" s="14" t="s">
        <v>291</v>
      </c>
      <c r="M898" s="14" t="s">
        <v>4009</v>
      </c>
      <c r="N898" t="s">
        <v>2992</v>
      </c>
      <c r="O898" s="85" t="s">
        <v>4555</v>
      </c>
    </row>
    <row r="899" spans="2:15" x14ac:dyDescent="0.35">
      <c r="B899" s="235"/>
      <c r="C899" s="257">
        <v>7.0861418054500298</v>
      </c>
      <c r="D899" s="261">
        <v>39.090255853249978</v>
      </c>
      <c r="E899" s="138" t="s">
        <v>395</v>
      </c>
      <c r="F899" s="402">
        <v>46</v>
      </c>
      <c r="G899" s="1" t="s">
        <v>793</v>
      </c>
      <c r="H899" s="402">
        <v>19</v>
      </c>
      <c r="I899" s="63">
        <v>10</v>
      </c>
      <c r="J899" s="235" t="s">
        <v>792</v>
      </c>
      <c r="K899" s="140">
        <v>93</v>
      </c>
      <c r="L899" s="14" t="s">
        <v>295</v>
      </c>
      <c r="M899" s="14" t="s">
        <v>4010</v>
      </c>
      <c r="N899" t="s">
        <v>2992</v>
      </c>
    </row>
    <row r="900" spans="2:15" x14ac:dyDescent="0.35">
      <c r="B900" s="235"/>
      <c r="C900" s="257">
        <v>7.2081514743132535</v>
      </c>
      <c r="D900" s="261">
        <v>42.619177518347669</v>
      </c>
      <c r="E900" s="138" t="s">
        <v>395</v>
      </c>
      <c r="F900" s="402">
        <v>39</v>
      </c>
      <c r="G900" s="1" t="s">
        <v>34</v>
      </c>
      <c r="H900" s="402">
        <v>24</v>
      </c>
      <c r="I900" s="63">
        <v>4</v>
      </c>
      <c r="J900" s="235" t="s">
        <v>27</v>
      </c>
      <c r="K900" s="140">
        <v>91</v>
      </c>
      <c r="L900" s="14" t="s">
        <v>288</v>
      </c>
      <c r="M900" s="43" t="s">
        <v>4011</v>
      </c>
      <c r="N900" s="1" t="s">
        <v>2953</v>
      </c>
    </row>
    <row r="901" spans="2:15" x14ac:dyDescent="0.35">
      <c r="B901" s="235"/>
      <c r="C901" s="257">
        <v>3.6956248366668119</v>
      </c>
      <c r="D901" s="261">
        <v>41.913839402380844</v>
      </c>
      <c r="E901" s="138" t="s">
        <v>396</v>
      </c>
      <c r="F901" s="402">
        <v>48</v>
      </c>
      <c r="G901" s="1" t="s">
        <v>794</v>
      </c>
      <c r="H901" s="402">
        <v>25</v>
      </c>
      <c r="I901" s="63">
        <v>11</v>
      </c>
      <c r="J901" s="235" t="s">
        <v>783</v>
      </c>
      <c r="K901" s="140">
        <v>90</v>
      </c>
      <c r="L901" s="14" t="s">
        <v>337</v>
      </c>
      <c r="M901" s="14" t="s">
        <v>4012</v>
      </c>
      <c r="N901" t="s">
        <v>2992</v>
      </c>
    </row>
    <row r="902" spans="2:15" x14ac:dyDescent="0.35">
      <c r="B902" s="235"/>
      <c r="C902" s="257">
        <v>-2.723597268753907</v>
      </c>
      <c r="D902" s="261">
        <v>34.981140906252797</v>
      </c>
      <c r="E902" s="138" t="s">
        <v>395</v>
      </c>
      <c r="F902" s="402">
        <v>89</v>
      </c>
      <c r="G902" s="1" t="s">
        <v>61</v>
      </c>
      <c r="H902" s="402">
        <v>23</v>
      </c>
      <c r="I902" s="63">
        <v>20</v>
      </c>
      <c r="J902" s="235" t="s">
        <v>64</v>
      </c>
      <c r="K902" s="140">
        <v>61</v>
      </c>
      <c r="L902" s="14" t="s">
        <v>372</v>
      </c>
      <c r="M902" s="14" t="s">
        <v>4013</v>
      </c>
      <c r="N902" t="s">
        <v>2992</v>
      </c>
    </row>
    <row r="903" spans="2:15" x14ac:dyDescent="0.35">
      <c r="B903" s="235"/>
      <c r="C903" s="257">
        <v>4.9388078686335977</v>
      </c>
      <c r="D903" s="261">
        <v>46.650851522404565</v>
      </c>
      <c r="E903" s="138" t="s">
        <v>396</v>
      </c>
      <c r="F903" s="402">
        <v>36</v>
      </c>
      <c r="G903" s="1" t="s">
        <v>66</v>
      </c>
      <c r="H903" s="402">
        <v>32</v>
      </c>
      <c r="I903" s="63">
        <v>19</v>
      </c>
      <c r="J903" s="235" t="s">
        <v>70</v>
      </c>
      <c r="K903" s="140">
        <v>88</v>
      </c>
      <c r="L903" s="14" t="s">
        <v>361</v>
      </c>
      <c r="M903" s="14" t="s">
        <v>4014</v>
      </c>
      <c r="N903" t="s">
        <v>2992</v>
      </c>
    </row>
    <row r="904" spans="2:15" x14ac:dyDescent="0.35">
      <c r="B904" s="235"/>
      <c r="C904" s="257">
        <v>-0.22456370212627286</v>
      </c>
      <c r="D904" s="261">
        <v>23.374688358661622</v>
      </c>
      <c r="E904" s="138" t="s">
        <v>396</v>
      </c>
      <c r="F904" s="402">
        <v>85</v>
      </c>
      <c r="G904" s="1" t="s">
        <v>791</v>
      </c>
      <c r="H904" s="402">
        <v>22</v>
      </c>
      <c r="I904" s="63">
        <v>16</v>
      </c>
      <c r="J904" s="235" t="s">
        <v>796</v>
      </c>
      <c r="K904" s="140">
        <v>87</v>
      </c>
      <c r="L904" s="14" t="s">
        <v>361</v>
      </c>
      <c r="M904" s="14" t="s">
        <v>4015</v>
      </c>
      <c r="N904" t="s">
        <v>2992</v>
      </c>
    </row>
    <row r="905" spans="2:15" x14ac:dyDescent="0.35">
      <c r="B905" s="235"/>
      <c r="C905" s="257">
        <v>8.638347895268927</v>
      </c>
      <c r="D905" s="261">
        <v>57.758322931950765</v>
      </c>
      <c r="E905" s="138" t="s">
        <v>395</v>
      </c>
      <c r="F905" s="402">
        <v>15</v>
      </c>
      <c r="G905" s="1" t="s">
        <v>77</v>
      </c>
      <c r="H905" s="402">
        <v>23</v>
      </c>
      <c r="I905" s="63">
        <v>16</v>
      </c>
      <c r="J905" s="235" t="s">
        <v>81</v>
      </c>
      <c r="K905" s="140">
        <v>86</v>
      </c>
      <c r="L905" s="14" t="s">
        <v>533</v>
      </c>
      <c r="M905" s="14" t="s">
        <v>4016</v>
      </c>
      <c r="N905" t="s">
        <v>2992</v>
      </c>
    </row>
    <row r="906" spans="2:15" x14ac:dyDescent="0.35">
      <c r="B906" s="235"/>
      <c r="C906" s="257">
        <v>-2.496481091052853</v>
      </c>
      <c r="D906" s="261">
        <v>48.345700779323465</v>
      </c>
      <c r="E906" s="138" t="s">
        <v>395</v>
      </c>
      <c r="F906" s="402">
        <v>84</v>
      </c>
      <c r="G906" s="1" t="s">
        <v>25</v>
      </c>
      <c r="H906" s="402">
        <v>19</v>
      </c>
      <c r="I906" s="63">
        <v>12</v>
      </c>
      <c r="J906" s="235" t="s">
        <v>28</v>
      </c>
      <c r="K906" s="140">
        <v>49</v>
      </c>
      <c r="L906" s="14" t="s">
        <v>191</v>
      </c>
      <c r="M906" s="14" t="s">
        <v>4025</v>
      </c>
      <c r="N906" t="s">
        <v>2992</v>
      </c>
    </row>
    <row r="907" spans="2:15" x14ac:dyDescent="0.35">
      <c r="B907" s="235"/>
      <c r="C907" s="257">
        <v>3.4820974718552469</v>
      </c>
      <c r="D907" s="261">
        <v>31.887787520103394</v>
      </c>
      <c r="E907" s="138" t="s">
        <v>395</v>
      </c>
      <c r="F907" s="402">
        <v>64</v>
      </c>
      <c r="G907" s="1" t="s">
        <v>24</v>
      </c>
      <c r="H907" s="402">
        <v>23</v>
      </c>
      <c r="I907" s="63">
        <v>20</v>
      </c>
      <c r="J907" s="235" t="s">
        <v>29</v>
      </c>
      <c r="K907" s="140">
        <v>83</v>
      </c>
      <c r="L907" s="14" t="s">
        <v>574</v>
      </c>
      <c r="M907" s="14" t="s">
        <v>4026</v>
      </c>
      <c r="N907" t="s">
        <v>2992</v>
      </c>
    </row>
    <row r="908" spans="2:15" x14ac:dyDescent="0.35">
      <c r="B908" s="235"/>
      <c r="C908" s="257">
        <v>-4.9453714191350882</v>
      </c>
      <c r="D908" s="261">
        <v>53.309193870810766</v>
      </c>
      <c r="E908" s="138" t="s">
        <v>396</v>
      </c>
      <c r="F908" s="402">
        <v>82</v>
      </c>
      <c r="G908" s="1" t="s">
        <v>963</v>
      </c>
      <c r="H908" s="402">
        <v>20</v>
      </c>
      <c r="I908" s="63">
        <v>17</v>
      </c>
      <c r="J908" s="235" t="s">
        <v>961</v>
      </c>
      <c r="K908" s="140">
        <v>43</v>
      </c>
      <c r="L908" s="14" t="s">
        <v>360</v>
      </c>
      <c r="M908" s="14" t="s">
        <v>4027</v>
      </c>
      <c r="N908" t="s">
        <v>2992</v>
      </c>
    </row>
    <row r="909" spans="2:15" x14ac:dyDescent="0.35">
      <c r="B909" s="235"/>
      <c r="C909" s="257">
        <v>5.8628475265590385</v>
      </c>
      <c r="D909" s="261">
        <v>60.455108909600682</v>
      </c>
      <c r="E909" s="138" t="s">
        <v>396</v>
      </c>
      <c r="F909" s="402">
        <v>18</v>
      </c>
      <c r="G909" s="1" t="s">
        <v>790</v>
      </c>
      <c r="H909" s="402">
        <v>28</v>
      </c>
      <c r="I909" s="63">
        <v>12</v>
      </c>
      <c r="J909" s="235" t="s">
        <v>784</v>
      </c>
      <c r="K909" s="140">
        <v>81</v>
      </c>
      <c r="L909" s="14" t="s">
        <v>359</v>
      </c>
      <c r="M909" s="14" t="s">
        <v>4028</v>
      </c>
      <c r="N909" t="s">
        <v>2992</v>
      </c>
    </row>
    <row r="910" spans="2:15" x14ac:dyDescent="0.35">
      <c r="B910" s="235"/>
      <c r="C910" s="257">
        <v>2.226453879664497</v>
      </c>
      <c r="D910" s="261">
        <v>28.766818657382508</v>
      </c>
      <c r="E910" s="138" t="s">
        <v>395</v>
      </c>
      <c r="F910" s="402">
        <v>76</v>
      </c>
      <c r="G910" s="1" t="s">
        <v>958</v>
      </c>
      <c r="H910" s="402">
        <v>17</v>
      </c>
      <c r="I910" s="63">
        <v>13</v>
      </c>
      <c r="J910" s="235" t="s">
        <v>1343</v>
      </c>
      <c r="K910" s="140">
        <v>80</v>
      </c>
      <c r="L910" s="14" t="s">
        <v>179</v>
      </c>
      <c r="M910" s="14" t="s">
        <v>4029</v>
      </c>
    </row>
    <row r="911" spans="2:15" x14ac:dyDescent="0.35">
      <c r="B911" s="235"/>
      <c r="C911" s="257">
        <v>11.329436749802992</v>
      </c>
      <c r="D911" s="261">
        <v>62.978973750140725</v>
      </c>
      <c r="E911" s="138" t="s">
        <v>395</v>
      </c>
      <c r="F911" s="402">
        <v>2</v>
      </c>
      <c r="G911" s="1" t="s">
        <v>795</v>
      </c>
      <c r="H911" s="402">
        <v>33</v>
      </c>
      <c r="I911" s="63">
        <v>15</v>
      </c>
      <c r="J911" s="235" t="s">
        <v>909</v>
      </c>
      <c r="K911" s="140">
        <v>79</v>
      </c>
      <c r="L911" s="14" t="s">
        <v>347</v>
      </c>
      <c r="M911" s="43" t="s">
        <v>4030</v>
      </c>
      <c r="N911" s="1" t="s">
        <v>2953</v>
      </c>
    </row>
    <row r="912" spans="2:15" x14ac:dyDescent="0.35">
      <c r="B912" s="235"/>
      <c r="C912" s="257">
        <v>12.814668035282274</v>
      </c>
      <c r="D912" s="261">
        <v>61.918094260512667</v>
      </c>
      <c r="E912" s="138" t="s">
        <v>395</v>
      </c>
      <c r="F912" s="402">
        <v>3</v>
      </c>
      <c r="G912" s="1" t="s">
        <v>26</v>
      </c>
      <c r="H912" s="402">
        <v>44</v>
      </c>
      <c r="I912" s="63">
        <v>13</v>
      </c>
      <c r="J912" s="235" t="s">
        <v>292</v>
      </c>
      <c r="K912" s="140">
        <v>78</v>
      </c>
      <c r="L912" s="14" t="s">
        <v>361</v>
      </c>
      <c r="M912" s="43" t="s">
        <v>4031</v>
      </c>
      <c r="N912" s="1" t="s">
        <v>2953</v>
      </c>
    </row>
    <row r="913" spans="1:15" x14ac:dyDescent="0.35">
      <c r="B913" s="235"/>
      <c r="C913" s="257">
        <v>4.4281918098837121</v>
      </c>
      <c r="D913" s="261">
        <v>49.024505850083067</v>
      </c>
      <c r="E913" s="138" t="s">
        <v>395</v>
      </c>
      <c r="F913" s="402">
        <v>44</v>
      </c>
      <c r="G913" s="1" t="s">
        <v>908</v>
      </c>
      <c r="H913" s="402">
        <v>19</v>
      </c>
      <c r="I913" s="63">
        <v>3</v>
      </c>
      <c r="J913" s="235" t="s">
        <v>789</v>
      </c>
      <c r="K913" s="140">
        <v>75</v>
      </c>
      <c r="L913" s="14" t="s">
        <v>418</v>
      </c>
      <c r="M913" s="43" t="s">
        <v>4032</v>
      </c>
      <c r="N913" s="1" t="s">
        <v>2953</v>
      </c>
    </row>
    <row r="914" spans="1:15" x14ac:dyDescent="0.35">
      <c r="B914" s="235"/>
      <c r="C914" s="257">
        <v>3.813635644878048</v>
      </c>
      <c r="D914" s="261">
        <v>37.900974539372825</v>
      </c>
      <c r="E914" s="138" t="s">
        <v>395</v>
      </c>
      <c r="F914" s="402">
        <v>59</v>
      </c>
      <c r="G914" s="1" t="s">
        <v>80</v>
      </c>
      <c r="H914" s="402">
        <v>19</v>
      </c>
      <c r="I914" s="63">
        <v>17</v>
      </c>
      <c r="J914" s="235" t="s">
        <v>86</v>
      </c>
      <c r="K914" s="140">
        <v>74</v>
      </c>
      <c r="L914" s="14" t="s">
        <v>179</v>
      </c>
      <c r="M914" s="14" t="s">
        <v>4033</v>
      </c>
      <c r="N914" t="s">
        <v>2992</v>
      </c>
    </row>
    <row r="915" spans="1:15" x14ac:dyDescent="0.35">
      <c r="B915" s="235"/>
      <c r="C915" s="257">
        <v>5.2997853916512048</v>
      </c>
      <c r="D915" s="261">
        <v>63.714439005963428</v>
      </c>
      <c r="E915" s="138" t="s">
        <v>396</v>
      </c>
      <c r="F915" s="402">
        <v>19</v>
      </c>
      <c r="G915" s="1" t="s">
        <v>83</v>
      </c>
      <c r="H915" s="402">
        <v>30</v>
      </c>
      <c r="I915" s="63">
        <v>8</v>
      </c>
      <c r="J915" s="235" t="s">
        <v>74</v>
      </c>
      <c r="K915" s="140">
        <v>72</v>
      </c>
      <c r="L915" s="14" t="s">
        <v>191</v>
      </c>
      <c r="M915" s="43" t="s">
        <v>4034</v>
      </c>
      <c r="N915" s="1" t="s">
        <v>2953</v>
      </c>
    </row>
    <row r="916" spans="1:15" x14ac:dyDescent="0.35">
      <c r="B916" s="235"/>
      <c r="C916" s="257">
        <v>5.3339258703089198</v>
      </c>
      <c r="D916" s="261">
        <v>52.797195806922204</v>
      </c>
      <c r="E916" s="138" t="s">
        <v>395</v>
      </c>
      <c r="F916" s="402">
        <v>37</v>
      </c>
      <c r="G916" s="1" t="s">
        <v>73</v>
      </c>
      <c r="H916" s="402">
        <v>17</v>
      </c>
      <c r="I916" s="63">
        <v>7</v>
      </c>
      <c r="J916" s="235" t="s">
        <v>84</v>
      </c>
      <c r="K916" s="140">
        <v>71</v>
      </c>
      <c r="L916" s="14" t="s">
        <v>291</v>
      </c>
      <c r="M916" s="43" t="s">
        <v>4035</v>
      </c>
      <c r="N916" s="1" t="s">
        <v>2953</v>
      </c>
    </row>
    <row r="917" spans="1:15" x14ac:dyDescent="0.35">
      <c r="A917" s="6" t="s">
        <v>4044</v>
      </c>
      <c r="B917" s="235"/>
      <c r="C917" s="257">
        <v>-2.9912797366865065</v>
      </c>
      <c r="D917" s="261">
        <v>62.359842669061791</v>
      </c>
      <c r="E917" s="138" t="s">
        <v>395</v>
      </c>
      <c r="F917" s="402">
        <v>70</v>
      </c>
      <c r="G917" s="1" t="s">
        <v>900</v>
      </c>
      <c r="H917" s="402">
        <v>14</v>
      </c>
      <c r="I917" s="63">
        <v>13</v>
      </c>
      <c r="J917" s="235" t="s">
        <v>45</v>
      </c>
      <c r="K917" s="140">
        <v>29</v>
      </c>
      <c r="L917" s="14" t="s">
        <v>191</v>
      </c>
      <c r="M917" s="14" t="s">
        <v>4043</v>
      </c>
      <c r="N917" t="s">
        <v>2992</v>
      </c>
    </row>
    <row r="918" spans="1:15" x14ac:dyDescent="0.35">
      <c r="B918" s="235"/>
      <c r="C918" s="257">
        <v>7.2800044905385493</v>
      </c>
      <c r="D918" s="261">
        <v>68.728568221043901</v>
      </c>
      <c r="E918" s="138" t="s">
        <v>396</v>
      </c>
      <c r="F918" s="402">
        <v>4</v>
      </c>
      <c r="G918" s="1" t="s">
        <v>119</v>
      </c>
      <c r="H918" s="402">
        <v>25</v>
      </c>
      <c r="I918" s="63">
        <v>7</v>
      </c>
      <c r="J918" s="235" t="s">
        <v>22</v>
      </c>
      <c r="K918" s="140">
        <v>69</v>
      </c>
      <c r="L918" s="14" t="s">
        <v>360</v>
      </c>
      <c r="M918" s="43" t="s">
        <v>4045</v>
      </c>
      <c r="N918" s="1" t="s">
        <v>2953</v>
      </c>
    </row>
    <row r="919" spans="1:15" x14ac:dyDescent="0.35">
      <c r="B919" s="235"/>
      <c r="C919" s="257">
        <v>5.4062636272057532</v>
      </c>
      <c r="D919" s="261">
        <v>68.995525980567322</v>
      </c>
      <c r="E919" s="138" t="s">
        <v>396</v>
      </c>
      <c r="F919" s="402">
        <v>8</v>
      </c>
      <c r="G919" s="1" t="s">
        <v>118</v>
      </c>
      <c r="H919" s="402">
        <v>28</v>
      </c>
      <c r="I919" s="63">
        <v>9</v>
      </c>
      <c r="J919" s="235" t="s">
        <v>47</v>
      </c>
      <c r="K919" s="140">
        <v>68</v>
      </c>
      <c r="L919" s="14" t="s">
        <v>397</v>
      </c>
      <c r="M919" s="43" t="s">
        <v>4046</v>
      </c>
      <c r="N919" s="1" t="s">
        <v>2953</v>
      </c>
    </row>
    <row r="920" spans="1:15" x14ac:dyDescent="0.35">
      <c r="B920" s="235"/>
      <c r="C920" s="257">
        <v>1.3123685566718899</v>
      </c>
      <c r="D920" s="261">
        <v>39.687593888091513</v>
      </c>
      <c r="E920" s="138" t="s">
        <v>395</v>
      </c>
      <c r="F920" s="402">
        <v>67</v>
      </c>
      <c r="G920" s="1" t="s">
        <v>1860</v>
      </c>
      <c r="H920" s="402">
        <v>23</v>
      </c>
      <c r="I920" s="63">
        <v>11</v>
      </c>
      <c r="J920" s="235" t="s">
        <v>32</v>
      </c>
      <c r="K920" s="140">
        <v>66</v>
      </c>
      <c r="L920" s="14" t="s">
        <v>296</v>
      </c>
      <c r="M920" s="14" t="s">
        <v>4047</v>
      </c>
      <c r="N920" t="s">
        <v>2992</v>
      </c>
    </row>
    <row r="921" spans="1:15" x14ac:dyDescent="0.35">
      <c r="B921" s="235"/>
      <c r="C921" s="257">
        <v>1.5969309547500439</v>
      </c>
      <c r="D921" s="261">
        <v>43.948620746607105</v>
      </c>
      <c r="E921" s="138" t="s">
        <v>395</v>
      </c>
      <c r="F921" s="402">
        <v>58</v>
      </c>
      <c r="G921" s="1" t="s">
        <v>79</v>
      </c>
      <c r="H921" s="402">
        <v>15</v>
      </c>
      <c r="I921" s="63">
        <v>6</v>
      </c>
      <c r="J921" s="235" t="s">
        <v>82</v>
      </c>
      <c r="K921" s="140">
        <v>65</v>
      </c>
      <c r="L921" s="14" t="s">
        <v>291</v>
      </c>
      <c r="M921" s="14" t="s">
        <v>4048</v>
      </c>
      <c r="N921" t="s">
        <v>2992</v>
      </c>
    </row>
    <row r="922" spans="1:15" x14ac:dyDescent="0.35">
      <c r="B922" s="235"/>
      <c r="C922" s="257">
        <v>8.3965943471368565</v>
      </c>
      <c r="D922" s="261">
        <v>68.9223839570042</v>
      </c>
      <c r="E922" s="138" t="s">
        <v>395</v>
      </c>
      <c r="F922" s="402">
        <v>9</v>
      </c>
      <c r="G922" s="1" t="s">
        <v>36</v>
      </c>
      <c r="H922" s="402">
        <v>29</v>
      </c>
      <c r="I922" s="63">
        <v>24</v>
      </c>
      <c r="J922" s="235" t="s">
        <v>1858</v>
      </c>
      <c r="K922" s="140">
        <v>63</v>
      </c>
      <c r="L922" s="14" t="s">
        <v>2168</v>
      </c>
      <c r="M922" s="14" t="s">
        <v>4050</v>
      </c>
      <c r="N922" s="92" t="s">
        <v>2954</v>
      </c>
      <c r="O922" s="87" t="s">
        <v>4049</v>
      </c>
    </row>
    <row r="923" spans="1:15" x14ac:dyDescent="0.35">
      <c r="B923" s="235"/>
      <c r="C923" s="257">
        <v>-0.23804214400420209</v>
      </c>
      <c r="D923" s="261">
        <v>57.982530102860139</v>
      </c>
      <c r="E923" s="138" t="s">
        <v>396</v>
      </c>
      <c r="F923" s="402">
        <v>45</v>
      </c>
      <c r="G923" s="1" t="s">
        <v>30</v>
      </c>
      <c r="H923" s="402">
        <v>16</v>
      </c>
      <c r="I923" s="63">
        <v>15</v>
      </c>
      <c r="J923" s="235" t="s">
        <v>23</v>
      </c>
      <c r="K923" s="140">
        <v>60</v>
      </c>
      <c r="L923" s="14" t="s">
        <v>331</v>
      </c>
      <c r="M923" s="14" t="s">
        <v>4051</v>
      </c>
      <c r="N923" s="92" t="s">
        <v>2954</v>
      </c>
      <c r="O923" s="85" t="s">
        <v>4052</v>
      </c>
    </row>
    <row r="924" spans="1:15" x14ac:dyDescent="0.35">
      <c r="A924" s="6" t="s">
        <v>4064</v>
      </c>
      <c r="B924" s="235"/>
      <c r="C924" s="257">
        <v>-2.0847305538853833</v>
      </c>
      <c r="D924" s="261">
        <v>59.703378967060992</v>
      </c>
      <c r="E924" s="138" t="s">
        <v>396</v>
      </c>
      <c r="F924" s="402">
        <v>57</v>
      </c>
      <c r="G924" s="1" t="s">
        <v>43</v>
      </c>
      <c r="H924" s="402">
        <v>14</v>
      </c>
      <c r="I924" s="63">
        <v>11</v>
      </c>
      <c r="J924" s="235" t="s">
        <v>2011</v>
      </c>
      <c r="K924" s="140">
        <v>47</v>
      </c>
      <c r="L924" s="14" t="s">
        <v>331</v>
      </c>
      <c r="M924" s="14" t="s">
        <v>4065</v>
      </c>
      <c r="N924" t="s">
        <v>2992</v>
      </c>
    </row>
    <row r="925" spans="1:15" x14ac:dyDescent="0.35">
      <c r="B925" s="235"/>
      <c r="C925" s="257">
        <v>-1.5783849100321155</v>
      </c>
      <c r="D925" s="261">
        <v>56.930989221451512</v>
      </c>
      <c r="E925" s="138" t="s">
        <v>396</v>
      </c>
      <c r="F925" s="402">
        <v>56</v>
      </c>
      <c r="G925" s="1" t="s">
        <v>42</v>
      </c>
      <c r="H925" s="402">
        <v>22</v>
      </c>
      <c r="I925" s="63">
        <v>8</v>
      </c>
      <c r="J925" s="235" t="s">
        <v>39</v>
      </c>
      <c r="K925" s="140">
        <v>54</v>
      </c>
      <c r="L925" s="14" t="s">
        <v>397</v>
      </c>
      <c r="M925" s="43" t="s">
        <v>4066</v>
      </c>
      <c r="N925" s="1" t="s">
        <v>2953</v>
      </c>
    </row>
    <row r="926" spans="1:15" x14ac:dyDescent="0.35">
      <c r="B926" s="235"/>
      <c r="C926" s="257">
        <v>4.1528017979098575</v>
      </c>
      <c r="D926" s="261">
        <v>74.53371300149297</v>
      </c>
      <c r="E926" s="138" t="s">
        <v>396</v>
      </c>
      <c r="F926" s="402">
        <v>11</v>
      </c>
      <c r="G926" s="1" t="s">
        <v>145</v>
      </c>
      <c r="H926" s="402">
        <v>20</v>
      </c>
      <c r="I926" s="63">
        <v>16</v>
      </c>
      <c r="J926" s="235" t="s">
        <v>58</v>
      </c>
      <c r="K926" s="140">
        <v>52</v>
      </c>
      <c r="L926" s="14" t="s">
        <v>369</v>
      </c>
      <c r="M926" s="14" t="s">
        <v>4067</v>
      </c>
      <c r="N926" t="s">
        <v>2992</v>
      </c>
    </row>
    <row r="927" spans="1:15" x14ac:dyDescent="0.35">
      <c r="B927" s="235"/>
      <c r="C927" s="257">
        <v>2.8626725294698474</v>
      </c>
      <c r="D927" s="261">
        <v>70.232019621807254</v>
      </c>
      <c r="E927" s="138" t="s">
        <v>395</v>
      </c>
      <c r="F927" s="402">
        <v>27</v>
      </c>
      <c r="G927" s="1" t="s">
        <v>785</v>
      </c>
      <c r="H927" s="402">
        <v>17</v>
      </c>
      <c r="I927" s="63">
        <v>13</v>
      </c>
      <c r="J927" s="235" t="s">
        <v>787</v>
      </c>
      <c r="K927" s="140">
        <v>42</v>
      </c>
      <c r="L927" s="14" t="s">
        <v>194</v>
      </c>
      <c r="M927" s="14" t="s">
        <v>4068</v>
      </c>
      <c r="N927" t="s">
        <v>2992</v>
      </c>
    </row>
    <row r="928" spans="1:15" x14ac:dyDescent="0.35">
      <c r="B928" s="235"/>
      <c r="C928" s="257">
        <v>-6.5550927472237985</v>
      </c>
      <c r="D928" s="261">
        <v>88.253637676588426</v>
      </c>
      <c r="E928" s="138" t="s">
        <v>395</v>
      </c>
      <c r="F928" s="402">
        <v>41</v>
      </c>
      <c r="G928" s="1" t="s">
        <v>1302</v>
      </c>
      <c r="H928" s="402">
        <v>17</v>
      </c>
      <c r="I928" s="63">
        <v>15</v>
      </c>
      <c r="J928" s="235" t="s">
        <v>966</v>
      </c>
      <c r="K928" s="140">
        <v>5</v>
      </c>
      <c r="L928" s="14" t="s">
        <v>360</v>
      </c>
      <c r="M928" s="14" t="s">
        <v>4069</v>
      </c>
      <c r="N928" t="s">
        <v>2992</v>
      </c>
    </row>
    <row r="929" spans="1:18" x14ac:dyDescent="0.35">
      <c r="B929" s="235"/>
      <c r="C929" s="257">
        <v>-0.87071017510427584</v>
      </c>
      <c r="D929" s="261">
        <v>71.693364410788774</v>
      </c>
      <c r="E929" s="138" t="s">
        <v>396</v>
      </c>
      <c r="F929" s="402">
        <v>38</v>
      </c>
      <c r="G929" s="1" t="s">
        <v>965</v>
      </c>
      <c r="H929" s="402">
        <v>26</v>
      </c>
      <c r="I929" s="63">
        <v>16</v>
      </c>
      <c r="J929" s="235" t="s">
        <v>1301</v>
      </c>
      <c r="K929" s="140">
        <v>34</v>
      </c>
      <c r="L929" s="14" t="s">
        <v>332</v>
      </c>
      <c r="M929" s="14" t="s">
        <v>4070</v>
      </c>
      <c r="N929" t="s">
        <v>2992</v>
      </c>
    </row>
    <row r="930" spans="1:18" x14ac:dyDescent="0.35">
      <c r="B930" s="235"/>
      <c r="C930" s="257">
        <v>0.59277397575749124</v>
      </c>
      <c r="D930" s="261">
        <v>79.933732874458926</v>
      </c>
      <c r="E930" s="138" t="s">
        <v>396</v>
      </c>
      <c r="F930" s="402">
        <v>22</v>
      </c>
      <c r="G930" s="1" t="s">
        <v>300</v>
      </c>
      <c r="H930" s="402">
        <v>18</v>
      </c>
      <c r="I930" s="63">
        <v>17</v>
      </c>
      <c r="J930" s="235" t="s">
        <v>52</v>
      </c>
      <c r="K930" s="140">
        <v>33</v>
      </c>
      <c r="L930" s="14" t="s">
        <v>337</v>
      </c>
      <c r="M930" s="14" t="s">
        <v>4071</v>
      </c>
      <c r="N930" s="92" t="s">
        <v>2954</v>
      </c>
    </row>
    <row r="931" spans="1:18" x14ac:dyDescent="0.35">
      <c r="B931" s="235"/>
      <c r="C931" s="257">
        <v>6.2497788793759623</v>
      </c>
      <c r="D931" s="261">
        <v>83.750157943302881</v>
      </c>
      <c r="E931" s="138" t="s">
        <v>396</v>
      </c>
      <c r="F931" s="402">
        <v>1</v>
      </c>
      <c r="G931" s="1" t="s">
        <v>87</v>
      </c>
      <c r="H931" s="402">
        <v>21</v>
      </c>
      <c r="I931" s="63">
        <v>17</v>
      </c>
      <c r="J931" s="235" t="s">
        <v>75</v>
      </c>
      <c r="K931" s="140">
        <v>32</v>
      </c>
      <c r="L931" s="14" t="s">
        <v>185</v>
      </c>
      <c r="M931" s="14" t="s">
        <v>4072</v>
      </c>
      <c r="N931" t="s">
        <v>2992</v>
      </c>
    </row>
    <row r="932" spans="1:18" x14ac:dyDescent="0.35">
      <c r="B932" s="235"/>
      <c r="C932" s="257">
        <v>-0.82824818526229016</v>
      </c>
      <c r="D932" s="261">
        <v>80.59160584661592</v>
      </c>
      <c r="E932" s="138" t="s">
        <v>396</v>
      </c>
      <c r="F932" s="402">
        <v>25</v>
      </c>
      <c r="G932" s="1" t="s">
        <v>962</v>
      </c>
      <c r="H932" s="402">
        <v>29</v>
      </c>
      <c r="I932" s="63">
        <v>9</v>
      </c>
      <c r="J932" s="235" t="s">
        <v>960</v>
      </c>
      <c r="K932" s="140">
        <v>31</v>
      </c>
      <c r="L932" s="14" t="s">
        <v>201</v>
      </c>
      <c r="M932" s="43" t="s">
        <v>4073</v>
      </c>
      <c r="N932" s="1" t="s">
        <v>2953</v>
      </c>
    </row>
    <row r="933" spans="1:18" x14ac:dyDescent="0.35">
      <c r="B933" s="235"/>
      <c r="C933" s="257">
        <v>1.4199541470702448</v>
      </c>
      <c r="D933" s="261">
        <v>75.682175609235543</v>
      </c>
      <c r="E933" s="138" t="s">
        <v>395</v>
      </c>
      <c r="F933" s="402">
        <v>28</v>
      </c>
      <c r="G933" s="1" t="s">
        <v>69</v>
      </c>
      <c r="H933" s="402">
        <v>26</v>
      </c>
      <c r="I933" s="63">
        <v>9</v>
      </c>
      <c r="J933" s="235" t="s">
        <v>71</v>
      </c>
      <c r="K933" s="140">
        <v>30</v>
      </c>
      <c r="L933" s="14" t="s">
        <v>876</v>
      </c>
      <c r="M933" s="43" t="s">
        <v>4074</v>
      </c>
      <c r="N933" s="1" t="s">
        <v>2953</v>
      </c>
    </row>
    <row r="934" spans="1:18" x14ac:dyDescent="0.35">
      <c r="B934" s="235"/>
      <c r="C934" s="257">
        <v>1.0135978799368639</v>
      </c>
      <c r="D934" s="261">
        <v>85.347430085759385</v>
      </c>
      <c r="E934" s="138" t="s">
        <v>396</v>
      </c>
      <c r="F934" s="402">
        <v>13</v>
      </c>
      <c r="G934" s="1" t="s">
        <v>41</v>
      </c>
      <c r="H934" s="402">
        <v>18</v>
      </c>
      <c r="I934" s="63">
        <v>7</v>
      </c>
      <c r="J934" s="235" t="s">
        <v>40</v>
      </c>
      <c r="K934" s="140">
        <v>26</v>
      </c>
      <c r="L934" s="14" t="s">
        <v>286</v>
      </c>
      <c r="M934" s="43" t="s">
        <v>4075</v>
      </c>
      <c r="N934" s="1" t="s">
        <v>2953</v>
      </c>
    </row>
    <row r="935" spans="1:18" x14ac:dyDescent="0.35">
      <c r="B935" s="235"/>
      <c r="C935" s="257">
        <v>-1.8120733689596402</v>
      </c>
      <c r="D935" s="261">
        <v>86.606838120685453</v>
      </c>
      <c r="E935" s="138" t="s">
        <v>396</v>
      </c>
      <c r="F935" s="402">
        <v>24</v>
      </c>
      <c r="G935" s="1" t="s">
        <v>53</v>
      </c>
      <c r="H935" s="402">
        <v>16</v>
      </c>
      <c r="I935" s="63">
        <v>13</v>
      </c>
      <c r="J935" s="235" t="s">
        <v>51</v>
      </c>
      <c r="K935" s="140">
        <v>23</v>
      </c>
      <c r="L935" s="14" t="s">
        <v>296</v>
      </c>
      <c r="M935" s="14" t="s">
        <v>4076</v>
      </c>
      <c r="N935" t="s">
        <v>2992</v>
      </c>
    </row>
    <row r="936" spans="1:18" x14ac:dyDescent="0.35">
      <c r="B936" s="235"/>
      <c r="C936" s="257">
        <v>2.9152803814829253</v>
      </c>
      <c r="D936" s="261">
        <v>88.855156870369328</v>
      </c>
      <c r="E936" s="138" t="s">
        <v>395</v>
      </c>
      <c r="F936" s="402">
        <v>12</v>
      </c>
      <c r="G936" s="1" t="s">
        <v>59</v>
      </c>
      <c r="H936" s="402">
        <v>22</v>
      </c>
      <c r="I936" s="63">
        <v>20</v>
      </c>
      <c r="J936" s="235" t="s">
        <v>115</v>
      </c>
      <c r="K936" s="140">
        <v>17</v>
      </c>
      <c r="L936" s="14" t="s">
        <v>623</v>
      </c>
      <c r="M936" s="14" t="s">
        <v>4078</v>
      </c>
      <c r="N936" t="s">
        <v>2992</v>
      </c>
      <c r="O936" s="85" t="s">
        <v>4077</v>
      </c>
    </row>
    <row r="937" spans="1:18" ht="15" thickBot="1" x14ac:dyDescent="0.4">
      <c r="B937" s="57"/>
      <c r="C937" s="259">
        <v>-1.8727011353019283</v>
      </c>
      <c r="D937" s="262">
        <v>94.150143668072801</v>
      </c>
      <c r="E937" s="222" t="s">
        <v>395</v>
      </c>
      <c r="F937" s="381">
        <v>16</v>
      </c>
      <c r="G937" s="44" t="s">
        <v>67</v>
      </c>
      <c r="H937" s="381">
        <v>25</v>
      </c>
      <c r="I937" s="56">
        <v>24</v>
      </c>
      <c r="J937" s="57" t="s">
        <v>60</v>
      </c>
      <c r="K937" s="141">
        <v>7</v>
      </c>
      <c r="L937" s="23" t="s">
        <v>289</v>
      </c>
      <c r="M937" s="23" t="s">
        <v>4080</v>
      </c>
      <c r="N937" s="12" t="s">
        <v>2992</v>
      </c>
      <c r="O937" s="86" t="s">
        <v>4079</v>
      </c>
    </row>
    <row r="938" spans="1:18" x14ac:dyDescent="0.35">
      <c r="A938" s="6" t="s">
        <v>4116</v>
      </c>
      <c r="B938" s="235" t="s">
        <v>3283</v>
      </c>
      <c r="C938" s="257">
        <v>1.1282026488297536</v>
      </c>
      <c r="D938" s="261">
        <v>16.105084011466587</v>
      </c>
      <c r="E938" s="138" t="s">
        <v>396</v>
      </c>
      <c r="F938" s="402">
        <v>98</v>
      </c>
      <c r="G938" s="1" t="s">
        <v>88</v>
      </c>
      <c r="H938" s="402">
        <v>20</v>
      </c>
      <c r="I938" s="63">
        <v>17</v>
      </c>
      <c r="J938" s="235" t="s">
        <v>31</v>
      </c>
      <c r="K938" s="140">
        <v>109</v>
      </c>
      <c r="L938" s="14" t="s">
        <v>334</v>
      </c>
      <c r="M938" s="14" t="s">
        <v>4085</v>
      </c>
      <c r="N938" t="s">
        <v>2992</v>
      </c>
      <c r="P938" s="6"/>
      <c r="Q938" s="6"/>
      <c r="R938" s="6"/>
    </row>
    <row r="939" spans="1:18" x14ac:dyDescent="0.35">
      <c r="B939" s="235" t="s">
        <v>3283</v>
      </c>
      <c r="C939" s="257">
        <v>1.0300927479509645</v>
      </c>
      <c r="D939" s="261">
        <v>64.985118947745818</v>
      </c>
      <c r="E939" s="138" t="s">
        <v>395</v>
      </c>
      <c r="F939" s="402">
        <v>44</v>
      </c>
      <c r="G939" s="1" t="s">
        <v>793</v>
      </c>
      <c r="H939" s="402">
        <v>25</v>
      </c>
      <c r="I939" s="63">
        <v>17</v>
      </c>
      <c r="J939" s="235" t="s">
        <v>43</v>
      </c>
      <c r="K939" s="140">
        <v>51</v>
      </c>
      <c r="L939" s="14" t="s">
        <v>621</v>
      </c>
      <c r="M939" s="14" t="s">
        <v>4086</v>
      </c>
      <c r="N939" t="s">
        <v>2992</v>
      </c>
      <c r="P939" s="6"/>
      <c r="Q939" s="6"/>
      <c r="R939" s="6"/>
    </row>
    <row r="940" spans="1:18" x14ac:dyDescent="0.35">
      <c r="B940" s="235" t="s">
        <v>3283</v>
      </c>
      <c r="C940" s="257">
        <v>3.3299825956704199</v>
      </c>
      <c r="D940" s="261">
        <v>74.395011188497591</v>
      </c>
      <c r="E940" s="138" t="s">
        <v>396</v>
      </c>
      <c r="F940" s="402">
        <v>23</v>
      </c>
      <c r="G940" s="1" t="s">
        <v>300</v>
      </c>
      <c r="H940" s="402">
        <v>19</v>
      </c>
      <c r="I940" s="63">
        <v>13</v>
      </c>
      <c r="J940" s="235" t="s">
        <v>787</v>
      </c>
      <c r="K940" s="140">
        <v>50</v>
      </c>
      <c r="L940" s="14" t="s">
        <v>400</v>
      </c>
      <c r="M940" s="14" t="s">
        <v>4087</v>
      </c>
      <c r="N940" t="s">
        <v>2992</v>
      </c>
      <c r="P940" s="6"/>
      <c r="Q940" s="6"/>
      <c r="R940" s="6"/>
    </row>
    <row r="941" spans="1:18" x14ac:dyDescent="0.35">
      <c r="B941" s="235" t="s">
        <v>3283</v>
      </c>
      <c r="C941" s="257">
        <v>-3.4816995350901472</v>
      </c>
      <c r="D941" s="261">
        <v>96.05073541541509</v>
      </c>
      <c r="E941" s="138" t="s">
        <v>396</v>
      </c>
      <c r="F941" s="402">
        <v>15</v>
      </c>
      <c r="G941" s="1" t="s">
        <v>83</v>
      </c>
      <c r="H941" s="402">
        <v>29</v>
      </c>
      <c r="I941" s="63">
        <v>19</v>
      </c>
      <c r="J941" s="235" t="s">
        <v>966</v>
      </c>
      <c r="K941" s="140">
        <v>7</v>
      </c>
      <c r="L941" s="14" t="s">
        <v>285</v>
      </c>
      <c r="M941" s="43" t="s">
        <v>4088</v>
      </c>
      <c r="N941" s="1" t="s">
        <v>2953</v>
      </c>
      <c r="P941" s="6"/>
      <c r="Q941" s="6"/>
      <c r="R941" s="6"/>
    </row>
    <row r="942" spans="1:18" x14ac:dyDescent="0.35">
      <c r="B942" s="235" t="s">
        <v>3283</v>
      </c>
      <c r="C942" s="257">
        <v>6.8224796964509942</v>
      </c>
      <c r="D942" s="261">
        <v>81.4712630522815</v>
      </c>
      <c r="E942" s="138" t="s">
        <v>396</v>
      </c>
      <c r="F942" s="402">
        <v>1</v>
      </c>
      <c r="G942" s="1" t="s">
        <v>87</v>
      </c>
      <c r="H942" s="402">
        <v>32</v>
      </c>
      <c r="I942" s="63">
        <v>15</v>
      </c>
      <c r="J942" s="235" t="s">
        <v>114</v>
      </c>
      <c r="K942" s="140">
        <v>43</v>
      </c>
      <c r="L942" s="14" t="s">
        <v>358</v>
      </c>
      <c r="M942" s="43" t="s">
        <v>4089</v>
      </c>
      <c r="N942" s="1" t="s">
        <v>2953</v>
      </c>
      <c r="P942" s="6"/>
      <c r="Q942" s="6"/>
      <c r="R942" s="6"/>
    </row>
    <row r="943" spans="1:18" x14ac:dyDescent="0.35">
      <c r="B943" s="235" t="s">
        <v>3283</v>
      </c>
      <c r="C943" s="257">
        <v>6.3495100415544607</v>
      </c>
      <c r="D943" s="261">
        <v>75.989600687572135</v>
      </c>
      <c r="E943" s="138" t="s">
        <v>395</v>
      </c>
      <c r="F943" s="402">
        <v>13</v>
      </c>
      <c r="G943" s="1" t="s">
        <v>46</v>
      </c>
      <c r="H943" s="402">
        <v>26</v>
      </c>
      <c r="I943" s="63">
        <v>20</v>
      </c>
      <c r="J943" s="235" t="s">
        <v>79</v>
      </c>
      <c r="K943" s="140">
        <v>49</v>
      </c>
      <c r="L943" s="14" t="s">
        <v>443</v>
      </c>
      <c r="M943" s="14" t="s">
        <v>4090</v>
      </c>
      <c r="N943" t="s">
        <v>2992</v>
      </c>
      <c r="P943" s="6"/>
      <c r="Q943" s="6"/>
      <c r="R943" s="6"/>
    </row>
    <row r="944" spans="1:18" x14ac:dyDescent="0.35">
      <c r="B944" s="235" t="s">
        <v>3283</v>
      </c>
      <c r="C944" s="257">
        <v>-4.402318078286136</v>
      </c>
      <c r="D944" s="261">
        <v>82.580061621755377</v>
      </c>
      <c r="E944" s="138" t="s">
        <v>395</v>
      </c>
      <c r="F944" s="402">
        <v>54</v>
      </c>
      <c r="G944" s="1" t="s">
        <v>49</v>
      </c>
      <c r="H944" s="402">
        <v>15</v>
      </c>
      <c r="I944" s="63">
        <v>13</v>
      </c>
      <c r="J944" s="235" t="s">
        <v>59</v>
      </c>
      <c r="K944" s="140">
        <v>9</v>
      </c>
      <c r="L944" s="14" t="s">
        <v>360</v>
      </c>
      <c r="M944" s="14" t="s">
        <v>4091</v>
      </c>
      <c r="N944" t="s">
        <v>2992</v>
      </c>
      <c r="P944" s="6"/>
      <c r="Q944" s="6"/>
      <c r="R944" s="6"/>
    </row>
    <row r="945" spans="1:18" x14ac:dyDescent="0.35">
      <c r="B945" s="235" t="s">
        <v>3283</v>
      </c>
      <c r="C945" s="257">
        <v>0.89040701443559811</v>
      </c>
      <c r="D945" s="261">
        <v>85.92759549071998</v>
      </c>
      <c r="E945" s="138" t="s">
        <v>396</v>
      </c>
      <c r="F945" s="402">
        <v>12</v>
      </c>
      <c r="G945" s="1" t="s">
        <v>145</v>
      </c>
      <c r="H945" s="402">
        <v>18</v>
      </c>
      <c r="I945" s="63">
        <v>11</v>
      </c>
      <c r="J945" s="235" t="s">
        <v>34</v>
      </c>
      <c r="K945" s="140">
        <v>30</v>
      </c>
      <c r="L945" s="14" t="s">
        <v>331</v>
      </c>
      <c r="M945" s="14" t="s">
        <v>4092</v>
      </c>
      <c r="N945" t="s">
        <v>2992</v>
      </c>
      <c r="P945" s="6"/>
      <c r="Q945" s="6"/>
      <c r="R945" s="6"/>
    </row>
    <row r="946" spans="1:18" x14ac:dyDescent="0.35">
      <c r="B946" s="235" t="s">
        <v>3283</v>
      </c>
      <c r="C946" s="257">
        <v>9.2516320196870137</v>
      </c>
      <c r="D946" s="261">
        <v>84.409665130201205</v>
      </c>
      <c r="E946" s="138" t="s">
        <v>395</v>
      </c>
      <c r="F946" s="402">
        <v>2</v>
      </c>
      <c r="G946" s="1" t="s">
        <v>795</v>
      </c>
      <c r="H946" s="402">
        <v>29</v>
      </c>
      <c r="I946" s="63">
        <v>18</v>
      </c>
      <c r="J946" s="235" t="s">
        <v>51</v>
      </c>
      <c r="K946" s="140">
        <v>28</v>
      </c>
      <c r="L946" s="14" t="s">
        <v>577</v>
      </c>
      <c r="M946" s="14" t="s">
        <v>4107</v>
      </c>
      <c r="N946" t="s">
        <v>2992</v>
      </c>
      <c r="P946" s="6"/>
      <c r="Q946" s="6"/>
      <c r="R946" s="6"/>
    </row>
    <row r="947" spans="1:18" x14ac:dyDescent="0.35">
      <c r="B947" s="235" t="s">
        <v>3283</v>
      </c>
      <c r="C947" s="257">
        <v>10.981597543218422</v>
      </c>
      <c r="D947" s="261">
        <v>72.690401579359602</v>
      </c>
      <c r="E947" s="138" t="s">
        <v>395</v>
      </c>
      <c r="F947" s="402">
        <v>3</v>
      </c>
      <c r="G947" s="1" t="s">
        <v>26</v>
      </c>
      <c r="H947" s="402">
        <v>24</v>
      </c>
      <c r="I947" s="63">
        <v>19</v>
      </c>
      <c r="J947" s="235" t="s">
        <v>788</v>
      </c>
      <c r="K947" s="140">
        <v>60</v>
      </c>
      <c r="L947" s="14" t="s">
        <v>488</v>
      </c>
      <c r="M947" s="14" t="s">
        <v>4108</v>
      </c>
      <c r="N947" t="s">
        <v>2992</v>
      </c>
      <c r="P947" s="6"/>
      <c r="Q947" s="6"/>
      <c r="R947" s="6"/>
    </row>
    <row r="948" spans="1:18" x14ac:dyDescent="0.35">
      <c r="B948" s="235" t="s">
        <v>3283</v>
      </c>
      <c r="C948" s="257">
        <v>-2.5112868955469421</v>
      </c>
      <c r="D948" s="261">
        <v>94.583148718565894</v>
      </c>
      <c r="E948" s="138" t="s">
        <v>395</v>
      </c>
      <c r="F948" s="402">
        <v>21</v>
      </c>
      <c r="G948" s="1" t="s">
        <v>69</v>
      </c>
      <c r="H948" s="402">
        <v>21</v>
      </c>
      <c r="I948" s="63">
        <v>14</v>
      </c>
      <c r="J948" s="235" t="s">
        <v>119</v>
      </c>
      <c r="K948" s="140">
        <v>4</v>
      </c>
      <c r="L948" s="14" t="s">
        <v>290</v>
      </c>
      <c r="M948" s="14" t="s">
        <v>4109</v>
      </c>
      <c r="N948" t="s">
        <v>2992</v>
      </c>
      <c r="P948" s="6"/>
      <c r="Q948" s="6"/>
      <c r="R948" s="6"/>
    </row>
    <row r="949" spans="1:18" x14ac:dyDescent="0.35">
      <c r="B949" s="235" t="s">
        <v>3283</v>
      </c>
      <c r="C949" s="257">
        <v>-3.4991841574775715</v>
      </c>
      <c r="D949" s="261">
        <v>77.298582672664168</v>
      </c>
      <c r="E949" s="138" t="s">
        <v>396</v>
      </c>
      <c r="F949" s="402">
        <v>42</v>
      </c>
      <c r="G949" s="1" t="s">
        <v>960</v>
      </c>
      <c r="H949" s="402">
        <v>22</v>
      </c>
      <c r="I949" s="63">
        <v>16</v>
      </c>
      <c r="J949" s="235" t="s">
        <v>66</v>
      </c>
      <c r="K949" s="140">
        <v>27</v>
      </c>
      <c r="L949" s="14" t="s">
        <v>285</v>
      </c>
      <c r="M949" s="14" t="s">
        <v>4110</v>
      </c>
      <c r="N949" t="s">
        <v>2992</v>
      </c>
      <c r="P949" s="6"/>
      <c r="Q949" s="6"/>
      <c r="R949" s="6"/>
    </row>
    <row r="950" spans="1:18" x14ac:dyDescent="0.35">
      <c r="B950" s="235" t="s">
        <v>3283</v>
      </c>
      <c r="C950" s="257">
        <v>5.4666830294161572</v>
      </c>
      <c r="D950" s="261">
        <v>79.449989481089617</v>
      </c>
      <c r="E950" s="138" t="s">
        <v>396</v>
      </c>
      <c r="F950" s="402">
        <v>6</v>
      </c>
      <c r="G950" s="1" t="s">
        <v>36</v>
      </c>
      <c r="H950" s="402">
        <v>29</v>
      </c>
      <c r="I950" s="63">
        <v>15</v>
      </c>
      <c r="J950" s="235" t="s">
        <v>62</v>
      </c>
      <c r="K950" s="140">
        <v>47</v>
      </c>
      <c r="L950" s="14" t="s">
        <v>199</v>
      </c>
      <c r="M950" s="43" t="s">
        <v>4111</v>
      </c>
      <c r="N950" s="1" t="s">
        <v>2953</v>
      </c>
      <c r="P950" s="6"/>
      <c r="Q950" s="6"/>
      <c r="R950" s="6"/>
    </row>
    <row r="951" spans="1:18" x14ac:dyDescent="0.35">
      <c r="A951" s="6" t="s">
        <v>4115</v>
      </c>
      <c r="B951" s="235" t="s">
        <v>3283</v>
      </c>
      <c r="C951" s="257">
        <v>7.2407525712013792</v>
      </c>
      <c r="D951" s="261">
        <v>76.059516204227691</v>
      </c>
      <c r="E951" s="138" t="s">
        <v>395</v>
      </c>
      <c r="F951" s="402">
        <v>8</v>
      </c>
      <c r="G951" s="1" t="s">
        <v>41</v>
      </c>
      <c r="H951" s="402">
        <v>20</v>
      </c>
      <c r="I951" s="63">
        <v>13</v>
      </c>
      <c r="J951" s="235" t="s">
        <v>961</v>
      </c>
      <c r="K951" s="140">
        <v>52</v>
      </c>
      <c r="L951" s="14" t="s">
        <v>423</v>
      </c>
      <c r="M951" s="14" t="s">
        <v>4112</v>
      </c>
      <c r="N951" t="s">
        <v>2992</v>
      </c>
      <c r="P951" s="6"/>
      <c r="Q951" s="6"/>
      <c r="R951" s="6"/>
    </row>
    <row r="952" spans="1:18" x14ac:dyDescent="0.35">
      <c r="B952" s="235" t="s">
        <v>3283</v>
      </c>
      <c r="C952" s="257">
        <v>2.3853999492291824</v>
      </c>
      <c r="D952" s="261">
        <v>80.145100032638382</v>
      </c>
      <c r="E952" s="138" t="s">
        <v>396</v>
      </c>
      <c r="F952" s="402">
        <v>17</v>
      </c>
      <c r="G952" s="1" t="s">
        <v>85</v>
      </c>
      <c r="H952" s="402">
        <v>22</v>
      </c>
      <c r="I952" s="63">
        <v>13</v>
      </c>
      <c r="J952" s="235" t="s">
        <v>71</v>
      </c>
      <c r="K952" s="140">
        <v>40</v>
      </c>
      <c r="L952" s="14" t="s">
        <v>507</v>
      </c>
      <c r="M952" s="14" t="s">
        <v>4113</v>
      </c>
      <c r="N952" t="s">
        <v>2992</v>
      </c>
      <c r="P952" s="6"/>
      <c r="Q952" s="6"/>
      <c r="R952" s="6"/>
    </row>
    <row r="953" spans="1:18" x14ac:dyDescent="0.35">
      <c r="B953" s="235" t="s">
        <v>3283</v>
      </c>
      <c r="C953" s="257">
        <v>2.2575009886968713</v>
      </c>
      <c r="D953" s="261">
        <v>89.548749364409147</v>
      </c>
      <c r="E953" s="138" t="s">
        <v>395</v>
      </c>
      <c r="F953" s="402">
        <v>14</v>
      </c>
      <c r="G953" s="1" t="s">
        <v>1344</v>
      </c>
      <c r="H953" s="402">
        <v>17</v>
      </c>
      <c r="I953" s="63">
        <v>4</v>
      </c>
      <c r="J953" s="235" t="s">
        <v>67</v>
      </c>
      <c r="K953" s="140">
        <v>18</v>
      </c>
      <c r="L953" s="14" t="s">
        <v>447</v>
      </c>
      <c r="M953" s="43" t="s">
        <v>4114</v>
      </c>
      <c r="N953" s="1" t="s">
        <v>2953</v>
      </c>
      <c r="P953" s="6"/>
      <c r="Q953" s="6"/>
      <c r="R953" s="6"/>
    </row>
    <row r="954" spans="1:18" x14ac:dyDescent="0.35">
      <c r="B954" s="235" t="s">
        <v>3284</v>
      </c>
      <c r="C954" s="257">
        <v>-3.5566054266075313</v>
      </c>
      <c r="D954" s="261">
        <v>19.116746345676283</v>
      </c>
      <c r="E954" s="138" t="s">
        <v>396</v>
      </c>
      <c r="F954" s="402">
        <v>109</v>
      </c>
      <c r="G954" s="1" t="s">
        <v>31</v>
      </c>
      <c r="H954" s="402">
        <v>18</v>
      </c>
      <c r="I954" s="63">
        <v>15</v>
      </c>
      <c r="J954" s="235" t="s">
        <v>88</v>
      </c>
      <c r="K954" s="140">
        <v>98</v>
      </c>
      <c r="L954" s="14" t="s">
        <v>178</v>
      </c>
      <c r="M954" s="14" t="s">
        <v>4117</v>
      </c>
      <c r="N954" t="s">
        <v>2992</v>
      </c>
      <c r="O954" s="85" t="s">
        <v>4118</v>
      </c>
      <c r="R954" s="199"/>
    </row>
    <row r="955" spans="1:18" x14ac:dyDescent="0.35">
      <c r="B955" s="235" t="s">
        <v>3284</v>
      </c>
      <c r="C955" s="257">
        <v>1.754594752049035</v>
      </c>
      <c r="D955" s="261">
        <v>64.519367659397048</v>
      </c>
      <c r="E955" s="138" t="s">
        <v>395</v>
      </c>
      <c r="F955" s="402">
        <v>51</v>
      </c>
      <c r="G955" s="1" t="s">
        <v>43</v>
      </c>
      <c r="H955" s="402">
        <v>22</v>
      </c>
      <c r="I955" s="63">
        <v>10</v>
      </c>
      <c r="J955" s="235" t="s">
        <v>793</v>
      </c>
      <c r="K955" s="140">
        <v>44</v>
      </c>
      <c r="L955" s="14" t="s">
        <v>334</v>
      </c>
      <c r="M955" s="43" t="s">
        <v>4119</v>
      </c>
      <c r="N955" s="1" t="s">
        <v>2953</v>
      </c>
      <c r="O955" s="85" t="s">
        <v>4120</v>
      </c>
      <c r="R955" s="199"/>
    </row>
    <row r="956" spans="1:18" x14ac:dyDescent="0.35">
      <c r="B956" s="235" t="s">
        <v>3284</v>
      </c>
      <c r="C956" s="257">
        <v>6.0599825956704203</v>
      </c>
      <c r="D956" s="261">
        <v>73.856010691231035</v>
      </c>
      <c r="E956" s="138" t="s">
        <v>395</v>
      </c>
      <c r="F956" s="402">
        <v>23</v>
      </c>
      <c r="G956" s="1" t="s">
        <v>300</v>
      </c>
      <c r="H956" s="402">
        <v>33</v>
      </c>
      <c r="I956" s="63">
        <v>25</v>
      </c>
      <c r="J956" s="235" t="s">
        <v>787</v>
      </c>
      <c r="K956" s="140">
        <v>50</v>
      </c>
      <c r="L956" s="14" t="s">
        <v>4122</v>
      </c>
      <c r="M956" s="14" t="s">
        <v>4123</v>
      </c>
      <c r="N956" t="s">
        <v>2992</v>
      </c>
      <c r="O956" s="87" t="s">
        <v>4124</v>
      </c>
      <c r="R956" s="199"/>
    </row>
    <row r="957" spans="1:18" x14ac:dyDescent="0.35">
      <c r="B957" s="235" t="s">
        <v>3284</v>
      </c>
      <c r="C957" s="257">
        <v>1.0645120350901471</v>
      </c>
      <c r="D957" s="261">
        <v>93.128170834584907</v>
      </c>
      <c r="E957" s="138" t="s">
        <v>396</v>
      </c>
      <c r="F957" s="402">
        <v>7</v>
      </c>
      <c r="G957" s="1" t="s">
        <v>966</v>
      </c>
      <c r="H957" s="402">
        <v>26</v>
      </c>
      <c r="I957" s="63">
        <v>20</v>
      </c>
      <c r="J957" s="235" t="s">
        <v>83</v>
      </c>
      <c r="K957" s="140">
        <v>15</v>
      </c>
      <c r="L957" s="14" t="s">
        <v>184</v>
      </c>
      <c r="M957" s="14" t="s">
        <v>4125</v>
      </c>
      <c r="N957" t="s">
        <v>2992</v>
      </c>
      <c r="O957" s="85" t="s">
        <v>4126</v>
      </c>
      <c r="R957" s="199"/>
    </row>
    <row r="958" spans="1:18" x14ac:dyDescent="0.35">
      <c r="B958" s="235" t="s">
        <v>3284</v>
      </c>
      <c r="C958" s="257">
        <v>9.2520630297843258</v>
      </c>
      <c r="D958" s="261">
        <v>79.9093880522815</v>
      </c>
      <c r="E958" s="138" t="s">
        <v>395</v>
      </c>
      <c r="F958" s="402">
        <v>1</v>
      </c>
      <c r="G958" s="1" t="s">
        <v>87</v>
      </c>
      <c r="H958" s="402">
        <v>27</v>
      </c>
      <c r="I958" s="63">
        <v>25</v>
      </c>
      <c r="J958" s="235" t="s">
        <v>114</v>
      </c>
      <c r="K958" s="140">
        <v>43</v>
      </c>
      <c r="L958" s="14" t="s">
        <v>574</v>
      </c>
      <c r="M958" s="14" t="s">
        <v>4127</v>
      </c>
      <c r="N958" s="92" t="s">
        <v>2954</v>
      </c>
      <c r="O958" s="85" t="s">
        <v>4128</v>
      </c>
      <c r="R958" s="199"/>
    </row>
    <row r="959" spans="1:18" x14ac:dyDescent="0.35">
      <c r="B959" s="235" t="s">
        <v>3284</v>
      </c>
      <c r="C959" s="257">
        <v>3.2328433748877941</v>
      </c>
      <c r="D959" s="261">
        <v>77.993172116143555</v>
      </c>
      <c r="E959" s="138" t="s">
        <v>396</v>
      </c>
      <c r="F959" s="402">
        <v>13</v>
      </c>
      <c r="G959" s="1" t="s">
        <v>46</v>
      </c>
      <c r="H959" s="402">
        <v>21</v>
      </c>
      <c r="I959" s="63">
        <v>14</v>
      </c>
      <c r="J959" s="235" t="s">
        <v>79</v>
      </c>
      <c r="K959" s="140">
        <v>49</v>
      </c>
      <c r="L959" s="14" t="s">
        <v>185</v>
      </c>
      <c r="M959" s="14" t="s">
        <v>4129</v>
      </c>
      <c r="N959" t="s">
        <v>2992</v>
      </c>
      <c r="O959" s="85" t="s">
        <v>4130</v>
      </c>
      <c r="R959" s="199"/>
    </row>
    <row r="960" spans="1:18" x14ac:dyDescent="0.35">
      <c r="B960" s="235" t="s">
        <v>3284</v>
      </c>
      <c r="C960" s="257">
        <v>-7.226206967175024</v>
      </c>
      <c r="D960" s="261">
        <v>84.74218723651002</v>
      </c>
      <c r="E960" s="138" t="s">
        <v>396</v>
      </c>
      <c r="F960" s="402">
        <v>54</v>
      </c>
      <c r="G960" s="1" t="s">
        <v>49</v>
      </c>
      <c r="H960" s="402">
        <v>25</v>
      </c>
      <c r="I960" s="63">
        <v>24</v>
      </c>
      <c r="J960" s="235" t="s">
        <v>59</v>
      </c>
      <c r="K960" s="140">
        <v>9</v>
      </c>
      <c r="L960" s="14" t="s">
        <v>577</v>
      </c>
      <c r="M960" s="14" t="s">
        <v>4131</v>
      </c>
      <c r="N960" t="s">
        <v>2992</v>
      </c>
      <c r="O960" s="87" t="s">
        <v>4132</v>
      </c>
      <c r="R960" s="199"/>
    </row>
    <row r="961" spans="1:18" x14ac:dyDescent="0.35">
      <c r="B961" s="235" t="s">
        <v>3284</v>
      </c>
      <c r="C961" s="257">
        <v>3.4616570144355987</v>
      </c>
      <c r="D961" s="261">
        <v>84.274649062148541</v>
      </c>
      <c r="E961" s="138" t="s">
        <v>395</v>
      </c>
      <c r="F961" s="402">
        <v>12</v>
      </c>
      <c r="G961" s="1" t="s">
        <v>145</v>
      </c>
      <c r="H961" s="402">
        <v>26</v>
      </c>
      <c r="I961" s="63">
        <v>18</v>
      </c>
      <c r="J961" s="235" t="s">
        <v>34</v>
      </c>
      <c r="K961" s="140">
        <v>30</v>
      </c>
      <c r="L961" s="14" t="s">
        <v>289</v>
      </c>
      <c r="M961" s="14" t="s">
        <v>4133</v>
      </c>
      <c r="N961" t="s">
        <v>2992</v>
      </c>
      <c r="O961" s="85" t="s">
        <v>4134</v>
      </c>
      <c r="R961" s="199"/>
    </row>
    <row r="962" spans="1:18" x14ac:dyDescent="0.35">
      <c r="A962" s="6" t="s">
        <v>4142</v>
      </c>
      <c r="B962" s="235" t="s">
        <v>3284</v>
      </c>
      <c r="C962" s="257">
        <v>6.0659028530203463</v>
      </c>
      <c r="D962" s="261">
        <v>86.4576338802012</v>
      </c>
      <c r="E962" s="138" t="s">
        <v>396</v>
      </c>
      <c r="F962" s="402">
        <v>2</v>
      </c>
      <c r="G962" s="1" t="s">
        <v>795</v>
      </c>
      <c r="H962" s="402">
        <v>30</v>
      </c>
      <c r="I962" s="63">
        <v>15</v>
      </c>
      <c r="J962" s="235" t="s">
        <v>51</v>
      </c>
      <c r="K962" s="140">
        <v>28</v>
      </c>
      <c r="L962" s="14" t="s">
        <v>507</v>
      </c>
      <c r="M962" s="43" t="s">
        <v>4141</v>
      </c>
      <c r="N962" s="1" t="s">
        <v>2953</v>
      </c>
      <c r="O962" s="85" t="s">
        <v>4143</v>
      </c>
      <c r="R962" s="199"/>
    </row>
    <row r="963" spans="1:18" x14ac:dyDescent="0.35">
      <c r="B963" s="235" t="s">
        <v>3284</v>
      </c>
      <c r="C963" s="257">
        <v>8.4292364321073112</v>
      </c>
      <c r="D963" s="261">
        <v>74.331205150788165</v>
      </c>
      <c r="E963" s="138" t="s">
        <v>396</v>
      </c>
      <c r="F963" s="402">
        <v>3</v>
      </c>
      <c r="G963" s="1" t="s">
        <v>26</v>
      </c>
      <c r="H963" s="402">
        <v>24</v>
      </c>
      <c r="I963" s="63">
        <v>16</v>
      </c>
      <c r="J963" s="235" t="s">
        <v>788</v>
      </c>
      <c r="K963" s="140">
        <v>60</v>
      </c>
      <c r="L963" s="14" t="s">
        <v>186</v>
      </c>
      <c r="M963" s="14" t="s">
        <v>4144</v>
      </c>
      <c r="N963" t="s">
        <v>2992</v>
      </c>
      <c r="O963" s="85" t="s">
        <v>4145</v>
      </c>
      <c r="R963" s="199"/>
    </row>
    <row r="964" spans="1:18" x14ac:dyDescent="0.35">
      <c r="B964" s="235" t="s">
        <v>3284</v>
      </c>
      <c r="C964" s="257">
        <v>5.0229188399913856</v>
      </c>
      <c r="D964" s="261">
        <v>89.739730745719825</v>
      </c>
      <c r="E964" s="138" t="s">
        <v>395</v>
      </c>
      <c r="F964" s="402">
        <v>4</v>
      </c>
      <c r="G964" s="1" t="s">
        <v>119</v>
      </c>
      <c r="H964" s="402">
        <v>23</v>
      </c>
      <c r="I964" s="63">
        <v>12</v>
      </c>
      <c r="J964" s="235" t="s">
        <v>69</v>
      </c>
      <c r="K964" s="140">
        <v>21</v>
      </c>
      <c r="L964" s="14" t="s">
        <v>507</v>
      </c>
      <c r="M964" s="14" t="s">
        <v>4146</v>
      </c>
      <c r="N964" t="s">
        <v>2992</v>
      </c>
      <c r="O964" s="85" t="s">
        <v>4147</v>
      </c>
      <c r="R964" s="199"/>
    </row>
    <row r="965" spans="1:18" x14ac:dyDescent="0.35">
      <c r="B965" s="235" t="s">
        <v>3284</v>
      </c>
      <c r="C965" s="257">
        <v>-0.75605915747757191</v>
      </c>
      <c r="D965" s="261">
        <v>75.535145172664159</v>
      </c>
      <c r="E965" s="138" t="s">
        <v>395</v>
      </c>
      <c r="F965" s="402">
        <v>42</v>
      </c>
      <c r="G965" s="1" t="s">
        <v>960</v>
      </c>
      <c r="H965" s="402">
        <v>20</v>
      </c>
      <c r="I965" s="63">
        <v>13</v>
      </c>
      <c r="J965" s="235" t="s">
        <v>66</v>
      </c>
      <c r="K965" s="140">
        <v>27</v>
      </c>
      <c r="L965" s="14" t="s">
        <v>201</v>
      </c>
      <c r="M965" s="14" t="s">
        <v>4148</v>
      </c>
      <c r="N965" t="s">
        <v>2992</v>
      </c>
      <c r="O965" s="85" t="s">
        <v>4149</v>
      </c>
      <c r="R965" s="199"/>
    </row>
    <row r="966" spans="1:18" x14ac:dyDescent="0.35">
      <c r="B966" s="235" t="s">
        <v>3284</v>
      </c>
      <c r="C966" s="257">
        <v>-8.0733496960828237</v>
      </c>
      <c r="D966" s="261">
        <v>88.154296233196106</v>
      </c>
      <c r="E966" s="138" t="s">
        <v>396</v>
      </c>
      <c r="F966" s="402">
        <v>47</v>
      </c>
      <c r="G966" s="1" t="s">
        <v>62</v>
      </c>
      <c r="H966" s="402">
        <v>24</v>
      </c>
      <c r="I966" s="63">
        <v>20</v>
      </c>
      <c r="J966" s="235" t="s">
        <v>36</v>
      </c>
      <c r="K966" s="140">
        <v>6</v>
      </c>
      <c r="L966" s="14" t="s">
        <v>332</v>
      </c>
      <c r="M966" s="14" t="s">
        <v>4150</v>
      </c>
      <c r="N966" t="s">
        <v>2992</v>
      </c>
      <c r="O966" s="85" t="s">
        <v>4151</v>
      </c>
      <c r="R966" s="199"/>
    </row>
    <row r="967" spans="1:18" x14ac:dyDescent="0.35">
      <c r="B967" s="235" t="s">
        <v>3284</v>
      </c>
      <c r="C967" s="257">
        <v>4.838322015645824</v>
      </c>
      <c r="D967" s="261">
        <v>77.603935847084827</v>
      </c>
      <c r="E967" s="138" t="s">
        <v>396</v>
      </c>
      <c r="F967" s="402">
        <v>8</v>
      </c>
      <c r="G967" s="1" t="s">
        <v>41</v>
      </c>
      <c r="H967" s="402">
        <v>16</v>
      </c>
      <c r="I967" s="63">
        <v>14</v>
      </c>
      <c r="J967" s="235" t="s">
        <v>961</v>
      </c>
      <c r="K967" s="140">
        <v>52</v>
      </c>
      <c r="L967" s="14" t="s">
        <v>295</v>
      </c>
      <c r="M967" s="14" t="s">
        <v>4152</v>
      </c>
      <c r="N967" s="92" t="s">
        <v>2954</v>
      </c>
      <c r="O967" s="85" t="s">
        <v>4153</v>
      </c>
      <c r="R967" s="199"/>
    </row>
    <row r="968" spans="1:18" x14ac:dyDescent="0.35">
      <c r="B968" s="235" t="s">
        <v>3284</v>
      </c>
      <c r="C968" s="257">
        <v>-5.0453999492291821</v>
      </c>
      <c r="D968" s="261">
        <v>85.257108539515485</v>
      </c>
      <c r="E968" s="138" t="s">
        <v>396</v>
      </c>
      <c r="F968" s="402">
        <v>40</v>
      </c>
      <c r="G968" s="1" t="s">
        <v>71</v>
      </c>
      <c r="H968" s="402">
        <v>27</v>
      </c>
      <c r="I968" s="63">
        <v>20</v>
      </c>
      <c r="J968" s="235" t="s">
        <v>85</v>
      </c>
      <c r="K968" s="140">
        <v>17</v>
      </c>
      <c r="L968" s="14" t="s">
        <v>874</v>
      </c>
      <c r="M968" s="14" t="s">
        <v>4154</v>
      </c>
      <c r="N968" t="s">
        <v>2992</v>
      </c>
      <c r="O968" s="87" t="s">
        <v>4155</v>
      </c>
      <c r="R968" s="199"/>
    </row>
    <row r="969" spans="1:18" ht="15" thickBot="1" x14ac:dyDescent="0.4">
      <c r="B969" s="57" t="s">
        <v>3284</v>
      </c>
      <c r="C969" s="259">
        <v>-0.47852781404924083</v>
      </c>
      <c r="D969" s="262">
        <v>91.307625023317371</v>
      </c>
      <c r="E969" s="222" t="s">
        <v>396</v>
      </c>
      <c r="F969" s="381">
        <v>14</v>
      </c>
      <c r="G969" s="44" t="s">
        <v>1344</v>
      </c>
      <c r="H969" s="381">
        <v>14</v>
      </c>
      <c r="I969" s="56">
        <v>13</v>
      </c>
      <c r="J969" s="57" t="s">
        <v>67</v>
      </c>
      <c r="K969" s="141">
        <v>18</v>
      </c>
      <c r="L969" s="23" t="s">
        <v>365</v>
      </c>
      <c r="M969" s="23" t="s">
        <v>4156</v>
      </c>
      <c r="N969" s="344" t="s">
        <v>2954</v>
      </c>
      <c r="O969" s="86" t="s">
        <v>4157</v>
      </c>
      <c r="R969" s="199"/>
    </row>
    <row r="970" spans="1:18" x14ac:dyDescent="0.35">
      <c r="B970" s="76" t="s">
        <v>3285</v>
      </c>
      <c r="C970" s="257">
        <v>-5.0690796872647175</v>
      </c>
      <c r="D970" s="261">
        <v>76.716823794488249</v>
      </c>
      <c r="E970" s="138" t="s">
        <v>396</v>
      </c>
      <c r="F970" s="402">
        <v>59</v>
      </c>
      <c r="G970" s="1" t="s">
        <v>24</v>
      </c>
      <c r="H970" s="402">
        <v>24</v>
      </c>
      <c r="I970" s="63">
        <v>20</v>
      </c>
      <c r="J970" s="235" t="s">
        <v>53</v>
      </c>
      <c r="K970" s="140">
        <v>22</v>
      </c>
      <c r="L970" s="14" t="s">
        <v>361</v>
      </c>
      <c r="M970" s="14" t="s">
        <v>4175</v>
      </c>
    </row>
    <row r="971" spans="1:18" x14ac:dyDescent="0.35">
      <c r="B971" s="76" t="s">
        <v>3286</v>
      </c>
      <c r="C971" s="257">
        <v>2.0765796872647169</v>
      </c>
      <c r="D971" s="261">
        <v>72.021104776940319</v>
      </c>
      <c r="E971" s="138" t="s">
        <v>396</v>
      </c>
      <c r="F971" s="402">
        <v>22</v>
      </c>
      <c r="G971" s="1" t="s">
        <v>53</v>
      </c>
      <c r="H971" s="402">
        <v>24</v>
      </c>
      <c r="I971" s="63">
        <v>15</v>
      </c>
      <c r="J971" s="235" t="s">
        <v>24</v>
      </c>
      <c r="K971" s="140">
        <v>59</v>
      </c>
      <c r="L971" s="14" t="s">
        <v>443</v>
      </c>
      <c r="M971" s="14" t="s">
        <v>4177</v>
      </c>
      <c r="N971" t="s">
        <v>2992</v>
      </c>
      <c r="O971" s="85" t="s">
        <v>4179</v>
      </c>
    </row>
    <row r="972" spans="1:18" x14ac:dyDescent="0.35">
      <c r="B972" s="76" t="s">
        <v>3285</v>
      </c>
      <c r="C972" s="257">
        <v>1.8771804632368307</v>
      </c>
      <c r="D972" s="261">
        <v>75.478924267015799</v>
      </c>
      <c r="E972" s="138" t="s">
        <v>395</v>
      </c>
      <c r="F972" s="402">
        <v>31</v>
      </c>
      <c r="G972" s="1" t="s">
        <v>965</v>
      </c>
      <c r="H972" s="402">
        <v>20</v>
      </c>
      <c r="I972" s="63">
        <v>9</v>
      </c>
      <c r="J972" s="235" t="s">
        <v>40</v>
      </c>
      <c r="K972" s="140">
        <v>32</v>
      </c>
      <c r="L972" s="14" t="s">
        <v>507</v>
      </c>
      <c r="M972" s="14" t="s">
        <v>4180</v>
      </c>
      <c r="N972" t="s">
        <v>2992</v>
      </c>
    </row>
    <row r="973" spans="1:18" x14ac:dyDescent="0.35">
      <c r="B973" s="76" t="s">
        <v>3286</v>
      </c>
      <c r="C973" s="257">
        <v>0.90750703676316935</v>
      </c>
      <c r="D973" s="261">
        <v>76.116138232984198</v>
      </c>
      <c r="E973" s="138" t="s">
        <v>395</v>
      </c>
      <c r="F973" s="402">
        <v>32</v>
      </c>
      <c r="G973" s="1" t="s">
        <v>40</v>
      </c>
      <c r="H973" s="402">
        <v>16</v>
      </c>
      <c r="I973" s="63">
        <v>14</v>
      </c>
      <c r="J973" s="235" t="s">
        <v>965</v>
      </c>
      <c r="K973" s="140">
        <v>31</v>
      </c>
      <c r="L973" s="14" t="s">
        <v>296</v>
      </c>
      <c r="M973" s="14" t="s">
        <v>4182</v>
      </c>
      <c r="N973" t="s">
        <v>2992</v>
      </c>
      <c r="O973" s="85" t="s">
        <v>4190</v>
      </c>
    </row>
    <row r="974" spans="1:18" x14ac:dyDescent="0.35">
      <c r="B974" s="76" t="s">
        <v>3287</v>
      </c>
      <c r="C974" s="257">
        <v>1.4943055584976679</v>
      </c>
      <c r="D974" s="261">
        <v>81.932313490130099</v>
      </c>
      <c r="E974" s="138" t="s">
        <v>396</v>
      </c>
      <c r="F974" s="402">
        <v>16</v>
      </c>
      <c r="G974" s="1" t="s">
        <v>77</v>
      </c>
      <c r="H974" s="402">
        <v>28</v>
      </c>
      <c r="I974" s="63">
        <v>18</v>
      </c>
      <c r="J974" s="235" t="s">
        <v>45</v>
      </c>
      <c r="K974" s="140">
        <v>36</v>
      </c>
      <c r="L974" s="14" t="s">
        <v>504</v>
      </c>
      <c r="M974" s="14" t="s">
        <v>4189</v>
      </c>
      <c r="N974" t="s">
        <v>2992</v>
      </c>
    </row>
    <row r="975" spans="1:18" x14ac:dyDescent="0.35">
      <c r="B975" s="76" t="s">
        <v>3288</v>
      </c>
      <c r="C975" s="257">
        <v>3.9486805584976685</v>
      </c>
      <c r="D975" s="261">
        <v>80.319438490130096</v>
      </c>
      <c r="E975" s="138" t="s">
        <v>395</v>
      </c>
      <c r="F975" s="402">
        <v>16</v>
      </c>
      <c r="G975" s="1" t="s">
        <v>77</v>
      </c>
      <c r="H975" s="402">
        <v>38</v>
      </c>
      <c r="I975" s="63">
        <v>16</v>
      </c>
      <c r="J975" s="235" t="s">
        <v>45</v>
      </c>
      <c r="K975" s="140">
        <v>36</v>
      </c>
      <c r="L975" s="14" t="s">
        <v>874</v>
      </c>
      <c r="M975" s="43" t="s">
        <v>4192</v>
      </c>
      <c r="N975" s="1" t="s">
        <v>2953</v>
      </c>
      <c r="O975" s="85" t="s">
        <v>4194</v>
      </c>
    </row>
    <row r="976" spans="1:18" x14ac:dyDescent="0.35">
      <c r="A976" s="6" t="s">
        <v>4200</v>
      </c>
      <c r="B976" s="76" t="s">
        <v>3287</v>
      </c>
      <c r="C976" s="257">
        <v>10.107644726027575</v>
      </c>
      <c r="D976" s="261">
        <v>68.057833465753319</v>
      </c>
      <c r="E976" s="138" t="s">
        <v>395</v>
      </c>
      <c r="F976" s="402">
        <v>5</v>
      </c>
      <c r="G976" s="1" t="s">
        <v>118</v>
      </c>
      <c r="H976" s="402">
        <v>41</v>
      </c>
      <c r="I976" s="63">
        <v>13</v>
      </c>
      <c r="J976" s="235" t="s">
        <v>32</v>
      </c>
      <c r="K976" s="140">
        <v>72</v>
      </c>
      <c r="L976" s="14" t="s">
        <v>465</v>
      </c>
      <c r="M976" s="43" t="s">
        <v>4195</v>
      </c>
      <c r="N976" s="1" t="s">
        <v>2953</v>
      </c>
    </row>
    <row r="977" spans="2:15" x14ac:dyDescent="0.35">
      <c r="B977" s="76" t="s">
        <v>3288</v>
      </c>
      <c r="C977" s="257">
        <v>-7.6401447260275752</v>
      </c>
      <c r="D977" s="261">
        <v>80.161521609589158</v>
      </c>
      <c r="E977" s="138" t="s">
        <v>395</v>
      </c>
      <c r="F977" s="402">
        <v>72</v>
      </c>
      <c r="G977" s="1" t="s">
        <v>32</v>
      </c>
      <c r="H977" s="402">
        <v>23</v>
      </c>
      <c r="I977" s="63">
        <v>21</v>
      </c>
      <c r="J977" s="235" t="s">
        <v>118</v>
      </c>
      <c r="K977" s="140">
        <v>5</v>
      </c>
      <c r="L977" s="14" t="s">
        <v>425</v>
      </c>
      <c r="M977" s="14" t="s">
        <v>4197</v>
      </c>
      <c r="O977" s="87" t="s">
        <v>4201</v>
      </c>
    </row>
    <row r="978" spans="2:15" x14ac:dyDescent="0.35">
      <c r="B978" s="76" t="s">
        <v>3289</v>
      </c>
      <c r="C978" s="257">
        <v>5.8651672009336036</v>
      </c>
      <c r="D978" s="261">
        <v>73.145747267957915</v>
      </c>
      <c r="E978" s="138" t="s">
        <v>395</v>
      </c>
      <c r="F978" s="402">
        <v>19</v>
      </c>
      <c r="G978" s="1" t="s">
        <v>790</v>
      </c>
      <c r="H978" s="402">
        <v>21</v>
      </c>
      <c r="I978" s="63">
        <v>9</v>
      </c>
      <c r="J978" s="235" t="s">
        <v>43</v>
      </c>
      <c r="K978" s="140">
        <v>51</v>
      </c>
      <c r="L978" s="14" t="s">
        <v>450</v>
      </c>
      <c r="M978" s="43" t="s">
        <v>4202</v>
      </c>
      <c r="N978" s="1" t="s">
        <v>2953</v>
      </c>
    </row>
    <row r="979" spans="2:15" x14ac:dyDescent="0.35">
      <c r="B979" s="76" t="s">
        <v>3290</v>
      </c>
      <c r="C979" s="257">
        <v>3.1339172009336038</v>
      </c>
      <c r="D979" s="261">
        <v>74.94056869652934</v>
      </c>
      <c r="E979" s="138" t="s">
        <v>396</v>
      </c>
      <c r="F979" s="402">
        <v>19</v>
      </c>
      <c r="G979" s="1" t="s">
        <v>790</v>
      </c>
      <c r="H979" s="402">
        <v>23</v>
      </c>
      <c r="I979" s="63">
        <v>15</v>
      </c>
      <c r="J979" s="235" t="s">
        <v>43</v>
      </c>
      <c r="K979" s="140">
        <v>51</v>
      </c>
      <c r="L979" s="14" t="s">
        <v>185</v>
      </c>
      <c r="M979" s="14" t="s">
        <v>4204</v>
      </c>
      <c r="N979" t="s">
        <v>2992</v>
      </c>
      <c r="O979" s="85" t="s">
        <v>4208</v>
      </c>
    </row>
    <row r="980" spans="2:15" x14ac:dyDescent="0.35">
      <c r="B980" s="76" t="s">
        <v>3289</v>
      </c>
      <c r="C980" s="257">
        <v>1.2598740960240904</v>
      </c>
      <c r="D980" s="261">
        <v>69.600654165469876</v>
      </c>
      <c r="E980" s="138" t="s">
        <v>395</v>
      </c>
      <c r="F980" s="402">
        <v>43</v>
      </c>
      <c r="G980" s="1" t="s">
        <v>114</v>
      </c>
      <c r="H980" s="402">
        <v>14</v>
      </c>
      <c r="I980" s="63">
        <v>11</v>
      </c>
      <c r="J980" s="235" t="s">
        <v>1302</v>
      </c>
      <c r="K980" s="140">
        <v>37</v>
      </c>
      <c r="L980" s="14" t="s">
        <v>400</v>
      </c>
      <c r="M980" s="14" t="s">
        <v>4209</v>
      </c>
    </row>
    <row r="981" spans="2:15" x14ac:dyDescent="0.35">
      <c r="B981" s="76" t="s">
        <v>3290</v>
      </c>
      <c r="C981" s="257">
        <v>1.3366300113530125</v>
      </c>
      <c r="D981" s="261">
        <v>69.550214563968012</v>
      </c>
      <c r="E981" s="138" t="s">
        <v>395</v>
      </c>
      <c r="F981" s="402">
        <v>37</v>
      </c>
      <c r="G981" s="1" t="s">
        <v>1302</v>
      </c>
      <c r="H981" s="402">
        <v>25</v>
      </c>
      <c r="I981" s="63">
        <v>11</v>
      </c>
      <c r="J981" s="235" t="s">
        <v>114</v>
      </c>
      <c r="K981" s="140">
        <v>43</v>
      </c>
      <c r="L981" s="14" t="s">
        <v>404</v>
      </c>
      <c r="M981" s="43" t="s">
        <v>4211</v>
      </c>
      <c r="N981" s="1" t="s">
        <v>2953</v>
      </c>
      <c r="O981" s="85" t="s">
        <v>4213</v>
      </c>
    </row>
    <row r="982" spans="2:15" x14ac:dyDescent="0.35">
      <c r="B982" s="76" t="s">
        <v>3291</v>
      </c>
      <c r="C982" s="257">
        <v>4.1385822930712441</v>
      </c>
      <c r="D982" s="261">
        <v>54.032145921696049</v>
      </c>
      <c r="E982" s="138" t="s">
        <v>396</v>
      </c>
      <c r="F982" s="402">
        <v>27</v>
      </c>
      <c r="G982" s="1" t="s">
        <v>66</v>
      </c>
      <c r="H982" s="402">
        <v>20</v>
      </c>
      <c r="I982" s="63">
        <v>19</v>
      </c>
      <c r="J982" s="235" t="s">
        <v>784</v>
      </c>
      <c r="K982" s="140">
        <v>90</v>
      </c>
      <c r="L982" s="14" t="s">
        <v>369</v>
      </c>
      <c r="M982" s="14" t="s">
        <v>4224</v>
      </c>
      <c r="N982" s="92" t="s">
        <v>2954</v>
      </c>
    </row>
    <row r="983" spans="2:15" x14ac:dyDescent="0.35">
      <c r="B983" s="76" t="s">
        <v>3292</v>
      </c>
      <c r="C983" s="257">
        <v>7.3614989597379106</v>
      </c>
      <c r="D983" s="261">
        <v>51.914229255029376</v>
      </c>
      <c r="E983" s="138" t="s">
        <v>395</v>
      </c>
      <c r="F983" s="402">
        <v>27</v>
      </c>
      <c r="G983" s="1" t="s">
        <v>66</v>
      </c>
      <c r="H983" s="402">
        <v>27</v>
      </c>
      <c r="I983" s="63">
        <v>16</v>
      </c>
      <c r="J983" s="235" t="s">
        <v>784</v>
      </c>
      <c r="K983" s="140">
        <v>90</v>
      </c>
      <c r="L983" s="14" t="s">
        <v>507</v>
      </c>
      <c r="M983" s="14" t="s">
        <v>4226</v>
      </c>
      <c r="N983" t="s">
        <v>2992</v>
      </c>
      <c r="O983" s="85" t="s">
        <v>4227</v>
      </c>
    </row>
    <row r="984" spans="2:15" x14ac:dyDescent="0.35">
      <c r="B984" s="76" t="s">
        <v>3291</v>
      </c>
      <c r="C984" s="257">
        <v>-3.8137626923455965</v>
      </c>
      <c r="D984" s="261">
        <v>84.434758340684255</v>
      </c>
      <c r="E984" s="138" t="s">
        <v>396</v>
      </c>
      <c r="F984" s="402">
        <v>35</v>
      </c>
      <c r="G984" s="1" t="s">
        <v>50</v>
      </c>
      <c r="H984" s="402">
        <v>22</v>
      </c>
      <c r="I984" s="63">
        <v>11</v>
      </c>
      <c r="J984" s="235" t="s">
        <v>962</v>
      </c>
      <c r="K984" s="140">
        <v>20</v>
      </c>
      <c r="L984" s="14" t="s">
        <v>286</v>
      </c>
      <c r="M984" s="14" t="s">
        <v>4229</v>
      </c>
      <c r="N984" t="s">
        <v>2992</v>
      </c>
    </row>
    <row r="985" spans="2:15" x14ac:dyDescent="0.35">
      <c r="B985" s="76" t="s">
        <v>3292</v>
      </c>
      <c r="C985" s="257">
        <v>1.1887626923455963</v>
      </c>
      <c r="D985" s="261">
        <v>81.147384516458615</v>
      </c>
      <c r="E985" s="138" t="s">
        <v>396</v>
      </c>
      <c r="F985" s="402">
        <v>20</v>
      </c>
      <c r="G985" s="1" t="s">
        <v>962</v>
      </c>
      <c r="H985" s="402">
        <v>29</v>
      </c>
      <c r="I985" s="63">
        <v>7</v>
      </c>
      <c r="J985" s="235" t="s">
        <v>50</v>
      </c>
      <c r="K985" s="140">
        <v>35</v>
      </c>
      <c r="L985" s="14" t="s">
        <v>404</v>
      </c>
      <c r="M985" s="43" t="s">
        <v>4231</v>
      </c>
      <c r="N985" s="1" t="s">
        <v>2953</v>
      </c>
      <c r="O985" s="85" t="s">
        <v>4234</v>
      </c>
    </row>
    <row r="986" spans="2:15" x14ac:dyDescent="0.35">
      <c r="B986" s="76" t="s">
        <v>3293</v>
      </c>
      <c r="C986" s="257">
        <v>-4.1464323673785692</v>
      </c>
      <c r="D986" s="261">
        <v>81.367655555705923</v>
      </c>
      <c r="E986" s="138" t="s">
        <v>396</v>
      </c>
      <c r="F986" s="402">
        <v>41</v>
      </c>
      <c r="G986" s="1" t="s">
        <v>794</v>
      </c>
      <c r="H986" s="402">
        <v>16</v>
      </c>
      <c r="I986" s="63">
        <v>12</v>
      </c>
      <c r="J986" s="235" t="s">
        <v>33</v>
      </c>
      <c r="K986" s="140">
        <v>24</v>
      </c>
      <c r="L986" s="14" t="s">
        <v>331</v>
      </c>
      <c r="M986" s="14" t="s">
        <v>4235</v>
      </c>
    </row>
    <row r="987" spans="2:15" x14ac:dyDescent="0.35">
      <c r="B987" s="76" t="s">
        <v>3294</v>
      </c>
      <c r="C987" s="257">
        <v>-0.98393236737856871</v>
      </c>
      <c r="D987" s="261">
        <v>79.289441269991627</v>
      </c>
      <c r="E987" s="138" t="s">
        <v>395</v>
      </c>
      <c r="F987" s="402">
        <v>41</v>
      </c>
      <c r="G987" s="1" t="s">
        <v>794</v>
      </c>
      <c r="H987" s="402">
        <v>12</v>
      </c>
      <c r="I987" s="63">
        <v>8</v>
      </c>
      <c r="J987" s="235" t="s">
        <v>33</v>
      </c>
      <c r="K987" s="140">
        <v>24</v>
      </c>
      <c r="L987" s="14" t="s">
        <v>281</v>
      </c>
      <c r="M987" s="14" t="s">
        <v>4237</v>
      </c>
      <c r="O987" s="85" t="s">
        <v>4240</v>
      </c>
    </row>
    <row r="988" spans="2:15" x14ac:dyDescent="0.35">
      <c r="B988" s="76" t="s">
        <v>3293</v>
      </c>
      <c r="C988" s="257">
        <v>2.2234961176496042</v>
      </c>
      <c r="D988" s="261">
        <v>22.556702551258844</v>
      </c>
      <c r="E988" s="138" t="s">
        <v>396</v>
      </c>
      <c r="F988" s="402">
        <v>79</v>
      </c>
      <c r="G988" s="1" t="s">
        <v>74</v>
      </c>
      <c r="H988" s="402">
        <v>18</v>
      </c>
      <c r="I988" s="63">
        <v>10</v>
      </c>
      <c r="J988" s="235" t="s">
        <v>959</v>
      </c>
      <c r="K988" s="140">
        <v>106</v>
      </c>
      <c r="L988" s="14" t="s">
        <v>360</v>
      </c>
      <c r="M988" s="14" t="s">
        <v>4239</v>
      </c>
    </row>
    <row r="989" spans="2:15" x14ac:dyDescent="0.35">
      <c r="B989" s="76" t="s">
        <v>3294</v>
      </c>
      <c r="C989" s="257">
        <v>4.8280794509829379</v>
      </c>
      <c r="D989" s="261">
        <v>20.8451192179255</v>
      </c>
      <c r="E989" s="138" t="s">
        <v>395</v>
      </c>
      <c r="F989" s="402">
        <v>79</v>
      </c>
      <c r="G989" s="1" t="s">
        <v>74</v>
      </c>
      <c r="H989" s="402">
        <v>25</v>
      </c>
      <c r="I989" s="63">
        <v>15</v>
      </c>
      <c r="J989" s="235" t="s">
        <v>959</v>
      </c>
      <c r="K989" s="140">
        <v>106</v>
      </c>
      <c r="L989" s="14" t="s">
        <v>290</v>
      </c>
      <c r="M989" s="14" t="s">
        <v>4242</v>
      </c>
      <c r="O989" s="85" t="s">
        <v>4251</v>
      </c>
    </row>
    <row r="990" spans="2:15" x14ac:dyDescent="0.35">
      <c r="B990" s="76" t="s">
        <v>3295</v>
      </c>
      <c r="C990" s="257">
        <v>-4.8873834076835682E-2</v>
      </c>
      <c r="D990" s="261">
        <v>91.407117090964789</v>
      </c>
      <c r="E990" s="138" t="s">
        <v>396</v>
      </c>
      <c r="F990" s="402">
        <v>12</v>
      </c>
      <c r="G990" s="1" t="s">
        <v>145</v>
      </c>
      <c r="H990" s="402">
        <v>16</v>
      </c>
      <c r="I990" s="63">
        <v>13</v>
      </c>
      <c r="J990" s="235" t="s">
        <v>67</v>
      </c>
      <c r="K990" s="140">
        <v>18</v>
      </c>
      <c r="L990" s="14" t="s">
        <v>507</v>
      </c>
      <c r="M990" s="14" t="s">
        <v>4247</v>
      </c>
      <c r="N990" t="s">
        <v>2992</v>
      </c>
    </row>
    <row r="991" spans="2:15" x14ac:dyDescent="0.35">
      <c r="B991" s="76" t="s">
        <v>3296</v>
      </c>
      <c r="C991" s="257">
        <v>-2.6711261659231642</v>
      </c>
      <c r="D991" s="261">
        <v>93.130311480463789</v>
      </c>
      <c r="E991" s="138" t="s">
        <v>396</v>
      </c>
      <c r="F991" s="402">
        <v>18</v>
      </c>
      <c r="G991" s="1" t="s">
        <v>67</v>
      </c>
      <c r="H991" s="402">
        <v>18</v>
      </c>
      <c r="I991" s="63">
        <v>8</v>
      </c>
      <c r="J991" s="235" t="s">
        <v>145</v>
      </c>
      <c r="K991" s="140">
        <v>12</v>
      </c>
      <c r="L991" s="14" t="s">
        <v>200</v>
      </c>
      <c r="M991" s="43" t="s">
        <v>4248</v>
      </c>
      <c r="N991" s="1" t="s">
        <v>2953</v>
      </c>
      <c r="O991" s="85" t="s">
        <v>4252</v>
      </c>
    </row>
    <row r="992" spans="2:15" x14ac:dyDescent="0.35">
      <c r="B992" s="76" t="s">
        <v>3295</v>
      </c>
      <c r="C992" s="257">
        <v>2.9456884547881943</v>
      </c>
      <c r="D992" s="261">
        <v>31.939261872567759</v>
      </c>
      <c r="E992" s="138" t="s">
        <v>395</v>
      </c>
      <c r="F992" s="402">
        <v>75</v>
      </c>
      <c r="G992" s="1" t="s">
        <v>86</v>
      </c>
      <c r="H992" s="402">
        <v>23</v>
      </c>
      <c r="I992" s="63">
        <v>18</v>
      </c>
      <c r="J992" s="235" t="s">
        <v>786</v>
      </c>
      <c r="K992" s="140">
        <v>86</v>
      </c>
      <c r="L992" s="14" t="s">
        <v>443</v>
      </c>
      <c r="M992" s="14" t="s">
        <v>4253</v>
      </c>
      <c r="N992" t="s">
        <v>2992</v>
      </c>
    </row>
    <row r="993" spans="1:15" ht="15" thickBot="1" x14ac:dyDescent="0.4">
      <c r="B993" s="77" t="s">
        <v>3296</v>
      </c>
      <c r="C993" s="259">
        <v>6.402178812152777E-2</v>
      </c>
      <c r="D993" s="262">
        <v>33.83292853923443</v>
      </c>
      <c r="E993" s="222" t="s">
        <v>396</v>
      </c>
      <c r="F993" s="381">
        <v>75</v>
      </c>
      <c r="G993" s="44" t="s">
        <v>86</v>
      </c>
      <c r="H993" s="381">
        <v>28</v>
      </c>
      <c r="I993" s="56">
        <v>15</v>
      </c>
      <c r="J993" s="57" t="s">
        <v>786</v>
      </c>
      <c r="K993" s="141">
        <v>86</v>
      </c>
      <c r="L993" s="23" t="s">
        <v>199</v>
      </c>
      <c r="M993" s="271" t="s">
        <v>4255</v>
      </c>
      <c r="N993" s="44" t="s">
        <v>2953</v>
      </c>
      <c r="O993" s="86" t="s">
        <v>4256</v>
      </c>
    </row>
    <row r="994" spans="1:15" x14ac:dyDescent="0.35">
      <c r="A994" s="6" t="s">
        <v>4395</v>
      </c>
      <c r="B994" s="235" t="s">
        <v>4159</v>
      </c>
      <c r="C994" s="257">
        <v>-7.6044446935854131</v>
      </c>
      <c r="D994" s="261">
        <v>23.735317638275287</v>
      </c>
      <c r="E994" s="138" t="s">
        <v>396</v>
      </c>
      <c r="F994" s="402">
        <v>112</v>
      </c>
      <c r="G994" s="1" t="s">
        <v>964</v>
      </c>
      <c r="H994" s="402">
        <v>24</v>
      </c>
      <c r="I994" s="63">
        <v>21</v>
      </c>
      <c r="J994" s="235" t="s">
        <v>963</v>
      </c>
      <c r="K994" s="140">
        <v>71</v>
      </c>
      <c r="L994" s="14" t="s">
        <v>337</v>
      </c>
      <c r="M994" s="14" t="s">
        <v>4392</v>
      </c>
      <c r="N994" t="s">
        <v>2992</v>
      </c>
    </row>
    <row r="995" spans="1:15" x14ac:dyDescent="0.35">
      <c r="B995" s="235"/>
      <c r="C995" s="257">
        <v>-6.6026871540941228</v>
      </c>
      <c r="D995" s="261">
        <v>21.234062252924378</v>
      </c>
      <c r="E995" s="138" t="s">
        <v>396</v>
      </c>
      <c r="F995" s="402">
        <v>111</v>
      </c>
      <c r="G995" s="1" t="s">
        <v>48</v>
      </c>
      <c r="H995" s="402">
        <v>22</v>
      </c>
      <c r="I995" s="63">
        <v>20</v>
      </c>
      <c r="J995" s="235" t="s">
        <v>84</v>
      </c>
      <c r="K995" s="140">
        <v>76</v>
      </c>
      <c r="L995" s="14" t="s">
        <v>290</v>
      </c>
      <c r="M995" s="14" t="s">
        <v>4394</v>
      </c>
      <c r="N995" t="s">
        <v>2992</v>
      </c>
      <c r="O995" s="85" t="s">
        <v>4393</v>
      </c>
    </row>
    <row r="996" spans="1:15" x14ac:dyDescent="0.35">
      <c r="B996" s="235"/>
      <c r="C996" s="257">
        <v>-3.6234306866850385</v>
      </c>
      <c r="D996" s="261">
        <v>7.498879061917874</v>
      </c>
      <c r="E996" s="138" t="s">
        <v>396</v>
      </c>
      <c r="F996" s="402">
        <v>110</v>
      </c>
      <c r="G996" s="1" t="s">
        <v>76</v>
      </c>
      <c r="H996" s="402">
        <v>29</v>
      </c>
      <c r="I996" s="63">
        <v>19</v>
      </c>
      <c r="J996" s="235" t="s">
        <v>55</v>
      </c>
      <c r="K996" s="140">
        <v>103</v>
      </c>
      <c r="L996" s="14" t="s">
        <v>465</v>
      </c>
      <c r="M996" s="14" t="s">
        <v>4396</v>
      </c>
      <c r="N996" t="s">
        <v>2992</v>
      </c>
    </row>
    <row r="997" spans="1:15" x14ac:dyDescent="0.35">
      <c r="B997" s="235"/>
      <c r="C997" s="257">
        <v>-3.645310209902477</v>
      </c>
      <c r="D997" s="261">
        <v>19.121650149930336</v>
      </c>
      <c r="E997" s="138" t="s">
        <v>395</v>
      </c>
      <c r="F997" s="402">
        <v>109</v>
      </c>
      <c r="G997" s="1" t="s">
        <v>63</v>
      </c>
      <c r="H997" s="402">
        <v>20</v>
      </c>
      <c r="I997" s="63">
        <v>19</v>
      </c>
      <c r="J997" s="235" t="s">
        <v>22</v>
      </c>
      <c r="K997" s="140">
        <v>78</v>
      </c>
      <c r="L997" s="14" t="s">
        <v>301</v>
      </c>
      <c r="M997" s="14" t="s">
        <v>4398</v>
      </c>
      <c r="N997" s="92"/>
      <c r="O997" s="85" t="s">
        <v>4397</v>
      </c>
    </row>
    <row r="998" spans="1:15" x14ac:dyDescent="0.35">
      <c r="B998" s="235"/>
      <c r="C998" s="257">
        <v>12.324450621425724</v>
      </c>
      <c r="D998" s="261">
        <v>45.83967812755305</v>
      </c>
      <c r="E998" s="138" t="s">
        <v>395</v>
      </c>
      <c r="F998" s="402">
        <v>19</v>
      </c>
      <c r="G998" s="1" t="s">
        <v>962</v>
      </c>
      <c r="H998" s="402">
        <v>27</v>
      </c>
      <c r="I998" s="63">
        <v>23</v>
      </c>
      <c r="J998" s="235" t="s">
        <v>1342</v>
      </c>
      <c r="K998" s="140">
        <v>108</v>
      </c>
      <c r="L998" s="14" t="s">
        <v>640</v>
      </c>
      <c r="M998" s="14" t="s">
        <v>4399</v>
      </c>
      <c r="N998" s="92" t="s">
        <v>2954</v>
      </c>
    </row>
    <row r="999" spans="1:15" x14ac:dyDescent="0.35">
      <c r="A999" s="6" t="s">
        <v>4401</v>
      </c>
      <c r="B999" s="235"/>
      <c r="C999" s="257">
        <v>11.44008608219093</v>
      </c>
      <c r="D999" s="261">
        <v>48.25708136986362</v>
      </c>
      <c r="E999" s="138" t="s">
        <v>396</v>
      </c>
      <c r="F999" s="402">
        <v>15</v>
      </c>
      <c r="G999" s="1" t="s">
        <v>59</v>
      </c>
      <c r="H999" s="402">
        <v>16</v>
      </c>
      <c r="I999" s="63">
        <v>10</v>
      </c>
      <c r="J999" s="235" t="s">
        <v>31</v>
      </c>
      <c r="K999" s="140">
        <v>107</v>
      </c>
      <c r="L999" s="14" t="s">
        <v>1493</v>
      </c>
      <c r="M999" s="14" t="s">
        <v>4400</v>
      </c>
      <c r="N999" s="92" t="s">
        <v>2954</v>
      </c>
      <c r="O999" s="85" t="s">
        <v>4556</v>
      </c>
    </row>
    <row r="1000" spans="1:15" x14ac:dyDescent="0.35">
      <c r="B1000" s="235"/>
      <c r="C1000" s="257">
        <v>7.3540626050941693</v>
      </c>
      <c r="D1000" s="261">
        <v>37.693526710647021</v>
      </c>
      <c r="E1000" s="138" t="s">
        <v>396</v>
      </c>
      <c r="F1000" s="402">
        <v>36</v>
      </c>
      <c r="G1000" s="1" t="s">
        <v>1302</v>
      </c>
      <c r="H1000" s="402">
        <v>21</v>
      </c>
      <c r="I1000" s="63">
        <v>14</v>
      </c>
      <c r="J1000" s="235" t="s">
        <v>959</v>
      </c>
      <c r="K1000" s="140">
        <v>106</v>
      </c>
      <c r="L1000" s="14" t="s">
        <v>488</v>
      </c>
      <c r="M1000" s="14" t="s">
        <v>4402</v>
      </c>
      <c r="N1000" t="s">
        <v>2992</v>
      </c>
    </row>
    <row r="1001" spans="1:15" x14ac:dyDescent="0.35">
      <c r="A1001" s="6" t="s">
        <v>4403</v>
      </c>
      <c r="B1001" s="235"/>
      <c r="C1001" s="257">
        <v>-6.4327797287967448</v>
      </c>
      <c r="D1001" s="261">
        <v>46.33591409199768</v>
      </c>
      <c r="E1001" s="138" t="s">
        <v>395</v>
      </c>
      <c r="F1001" s="402">
        <v>105</v>
      </c>
      <c r="G1001" s="1" t="s">
        <v>54</v>
      </c>
      <c r="H1001" s="402">
        <v>22</v>
      </c>
      <c r="I1001" s="63">
        <v>18</v>
      </c>
      <c r="J1001" s="235" t="s">
        <v>75</v>
      </c>
      <c r="K1001" s="140">
        <v>40</v>
      </c>
      <c r="L1001" s="14" t="s">
        <v>334</v>
      </c>
      <c r="M1001" s="14" t="s">
        <v>4404</v>
      </c>
      <c r="N1001" t="s">
        <v>2992</v>
      </c>
    </row>
    <row r="1002" spans="1:15" x14ac:dyDescent="0.35">
      <c r="B1002" s="235"/>
      <c r="C1002" s="257">
        <v>-3.2860860310110511</v>
      </c>
      <c r="D1002" s="261">
        <v>17.525775736436465</v>
      </c>
      <c r="E1002" s="138" t="s">
        <v>396</v>
      </c>
      <c r="F1002" s="402">
        <v>104</v>
      </c>
      <c r="G1002" s="1" t="s">
        <v>35</v>
      </c>
      <c r="H1002" s="402">
        <v>21</v>
      </c>
      <c r="I1002" s="63">
        <v>14</v>
      </c>
      <c r="J1002" s="235" t="s">
        <v>909</v>
      </c>
      <c r="K1002" s="140">
        <v>86</v>
      </c>
      <c r="L1002" s="14" t="s">
        <v>332</v>
      </c>
      <c r="M1002" s="14" t="s">
        <v>4405</v>
      </c>
      <c r="N1002" t="s">
        <v>2992</v>
      </c>
    </row>
    <row r="1003" spans="1:15" x14ac:dyDescent="0.35">
      <c r="B1003" s="235"/>
      <c r="C1003" s="257">
        <v>7.1073249824328322</v>
      </c>
      <c r="D1003" s="261">
        <v>50.280482155405124</v>
      </c>
      <c r="E1003" s="138" t="s">
        <v>396</v>
      </c>
      <c r="F1003" s="402">
        <v>23</v>
      </c>
      <c r="G1003" s="1" t="s">
        <v>69</v>
      </c>
      <c r="H1003" s="402">
        <v>32</v>
      </c>
      <c r="I1003" s="63">
        <v>14</v>
      </c>
      <c r="J1003" s="235" t="s">
        <v>27</v>
      </c>
      <c r="K1003" s="140">
        <v>102</v>
      </c>
      <c r="L1003" s="14" t="s">
        <v>184</v>
      </c>
      <c r="M1003" s="43" t="s">
        <v>4406</v>
      </c>
      <c r="N1003" s="1" t="s">
        <v>2953</v>
      </c>
    </row>
    <row r="1004" spans="1:15" x14ac:dyDescent="0.35">
      <c r="B1004" s="235"/>
      <c r="C1004" s="257">
        <v>8.0988588878435817</v>
      </c>
      <c r="D1004" s="261">
        <v>38.768672222968867</v>
      </c>
      <c r="E1004" s="138" t="s">
        <v>396</v>
      </c>
      <c r="F1004" s="402">
        <v>37</v>
      </c>
      <c r="G1004" s="1" t="s">
        <v>52</v>
      </c>
      <c r="H1004" s="402">
        <v>28</v>
      </c>
      <c r="I1004" s="63">
        <v>17</v>
      </c>
      <c r="J1004" s="235" t="s">
        <v>88</v>
      </c>
      <c r="K1004" s="140">
        <v>101</v>
      </c>
      <c r="L1004" s="14" t="s">
        <v>347</v>
      </c>
      <c r="M1004" s="14" t="s">
        <v>4407</v>
      </c>
      <c r="N1004" t="s">
        <v>2992</v>
      </c>
    </row>
    <row r="1005" spans="1:15" x14ac:dyDescent="0.35">
      <c r="B1005" s="235"/>
      <c r="C1005" s="257">
        <v>-7.5350442296386992</v>
      </c>
      <c r="D1005" s="261">
        <v>47.525031592599078</v>
      </c>
      <c r="E1005" s="138" t="s">
        <v>396</v>
      </c>
      <c r="F1005" s="402">
        <v>100</v>
      </c>
      <c r="G1005" s="1" t="s">
        <v>783</v>
      </c>
      <c r="H1005" s="402">
        <v>9</v>
      </c>
      <c r="I1005" s="63">
        <v>7</v>
      </c>
      <c r="J1005" s="235" t="s">
        <v>42</v>
      </c>
      <c r="K1005" s="140">
        <v>44</v>
      </c>
      <c r="L1005" s="14" t="s">
        <v>562</v>
      </c>
      <c r="M1005" s="14" t="s">
        <v>4408</v>
      </c>
      <c r="N1005" t="s">
        <v>2992</v>
      </c>
      <c r="O1005" s="85" t="s">
        <v>4557</v>
      </c>
    </row>
    <row r="1006" spans="1:15" x14ac:dyDescent="0.35">
      <c r="B1006" s="235"/>
      <c r="C1006" s="257">
        <v>0.59706038479726686</v>
      </c>
      <c r="D1006" s="261">
        <v>13.412814010859098</v>
      </c>
      <c r="E1006" s="138" t="s">
        <v>395</v>
      </c>
      <c r="F1006" s="402">
        <v>99</v>
      </c>
      <c r="G1006" s="1" t="s">
        <v>1859</v>
      </c>
      <c r="H1006" s="402">
        <v>21</v>
      </c>
      <c r="I1006" s="63">
        <v>18</v>
      </c>
      <c r="J1006" s="235" t="s">
        <v>796</v>
      </c>
      <c r="K1006" s="140">
        <v>94</v>
      </c>
      <c r="L1006" s="14" t="s">
        <v>184</v>
      </c>
      <c r="M1006" s="14" t="s">
        <v>4409</v>
      </c>
      <c r="N1006" t="s">
        <v>2992</v>
      </c>
    </row>
    <row r="1007" spans="1:15" x14ac:dyDescent="0.35">
      <c r="B1007" s="235"/>
      <c r="C1007" s="257">
        <v>-2.6600119825226831</v>
      </c>
      <c r="D1007" s="261">
        <v>20.203579987516207</v>
      </c>
      <c r="E1007" s="138" t="s">
        <v>396</v>
      </c>
      <c r="F1007" s="402">
        <v>98</v>
      </c>
      <c r="G1007" s="1" t="s">
        <v>68</v>
      </c>
      <c r="H1007" s="402">
        <v>31</v>
      </c>
      <c r="I1007" s="63">
        <v>16</v>
      </c>
      <c r="J1007" s="235" t="s">
        <v>29</v>
      </c>
      <c r="K1007" s="140">
        <v>85</v>
      </c>
      <c r="L1007" s="14" t="s">
        <v>916</v>
      </c>
      <c r="M1007" s="43" t="s">
        <v>4410</v>
      </c>
      <c r="N1007" s="1" t="s">
        <v>2953</v>
      </c>
    </row>
    <row r="1008" spans="1:15" x14ac:dyDescent="0.35">
      <c r="A1008" s="6" t="s">
        <v>4434</v>
      </c>
      <c r="B1008" s="235"/>
      <c r="C1008" s="257">
        <v>0.14029672410720292</v>
      </c>
      <c r="D1008" s="261">
        <v>41.417645197066285</v>
      </c>
      <c r="E1008" s="138" t="s">
        <v>395</v>
      </c>
      <c r="F1008" s="402">
        <v>70</v>
      </c>
      <c r="G1008" s="1" t="s">
        <v>86</v>
      </c>
      <c r="H1008" s="402">
        <v>11</v>
      </c>
      <c r="I1008" s="63">
        <v>9</v>
      </c>
      <c r="J1008" s="235" t="s">
        <v>57</v>
      </c>
      <c r="K1008" s="140">
        <v>61</v>
      </c>
      <c r="L1008" s="14" t="s">
        <v>295</v>
      </c>
      <c r="M1008" s="14" t="s">
        <v>4433</v>
      </c>
      <c r="N1008" t="s">
        <v>2992</v>
      </c>
      <c r="O1008" s="85" t="s">
        <v>4411</v>
      </c>
    </row>
    <row r="1009" spans="1:15" x14ac:dyDescent="0.35">
      <c r="B1009" s="235"/>
      <c r="C1009" s="257">
        <v>0.4119876752891653</v>
      </c>
      <c r="D1009" s="261">
        <v>49.884294517650595</v>
      </c>
      <c r="E1009" s="138" t="s">
        <v>396</v>
      </c>
      <c r="F1009" s="402">
        <v>55</v>
      </c>
      <c r="G1009" s="1" t="s">
        <v>58</v>
      </c>
      <c r="H1009" s="402">
        <v>22</v>
      </c>
      <c r="I1009" s="63">
        <v>11</v>
      </c>
      <c r="J1009" s="235" t="s">
        <v>82</v>
      </c>
      <c r="K1009" s="140">
        <v>69</v>
      </c>
      <c r="L1009" s="14" t="s">
        <v>286</v>
      </c>
      <c r="M1009" s="43" t="s">
        <v>4435</v>
      </c>
      <c r="N1009" s="1" t="s">
        <v>2953</v>
      </c>
    </row>
    <row r="1010" spans="1:15" x14ac:dyDescent="0.35">
      <c r="B1010" s="235"/>
      <c r="C1010" s="257">
        <v>0.72851754203339047</v>
      </c>
      <c r="D1010" s="261">
        <v>52.87248746997615</v>
      </c>
      <c r="E1010" s="138" t="s">
        <v>396</v>
      </c>
      <c r="F1010" s="402">
        <v>48</v>
      </c>
      <c r="G1010" s="1" t="s">
        <v>1301</v>
      </c>
      <c r="H1010" s="402">
        <v>22</v>
      </c>
      <c r="I1010" s="63">
        <v>7</v>
      </c>
      <c r="J1010" s="235" t="s">
        <v>958</v>
      </c>
      <c r="K1010" s="140">
        <v>68</v>
      </c>
      <c r="L1010" s="14" t="s">
        <v>495</v>
      </c>
      <c r="M1010" s="43" t="s">
        <v>4437</v>
      </c>
      <c r="N1010" s="1" t="s">
        <v>2953</v>
      </c>
    </row>
    <row r="1011" spans="1:15" x14ac:dyDescent="0.35">
      <c r="B1011" s="235"/>
      <c r="C1011" s="257">
        <v>8.0504472673095204</v>
      </c>
      <c r="D1011" s="261">
        <v>69.249680523350349</v>
      </c>
      <c r="E1011" s="138" t="s">
        <v>396</v>
      </c>
      <c r="F1011" s="402">
        <v>3</v>
      </c>
      <c r="G1011" s="1" t="s">
        <v>795</v>
      </c>
      <c r="H1011" s="402">
        <v>23</v>
      </c>
      <c r="I1011" s="63">
        <v>17</v>
      </c>
      <c r="J1011" s="235" t="s">
        <v>44</v>
      </c>
      <c r="K1011" s="140">
        <v>67</v>
      </c>
      <c r="L1011" s="14" t="s">
        <v>301</v>
      </c>
      <c r="M1011" s="14" t="s">
        <v>4438</v>
      </c>
      <c r="N1011" t="s">
        <v>2992</v>
      </c>
    </row>
    <row r="1012" spans="1:15" x14ac:dyDescent="0.35">
      <c r="B1012" s="235"/>
      <c r="C1012" s="257">
        <v>-1.5508726275522293</v>
      </c>
      <c r="D1012" s="261">
        <v>57.313123305394441</v>
      </c>
      <c r="E1012" s="138" t="s">
        <v>395</v>
      </c>
      <c r="F1012" s="402">
        <v>66</v>
      </c>
      <c r="G1012" s="1" t="s">
        <v>1858</v>
      </c>
      <c r="H1012" s="402">
        <v>25</v>
      </c>
      <c r="I1012" s="63">
        <v>13</v>
      </c>
      <c r="J1012" s="235" t="s">
        <v>793</v>
      </c>
      <c r="K1012" s="140">
        <v>43</v>
      </c>
      <c r="L1012" s="14" t="s">
        <v>361</v>
      </c>
      <c r="M1012" s="43" t="s">
        <v>4439</v>
      </c>
      <c r="N1012" s="1" t="s">
        <v>2953</v>
      </c>
    </row>
    <row r="1013" spans="1:15" x14ac:dyDescent="0.35">
      <c r="B1013" s="235"/>
      <c r="C1013" s="257">
        <v>-8.2906173042558358</v>
      </c>
      <c r="D1013" s="261">
        <v>79.136155217325594</v>
      </c>
      <c r="E1013" s="138" t="s">
        <v>396</v>
      </c>
      <c r="F1013" s="402">
        <v>65</v>
      </c>
      <c r="G1013" s="1" t="s">
        <v>23</v>
      </c>
      <c r="H1013" s="402">
        <v>17</v>
      </c>
      <c r="I1013" s="63">
        <v>14</v>
      </c>
      <c r="J1013" s="235" t="s">
        <v>60</v>
      </c>
      <c r="K1013" s="140">
        <v>10</v>
      </c>
      <c r="L1013" s="14" t="s">
        <v>447</v>
      </c>
      <c r="M1013" s="14" t="s">
        <v>4441</v>
      </c>
      <c r="N1013" t="s">
        <v>2992</v>
      </c>
      <c r="O1013" s="85" t="s">
        <v>4440</v>
      </c>
    </row>
    <row r="1014" spans="1:15" x14ac:dyDescent="0.35">
      <c r="B1014" s="235"/>
      <c r="C1014" s="257">
        <v>-2.3160574616011775</v>
      </c>
      <c r="D1014" s="261">
        <v>54.243612472572266</v>
      </c>
      <c r="E1014" s="138" t="s">
        <v>396</v>
      </c>
      <c r="F1014" s="402">
        <v>64</v>
      </c>
      <c r="G1014" s="1" t="s">
        <v>900</v>
      </c>
      <c r="H1014" s="402">
        <v>13</v>
      </c>
      <c r="I1014" s="63">
        <v>10</v>
      </c>
      <c r="J1014" s="235" t="s">
        <v>787</v>
      </c>
      <c r="K1014" s="140">
        <v>54</v>
      </c>
      <c r="L1014" s="14" t="s">
        <v>400</v>
      </c>
      <c r="M1014" s="14" t="s">
        <v>4442</v>
      </c>
      <c r="N1014" t="s">
        <v>2992</v>
      </c>
    </row>
    <row r="1015" spans="1:15" x14ac:dyDescent="0.35">
      <c r="A1015" s="6" t="s">
        <v>4452</v>
      </c>
      <c r="B1015" s="235"/>
      <c r="C1015" s="257">
        <v>7.6940927392304488</v>
      </c>
      <c r="D1015" s="261">
        <v>71.289933757692538</v>
      </c>
      <c r="E1015" s="138" t="s">
        <v>396</v>
      </c>
      <c r="F1015" s="402">
        <v>2</v>
      </c>
      <c r="G1015" s="1" t="s">
        <v>26</v>
      </c>
      <c r="H1015" s="402">
        <v>30</v>
      </c>
      <c r="I1015" s="63">
        <v>11</v>
      </c>
      <c r="J1015" s="235" t="s">
        <v>64</v>
      </c>
      <c r="K1015" s="140">
        <v>63</v>
      </c>
      <c r="L1015" s="14" t="s">
        <v>290</v>
      </c>
      <c r="M1015" s="43" t="s">
        <v>4451</v>
      </c>
      <c r="N1015" s="1" t="s">
        <v>2953</v>
      </c>
    </row>
    <row r="1016" spans="1:15" x14ac:dyDescent="0.35">
      <c r="B1016" s="235"/>
      <c r="C1016" s="257">
        <v>-3.2705560379081855</v>
      </c>
      <c r="D1016" s="261">
        <v>60.952182884220129</v>
      </c>
      <c r="E1016" s="138" t="s">
        <v>396</v>
      </c>
      <c r="F1016" s="402">
        <v>62</v>
      </c>
      <c r="G1016" s="1" t="s">
        <v>39</v>
      </c>
      <c r="H1016" s="402">
        <v>13</v>
      </c>
      <c r="I1016" s="63">
        <v>12</v>
      </c>
      <c r="J1016" s="235" t="s">
        <v>794</v>
      </c>
      <c r="K1016" s="140">
        <v>41</v>
      </c>
      <c r="L1016" s="14" t="s">
        <v>181</v>
      </c>
      <c r="M1016" s="14" t="s">
        <v>4453</v>
      </c>
      <c r="N1016" t="s">
        <v>2992</v>
      </c>
    </row>
    <row r="1017" spans="1:15" x14ac:dyDescent="0.35">
      <c r="B1017" s="235"/>
      <c r="C1017" s="257">
        <v>-1.9004566900863555</v>
      </c>
      <c r="D1017" s="261">
        <v>63.58961192149026</v>
      </c>
      <c r="E1017" s="138" t="s">
        <v>395</v>
      </c>
      <c r="F1017" s="402">
        <v>60</v>
      </c>
      <c r="G1017" s="1" t="s">
        <v>788</v>
      </c>
      <c r="H1017" s="402">
        <v>15</v>
      </c>
      <c r="I1017" s="63">
        <v>6</v>
      </c>
      <c r="J1017" s="235" t="s">
        <v>40</v>
      </c>
      <c r="K1017" s="140">
        <v>34</v>
      </c>
      <c r="L1017" s="14" t="s">
        <v>341</v>
      </c>
      <c r="M1017" s="14" t="s">
        <v>4454</v>
      </c>
      <c r="N1017" t="s">
        <v>2992</v>
      </c>
    </row>
    <row r="1018" spans="1:15" x14ac:dyDescent="0.35">
      <c r="B1018" s="235"/>
      <c r="C1018" s="257">
        <v>-4.1631035673870107</v>
      </c>
      <c r="D1018" s="261">
        <v>33.330788262419297</v>
      </c>
      <c r="E1018" s="138" t="s">
        <v>395</v>
      </c>
      <c r="F1018" s="402">
        <v>97</v>
      </c>
      <c r="G1018" s="1" t="s">
        <v>65</v>
      </c>
      <c r="H1018" s="402">
        <v>22</v>
      </c>
      <c r="I1018" s="63">
        <v>12</v>
      </c>
      <c r="J1018" s="235" t="s">
        <v>1860</v>
      </c>
      <c r="K1018" s="140">
        <v>59</v>
      </c>
      <c r="L1018" s="14" t="s">
        <v>332</v>
      </c>
      <c r="M1018" s="14" t="s">
        <v>4455</v>
      </c>
      <c r="N1018" t="s">
        <v>2992</v>
      </c>
    </row>
    <row r="1019" spans="1:15" x14ac:dyDescent="0.35">
      <c r="B1019" s="235"/>
      <c r="C1019" s="257">
        <v>5.1405912132153624</v>
      </c>
      <c r="D1019" s="261">
        <v>28.917434847703316</v>
      </c>
      <c r="E1019" s="138" t="s">
        <v>395</v>
      </c>
      <c r="F1019" s="402">
        <v>58</v>
      </c>
      <c r="G1019" s="1" t="s">
        <v>28</v>
      </c>
      <c r="H1019" s="402">
        <v>27</v>
      </c>
      <c r="I1019" s="63">
        <v>26</v>
      </c>
      <c r="J1019" s="235" t="s">
        <v>70</v>
      </c>
      <c r="K1019" s="140">
        <v>93</v>
      </c>
      <c r="L1019" s="14" t="s">
        <v>660</v>
      </c>
      <c r="M1019" s="14" t="s">
        <v>4457</v>
      </c>
      <c r="N1019" t="s">
        <v>2992</v>
      </c>
      <c r="O1019" s="85" t="s">
        <v>4456</v>
      </c>
    </row>
    <row r="1020" spans="1:15" x14ac:dyDescent="0.35">
      <c r="B1020" s="235"/>
      <c r="C1020" s="257">
        <v>-1.946537074840718</v>
      </c>
      <c r="D1020" s="261">
        <v>59.604669339171949</v>
      </c>
      <c r="E1020" s="138" t="s">
        <v>396</v>
      </c>
      <c r="F1020" s="402">
        <v>57</v>
      </c>
      <c r="G1020" s="1" t="s">
        <v>24</v>
      </c>
      <c r="H1020" s="402">
        <v>20</v>
      </c>
      <c r="I1020" s="63">
        <v>16</v>
      </c>
      <c r="J1020" s="235" t="s">
        <v>62</v>
      </c>
      <c r="K1020" s="140">
        <v>47</v>
      </c>
      <c r="L1020" s="14" t="s">
        <v>290</v>
      </c>
      <c r="M1020" s="14" t="s">
        <v>4458</v>
      </c>
      <c r="N1020" t="s">
        <v>2992</v>
      </c>
    </row>
    <row r="1021" spans="1:15" x14ac:dyDescent="0.35">
      <c r="B1021" s="235"/>
      <c r="C1021" s="257">
        <v>2.1112082861740156</v>
      </c>
      <c r="D1021" s="261">
        <v>44.972154199678194</v>
      </c>
      <c r="E1021" s="138" t="s">
        <v>396</v>
      </c>
      <c r="F1021" s="402">
        <v>56</v>
      </c>
      <c r="G1021" s="1" t="s">
        <v>2011</v>
      </c>
      <c r="H1021" s="402">
        <v>17</v>
      </c>
      <c r="I1021" s="63">
        <v>16</v>
      </c>
      <c r="J1021" s="235" t="s">
        <v>789</v>
      </c>
      <c r="K1021" s="140">
        <v>80</v>
      </c>
      <c r="L1021" s="14" t="s">
        <v>369</v>
      </c>
      <c r="M1021" s="14" t="s">
        <v>4459</v>
      </c>
      <c r="N1021" s="92" t="s">
        <v>2954</v>
      </c>
      <c r="O1021" s="87" t="s">
        <v>2266</v>
      </c>
    </row>
    <row r="1022" spans="1:15" x14ac:dyDescent="0.35">
      <c r="B1022" s="235"/>
      <c r="C1022" s="257">
        <v>9.0776061349867252</v>
      </c>
      <c r="D1022" s="261">
        <v>57.087424189295199</v>
      </c>
      <c r="E1022" s="138" t="s">
        <v>396</v>
      </c>
      <c r="F1022" s="402">
        <v>6</v>
      </c>
      <c r="G1022" s="1" t="s">
        <v>36</v>
      </c>
      <c r="H1022" s="402">
        <v>26</v>
      </c>
      <c r="I1022" s="63">
        <v>22</v>
      </c>
      <c r="J1022" s="235" t="s">
        <v>792</v>
      </c>
      <c r="K1022" s="140">
        <v>96</v>
      </c>
      <c r="L1022" s="14" t="s">
        <v>194</v>
      </c>
      <c r="M1022" s="14" t="s">
        <v>4488</v>
      </c>
      <c r="N1022" s="92" t="s">
        <v>2954</v>
      </c>
      <c r="O1022" s="85" t="s">
        <v>4436</v>
      </c>
    </row>
    <row r="1023" spans="1:15" x14ac:dyDescent="0.35">
      <c r="B1023" s="235"/>
      <c r="C1023" s="257">
        <v>-5.560384213831604</v>
      </c>
      <c r="D1023" s="261">
        <v>44.50741729559401</v>
      </c>
      <c r="E1023" s="138" t="s">
        <v>396</v>
      </c>
      <c r="F1023" s="402">
        <v>95</v>
      </c>
      <c r="G1023" s="1" t="s">
        <v>1308</v>
      </c>
      <c r="H1023" s="402">
        <v>17</v>
      </c>
      <c r="I1023" s="63">
        <v>7</v>
      </c>
      <c r="J1023" s="235" t="s">
        <v>961</v>
      </c>
      <c r="K1023" s="140">
        <v>53</v>
      </c>
      <c r="L1023" s="14" t="s">
        <v>418</v>
      </c>
      <c r="M1023" s="43" t="s">
        <v>4489</v>
      </c>
      <c r="N1023" s="1" t="s">
        <v>2953</v>
      </c>
      <c r="O1023" s="85" t="s">
        <v>4558</v>
      </c>
    </row>
    <row r="1024" spans="1:15" x14ac:dyDescent="0.35">
      <c r="B1024" s="235"/>
      <c r="C1024" s="257">
        <v>5.1413055057679609</v>
      </c>
      <c r="D1024" s="261">
        <v>46.907996067308602</v>
      </c>
      <c r="E1024" s="138" t="s">
        <v>396</v>
      </c>
      <c r="F1024" s="402">
        <v>31</v>
      </c>
      <c r="G1024" s="1" t="s">
        <v>51</v>
      </c>
      <c r="H1024" s="402">
        <v>25</v>
      </c>
      <c r="I1024" s="63">
        <v>13</v>
      </c>
      <c r="J1024" s="235" t="s">
        <v>81</v>
      </c>
      <c r="K1024" s="140">
        <v>92</v>
      </c>
      <c r="L1024" s="14" t="s">
        <v>296</v>
      </c>
      <c r="M1024" s="14" t="s">
        <v>4490</v>
      </c>
      <c r="N1024" t="s">
        <v>2992</v>
      </c>
    </row>
    <row r="1025" spans="1:15" x14ac:dyDescent="0.35">
      <c r="B1025" s="235"/>
      <c r="C1025" s="257">
        <v>0.71836404201942883</v>
      </c>
      <c r="D1025" s="261">
        <v>21.361882827128976</v>
      </c>
      <c r="E1025" s="138" t="s">
        <v>395</v>
      </c>
      <c r="F1025" s="402">
        <v>91</v>
      </c>
      <c r="G1025" s="1" t="s">
        <v>292</v>
      </c>
      <c r="H1025" s="402">
        <v>22</v>
      </c>
      <c r="I1025" s="63">
        <v>11</v>
      </c>
      <c r="J1025" s="235" t="s">
        <v>61</v>
      </c>
      <c r="K1025" s="140">
        <v>84</v>
      </c>
      <c r="L1025" s="14" t="s">
        <v>361</v>
      </c>
      <c r="M1025" s="43" t="s">
        <v>4492</v>
      </c>
      <c r="N1025" s="1" t="s">
        <v>2953</v>
      </c>
    </row>
    <row r="1026" spans="1:15" x14ac:dyDescent="0.35">
      <c r="A1026" s="6" t="s">
        <v>4494</v>
      </c>
      <c r="B1026" s="235"/>
      <c r="C1026" s="257">
        <v>9.4748607934300786</v>
      </c>
      <c r="D1026" s="261">
        <v>56.803670861835656</v>
      </c>
      <c r="E1026" s="138" t="s">
        <v>395</v>
      </c>
      <c r="F1026" s="402">
        <v>12</v>
      </c>
      <c r="G1026" s="1" t="s">
        <v>46</v>
      </c>
      <c r="H1026" s="402">
        <v>34</v>
      </c>
      <c r="I1026" s="63">
        <v>16</v>
      </c>
      <c r="J1026" s="235" t="s">
        <v>784</v>
      </c>
      <c r="K1026" s="140">
        <v>90</v>
      </c>
      <c r="L1026" s="14" t="s">
        <v>285</v>
      </c>
      <c r="M1026" s="14" t="s">
        <v>4493</v>
      </c>
      <c r="N1026" t="s">
        <v>2992</v>
      </c>
    </row>
    <row r="1027" spans="1:15" x14ac:dyDescent="0.35">
      <c r="B1027" s="235"/>
      <c r="C1027" s="257">
        <v>10.223718189246727</v>
      </c>
      <c r="D1027" s="261">
        <v>57.697344150538058</v>
      </c>
      <c r="E1027" s="138" t="s">
        <v>395</v>
      </c>
      <c r="F1027" s="402">
        <v>9</v>
      </c>
      <c r="G1027" s="1" t="s">
        <v>41</v>
      </c>
      <c r="H1027" s="402">
        <v>40</v>
      </c>
      <c r="I1027" s="63">
        <v>14</v>
      </c>
      <c r="J1027" s="235" t="s">
        <v>786</v>
      </c>
      <c r="K1027" s="140">
        <v>89</v>
      </c>
      <c r="L1027" s="14" t="s">
        <v>184</v>
      </c>
      <c r="M1027" s="43" t="s">
        <v>4495</v>
      </c>
      <c r="N1027" s="1" t="s">
        <v>2953</v>
      </c>
    </row>
    <row r="1028" spans="1:15" x14ac:dyDescent="0.35">
      <c r="B1028" s="235"/>
      <c r="C1028" s="257">
        <v>5.5290886487470621</v>
      </c>
      <c r="D1028" s="261">
        <v>49.041722393752096</v>
      </c>
      <c r="E1028" s="138" t="s">
        <v>396</v>
      </c>
      <c r="F1028" s="402">
        <v>29</v>
      </c>
      <c r="G1028" s="1" t="s">
        <v>73</v>
      </c>
      <c r="H1028" s="402">
        <v>25</v>
      </c>
      <c r="I1028" s="63">
        <v>11</v>
      </c>
      <c r="J1028" s="235" t="s">
        <v>117</v>
      </c>
      <c r="K1028" s="140">
        <v>88</v>
      </c>
      <c r="L1028" s="14" t="s">
        <v>190</v>
      </c>
      <c r="M1028" s="14" t="s">
        <v>4496</v>
      </c>
      <c r="N1028" t="s">
        <v>2992</v>
      </c>
    </row>
    <row r="1029" spans="1:15" x14ac:dyDescent="0.35">
      <c r="B1029" s="235"/>
      <c r="C1029" s="257">
        <v>2.8814815340432411</v>
      </c>
      <c r="D1029" s="261">
        <v>42.093584618540532</v>
      </c>
      <c r="E1029" s="138" t="s">
        <v>396</v>
      </c>
      <c r="F1029" s="402">
        <v>52</v>
      </c>
      <c r="G1029" s="1" t="s">
        <v>80</v>
      </c>
      <c r="H1029" s="402">
        <v>15</v>
      </c>
      <c r="I1029" s="63">
        <v>13</v>
      </c>
      <c r="J1029" s="235" t="s">
        <v>56</v>
      </c>
      <c r="K1029" s="140">
        <v>87</v>
      </c>
      <c r="L1029" s="14" t="s">
        <v>294</v>
      </c>
      <c r="M1029" s="14" t="s">
        <v>4497</v>
      </c>
      <c r="N1029" t="s">
        <v>2992</v>
      </c>
    </row>
    <row r="1030" spans="1:15" x14ac:dyDescent="0.35">
      <c r="B1030" s="235"/>
      <c r="C1030" s="257">
        <v>-5.3078211406905487</v>
      </c>
      <c r="D1030" s="261">
        <v>59.594872243350395</v>
      </c>
      <c r="E1030" s="138" t="s">
        <v>395</v>
      </c>
      <c r="F1030" s="402">
        <v>83</v>
      </c>
      <c r="G1030" s="1" t="s">
        <v>1343</v>
      </c>
      <c r="H1030" s="402">
        <v>28</v>
      </c>
      <c r="I1030" s="63">
        <v>17</v>
      </c>
      <c r="J1030" s="235" t="s">
        <v>965</v>
      </c>
      <c r="K1030" s="140">
        <v>27</v>
      </c>
      <c r="L1030" s="14" t="s">
        <v>950</v>
      </c>
      <c r="M1030" s="43" t="s">
        <v>4498</v>
      </c>
      <c r="N1030" s="1" t="s">
        <v>2953</v>
      </c>
    </row>
    <row r="1031" spans="1:15" x14ac:dyDescent="0.35">
      <c r="B1031" s="235"/>
      <c r="C1031" s="257">
        <v>6.9550467135144025</v>
      </c>
      <c r="D1031" s="261">
        <v>46.81782377606114</v>
      </c>
      <c r="E1031" s="138" t="s">
        <v>395</v>
      </c>
      <c r="F1031" s="402">
        <v>38</v>
      </c>
      <c r="G1031" s="1" t="s">
        <v>960</v>
      </c>
      <c r="H1031" s="402">
        <v>22</v>
      </c>
      <c r="I1031" s="63">
        <v>21</v>
      </c>
      <c r="J1031" s="235" t="s">
        <v>3913</v>
      </c>
      <c r="K1031" s="140">
        <v>82</v>
      </c>
      <c r="L1031" s="14" t="s">
        <v>185</v>
      </c>
      <c r="M1031" s="14" t="s">
        <v>4499</v>
      </c>
      <c r="N1031" s="92" t="s">
        <v>2954</v>
      </c>
    </row>
    <row r="1032" spans="1:15" x14ac:dyDescent="0.35">
      <c r="B1032" s="235"/>
      <c r="C1032" s="257">
        <v>9.0604606018159597</v>
      </c>
      <c r="D1032" s="261">
        <v>58.528242427274314</v>
      </c>
      <c r="E1032" s="138" t="s">
        <v>395</v>
      </c>
      <c r="F1032" s="402">
        <v>17</v>
      </c>
      <c r="G1032" s="1" t="s">
        <v>790</v>
      </c>
      <c r="H1032" s="402">
        <v>29</v>
      </c>
      <c r="I1032" s="63">
        <v>15</v>
      </c>
      <c r="J1032" s="235" t="s">
        <v>38</v>
      </c>
      <c r="K1032" s="140">
        <v>81</v>
      </c>
      <c r="L1032" s="14" t="s">
        <v>416</v>
      </c>
      <c r="M1032" s="14" t="s">
        <v>4500</v>
      </c>
      <c r="N1032" t="s">
        <v>2992</v>
      </c>
    </row>
    <row r="1033" spans="1:15" x14ac:dyDescent="0.35">
      <c r="B1033" s="235"/>
      <c r="C1033" s="257">
        <v>-0.30342231730174651</v>
      </c>
      <c r="D1033" s="261">
        <v>34.149895622111224</v>
      </c>
      <c r="E1033" s="138" t="s">
        <v>396</v>
      </c>
      <c r="F1033" s="402">
        <v>72</v>
      </c>
      <c r="G1033" s="1" t="s">
        <v>37</v>
      </c>
      <c r="H1033" s="402">
        <v>14</v>
      </c>
      <c r="I1033" s="63">
        <v>12</v>
      </c>
      <c r="J1033" s="235" t="s">
        <v>791</v>
      </c>
      <c r="K1033" s="140">
        <v>79</v>
      </c>
      <c r="L1033" s="14" t="s">
        <v>423</v>
      </c>
      <c r="M1033" s="14" t="s">
        <v>4502</v>
      </c>
      <c r="N1033" t="s">
        <v>2992</v>
      </c>
      <c r="O1033" s="87" t="s">
        <v>4501</v>
      </c>
    </row>
    <row r="1034" spans="1:15" x14ac:dyDescent="0.35">
      <c r="A1034" s="6" t="s">
        <v>4504</v>
      </c>
      <c r="B1034" s="235"/>
      <c r="C1034" s="257">
        <v>8.4803774275108452</v>
      </c>
      <c r="D1034" s="261">
        <v>60.728301837492246</v>
      </c>
      <c r="E1034" s="138" t="s">
        <v>395</v>
      </c>
      <c r="F1034" s="402">
        <v>16</v>
      </c>
      <c r="G1034" s="1" t="s">
        <v>83</v>
      </c>
      <c r="H1034" s="402">
        <v>23</v>
      </c>
      <c r="I1034" s="63">
        <v>18</v>
      </c>
      <c r="J1034" s="235" t="s">
        <v>47</v>
      </c>
      <c r="K1034" s="140">
        <v>77</v>
      </c>
      <c r="L1034" s="14" t="s">
        <v>185</v>
      </c>
      <c r="M1034" s="14" t="s">
        <v>4503</v>
      </c>
      <c r="N1034" t="s">
        <v>2992</v>
      </c>
    </row>
    <row r="1035" spans="1:15" x14ac:dyDescent="0.35">
      <c r="B1035" s="235"/>
      <c r="C1035" s="257">
        <v>10.645272520889055</v>
      </c>
      <c r="D1035" s="261">
        <v>63.824805342222099</v>
      </c>
      <c r="E1035" s="138" t="s">
        <v>395</v>
      </c>
      <c r="F1035" s="402">
        <v>5</v>
      </c>
      <c r="G1035" s="1" t="s">
        <v>118</v>
      </c>
      <c r="H1035" s="402">
        <v>34</v>
      </c>
      <c r="I1035" s="63">
        <v>3</v>
      </c>
      <c r="J1035" s="235" t="s">
        <v>74</v>
      </c>
      <c r="K1035" s="140">
        <v>75</v>
      </c>
      <c r="L1035" s="14" t="s">
        <v>200</v>
      </c>
      <c r="M1035" s="43" t="s">
        <v>4505</v>
      </c>
      <c r="N1035" s="1" t="s">
        <v>2953</v>
      </c>
    </row>
    <row r="1036" spans="1:15" x14ac:dyDescent="0.35">
      <c r="B1036" s="235"/>
      <c r="C1036" s="257">
        <v>5.3333141516436999</v>
      </c>
      <c r="D1036" s="261">
        <v>55.208347034540218</v>
      </c>
      <c r="E1036" s="138" t="s">
        <v>395</v>
      </c>
      <c r="F1036" s="402">
        <v>28</v>
      </c>
      <c r="G1036" s="1" t="s">
        <v>66</v>
      </c>
      <c r="H1036" s="402">
        <v>13</v>
      </c>
      <c r="I1036" s="63">
        <v>9</v>
      </c>
      <c r="J1036" s="235" t="s">
        <v>25</v>
      </c>
      <c r="K1036" s="140">
        <v>74</v>
      </c>
      <c r="L1036" s="14" t="s">
        <v>442</v>
      </c>
      <c r="M1036" s="14" t="s">
        <v>4507</v>
      </c>
      <c r="N1036" t="s">
        <v>2992</v>
      </c>
      <c r="O1036" s="85" t="s">
        <v>4491</v>
      </c>
    </row>
    <row r="1037" spans="1:15" x14ac:dyDescent="0.35">
      <c r="B1037" s="235"/>
      <c r="C1037" s="257">
        <v>4.2850518429946245</v>
      </c>
      <c r="D1037" s="261">
        <v>53.546391540718133</v>
      </c>
      <c r="E1037" s="138" t="s">
        <v>396</v>
      </c>
      <c r="F1037" s="402">
        <v>35</v>
      </c>
      <c r="G1037" s="1" t="s">
        <v>72</v>
      </c>
      <c r="H1037" s="402">
        <v>29</v>
      </c>
      <c r="I1037" s="63">
        <v>20</v>
      </c>
      <c r="J1037" s="235" t="s">
        <v>32</v>
      </c>
      <c r="K1037" s="140">
        <v>73</v>
      </c>
      <c r="L1037" s="14" t="s">
        <v>358</v>
      </c>
      <c r="M1037" s="14" t="s">
        <v>4508</v>
      </c>
      <c r="N1037" t="s">
        <v>2992</v>
      </c>
    </row>
    <row r="1038" spans="1:15" x14ac:dyDescent="0.35">
      <c r="B1038" s="235"/>
      <c r="C1038" s="257">
        <v>-1.4890372796422344</v>
      </c>
      <c r="D1038" s="261">
        <v>67.715383771173023</v>
      </c>
      <c r="E1038" s="138" t="s">
        <v>395</v>
      </c>
      <c r="F1038" s="402">
        <v>51</v>
      </c>
      <c r="G1038" s="1" t="s">
        <v>43</v>
      </c>
      <c r="H1038" s="402">
        <v>16</v>
      </c>
      <c r="I1038" s="63">
        <v>12</v>
      </c>
      <c r="J1038" s="235" t="s">
        <v>908</v>
      </c>
      <c r="K1038" s="140">
        <v>32</v>
      </c>
      <c r="L1038" s="14" t="s">
        <v>331</v>
      </c>
      <c r="M1038" s="14" t="s">
        <v>4509</v>
      </c>
      <c r="N1038" t="s">
        <v>2992</v>
      </c>
      <c r="O1038" s="85" t="s">
        <v>4506</v>
      </c>
    </row>
    <row r="1039" spans="1:15" x14ac:dyDescent="0.35">
      <c r="A1039" s="6" t="s">
        <v>4512</v>
      </c>
      <c r="B1039" s="235"/>
      <c r="C1039" s="257">
        <v>5.7239738336698913</v>
      </c>
      <c r="D1039" s="261">
        <v>74.125732975950086</v>
      </c>
      <c r="E1039" s="138" t="s">
        <v>395</v>
      </c>
      <c r="F1039" s="402">
        <v>11</v>
      </c>
      <c r="G1039" s="1" t="s">
        <v>145</v>
      </c>
      <c r="H1039" s="402">
        <v>26</v>
      </c>
      <c r="I1039" s="63">
        <v>13</v>
      </c>
      <c r="J1039" s="235" t="s">
        <v>79</v>
      </c>
      <c r="K1039" s="140">
        <v>50</v>
      </c>
      <c r="L1039" s="14" t="s">
        <v>337</v>
      </c>
      <c r="M1039" s="14" t="s">
        <v>4511</v>
      </c>
      <c r="N1039" t="s">
        <v>2992</v>
      </c>
    </row>
    <row r="1040" spans="1:15" x14ac:dyDescent="0.35">
      <c r="B1040" s="235"/>
      <c r="C1040" s="257">
        <v>9.9780977466363581</v>
      </c>
      <c r="D1040" s="261">
        <v>75.015644466688315</v>
      </c>
      <c r="E1040" s="138" t="s">
        <v>395</v>
      </c>
      <c r="F1040" s="402">
        <v>1</v>
      </c>
      <c r="G1040" s="1" t="s">
        <v>87</v>
      </c>
      <c r="H1040" s="402">
        <v>24</v>
      </c>
      <c r="I1040" s="63">
        <v>13</v>
      </c>
      <c r="J1040" s="235" t="s">
        <v>49</v>
      </c>
      <c r="K1040" s="140">
        <v>49</v>
      </c>
      <c r="L1040" s="14" t="s">
        <v>331</v>
      </c>
      <c r="M1040" s="14" t="s">
        <v>4513</v>
      </c>
      <c r="N1040" t="s">
        <v>2992</v>
      </c>
    </row>
    <row r="1041" spans="1:15" x14ac:dyDescent="0.35">
      <c r="B1041" s="235"/>
      <c r="C1041" s="257">
        <v>8.2320643662284354</v>
      </c>
      <c r="D1041" s="261">
        <v>76.262811166979688</v>
      </c>
      <c r="E1041" s="138" t="s">
        <v>395</v>
      </c>
      <c r="F1041" s="402">
        <v>4</v>
      </c>
      <c r="G1041" s="1" t="s">
        <v>119</v>
      </c>
      <c r="H1041" s="402">
        <v>25</v>
      </c>
      <c r="I1041" s="63">
        <v>15</v>
      </c>
      <c r="J1041" s="235" t="s">
        <v>114</v>
      </c>
      <c r="K1041" s="140">
        <v>46</v>
      </c>
      <c r="L1041" s="14" t="s">
        <v>369</v>
      </c>
      <c r="M1041" s="14" t="s">
        <v>4514</v>
      </c>
      <c r="N1041" t="s">
        <v>2992</v>
      </c>
    </row>
    <row r="1042" spans="1:15" x14ac:dyDescent="0.35">
      <c r="B1042" s="235"/>
      <c r="C1042" s="257">
        <v>1.8846101802457609</v>
      </c>
      <c r="D1042" s="261">
        <v>75.439564156967307</v>
      </c>
      <c r="E1042" s="138" t="s">
        <v>396</v>
      </c>
      <c r="F1042" s="402">
        <v>20</v>
      </c>
      <c r="G1042" s="1" t="s">
        <v>67</v>
      </c>
      <c r="H1042" s="402">
        <v>25</v>
      </c>
      <c r="I1042" s="63">
        <v>19</v>
      </c>
      <c r="J1042" s="235" t="s">
        <v>30</v>
      </c>
      <c r="K1042" s="140">
        <v>45</v>
      </c>
      <c r="L1042" s="14" t="s">
        <v>504</v>
      </c>
      <c r="M1042" s="14" t="s">
        <v>4515</v>
      </c>
      <c r="N1042" t="s">
        <v>2992</v>
      </c>
    </row>
    <row r="1043" spans="1:15" x14ac:dyDescent="0.35">
      <c r="B1043" s="235"/>
      <c r="C1043" s="257">
        <v>0.16668706695279747</v>
      </c>
      <c r="D1043" s="261">
        <v>69.74700923789085</v>
      </c>
      <c r="E1043" s="138" t="s">
        <v>395</v>
      </c>
      <c r="F1043" s="402">
        <v>42</v>
      </c>
      <c r="G1043" s="1" t="s">
        <v>71</v>
      </c>
      <c r="H1043" s="402">
        <v>16</v>
      </c>
      <c r="I1043" s="63">
        <v>14</v>
      </c>
      <c r="J1043" s="235" t="s">
        <v>34</v>
      </c>
      <c r="K1043" s="140">
        <v>33</v>
      </c>
      <c r="L1043" s="14" t="s">
        <v>299</v>
      </c>
      <c r="M1043" s="14" t="s">
        <v>4516</v>
      </c>
      <c r="N1043" t="s">
        <v>2992</v>
      </c>
    </row>
    <row r="1044" spans="1:15" x14ac:dyDescent="0.35">
      <c r="B1044" s="235"/>
      <c r="C1044" s="257">
        <v>-1.0504924870849732</v>
      </c>
      <c r="D1044" s="261">
        <v>74.634280347917837</v>
      </c>
      <c r="E1044" s="138" t="s">
        <v>395</v>
      </c>
      <c r="F1044" s="402">
        <v>39</v>
      </c>
      <c r="G1044" s="1" t="s">
        <v>45</v>
      </c>
      <c r="H1044" s="402">
        <v>17</v>
      </c>
      <c r="I1044" s="63">
        <v>16</v>
      </c>
      <c r="J1044" s="235" t="s">
        <v>785</v>
      </c>
      <c r="K1044" s="140">
        <v>26</v>
      </c>
      <c r="L1044" s="14" t="s">
        <v>185</v>
      </c>
      <c r="M1044" s="14" t="s">
        <v>4518</v>
      </c>
      <c r="N1044" t="s">
        <v>2992</v>
      </c>
      <c r="O1044" s="85" t="s">
        <v>4517</v>
      </c>
    </row>
    <row r="1045" spans="1:15" x14ac:dyDescent="0.35">
      <c r="B1045" s="235"/>
      <c r="C1045" s="257">
        <v>-3.9794396645460215</v>
      </c>
      <c r="D1045" s="261">
        <v>85.699599760390015</v>
      </c>
      <c r="E1045" s="138" t="s">
        <v>396</v>
      </c>
      <c r="F1045" s="402">
        <v>30</v>
      </c>
      <c r="G1045" s="1" t="s">
        <v>50</v>
      </c>
      <c r="H1045" s="402">
        <v>22</v>
      </c>
      <c r="I1045" s="63">
        <v>13</v>
      </c>
      <c r="J1045" s="235" t="s">
        <v>85</v>
      </c>
      <c r="K1045" s="140">
        <v>18</v>
      </c>
      <c r="L1045" s="14" t="s">
        <v>404</v>
      </c>
      <c r="M1045" s="14" t="s">
        <v>4519</v>
      </c>
      <c r="N1045" t="s">
        <v>2992</v>
      </c>
    </row>
    <row r="1046" spans="1:15" x14ac:dyDescent="0.35">
      <c r="B1046" s="235"/>
      <c r="C1046" s="257">
        <v>0.96084218603026872</v>
      </c>
      <c r="D1046" s="261">
        <v>84.321160469778818</v>
      </c>
      <c r="E1046" s="138" t="s">
        <v>395</v>
      </c>
      <c r="F1046" s="402">
        <v>24</v>
      </c>
      <c r="G1046" s="1" t="s">
        <v>115</v>
      </c>
      <c r="H1046" s="402">
        <v>25</v>
      </c>
      <c r="I1046" s="63">
        <v>18</v>
      </c>
      <c r="J1046" s="235" t="s">
        <v>33</v>
      </c>
      <c r="K1046" s="140">
        <v>25</v>
      </c>
      <c r="L1046" s="14" t="s">
        <v>191</v>
      </c>
      <c r="M1046" s="14" t="s">
        <v>4520</v>
      </c>
      <c r="N1046" t="s">
        <v>2992</v>
      </c>
      <c r="O1046" s="87" t="s">
        <v>4521</v>
      </c>
    </row>
    <row r="1047" spans="1:15" x14ac:dyDescent="0.35">
      <c r="B1047" s="235"/>
      <c r="C1047" s="257">
        <v>1.011566514517712</v>
      </c>
      <c r="D1047" s="261">
        <v>88.027452489630207</v>
      </c>
      <c r="E1047" s="138" t="s">
        <v>396</v>
      </c>
      <c r="F1047" s="402">
        <v>14</v>
      </c>
      <c r="G1047" s="1" t="s">
        <v>77</v>
      </c>
      <c r="H1047" s="402">
        <v>16</v>
      </c>
      <c r="I1047" s="63">
        <v>12</v>
      </c>
      <c r="J1047" s="235" t="s">
        <v>53</v>
      </c>
      <c r="K1047" s="140">
        <v>22</v>
      </c>
      <c r="L1047" s="14" t="s">
        <v>190</v>
      </c>
      <c r="M1047" s="14" t="s">
        <v>4522</v>
      </c>
      <c r="N1047" t="s">
        <v>2992</v>
      </c>
    </row>
    <row r="1048" spans="1:15" x14ac:dyDescent="0.35">
      <c r="B1048" s="235"/>
      <c r="C1048" s="257">
        <v>0.17412082012135724</v>
      </c>
      <c r="D1048" s="261">
        <v>89.250627985627602</v>
      </c>
      <c r="E1048" s="138" t="s">
        <v>396</v>
      </c>
      <c r="F1048" s="402">
        <v>13</v>
      </c>
      <c r="G1048" s="1" t="s">
        <v>78</v>
      </c>
      <c r="H1048" s="402">
        <v>11</v>
      </c>
      <c r="I1048" s="63">
        <v>8</v>
      </c>
      <c r="J1048" s="235" t="s">
        <v>300</v>
      </c>
      <c r="K1048" s="140">
        <v>21</v>
      </c>
      <c r="L1048" s="14" t="s">
        <v>400</v>
      </c>
      <c r="M1048" s="14" t="s">
        <v>4524</v>
      </c>
      <c r="N1048" t="s">
        <v>2992</v>
      </c>
      <c r="O1048" s="85" t="s">
        <v>4523</v>
      </c>
    </row>
    <row r="1049" spans="1:15" ht="15" thickBot="1" x14ac:dyDescent="0.4">
      <c r="B1049" s="57"/>
      <c r="C1049" s="259">
        <v>1.0146232859762663</v>
      </c>
      <c r="D1049" s="262">
        <v>94.587769081445529</v>
      </c>
      <c r="E1049" s="222" t="s">
        <v>395</v>
      </c>
      <c r="F1049" s="381">
        <v>8</v>
      </c>
      <c r="G1049" s="44" t="s">
        <v>1344</v>
      </c>
      <c r="H1049" s="381">
        <v>11</v>
      </c>
      <c r="I1049" s="56">
        <v>6</v>
      </c>
      <c r="J1049" s="57" t="s">
        <v>966</v>
      </c>
      <c r="K1049" s="141">
        <v>7</v>
      </c>
      <c r="L1049" s="23" t="s">
        <v>196</v>
      </c>
      <c r="M1049" s="23" t="s">
        <v>4525</v>
      </c>
      <c r="N1049" s="12" t="s">
        <v>2992</v>
      </c>
      <c r="O1049" s="86"/>
    </row>
    <row r="1050" spans="1:15" x14ac:dyDescent="0.35">
      <c r="A1050" s="6" t="s">
        <v>4535</v>
      </c>
      <c r="B1050" s="235" t="s">
        <v>3299</v>
      </c>
      <c r="C1050" s="257">
        <v>-8.2472969326962762</v>
      </c>
      <c r="D1050" s="261">
        <v>66.31965227005756</v>
      </c>
      <c r="E1050" s="138" t="s">
        <v>395</v>
      </c>
      <c r="F1050" s="402">
        <v>100</v>
      </c>
      <c r="G1050" s="1" t="s">
        <v>783</v>
      </c>
      <c r="H1050" s="402">
        <v>17</v>
      </c>
      <c r="I1050" s="63">
        <v>16</v>
      </c>
      <c r="J1050" s="235" t="s">
        <v>67</v>
      </c>
      <c r="K1050" s="140">
        <v>19</v>
      </c>
      <c r="L1050" s="14" t="s">
        <v>360</v>
      </c>
      <c r="M1050" s="14" t="s">
        <v>4527</v>
      </c>
      <c r="N1050" t="s">
        <v>2992</v>
      </c>
    </row>
    <row r="1051" spans="1:15" x14ac:dyDescent="0.35">
      <c r="B1051" s="235" t="s">
        <v>3299</v>
      </c>
      <c r="C1051" s="257">
        <v>-0.24374971956387126</v>
      </c>
      <c r="D1051" s="261">
        <v>70.588749815713399</v>
      </c>
      <c r="E1051" s="138" t="s">
        <v>395</v>
      </c>
      <c r="F1051" s="402">
        <v>45</v>
      </c>
      <c r="G1051" s="1" t="s">
        <v>58</v>
      </c>
      <c r="H1051" s="402">
        <v>18</v>
      </c>
      <c r="I1051" s="63">
        <v>12</v>
      </c>
      <c r="J1051" s="235" t="s">
        <v>965</v>
      </c>
      <c r="K1051" s="140">
        <v>35</v>
      </c>
      <c r="L1051" s="14" t="s">
        <v>296</v>
      </c>
      <c r="M1051" s="14" t="s">
        <v>4528</v>
      </c>
      <c r="N1051" t="s">
        <v>2992</v>
      </c>
    </row>
    <row r="1052" spans="1:15" x14ac:dyDescent="0.35">
      <c r="B1052" s="235" t="s">
        <v>3299</v>
      </c>
      <c r="C1052" s="257">
        <v>-0.99279358864903366</v>
      </c>
      <c r="D1052" s="261">
        <v>71.08097864396936</v>
      </c>
      <c r="E1052" s="138" t="s">
        <v>395</v>
      </c>
      <c r="F1052" s="402">
        <v>52</v>
      </c>
      <c r="G1052" s="1" t="s">
        <v>62</v>
      </c>
      <c r="H1052" s="402">
        <v>19</v>
      </c>
      <c r="I1052" s="63">
        <v>16</v>
      </c>
      <c r="J1052" s="235" t="s">
        <v>66</v>
      </c>
      <c r="K1052" s="140">
        <v>28</v>
      </c>
      <c r="L1052" s="14" t="s">
        <v>577</v>
      </c>
      <c r="M1052" s="14" t="s">
        <v>4529</v>
      </c>
      <c r="N1052" t="s">
        <v>2992</v>
      </c>
    </row>
    <row r="1053" spans="1:15" x14ac:dyDescent="0.35">
      <c r="B1053" s="235" t="s">
        <v>3299</v>
      </c>
      <c r="C1053" s="257">
        <v>-1.1106586946804549</v>
      </c>
      <c r="D1053" s="261">
        <v>65.613789999361444</v>
      </c>
      <c r="E1053" s="138" t="s">
        <v>396</v>
      </c>
      <c r="F1053" s="402">
        <v>44</v>
      </c>
      <c r="G1053" s="1" t="s">
        <v>43</v>
      </c>
      <c r="H1053" s="402">
        <v>16</v>
      </c>
      <c r="I1053" s="63">
        <v>12</v>
      </c>
      <c r="J1053" s="235" t="s">
        <v>49</v>
      </c>
      <c r="K1053" s="140">
        <v>51</v>
      </c>
      <c r="L1053" s="14" t="s">
        <v>286</v>
      </c>
      <c r="M1053" s="14" t="s">
        <v>4530</v>
      </c>
      <c r="N1053" t="s">
        <v>2992</v>
      </c>
    </row>
    <row r="1054" spans="1:15" x14ac:dyDescent="0.35">
      <c r="B1054" s="235" t="s">
        <v>3300</v>
      </c>
      <c r="C1054" s="257">
        <v>11.569562557696278</v>
      </c>
      <c r="D1054" s="261">
        <v>53.29714460494246</v>
      </c>
      <c r="E1054" s="138" t="s">
        <v>395</v>
      </c>
      <c r="F1054" s="402">
        <v>19</v>
      </c>
      <c r="G1054" s="1" t="s">
        <v>67</v>
      </c>
      <c r="H1054" s="402">
        <v>25</v>
      </c>
      <c r="I1054" s="63">
        <v>15</v>
      </c>
      <c r="J1054" s="235" t="s">
        <v>783</v>
      </c>
      <c r="K1054" s="140">
        <v>100</v>
      </c>
      <c r="L1054" s="14" t="s">
        <v>194</v>
      </c>
      <c r="M1054" s="14" t="s">
        <v>4531</v>
      </c>
      <c r="N1054" t="s">
        <v>2992</v>
      </c>
      <c r="O1054" s="85" t="s">
        <v>4532</v>
      </c>
    </row>
    <row r="1055" spans="1:15" x14ac:dyDescent="0.35">
      <c r="B1055" s="235" t="s">
        <v>3300</v>
      </c>
      <c r="C1055" s="257">
        <v>3.1257809695638712</v>
      </c>
      <c r="D1055" s="261">
        <v>68.374486791429462</v>
      </c>
      <c r="E1055" s="138" t="s">
        <v>395</v>
      </c>
      <c r="F1055" s="402">
        <v>35</v>
      </c>
      <c r="G1055" s="1" t="s">
        <v>965</v>
      </c>
      <c r="H1055" s="402">
        <v>18</v>
      </c>
      <c r="I1055" s="63">
        <v>17</v>
      </c>
      <c r="J1055" s="235" t="s">
        <v>58</v>
      </c>
      <c r="K1055" s="140">
        <v>45</v>
      </c>
      <c r="L1055" s="14" t="s">
        <v>507</v>
      </c>
      <c r="M1055" s="14" t="s">
        <v>4536</v>
      </c>
      <c r="N1055" s="92" t="s">
        <v>2954</v>
      </c>
      <c r="O1055" s="85" t="s">
        <v>4537</v>
      </c>
    </row>
    <row r="1056" spans="1:15" x14ac:dyDescent="0.35">
      <c r="B1056" s="235" t="s">
        <v>3300</v>
      </c>
      <c r="C1056" s="257">
        <v>4.4068560886490333</v>
      </c>
      <c r="D1056" s="261">
        <v>67.532637427459207</v>
      </c>
      <c r="E1056" s="138" t="s">
        <v>395</v>
      </c>
      <c r="F1056" s="402">
        <v>28</v>
      </c>
      <c r="G1056" s="1" t="s">
        <v>66</v>
      </c>
      <c r="H1056" s="402">
        <v>17</v>
      </c>
      <c r="I1056" s="63">
        <v>15</v>
      </c>
      <c r="J1056" s="235" t="s">
        <v>62</v>
      </c>
      <c r="K1056" s="140">
        <v>52</v>
      </c>
      <c r="L1056" s="14" t="s">
        <v>453</v>
      </c>
      <c r="M1056" s="14" t="s">
        <v>4540</v>
      </c>
      <c r="N1056" t="s">
        <v>2992</v>
      </c>
      <c r="O1056" s="85" t="s">
        <v>4541</v>
      </c>
    </row>
    <row r="1057" spans="1:15" ht="15" thickBot="1" x14ac:dyDescent="0.4">
      <c r="B1057" s="57" t="s">
        <v>3300</v>
      </c>
      <c r="C1057" s="259">
        <v>-2.0632502213770425</v>
      </c>
      <c r="D1057" s="262">
        <v>66.239778716904922</v>
      </c>
      <c r="E1057" s="222" t="s">
        <v>396</v>
      </c>
      <c r="F1057" s="381">
        <v>51</v>
      </c>
      <c r="G1057" s="44" t="s">
        <v>49</v>
      </c>
      <c r="H1057" s="381">
        <v>19</v>
      </c>
      <c r="I1057" s="56">
        <v>13</v>
      </c>
      <c r="J1057" s="57" t="s">
        <v>43</v>
      </c>
      <c r="K1057" s="141">
        <v>44</v>
      </c>
      <c r="L1057" s="23" t="s">
        <v>191</v>
      </c>
      <c r="M1057" s="23" t="s">
        <v>4544</v>
      </c>
      <c r="N1057" s="12" t="s">
        <v>2992</v>
      </c>
      <c r="O1057" s="86" t="s">
        <v>4545</v>
      </c>
    </row>
    <row r="1058" spans="1:15" x14ac:dyDescent="0.35">
      <c r="A1058" s="6" t="s">
        <v>4561</v>
      </c>
      <c r="B1058" s="235" t="s">
        <v>3297</v>
      </c>
      <c r="C1058" s="257">
        <v>0.31024586660643649</v>
      </c>
      <c r="D1058" s="261">
        <v>91.081806228610148</v>
      </c>
      <c r="E1058" s="138" t="s">
        <v>395</v>
      </c>
      <c r="F1058" s="402">
        <v>20</v>
      </c>
      <c r="G1058" s="1" t="s">
        <v>69</v>
      </c>
      <c r="H1058" s="402">
        <v>25</v>
      </c>
      <c r="I1058" s="63">
        <v>18</v>
      </c>
      <c r="J1058" s="235" t="s">
        <v>78</v>
      </c>
      <c r="K1058" s="140">
        <v>11</v>
      </c>
      <c r="L1058" s="14" t="s">
        <v>609</v>
      </c>
      <c r="M1058" s="14" t="s">
        <v>4548</v>
      </c>
      <c r="N1058" t="s">
        <v>2992</v>
      </c>
      <c r="O1058" s="87"/>
    </row>
    <row r="1059" spans="1:15" x14ac:dyDescent="0.35">
      <c r="B1059" s="235" t="s">
        <v>3297</v>
      </c>
      <c r="C1059" s="257">
        <v>-0.77340310132525791</v>
      </c>
      <c r="D1059" s="261">
        <v>94.028437707994811</v>
      </c>
      <c r="E1059" s="138" t="s">
        <v>395</v>
      </c>
      <c r="F1059" s="402">
        <v>17</v>
      </c>
      <c r="G1059" s="1" t="s">
        <v>966</v>
      </c>
      <c r="H1059" s="402">
        <v>20</v>
      </c>
      <c r="I1059" s="63">
        <v>18</v>
      </c>
      <c r="J1059" s="235" t="s">
        <v>41</v>
      </c>
      <c r="K1059" s="140">
        <v>6</v>
      </c>
      <c r="L1059" s="14" t="s">
        <v>577</v>
      </c>
      <c r="M1059" s="14" t="s">
        <v>4550</v>
      </c>
      <c r="N1059" s="92" t="s">
        <v>2954</v>
      </c>
      <c r="O1059" s="87" t="s">
        <v>4549</v>
      </c>
    </row>
    <row r="1060" spans="1:15" x14ac:dyDescent="0.35">
      <c r="B1060" s="235" t="s">
        <v>3297</v>
      </c>
      <c r="C1060" s="257">
        <v>16.731281489478381</v>
      </c>
      <c r="D1060" s="261">
        <v>51.958461899621057</v>
      </c>
      <c r="E1060" s="138" t="s">
        <v>395</v>
      </c>
      <c r="F1060" s="402">
        <v>13</v>
      </c>
      <c r="G1060" s="1" t="s">
        <v>59</v>
      </c>
      <c r="H1060" s="402">
        <v>27</v>
      </c>
      <c r="I1060" s="63">
        <v>13</v>
      </c>
      <c r="J1060" s="235" t="s">
        <v>88</v>
      </c>
      <c r="K1060" s="140">
        <v>103</v>
      </c>
      <c r="L1060" s="14" t="s">
        <v>183</v>
      </c>
      <c r="M1060" s="14" t="s">
        <v>4560</v>
      </c>
      <c r="N1060" t="s">
        <v>2992</v>
      </c>
      <c r="O1060" s="87" t="s">
        <v>4559</v>
      </c>
    </row>
    <row r="1061" spans="1:15" x14ac:dyDescent="0.35">
      <c r="B1061" s="235" t="s">
        <v>3297</v>
      </c>
      <c r="C1061" s="257">
        <v>7.0532712208712027</v>
      </c>
      <c r="D1061" s="261">
        <v>81.965754215154234</v>
      </c>
      <c r="E1061" s="138" t="s">
        <v>396</v>
      </c>
      <c r="F1061" s="402">
        <v>5</v>
      </c>
      <c r="G1061" s="1" t="s">
        <v>119</v>
      </c>
      <c r="H1061" s="402">
        <v>33</v>
      </c>
      <c r="I1061" s="63">
        <v>24</v>
      </c>
      <c r="J1061" s="235" t="s">
        <v>34</v>
      </c>
      <c r="K1061" s="140">
        <v>37</v>
      </c>
      <c r="L1061" s="14" t="s">
        <v>625</v>
      </c>
      <c r="M1061" s="14" t="s">
        <v>4562</v>
      </c>
      <c r="N1061" t="s">
        <v>2992</v>
      </c>
    </row>
    <row r="1062" spans="1:15" x14ac:dyDescent="0.35">
      <c r="B1062" s="235" t="s">
        <v>3297</v>
      </c>
      <c r="C1062" s="257">
        <v>1.9549660851979618</v>
      </c>
      <c r="D1062" s="363">
        <v>101.89948608808703</v>
      </c>
      <c r="E1062" s="138" t="s">
        <v>395</v>
      </c>
      <c r="F1062" s="402">
        <v>1</v>
      </c>
      <c r="G1062" s="1" t="s">
        <v>26</v>
      </c>
      <c r="H1062" s="402">
        <v>33</v>
      </c>
      <c r="I1062" s="63">
        <v>32</v>
      </c>
      <c r="J1062" s="235" t="s">
        <v>87</v>
      </c>
      <c r="K1062" s="140">
        <v>2</v>
      </c>
      <c r="L1062" s="14" t="s">
        <v>4563</v>
      </c>
      <c r="M1062" s="14" t="s">
        <v>4564</v>
      </c>
      <c r="N1062" s="92" t="s">
        <v>2954</v>
      </c>
      <c r="O1062" s="87" t="s">
        <v>4566</v>
      </c>
    </row>
    <row r="1063" spans="1:15" x14ac:dyDescent="0.35">
      <c r="B1063" s="235" t="s">
        <v>3297</v>
      </c>
      <c r="C1063" s="257">
        <v>2.7422694831306065</v>
      </c>
      <c r="D1063" s="261">
        <v>92.893362475130331</v>
      </c>
      <c r="E1063" s="138" t="s">
        <v>396</v>
      </c>
      <c r="F1063" s="402">
        <v>3</v>
      </c>
      <c r="G1063" s="1" t="s">
        <v>795</v>
      </c>
      <c r="H1063" s="402">
        <v>16</v>
      </c>
      <c r="I1063" s="63">
        <v>13</v>
      </c>
      <c r="J1063" s="235" t="s">
        <v>60</v>
      </c>
      <c r="K1063" s="140">
        <v>16</v>
      </c>
      <c r="L1063" s="14" t="s">
        <v>295</v>
      </c>
      <c r="M1063" s="14" t="s">
        <v>4567</v>
      </c>
      <c r="N1063" t="s">
        <v>2992</v>
      </c>
      <c r="O1063" s="362" t="s">
        <v>4571</v>
      </c>
    </row>
    <row r="1064" spans="1:15" x14ac:dyDescent="0.35">
      <c r="B1064" s="235" t="s">
        <v>3297</v>
      </c>
      <c r="C1064" s="257">
        <v>4.8169205043257755</v>
      </c>
      <c r="D1064" s="261">
        <v>79.867693961504855</v>
      </c>
      <c r="E1064" s="138" t="s">
        <v>396</v>
      </c>
      <c r="F1064" s="402">
        <v>10</v>
      </c>
      <c r="G1064" s="1" t="s">
        <v>46</v>
      </c>
      <c r="H1064" s="402">
        <v>24</v>
      </c>
      <c r="I1064" s="63">
        <v>15</v>
      </c>
      <c r="J1064" s="235" t="s">
        <v>75</v>
      </c>
      <c r="K1064" s="140">
        <v>43</v>
      </c>
      <c r="L1064" s="14" t="s">
        <v>299</v>
      </c>
      <c r="M1064" s="14" t="s">
        <v>4570</v>
      </c>
      <c r="N1064" t="s">
        <v>2992</v>
      </c>
      <c r="O1064" s="362" t="s">
        <v>4565</v>
      </c>
    </row>
    <row r="1065" spans="1:15" x14ac:dyDescent="0.35">
      <c r="B1065" s="235" t="s">
        <v>3297</v>
      </c>
      <c r="C1065" s="257">
        <v>5.4966749048693408</v>
      </c>
      <c r="D1065" s="261">
        <v>79.466423275441144</v>
      </c>
      <c r="E1065" s="138" t="s">
        <v>396</v>
      </c>
      <c r="F1065" s="402">
        <v>8</v>
      </c>
      <c r="G1065" s="1" t="s">
        <v>36</v>
      </c>
      <c r="H1065" s="402">
        <v>21</v>
      </c>
      <c r="I1065" s="63">
        <v>16</v>
      </c>
      <c r="J1065" s="235" t="s">
        <v>42</v>
      </c>
      <c r="K1065" s="140">
        <v>48</v>
      </c>
      <c r="L1065" s="14" t="s">
        <v>194</v>
      </c>
      <c r="M1065" s="14" t="s">
        <v>4569</v>
      </c>
      <c r="N1065" t="s">
        <v>2992</v>
      </c>
      <c r="O1065" s="87" t="s">
        <v>4568</v>
      </c>
    </row>
    <row r="1066" spans="1:15" x14ac:dyDescent="0.35">
      <c r="A1066" s="6" t="s">
        <v>4573</v>
      </c>
      <c r="B1066" s="235" t="s">
        <v>3298</v>
      </c>
      <c r="C1066" s="257">
        <v>3.5084690973426342</v>
      </c>
      <c r="D1066" s="261">
        <v>89.025805580279737</v>
      </c>
      <c r="E1066" s="138" t="s">
        <v>395</v>
      </c>
      <c r="F1066" s="402">
        <v>11</v>
      </c>
      <c r="G1066" s="1" t="s">
        <v>78</v>
      </c>
      <c r="H1066" s="402">
        <v>15</v>
      </c>
      <c r="I1066" s="63">
        <v>11</v>
      </c>
      <c r="J1066" s="235" t="s">
        <v>69</v>
      </c>
      <c r="K1066" s="140">
        <v>20</v>
      </c>
      <c r="L1066" s="14" t="s">
        <v>353</v>
      </c>
      <c r="M1066" s="14" t="s">
        <v>4574</v>
      </c>
      <c r="N1066" t="s">
        <v>2992</v>
      </c>
      <c r="O1066" s="85" t="s">
        <v>4575</v>
      </c>
    </row>
    <row r="1067" spans="1:15" x14ac:dyDescent="0.35">
      <c r="B1067" s="235" t="s">
        <v>3298</v>
      </c>
      <c r="C1067" s="257">
        <v>3.9638544902141462</v>
      </c>
      <c r="D1067" s="261">
        <v>90.983057827719477</v>
      </c>
      <c r="E1067" s="138" t="s">
        <v>395</v>
      </c>
      <c r="F1067" s="402">
        <v>6</v>
      </c>
      <c r="G1067" s="1" t="s">
        <v>41</v>
      </c>
      <c r="H1067" s="402">
        <v>22</v>
      </c>
      <c r="I1067" s="63">
        <v>5</v>
      </c>
      <c r="J1067" s="235" t="s">
        <v>966</v>
      </c>
      <c r="K1067" s="140">
        <v>17</v>
      </c>
      <c r="L1067" s="14" t="s">
        <v>200</v>
      </c>
      <c r="M1067" s="43" t="s">
        <v>4576</v>
      </c>
      <c r="N1067" s="1" t="s">
        <v>2953</v>
      </c>
      <c r="O1067" s="85" t="s">
        <v>4577</v>
      </c>
    </row>
    <row r="1068" spans="1:15" x14ac:dyDescent="0.35">
      <c r="B1068" s="235" t="s">
        <v>3298</v>
      </c>
      <c r="C1068" s="257">
        <v>13.337184267256159</v>
      </c>
      <c r="D1068" s="261">
        <v>54.140381542478181</v>
      </c>
      <c r="E1068" s="138" t="s">
        <v>396</v>
      </c>
      <c r="F1068" s="402">
        <v>13</v>
      </c>
      <c r="G1068" s="1" t="s">
        <v>59</v>
      </c>
      <c r="H1068" s="402">
        <v>27</v>
      </c>
      <c r="I1068" s="63">
        <v>26</v>
      </c>
      <c r="J1068" s="235" t="s">
        <v>88</v>
      </c>
      <c r="K1068" s="140">
        <v>103</v>
      </c>
      <c r="L1068" s="14" t="s">
        <v>4578</v>
      </c>
      <c r="M1068" s="14" t="s">
        <v>4579</v>
      </c>
      <c r="N1068" s="92" t="s">
        <v>2954</v>
      </c>
      <c r="O1068" s="85" t="s">
        <v>4580</v>
      </c>
    </row>
    <row r="1069" spans="1:15" x14ac:dyDescent="0.35">
      <c r="B1069" s="235" t="s">
        <v>3298</v>
      </c>
      <c r="C1069" s="257">
        <v>10.209781637537869</v>
      </c>
      <c r="D1069" s="261">
        <v>79.936568947297076</v>
      </c>
      <c r="E1069" s="138" t="s">
        <v>395</v>
      </c>
      <c r="F1069" s="402">
        <v>5</v>
      </c>
      <c r="G1069" s="1" t="s">
        <v>119</v>
      </c>
      <c r="H1069" s="402">
        <v>29</v>
      </c>
      <c r="I1069" s="63">
        <v>10</v>
      </c>
      <c r="J1069" s="235" t="s">
        <v>34</v>
      </c>
      <c r="K1069" s="140">
        <v>37</v>
      </c>
      <c r="L1069" s="14" t="s">
        <v>286</v>
      </c>
      <c r="M1069" s="43" t="s">
        <v>4581</v>
      </c>
      <c r="N1069" s="1" t="s">
        <v>2953</v>
      </c>
      <c r="O1069" s="85" t="s">
        <v>4582</v>
      </c>
    </row>
    <row r="1070" spans="1:15" x14ac:dyDescent="0.35">
      <c r="B1070" s="235" t="s">
        <v>3298</v>
      </c>
      <c r="C1070" s="257">
        <v>-1.3712491925798156</v>
      </c>
      <c r="D1070" s="363">
        <v>100.03776733808702</v>
      </c>
      <c r="E1070" s="138" t="s">
        <v>396</v>
      </c>
      <c r="F1070" s="402">
        <v>1</v>
      </c>
      <c r="G1070" s="1" t="s">
        <v>26</v>
      </c>
      <c r="H1070" s="402">
        <v>23</v>
      </c>
      <c r="I1070" s="63">
        <v>16</v>
      </c>
      <c r="J1070" s="235" t="s">
        <v>87</v>
      </c>
      <c r="K1070" s="140">
        <v>2</v>
      </c>
      <c r="L1070" s="14" t="s">
        <v>332</v>
      </c>
      <c r="M1070" s="14" t="s">
        <v>4583</v>
      </c>
      <c r="N1070" t="s">
        <v>2992</v>
      </c>
      <c r="O1070" s="85" t="s">
        <v>4584</v>
      </c>
    </row>
    <row r="1071" spans="1:15" x14ac:dyDescent="0.35">
      <c r="B1071" s="235" t="s">
        <v>3298</v>
      </c>
      <c r="C1071" s="257">
        <v>5.6397955247972735</v>
      </c>
      <c r="D1071" s="261">
        <v>91.030667162630323</v>
      </c>
      <c r="E1071" s="138" t="s">
        <v>395</v>
      </c>
      <c r="F1071" s="402">
        <v>3</v>
      </c>
      <c r="G1071" s="1" t="s">
        <v>795</v>
      </c>
      <c r="H1071" s="402">
        <v>32</v>
      </c>
      <c r="I1071" s="63">
        <v>9</v>
      </c>
      <c r="J1071" s="235" t="s">
        <v>60</v>
      </c>
      <c r="K1071" s="140">
        <v>16</v>
      </c>
      <c r="L1071" s="14" t="s">
        <v>397</v>
      </c>
      <c r="M1071" s="43" t="s">
        <v>4585</v>
      </c>
      <c r="N1071" s="1" t="s">
        <v>2953</v>
      </c>
      <c r="O1071" s="85" t="s">
        <v>4586</v>
      </c>
    </row>
    <row r="1072" spans="1:15" x14ac:dyDescent="0.35">
      <c r="B1072" s="235" t="s">
        <v>3298</v>
      </c>
      <c r="C1072" s="257">
        <v>7.7919205043257751</v>
      </c>
      <c r="D1072" s="261">
        <v>77.955193961504861</v>
      </c>
      <c r="E1072" s="138" t="s">
        <v>395</v>
      </c>
      <c r="F1072" s="402">
        <v>10</v>
      </c>
      <c r="G1072" s="1" t="s">
        <v>46</v>
      </c>
      <c r="H1072" s="402">
        <v>26</v>
      </c>
      <c r="I1072" s="63">
        <v>17</v>
      </c>
      <c r="J1072" s="235" t="s">
        <v>75</v>
      </c>
      <c r="K1072" s="140">
        <v>43</v>
      </c>
      <c r="L1072" s="14" t="s">
        <v>533</v>
      </c>
      <c r="M1072" s="14" t="s">
        <v>4587</v>
      </c>
      <c r="N1072" t="s">
        <v>2992</v>
      </c>
      <c r="O1072" s="85" t="s">
        <v>4588</v>
      </c>
    </row>
    <row r="1073" spans="1:15" ht="15" thickBot="1" x14ac:dyDescent="0.4">
      <c r="B1073" s="57" t="s">
        <v>3298</v>
      </c>
      <c r="C1073" s="259">
        <v>8.3477165715360062</v>
      </c>
      <c r="D1073" s="262">
        <v>76.633610775441142</v>
      </c>
      <c r="E1073" s="222" t="s">
        <v>395</v>
      </c>
      <c r="F1073" s="381">
        <v>8</v>
      </c>
      <c r="G1073" s="44" t="s">
        <v>36</v>
      </c>
      <c r="H1073" s="381">
        <v>26</v>
      </c>
      <c r="I1073" s="56">
        <v>16</v>
      </c>
      <c r="J1073" s="57" t="s">
        <v>42</v>
      </c>
      <c r="K1073" s="141">
        <v>48</v>
      </c>
      <c r="L1073" s="23" t="s">
        <v>301</v>
      </c>
      <c r="M1073" s="23" t="s">
        <v>4589</v>
      </c>
      <c r="N1073" s="12" t="s">
        <v>2992</v>
      </c>
      <c r="O1073" s="86" t="s">
        <v>4590</v>
      </c>
    </row>
    <row r="1074" spans="1:15" x14ac:dyDescent="0.35">
      <c r="A1074" s="6" t="s">
        <v>4685</v>
      </c>
      <c r="B1074" s="235" t="s">
        <v>4279</v>
      </c>
      <c r="C1074" s="257">
        <v>2.8258137254831244</v>
      </c>
      <c r="D1074" s="261">
        <v>94.405536694682525</v>
      </c>
      <c r="E1074" s="138" t="s">
        <v>396</v>
      </c>
      <c r="F1074" s="402">
        <v>2</v>
      </c>
      <c r="G1074" s="1" t="s">
        <v>87</v>
      </c>
      <c r="H1074" s="402">
        <v>22</v>
      </c>
      <c r="I1074" s="63">
        <v>9</v>
      </c>
      <c r="J1074" s="235" t="s">
        <v>78</v>
      </c>
      <c r="K1074" s="140">
        <v>11</v>
      </c>
      <c r="L1074" s="14" t="s">
        <v>337</v>
      </c>
      <c r="M1074" s="43" t="s">
        <v>4684</v>
      </c>
      <c r="N1074" s="1" t="s">
        <v>2953</v>
      </c>
    </row>
    <row r="1075" spans="1:15" x14ac:dyDescent="0.35">
      <c r="B1075" s="235" t="s">
        <v>4286</v>
      </c>
      <c r="C1075" s="257">
        <v>-3.9633862944883731</v>
      </c>
      <c r="D1075" s="261">
        <v>93.117010993520935</v>
      </c>
      <c r="E1075" s="138" t="s">
        <v>396</v>
      </c>
      <c r="F1075" s="402">
        <v>20</v>
      </c>
      <c r="G1075" s="1" t="s">
        <v>69</v>
      </c>
      <c r="H1075" s="402">
        <v>22</v>
      </c>
      <c r="I1075" s="63">
        <v>14</v>
      </c>
      <c r="J1075" s="235" t="s">
        <v>59</v>
      </c>
      <c r="K1075" s="140">
        <v>13</v>
      </c>
      <c r="L1075" s="14" t="s">
        <v>397</v>
      </c>
      <c r="M1075" s="14" t="s">
        <v>4686</v>
      </c>
      <c r="N1075" t="s">
        <v>2992</v>
      </c>
    </row>
    <row r="1076" spans="1:15" x14ac:dyDescent="0.35">
      <c r="B1076" s="235" t="s">
        <v>4293</v>
      </c>
      <c r="C1076" s="257">
        <v>2.4758193536512447</v>
      </c>
      <c r="D1076" s="261">
        <v>88.598032996172037</v>
      </c>
      <c r="E1076" s="138" t="s">
        <v>396</v>
      </c>
      <c r="F1076" s="402">
        <v>9</v>
      </c>
      <c r="G1076" s="1" t="s">
        <v>145</v>
      </c>
      <c r="H1076" s="402">
        <v>24</v>
      </c>
      <c r="I1076" s="63">
        <v>3</v>
      </c>
      <c r="J1076" s="235" t="s">
        <v>53</v>
      </c>
      <c r="K1076" s="140">
        <v>25</v>
      </c>
      <c r="L1076" s="14" t="s">
        <v>451</v>
      </c>
      <c r="M1076" s="43" t="s">
        <v>4687</v>
      </c>
      <c r="N1076" s="1" t="s">
        <v>2953</v>
      </c>
    </row>
    <row r="1077" spans="1:15" x14ac:dyDescent="0.35">
      <c r="B1077" s="235" t="s">
        <v>4300</v>
      </c>
      <c r="C1077" s="257">
        <v>-1.6695682811515602</v>
      </c>
      <c r="D1077" s="261">
        <v>95.92214487047103</v>
      </c>
      <c r="E1077" s="138" t="s">
        <v>396</v>
      </c>
      <c r="F1077" s="402">
        <v>8</v>
      </c>
      <c r="G1077" s="1" t="s">
        <v>36</v>
      </c>
      <c r="H1077" s="402">
        <v>28</v>
      </c>
      <c r="I1077" s="63">
        <v>19</v>
      </c>
      <c r="J1077" s="235" t="s">
        <v>46</v>
      </c>
      <c r="K1077" s="140">
        <v>10</v>
      </c>
      <c r="L1077" s="14" t="s">
        <v>194</v>
      </c>
      <c r="M1077" s="14" t="s">
        <v>4688</v>
      </c>
      <c r="N1077" t="s">
        <v>2992</v>
      </c>
    </row>
    <row r="1078" spans="1:15" x14ac:dyDescent="0.35">
      <c r="B1078" s="235" t="s">
        <v>4307</v>
      </c>
      <c r="C1078" s="257">
        <v>-0.54304284337405739</v>
      </c>
      <c r="D1078" s="261">
        <v>98.631856725645804</v>
      </c>
      <c r="E1078" s="138" t="s">
        <v>396</v>
      </c>
      <c r="F1078" s="402">
        <v>1</v>
      </c>
      <c r="G1078" s="1" t="s">
        <v>26</v>
      </c>
      <c r="H1078" s="402">
        <v>21</v>
      </c>
      <c r="I1078" s="63">
        <v>15</v>
      </c>
      <c r="J1078" s="235" t="s">
        <v>119</v>
      </c>
      <c r="K1078" s="140">
        <v>5</v>
      </c>
      <c r="L1078" s="14" t="s">
        <v>334</v>
      </c>
      <c r="M1078" s="14" t="s">
        <v>4690</v>
      </c>
      <c r="N1078" t="s">
        <v>2992</v>
      </c>
      <c r="O1078" s="85" t="s">
        <v>4689</v>
      </c>
    </row>
    <row r="1079" spans="1:15" x14ac:dyDescent="0.35">
      <c r="B1079" s="235" t="s">
        <v>4448</v>
      </c>
      <c r="C1079" s="257">
        <v>8.7510034268521508</v>
      </c>
      <c r="D1079" s="261">
        <v>79.463626319497166</v>
      </c>
      <c r="E1079" s="138" t="s">
        <v>396</v>
      </c>
      <c r="F1079" s="402">
        <v>3</v>
      </c>
      <c r="G1079" s="1" t="s">
        <v>795</v>
      </c>
      <c r="H1079" s="402">
        <v>36</v>
      </c>
      <c r="I1079" s="63">
        <v>27</v>
      </c>
      <c r="J1079" s="235" t="s">
        <v>794</v>
      </c>
      <c r="K1079" s="140">
        <v>42</v>
      </c>
      <c r="L1079" s="14" t="s">
        <v>601</v>
      </c>
      <c r="M1079" s="14" t="s">
        <v>4691</v>
      </c>
      <c r="N1079" t="s">
        <v>2992</v>
      </c>
      <c r="O1079" s="85" t="s">
        <v>4692</v>
      </c>
    </row>
    <row r="1080" spans="1:15" x14ac:dyDescent="0.35">
      <c r="B1080" s="235" t="s">
        <v>4314</v>
      </c>
      <c r="C1080" s="257">
        <v>2.0414241245720679</v>
      </c>
      <c r="D1080" s="261">
        <v>88.595992718138362</v>
      </c>
      <c r="E1080" s="138" t="s">
        <v>395</v>
      </c>
      <c r="F1080" s="402">
        <v>18</v>
      </c>
      <c r="G1080" s="1" t="s">
        <v>962</v>
      </c>
      <c r="H1080" s="402">
        <v>17</v>
      </c>
      <c r="I1080" s="63">
        <v>13</v>
      </c>
      <c r="J1080" s="235" t="s">
        <v>966</v>
      </c>
      <c r="K1080" s="140">
        <v>17</v>
      </c>
      <c r="L1080" s="14" t="s">
        <v>337</v>
      </c>
      <c r="M1080" s="14" t="s">
        <v>4693</v>
      </c>
      <c r="N1080" t="s">
        <v>2992</v>
      </c>
    </row>
    <row r="1081" spans="1:15" x14ac:dyDescent="0.35">
      <c r="B1081" s="235" t="s">
        <v>4280</v>
      </c>
      <c r="C1081" s="257">
        <v>-6.707063725483124</v>
      </c>
      <c r="D1081" s="363">
        <v>100.66999901960321</v>
      </c>
      <c r="E1081" s="138" t="s">
        <v>396</v>
      </c>
      <c r="F1081" s="402">
        <v>11</v>
      </c>
      <c r="G1081" s="1" t="s">
        <v>78</v>
      </c>
      <c r="H1081" s="402">
        <v>24</v>
      </c>
      <c r="I1081" s="63">
        <v>15</v>
      </c>
      <c r="J1081" s="235" t="s">
        <v>87</v>
      </c>
      <c r="K1081" s="140">
        <v>2</v>
      </c>
      <c r="L1081" s="14" t="s">
        <v>547</v>
      </c>
      <c r="M1081" s="14" t="s">
        <v>4694</v>
      </c>
      <c r="N1081" t="s">
        <v>2992</v>
      </c>
      <c r="O1081" s="85" t="s">
        <v>4695</v>
      </c>
    </row>
    <row r="1082" spans="1:15" x14ac:dyDescent="0.35">
      <c r="B1082" s="235" t="s">
        <v>4287</v>
      </c>
      <c r="C1082" s="257">
        <v>0.45067620551162751</v>
      </c>
      <c r="D1082" s="261">
        <v>90.216341350663782</v>
      </c>
      <c r="E1082" s="138" t="s">
        <v>395</v>
      </c>
      <c r="F1082" s="402">
        <v>20</v>
      </c>
      <c r="G1082" s="1" t="s">
        <v>69</v>
      </c>
      <c r="H1082" s="402">
        <v>16</v>
      </c>
      <c r="I1082" s="63">
        <v>8</v>
      </c>
      <c r="J1082" s="235" t="s">
        <v>59</v>
      </c>
      <c r="K1082" s="140">
        <v>13</v>
      </c>
      <c r="L1082" s="14" t="s">
        <v>297</v>
      </c>
      <c r="M1082" s="43" t="s">
        <v>4696</v>
      </c>
      <c r="N1082" s="1" t="s">
        <v>2953</v>
      </c>
      <c r="O1082" s="85" t="s">
        <v>4697</v>
      </c>
    </row>
    <row r="1083" spans="1:15" x14ac:dyDescent="0.35">
      <c r="B1083" s="235" t="s">
        <v>4294</v>
      </c>
      <c r="C1083" s="257">
        <v>6.7883193536512447</v>
      </c>
      <c r="D1083" s="261">
        <v>85.764104424743465</v>
      </c>
      <c r="E1083" s="138" t="s">
        <v>395</v>
      </c>
      <c r="F1083" s="402">
        <v>9</v>
      </c>
      <c r="G1083" s="1" t="s">
        <v>145</v>
      </c>
      <c r="H1083" s="402">
        <v>31</v>
      </c>
      <c r="I1083" s="63">
        <v>16</v>
      </c>
      <c r="J1083" s="235" t="s">
        <v>53</v>
      </c>
      <c r="K1083" s="140">
        <v>25</v>
      </c>
      <c r="L1083" s="14" t="s">
        <v>332</v>
      </c>
      <c r="M1083" s="43" t="s">
        <v>4698</v>
      </c>
      <c r="N1083" s="1" t="s">
        <v>2953</v>
      </c>
      <c r="O1083" s="85" t="s">
        <v>4699</v>
      </c>
    </row>
    <row r="1084" spans="1:15" x14ac:dyDescent="0.35">
      <c r="B1084" s="235" t="s">
        <v>4301</v>
      </c>
      <c r="C1084" s="257">
        <v>2.6663692188484394</v>
      </c>
      <c r="D1084" s="261">
        <v>93.072814513328169</v>
      </c>
      <c r="E1084" s="138" t="s">
        <v>395</v>
      </c>
      <c r="F1084" s="402">
        <v>8</v>
      </c>
      <c r="G1084" s="1" t="s">
        <v>36</v>
      </c>
      <c r="H1084" s="402">
        <v>28</v>
      </c>
      <c r="I1084" s="63">
        <v>19</v>
      </c>
      <c r="J1084" s="235" t="s">
        <v>46</v>
      </c>
      <c r="K1084" s="140">
        <v>10</v>
      </c>
      <c r="L1084" s="14" t="s">
        <v>178</v>
      </c>
      <c r="M1084" s="43" t="s">
        <v>4700</v>
      </c>
      <c r="N1084" s="1" t="s">
        <v>2953</v>
      </c>
      <c r="O1084" s="85" t="s">
        <v>4701</v>
      </c>
    </row>
    <row r="1085" spans="1:15" x14ac:dyDescent="0.35">
      <c r="B1085" s="235" t="s">
        <v>4308</v>
      </c>
      <c r="C1085" s="257">
        <v>-3.6757071566259425</v>
      </c>
      <c r="D1085" s="363">
        <v>100.69046470292562</v>
      </c>
      <c r="E1085" s="138" t="s">
        <v>396</v>
      </c>
      <c r="F1085" s="402">
        <v>5</v>
      </c>
      <c r="G1085" s="1" t="s">
        <v>119</v>
      </c>
      <c r="H1085" s="402">
        <v>22</v>
      </c>
      <c r="I1085" s="63">
        <v>20</v>
      </c>
      <c r="J1085" s="235" t="s">
        <v>26</v>
      </c>
      <c r="K1085" s="140">
        <v>1</v>
      </c>
      <c r="L1085" s="14" t="s">
        <v>191</v>
      </c>
      <c r="M1085" s="14" t="s">
        <v>4702</v>
      </c>
      <c r="N1085" t="s">
        <v>2992</v>
      </c>
      <c r="O1085" s="85" t="s">
        <v>4703</v>
      </c>
    </row>
    <row r="1086" spans="1:15" x14ac:dyDescent="0.35">
      <c r="B1086" s="235" t="s">
        <v>4449</v>
      </c>
      <c r="C1086" s="257">
        <v>13.027565926852152</v>
      </c>
      <c r="D1086" s="261">
        <v>76.653313819497157</v>
      </c>
      <c r="E1086" s="138" t="s">
        <v>395</v>
      </c>
      <c r="F1086" s="402">
        <v>3</v>
      </c>
      <c r="G1086" s="1" t="s">
        <v>795</v>
      </c>
      <c r="H1086" s="402">
        <v>35</v>
      </c>
      <c r="I1086" s="63">
        <v>15</v>
      </c>
      <c r="J1086" s="235" t="s">
        <v>794</v>
      </c>
      <c r="K1086" s="140">
        <v>42</v>
      </c>
      <c r="L1086" s="14" t="s">
        <v>184</v>
      </c>
      <c r="M1086" s="43" t="s">
        <v>4704</v>
      </c>
      <c r="N1086" s="1" t="s">
        <v>2953</v>
      </c>
      <c r="O1086" s="85" t="s">
        <v>4705</v>
      </c>
    </row>
    <row r="1087" spans="1:15" ht="15" thickBot="1" x14ac:dyDescent="0.4">
      <c r="B1087" s="57" t="s">
        <v>4315</v>
      </c>
      <c r="C1087" s="259">
        <v>2.5475314459356153</v>
      </c>
      <c r="D1087" s="262">
        <v>88.263407906956587</v>
      </c>
      <c r="E1087" s="222" t="s">
        <v>395</v>
      </c>
      <c r="F1087" s="381">
        <v>17</v>
      </c>
      <c r="G1087" s="44" t="s">
        <v>966</v>
      </c>
      <c r="H1087" s="381">
        <v>19</v>
      </c>
      <c r="I1087" s="56">
        <v>8</v>
      </c>
      <c r="J1087" s="57" t="s">
        <v>962</v>
      </c>
      <c r="K1087" s="141">
        <v>18</v>
      </c>
      <c r="L1087" s="23" t="s">
        <v>447</v>
      </c>
      <c r="M1087" s="271" t="s">
        <v>4706</v>
      </c>
      <c r="N1087" s="44" t="s">
        <v>2953</v>
      </c>
      <c r="O1087" s="86" t="s">
        <v>2650</v>
      </c>
    </row>
    <row r="1088" spans="1:15" x14ac:dyDescent="0.35">
      <c r="A1088" s="6" t="s">
        <v>4730</v>
      </c>
      <c r="B1088" s="235" t="s">
        <v>1979</v>
      </c>
      <c r="C1088" s="257">
        <v>9.1669208435059613</v>
      </c>
      <c r="D1088" s="261">
        <v>36.800413683210031</v>
      </c>
      <c r="E1088" s="138" t="s">
        <v>395</v>
      </c>
      <c r="F1088" s="402">
        <v>29</v>
      </c>
      <c r="G1088" s="1" t="s">
        <v>53</v>
      </c>
      <c r="H1088" s="402">
        <v>26</v>
      </c>
      <c r="I1088" s="63">
        <v>16</v>
      </c>
      <c r="J1088" s="235" t="s">
        <v>48</v>
      </c>
      <c r="K1088" s="140">
        <v>112</v>
      </c>
      <c r="L1088" s="14" t="s">
        <v>2911</v>
      </c>
      <c r="M1088" s="14" t="s">
        <v>4723</v>
      </c>
      <c r="N1088" t="s">
        <v>2992</v>
      </c>
    </row>
    <row r="1089" spans="2:15" x14ac:dyDescent="0.35">
      <c r="B1089" s="235"/>
      <c r="C1089" s="257">
        <v>7.0281460867886851</v>
      </c>
      <c r="D1089" s="261">
        <v>18.64060993800809</v>
      </c>
      <c r="E1089" s="138" t="s">
        <v>396</v>
      </c>
      <c r="F1089" s="402">
        <v>60</v>
      </c>
      <c r="G1089" s="1" t="s">
        <v>23</v>
      </c>
      <c r="H1089" s="402">
        <v>29</v>
      </c>
      <c r="I1089" s="63">
        <v>18</v>
      </c>
      <c r="J1089" s="235" t="s">
        <v>31</v>
      </c>
      <c r="K1089" s="140">
        <v>111</v>
      </c>
      <c r="L1089" s="14" t="s">
        <v>289</v>
      </c>
      <c r="M1089" s="14" t="s">
        <v>4724</v>
      </c>
      <c r="N1089" t="s">
        <v>2992</v>
      </c>
    </row>
    <row r="1090" spans="2:15" x14ac:dyDescent="0.35">
      <c r="B1090" s="235"/>
      <c r="C1090" s="257">
        <v>8.4231978855920779</v>
      </c>
      <c r="D1090" s="261">
        <v>34.117358653148521</v>
      </c>
      <c r="E1090" s="138" t="s">
        <v>396</v>
      </c>
      <c r="F1090" s="402">
        <v>39</v>
      </c>
      <c r="G1090" s="1" t="s">
        <v>1301</v>
      </c>
      <c r="H1090" s="402">
        <v>27</v>
      </c>
      <c r="I1090" s="63">
        <v>13</v>
      </c>
      <c r="J1090" s="235" t="s">
        <v>1342</v>
      </c>
      <c r="K1090" s="140">
        <v>110</v>
      </c>
      <c r="L1090" s="14" t="s">
        <v>178</v>
      </c>
      <c r="M1090" s="14" t="s">
        <v>4725</v>
      </c>
      <c r="N1090" t="s">
        <v>2992</v>
      </c>
    </row>
    <row r="1091" spans="2:15" x14ac:dyDescent="0.35">
      <c r="B1091" s="235"/>
      <c r="C1091" s="257">
        <v>-6.3047075380814404</v>
      </c>
      <c r="D1091" s="261">
        <v>21.914076812915319</v>
      </c>
      <c r="E1091" s="138" t="s">
        <v>396</v>
      </c>
      <c r="F1091" s="402">
        <v>109</v>
      </c>
      <c r="G1091" s="1" t="s">
        <v>959</v>
      </c>
      <c r="H1091" s="402">
        <v>26</v>
      </c>
      <c r="I1091" s="63">
        <v>15</v>
      </c>
      <c r="J1091" s="235" t="s">
        <v>963</v>
      </c>
      <c r="K1091" s="140">
        <v>76</v>
      </c>
      <c r="L1091" s="14" t="s">
        <v>525</v>
      </c>
      <c r="M1091" s="14" t="s">
        <v>4726</v>
      </c>
      <c r="N1091" t="s">
        <v>2992</v>
      </c>
    </row>
    <row r="1092" spans="2:15" x14ac:dyDescent="0.35">
      <c r="B1092" s="235"/>
      <c r="C1092" s="257">
        <v>-5.8126948601321011</v>
      </c>
      <c r="D1092" s="261">
        <v>23.34835347152293</v>
      </c>
      <c r="E1092" s="138" t="s">
        <v>396</v>
      </c>
      <c r="F1092" s="402">
        <v>108</v>
      </c>
      <c r="G1092" s="1" t="s">
        <v>76</v>
      </c>
      <c r="H1092" s="402">
        <v>20</v>
      </c>
      <c r="I1092" s="63">
        <v>15</v>
      </c>
      <c r="J1092" s="235" t="s">
        <v>82</v>
      </c>
      <c r="K1092" s="140">
        <v>73</v>
      </c>
      <c r="L1092" s="14" t="s">
        <v>178</v>
      </c>
      <c r="M1092" s="14" t="s">
        <v>4727</v>
      </c>
    </row>
    <row r="1093" spans="2:15" x14ac:dyDescent="0.35">
      <c r="B1093" s="235"/>
      <c r="C1093" s="257">
        <v>7.1986143808881238</v>
      </c>
      <c r="D1093" s="261">
        <v>38.6081325850799</v>
      </c>
      <c r="E1093" s="138" t="s">
        <v>396</v>
      </c>
      <c r="F1093" s="402">
        <v>33</v>
      </c>
      <c r="G1093" s="1" t="s">
        <v>1302</v>
      </c>
      <c r="H1093" s="402">
        <v>29</v>
      </c>
      <c r="I1093" s="63">
        <v>15</v>
      </c>
      <c r="J1093" s="235" t="s">
        <v>964</v>
      </c>
      <c r="K1093" s="140">
        <v>107</v>
      </c>
      <c r="L1093" s="14" t="s">
        <v>178</v>
      </c>
      <c r="M1093" s="14" t="s">
        <v>4728</v>
      </c>
      <c r="N1093" t="s">
        <v>2992</v>
      </c>
    </row>
    <row r="1094" spans="2:15" x14ac:dyDescent="0.35">
      <c r="B1094" s="235"/>
      <c r="C1094" s="257">
        <v>-0.5877222234042726</v>
      </c>
      <c r="D1094" s="261">
        <v>11.580515873860197</v>
      </c>
      <c r="E1094" s="138" t="s">
        <v>395</v>
      </c>
      <c r="F1094" s="402">
        <v>106</v>
      </c>
      <c r="G1094" s="1" t="s">
        <v>63</v>
      </c>
      <c r="H1094" s="402">
        <v>17</v>
      </c>
      <c r="I1094" s="63">
        <v>13</v>
      </c>
      <c r="J1094" s="235" t="s">
        <v>70</v>
      </c>
      <c r="K1094" s="140">
        <v>93</v>
      </c>
      <c r="L1094" s="14" t="s">
        <v>191</v>
      </c>
      <c r="M1094" s="14" t="s">
        <v>4729</v>
      </c>
      <c r="N1094" t="s">
        <v>2992</v>
      </c>
    </row>
    <row r="1095" spans="2:15" x14ac:dyDescent="0.35">
      <c r="B1095" s="235"/>
      <c r="C1095" s="257">
        <v>4.0671965188645247</v>
      </c>
      <c r="D1095" s="261">
        <v>21.648431057953911</v>
      </c>
      <c r="E1095" s="138" t="s">
        <v>396</v>
      </c>
      <c r="F1095" s="402">
        <v>64</v>
      </c>
      <c r="G1095" s="1" t="s">
        <v>1860</v>
      </c>
      <c r="H1095" s="402">
        <v>20</v>
      </c>
      <c r="I1095" s="63">
        <v>11</v>
      </c>
      <c r="J1095" s="235" t="s">
        <v>27</v>
      </c>
      <c r="K1095" s="140">
        <v>105</v>
      </c>
      <c r="L1095" s="14" t="s">
        <v>337</v>
      </c>
      <c r="M1095" s="14" t="s">
        <v>4731</v>
      </c>
      <c r="N1095" t="s">
        <v>2992</v>
      </c>
    </row>
    <row r="1096" spans="2:15" x14ac:dyDescent="0.35">
      <c r="B1096" s="235"/>
      <c r="C1096" s="257">
        <v>-5.7902495588179423</v>
      </c>
      <c r="D1096" s="261">
        <v>45.475178256298534</v>
      </c>
      <c r="E1096" s="138" t="s">
        <v>395</v>
      </c>
      <c r="F1096" s="402">
        <v>104</v>
      </c>
      <c r="G1096" s="1" t="s">
        <v>55</v>
      </c>
      <c r="H1096" s="402">
        <v>24</v>
      </c>
      <c r="I1096" s="63">
        <v>23</v>
      </c>
      <c r="J1096" s="235" t="s">
        <v>58</v>
      </c>
      <c r="K1096" s="140">
        <v>42</v>
      </c>
      <c r="L1096" s="14" t="s">
        <v>504</v>
      </c>
      <c r="M1096" s="14" t="s">
        <v>4733</v>
      </c>
      <c r="N1096" t="s">
        <v>2992</v>
      </c>
      <c r="O1096" s="85" t="s">
        <v>4732</v>
      </c>
    </row>
    <row r="1097" spans="2:15" x14ac:dyDescent="0.35">
      <c r="B1097" s="235"/>
      <c r="C1097" s="257">
        <v>1.0944048489836298</v>
      </c>
      <c r="D1097" s="261">
        <v>15.736139393583127</v>
      </c>
      <c r="E1097" s="138" t="s">
        <v>396</v>
      </c>
      <c r="F1097" s="402">
        <v>84</v>
      </c>
      <c r="G1097" s="1" t="s">
        <v>74</v>
      </c>
      <c r="H1097" s="402">
        <v>21</v>
      </c>
      <c r="I1097" s="63">
        <v>10</v>
      </c>
      <c r="J1097" s="235" t="s">
        <v>88</v>
      </c>
      <c r="K1097" s="140">
        <v>103</v>
      </c>
      <c r="L1097" s="14" t="s">
        <v>191</v>
      </c>
      <c r="M1097" s="43" t="s">
        <v>4734</v>
      </c>
      <c r="N1097" s="1" t="s">
        <v>2953</v>
      </c>
    </row>
    <row r="1098" spans="2:15" x14ac:dyDescent="0.35">
      <c r="B1098" s="235"/>
      <c r="C1098" s="257">
        <v>2.6462277005016794</v>
      </c>
      <c r="D1098" s="261">
        <v>23.556265928213083</v>
      </c>
      <c r="E1098" s="138" t="s">
        <v>396</v>
      </c>
      <c r="F1098" s="402">
        <v>65</v>
      </c>
      <c r="G1098" s="1" t="s">
        <v>57</v>
      </c>
      <c r="H1098" s="402">
        <v>22</v>
      </c>
      <c r="I1098" s="63">
        <v>7</v>
      </c>
      <c r="J1098" s="235" t="s">
        <v>54</v>
      </c>
      <c r="K1098" s="140">
        <v>102</v>
      </c>
      <c r="L1098" s="14" t="s">
        <v>297</v>
      </c>
      <c r="M1098" s="43" t="s">
        <v>4736</v>
      </c>
      <c r="N1098" s="1" t="s">
        <v>2953</v>
      </c>
    </row>
    <row r="1099" spans="2:15" x14ac:dyDescent="0.35">
      <c r="B1099" s="235"/>
      <c r="C1099" s="257">
        <v>0.73187921650682819</v>
      </c>
      <c r="D1099" s="261">
        <v>11.530800559637978</v>
      </c>
      <c r="E1099" s="138" t="s">
        <v>395</v>
      </c>
      <c r="F1099" s="402">
        <v>101</v>
      </c>
      <c r="G1099" s="1" t="s">
        <v>792</v>
      </c>
      <c r="H1099" s="402">
        <v>26</v>
      </c>
      <c r="I1099" s="63">
        <v>11</v>
      </c>
      <c r="J1099" s="235" t="s">
        <v>786</v>
      </c>
      <c r="K1099" s="140">
        <v>96</v>
      </c>
      <c r="L1099" s="14" t="s">
        <v>337</v>
      </c>
      <c r="M1099" s="43" t="s">
        <v>4737</v>
      </c>
      <c r="N1099" s="1" t="s">
        <v>2953</v>
      </c>
    </row>
    <row r="1100" spans="2:15" x14ac:dyDescent="0.35">
      <c r="B1100" s="235"/>
      <c r="C1100" s="257">
        <v>-3.1866603181908633</v>
      </c>
      <c r="D1100" s="261">
        <v>30.401185941564901</v>
      </c>
      <c r="E1100" s="138" t="s">
        <v>395</v>
      </c>
      <c r="F1100" s="402">
        <v>100</v>
      </c>
      <c r="G1100" s="1" t="s">
        <v>1859</v>
      </c>
      <c r="H1100" s="402">
        <v>16</v>
      </c>
      <c r="I1100" s="63">
        <v>13</v>
      </c>
      <c r="J1100" s="235" t="s">
        <v>900</v>
      </c>
      <c r="K1100" s="140">
        <v>61</v>
      </c>
      <c r="L1100" s="14" t="s">
        <v>178</v>
      </c>
      <c r="M1100" s="14" t="s">
        <v>4738</v>
      </c>
      <c r="N1100" t="s">
        <v>2992</v>
      </c>
    </row>
    <row r="1101" spans="2:15" x14ac:dyDescent="0.35">
      <c r="B1101" s="237"/>
      <c r="C1101" s="257">
        <v>-5.8759342957756342</v>
      </c>
      <c r="D1101" s="261">
        <v>44.331024496982593</v>
      </c>
      <c r="E1101" s="138" t="s">
        <v>396</v>
      </c>
      <c r="F1101" s="402">
        <v>99</v>
      </c>
      <c r="G1101" s="1" t="s">
        <v>35</v>
      </c>
      <c r="H1101" s="402">
        <v>26</v>
      </c>
      <c r="I1101" s="63">
        <v>17</v>
      </c>
      <c r="J1101" s="235" t="s">
        <v>42</v>
      </c>
      <c r="K1101" s="140">
        <v>50</v>
      </c>
      <c r="L1101" s="14" t="s">
        <v>404</v>
      </c>
      <c r="M1101" s="14" t="s">
        <v>4739</v>
      </c>
      <c r="N1101" t="s">
        <v>2992</v>
      </c>
    </row>
    <row r="1102" spans="2:15" x14ac:dyDescent="0.35">
      <c r="B1102" s="235"/>
      <c r="C1102" s="257">
        <v>2.6218884691778768</v>
      </c>
      <c r="D1102" s="261">
        <v>56.341508236301522</v>
      </c>
      <c r="E1102" s="138" t="s">
        <v>396</v>
      </c>
      <c r="F1102" s="402">
        <v>34</v>
      </c>
      <c r="G1102" s="1" t="s">
        <v>960</v>
      </c>
      <c r="H1102" s="402">
        <v>22</v>
      </c>
      <c r="I1102" s="63">
        <v>10</v>
      </c>
      <c r="J1102" s="235" t="s">
        <v>1343</v>
      </c>
      <c r="K1102" s="140">
        <v>70</v>
      </c>
      <c r="L1102" s="14" t="s">
        <v>337</v>
      </c>
      <c r="M1102" s="14" t="s">
        <v>4740</v>
      </c>
      <c r="N1102" t="s">
        <v>2992</v>
      </c>
      <c r="O1102" s="85" t="s">
        <v>4411</v>
      </c>
    </row>
    <row r="1103" spans="2:15" x14ac:dyDescent="0.35">
      <c r="B1103" s="235"/>
      <c r="C1103" s="257">
        <v>-1.1965380383887532</v>
      </c>
      <c r="D1103" s="261">
        <v>55.051098598849116</v>
      </c>
      <c r="E1103" s="138" t="s">
        <v>395</v>
      </c>
      <c r="F1103" s="402">
        <v>69</v>
      </c>
      <c r="G1103" s="1" t="s">
        <v>86</v>
      </c>
      <c r="H1103" s="402">
        <v>21</v>
      </c>
      <c r="I1103" s="63">
        <v>16</v>
      </c>
      <c r="J1103" s="235" t="s">
        <v>75</v>
      </c>
      <c r="K1103" s="140">
        <v>45</v>
      </c>
      <c r="L1103" s="14" t="s">
        <v>185</v>
      </c>
      <c r="M1103" s="14" t="s">
        <v>4741</v>
      </c>
      <c r="N1103" t="s">
        <v>2992</v>
      </c>
    </row>
    <row r="1104" spans="2:15" x14ac:dyDescent="0.35">
      <c r="B1104" s="235"/>
      <c r="C1104" s="257">
        <v>3.2613442172297482</v>
      </c>
      <c r="D1104" s="261">
        <v>28.920468416264466</v>
      </c>
      <c r="E1104" s="138" t="s">
        <v>395</v>
      </c>
      <c r="F1104" s="402">
        <v>68</v>
      </c>
      <c r="G1104" s="1" t="s">
        <v>64</v>
      </c>
      <c r="H1104" s="402">
        <v>18</v>
      </c>
      <c r="I1104" s="63">
        <v>11</v>
      </c>
      <c r="J1104" s="235" t="s">
        <v>68</v>
      </c>
      <c r="K1104" s="140">
        <v>86</v>
      </c>
      <c r="L1104" s="14" t="s">
        <v>331</v>
      </c>
      <c r="M1104" s="14" t="s">
        <v>4742</v>
      </c>
      <c r="N1104" t="s">
        <v>2992</v>
      </c>
    </row>
    <row r="1105" spans="1:15" x14ac:dyDescent="0.35">
      <c r="B1105" s="235"/>
      <c r="C1105" s="257">
        <v>-4.2845032916377068</v>
      </c>
      <c r="D1105" s="261">
        <v>62.078216636884079</v>
      </c>
      <c r="E1105" s="138" t="s">
        <v>396</v>
      </c>
      <c r="F1105" s="402">
        <v>67</v>
      </c>
      <c r="G1105" s="1" t="s">
        <v>37</v>
      </c>
      <c r="H1105" s="402">
        <v>29</v>
      </c>
      <c r="I1105" s="63">
        <v>14</v>
      </c>
      <c r="J1105" s="235" t="s">
        <v>45</v>
      </c>
      <c r="K1105" s="140">
        <v>35</v>
      </c>
      <c r="L1105" s="14" t="s">
        <v>871</v>
      </c>
      <c r="M1105" s="43" t="s">
        <v>4743</v>
      </c>
      <c r="N1105" s="1" t="s">
        <v>2953</v>
      </c>
    </row>
    <row r="1106" spans="1:15" x14ac:dyDescent="0.35">
      <c r="B1106" s="235"/>
      <c r="C1106" s="257">
        <v>0.36431994989585947</v>
      </c>
      <c r="D1106" s="261">
        <v>43.936200035788673</v>
      </c>
      <c r="E1106" s="138" t="s">
        <v>395</v>
      </c>
      <c r="F1106" s="402">
        <v>66</v>
      </c>
      <c r="G1106" s="1" t="s">
        <v>44</v>
      </c>
      <c r="H1106" s="402">
        <v>10</v>
      </c>
      <c r="I1106" s="63">
        <v>4</v>
      </c>
      <c r="J1106" s="235" t="s">
        <v>39</v>
      </c>
      <c r="K1106" s="140">
        <v>59</v>
      </c>
      <c r="L1106" s="14" t="s">
        <v>530</v>
      </c>
      <c r="M1106" s="43" t="s">
        <v>4744</v>
      </c>
      <c r="N1106" s="1" t="s">
        <v>2953</v>
      </c>
    </row>
    <row r="1107" spans="1:15" x14ac:dyDescent="0.35">
      <c r="A1107" s="6" t="s">
        <v>4746</v>
      </c>
      <c r="B1107" s="235"/>
      <c r="C1107" s="257">
        <v>8.4588941874339074</v>
      </c>
      <c r="D1107" s="261">
        <v>68.243647008975785</v>
      </c>
      <c r="E1107" s="138" t="s">
        <v>395</v>
      </c>
      <c r="F1107" s="402">
        <v>9</v>
      </c>
      <c r="G1107" s="1" t="s">
        <v>1344</v>
      </c>
      <c r="H1107" s="402">
        <v>28</v>
      </c>
      <c r="I1107" s="63">
        <v>7</v>
      </c>
      <c r="J1107" s="235" t="s">
        <v>961</v>
      </c>
      <c r="K1107" s="140">
        <v>63</v>
      </c>
      <c r="L1107" s="14" t="s">
        <v>191</v>
      </c>
      <c r="M1107" s="43" t="s">
        <v>4745</v>
      </c>
      <c r="N1107" s="1" t="s">
        <v>2953</v>
      </c>
    </row>
    <row r="1108" spans="1:15" x14ac:dyDescent="0.35">
      <c r="B1108" s="235"/>
      <c r="C1108" s="257">
        <v>0.85611765497329173</v>
      </c>
      <c r="D1108" s="261">
        <v>58.00455881787623</v>
      </c>
      <c r="E1108" s="138" t="s">
        <v>396</v>
      </c>
      <c r="F1108" s="402">
        <v>41</v>
      </c>
      <c r="G1108" s="1" t="s">
        <v>40</v>
      </c>
      <c r="H1108" s="402">
        <v>22</v>
      </c>
      <c r="I1108" s="63">
        <v>17</v>
      </c>
      <c r="J1108" s="235" t="s">
        <v>1858</v>
      </c>
      <c r="K1108" s="140">
        <v>62</v>
      </c>
      <c r="L1108" s="14" t="s">
        <v>504</v>
      </c>
      <c r="M1108" s="14" t="s">
        <v>4747</v>
      </c>
      <c r="N1108" t="s">
        <v>2992</v>
      </c>
    </row>
    <row r="1109" spans="1:15" x14ac:dyDescent="0.35">
      <c r="A1109" s="6" t="s">
        <v>4748</v>
      </c>
      <c r="B1109" s="235"/>
      <c r="C1109" s="257">
        <v>3.7180611463167814</v>
      </c>
      <c r="D1109" s="261">
        <v>37.183527752630873</v>
      </c>
      <c r="E1109" s="138" t="s">
        <v>395</v>
      </c>
      <c r="F1109" s="402">
        <v>58</v>
      </c>
      <c r="G1109" s="1" t="s">
        <v>28</v>
      </c>
      <c r="H1109" s="402">
        <v>18</v>
      </c>
      <c r="I1109" s="63">
        <v>14</v>
      </c>
      <c r="J1109" s="235" t="s">
        <v>22</v>
      </c>
      <c r="K1109" s="140">
        <v>79</v>
      </c>
      <c r="L1109" s="14" t="s">
        <v>296</v>
      </c>
      <c r="M1109" s="14" t="s">
        <v>4750</v>
      </c>
      <c r="N1109" s="92" t="s">
        <v>2954</v>
      </c>
      <c r="O1109" s="87" t="s">
        <v>4749</v>
      </c>
    </row>
    <row r="1110" spans="1:15" x14ac:dyDescent="0.35">
      <c r="B1110" s="235"/>
      <c r="C1110" s="257">
        <v>5.2066033693661904</v>
      </c>
      <c r="D1110" s="261">
        <v>27.08456902188129</v>
      </c>
      <c r="E1110" s="138" t="s">
        <v>395</v>
      </c>
      <c r="F1110" s="402">
        <v>57</v>
      </c>
      <c r="G1110" s="1" t="s">
        <v>787</v>
      </c>
      <c r="H1110" s="402">
        <v>27</v>
      </c>
      <c r="I1110" s="63">
        <v>18</v>
      </c>
      <c r="J1110" s="235" t="s">
        <v>796</v>
      </c>
      <c r="K1110" s="140">
        <v>98</v>
      </c>
      <c r="L1110" s="14" t="s">
        <v>443</v>
      </c>
      <c r="M1110" s="14" t="s">
        <v>4751</v>
      </c>
      <c r="N1110" t="s">
        <v>2992</v>
      </c>
    </row>
    <row r="1111" spans="1:15" x14ac:dyDescent="0.35">
      <c r="A1111" s="6" t="s">
        <v>4753</v>
      </c>
      <c r="B1111" s="235"/>
      <c r="C1111" s="257">
        <v>5.9954764514628085</v>
      </c>
      <c r="D1111" s="261">
        <v>68.217516820383707</v>
      </c>
      <c r="E1111" s="138" t="s">
        <v>395</v>
      </c>
      <c r="F1111" s="402">
        <v>21</v>
      </c>
      <c r="G1111" s="1" t="s">
        <v>85</v>
      </c>
      <c r="H1111" s="402">
        <v>24</v>
      </c>
      <c r="I1111" s="63">
        <v>16</v>
      </c>
      <c r="J1111" s="235" t="s">
        <v>79</v>
      </c>
      <c r="K1111" s="140">
        <v>56</v>
      </c>
      <c r="L1111" s="14" t="s">
        <v>299</v>
      </c>
      <c r="M1111" s="14" t="s">
        <v>4752</v>
      </c>
      <c r="N1111" t="s">
        <v>2992</v>
      </c>
    </row>
    <row r="1112" spans="1:15" x14ac:dyDescent="0.35">
      <c r="B1112" s="235"/>
      <c r="C1112" s="257">
        <v>0.81557414106481918</v>
      </c>
      <c r="D1112" s="261">
        <v>56.426375613525124</v>
      </c>
      <c r="E1112" s="138" t="s">
        <v>395</v>
      </c>
      <c r="F1112" s="402">
        <v>55</v>
      </c>
      <c r="G1112" s="1" t="s">
        <v>788</v>
      </c>
      <c r="H1112" s="402">
        <v>23</v>
      </c>
      <c r="I1112" s="63">
        <v>15</v>
      </c>
      <c r="J1112" s="235" t="s">
        <v>793</v>
      </c>
      <c r="K1112" s="140">
        <v>52</v>
      </c>
      <c r="L1112" s="14" t="s">
        <v>191</v>
      </c>
      <c r="M1112" s="14" t="s">
        <v>4754</v>
      </c>
      <c r="N1112" t="s">
        <v>2992</v>
      </c>
    </row>
    <row r="1113" spans="1:15" x14ac:dyDescent="0.35">
      <c r="B1113" s="235"/>
      <c r="C1113" s="257">
        <v>1.7565269121009892</v>
      </c>
      <c r="D1113" s="261">
        <v>44.504266491356439</v>
      </c>
      <c r="E1113" s="138" t="s">
        <v>396</v>
      </c>
      <c r="F1113" s="402">
        <v>54</v>
      </c>
      <c r="G1113" s="1" t="s">
        <v>24</v>
      </c>
      <c r="H1113" s="402">
        <v>21</v>
      </c>
      <c r="I1113" s="63">
        <v>18</v>
      </c>
      <c r="J1113" s="235" t="s">
        <v>292</v>
      </c>
      <c r="K1113" s="140">
        <v>81</v>
      </c>
      <c r="L1113" s="14" t="s">
        <v>577</v>
      </c>
      <c r="M1113" s="14" t="s">
        <v>4755</v>
      </c>
      <c r="N1113" t="s">
        <v>2992</v>
      </c>
    </row>
    <row r="1114" spans="1:15" x14ac:dyDescent="0.35">
      <c r="B1114" s="235"/>
      <c r="C1114" s="257">
        <v>-5.3428008235936248</v>
      </c>
      <c r="D1114" s="261">
        <v>81.31628630256688</v>
      </c>
      <c r="E1114" s="138" t="s">
        <v>396</v>
      </c>
      <c r="F1114" s="402">
        <v>53</v>
      </c>
      <c r="G1114" s="1" t="s">
        <v>2011</v>
      </c>
      <c r="H1114" s="402">
        <v>19</v>
      </c>
      <c r="I1114" s="63">
        <v>14</v>
      </c>
      <c r="J1114" s="235" t="s">
        <v>46</v>
      </c>
      <c r="K1114" s="140">
        <v>10</v>
      </c>
      <c r="L1114" s="14" t="s">
        <v>334</v>
      </c>
      <c r="M1114" s="14" t="s">
        <v>4756</v>
      </c>
      <c r="N1114" t="s">
        <v>2992</v>
      </c>
    </row>
    <row r="1115" spans="1:15" x14ac:dyDescent="0.35">
      <c r="B1115" s="235"/>
      <c r="C1115" s="257">
        <v>4.6007688046350301</v>
      </c>
      <c r="D1115" s="261">
        <v>40.06195085383213</v>
      </c>
      <c r="E1115" s="138" t="s">
        <v>395</v>
      </c>
      <c r="F1115" s="402">
        <v>51</v>
      </c>
      <c r="G1115" s="1" t="s">
        <v>62</v>
      </c>
      <c r="H1115" s="402">
        <v>13</v>
      </c>
      <c r="I1115" s="63">
        <v>8</v>
      </c>
      <c r="J1115" s="235" t="s">
        <v>61</v>
      </c>
      <c r="K1115" s="140">
        <v>90</v>
      </c>
      <c r="L1115" s="14" t="s">
        <v>353</v>
      </c>
      <c r="M1115" s="14" t="s">
        <v>4757</v>
      </c>
      <c r="N1115" t="s">
        <v>2992</v>
      </c>
    </row>
    <row r="1116" spans="1:15" x14ac:dyDescent="0.35">
      <c r="B1116" s="235"/>
      <c r="C1116" s="257">
        <v>-1.6772754143894355</v>
      </c>
      <c r="D1116" s="261">
        <v>17.269482438849604</v>
      </c>
      <c r="E1116" s="138" t="s">
        <v>396</v>
      </c>
      <c r="F1116" s="402">
        <v>97</v>
      </c>
      <c r="G1116" s="1" t="s">
        <v>783</v>
      </c>
      <c r="H1116" s="402">
        <v>15</v>
      </c>
      <c r="I1116" s="63">
        <v>8</v>
      </c>
      <c r="J1116" s="235" t="s">
        <v>909</v>
      </c>
      <c r="K1116" s="140">
        <v>91</v>
      </c>
      <c r="L1116" s="14" t="s">
        <v>286</v>
      </c>
      <c r="M1116" s="14" t="s">
        <v>4758</v>
      </c>
      <c r="N1116" t="s">
        <v>2992</v>
      </c>
      <c r="O1116" s="85" t="s">
        <v>4436</v>
      </c>
    </row>
    <row r="1117" spans="1:15" x14ac:dyDescent="0.35">
      <c r="B1117" s="235"/>
      <c r="C1117" s="257">
        <v>7.475442487728138</v>
      </c>
      <c r="D1117" s="261">
        <v>52.160398223051317</v>
      </c>
      <c r="E1117" s="138" t="s">
        <v>396</v>
      </c>
      <c r="F1117" s="402">
        <v>24</v>
      </c>
      <c r="G1117" s="1" t="s">
        <v>73</v>
      </c>
      <c r="H1117" s="402">
        <v>20</v>
      </c>
      <c r="I1117" s="63">
        <v>15</v>
      </c>
      <c r="J1117" s="235" t="s">
        <v>81</v>
      </c>
      <c r="K1117" s="140">
        <v>95</v>
      </c>
      <c r="L1117" s="14" t="s">
        <v>183</v>
      </c>
      <c r="M1117" s="14" t="s">
        <v>4759</v>
      </c>
      <c r="N1117" t="s">
        <v>2992</v>
      </c>
    </row>
    <row r="1118" spans="1:15" x14ac:dyDescent="0.35">
      <c r="B1118" s="235"/>
      <c r="C1118" s="257">
        <v>-2.1985027104509274</v>
      </c>
      <c r="D1118" s="261">
        <v>22.998930507464944</v>
      </c>
      <c r="E1118" s="138" t="s">
        <v>396</v>
      </c>
      <c r="F1118" s="402">
        <v>94</v>
      </c>
      <c r="G1118" s="1" t="s">
        <v>784</v>
      </c>
      <c r="H1118" s="402">
        <v>18</v>
      </c>
      <c r="I1118" s="63">
        <v>12</v>
      </c>
      <c r="J1118" s="235" t="s">
        <v>789</v>
      </c>
      <c r="K1118" s="140">
        <v>82</v>
      </c>
      <c r="L1118" s="14" t="s">
        <v>334</v>
      </c>
      <c r="M1118" s="14" t="s">
        <v>4760</v>
      </c>
      <c r="N1118" t="s">
        <v>2992</v>
      </c>
    </row>
    <row r="1119" spans="1:15" x14ac:dyDescent="0.35">
      <c r="B1119" s="235"/>
      <c r="C1119" s="257">
        <v>9.47852335203598</v>
      </c>
      <c r="D1119" s="261">
        <v>60.015340462831446</v>
      </c>
      <c r="E1119" s="138" t="s">
        <v>396</v>
      </c>
      <c r="F1119" s="402">
        <v>1</v>
      </c>
      <c r="G1119" s="1" t="s">
        <v>26</v>
      </c>
      <c r="H1119" s="402">
        <v>15</v>
      </c>
      <c r="I1119" s="63">
        <v>14</v>
      </c>
      <c r="J1119" s="235" t="s">
        <v>29</v>
      </c>
      <c r="K1119" s="140">
        <v>92</v>
      </c>
      <c r="L1119" s="14" t="s">
        <v>893</v>
      </c>
      <c r="M1119" s="14" t="s">
        <v>4762</v>
      </c>
      <c r="N1119" s="92" t="s">
        <v>2954</v>
      </c>
      <c r="O1119" s="85" t="s">
        <v>4761</v>
      </c>
    </row>
    <row r="1120" spans="1:15" x14ac:dyDescent="0.35">
      <c r="A1120" s="6" t="s">
        <v>4765</v>
      </c>
      <c r="B1120" s="235"/>
      <c r="C1120" s="257">
        <v>5.4926619967896553</v>
      </c>
      <c r="D1120" s="261">
        <v>55.362384288007391</v>
      </c>
      <c r="E1120" s="138" t="s">
        <v>396</v>
      </c>
      <c r="F1120" s="402">
        <v>25</v>
      </c>
      <c r="G1120" s="1" t="s">
        <v>51</v>
      </c>
      <c r="H1120" s="402">
        <v>18</v>
      </c>
      <c r="I1120" s="63">
        <v>14</v>
      </c>
      <c r="J1120" s="235" t="s">
        <v>117</v>
      </c>
      <c r="K1120" s="140">
        <v>89</v>
      </c>
      <c r="L1120" s="14" t="s">
        <v>472</v>
      </c>
      <c r="M1120" s="14" t="s">
        <v>4764</v>
      </c>
      <c r="N1120" t="s">
        <v>2992</v>
      </c>
    </row>
    <row r="1121" spans="2:15" x14ac:dyDescent="0.35">
      <c r="B1121" s="235"/>
      <c r="C1121" s="257">
        <v>-5.688762867993769</v>
      </c>
      <c r="D1121" s="261">
        <v>65.849116334281248</v>
      </c>
      <c r="E1121" s="138" t="s">
        <v>395</v>
      </c>
      <c r="F1121" s="402">
        <v>88</v>
      </c>
      <c r="G1121" s="1" t="s">
        <v>65</v>
      </c>
      <c r="H1121" s="402">
        <v>24</v>
      </c>
      <c r="I1121" s="63">
        <v>18</v>
      </c>
      <c r="J1121" s="235" t="s">
        <v>69</v>
      </c>
      <c r="K1121" s="140">
        <v>19</v>
      </c>
      <c r="L1121" s="14" t="s">
        <v>526</v>
      </c>
      <c r="M1121" s="14" t="s">
        <v>4766</v>
      </c>
      <c r="N1121" t="s">
        <v>2992</v>
      </c>
    </row>
    <row r="1122" spans="2:15" x14ac:dyDescent="0.35">
      <c r="B1122" s="235"/>
      <c r="C1122" s="257">
        <v>4.3098885123579329</v>
      </c>
      <c r="D1122" s="261">
        <v>44.287579634030052</v>
      </c>
      <c r="E1122" s="138" t="s">
        <v>395</v>
      </c>
      <c r="F1122" s="402">
        <v>44</v>
      </c>
      <c r="G1122" s="1" t="s">
        <v>43</v>
      </c>
      <c r="H1122" s="402">
        <v>14</v>
      </c>
      <c r="I1122" s="63">
        <v>10</v>
      </c>
      <c r="J1122" s="235" t="s">
        <v>38</v>
      </c>
      <c r="K1122" s="140">
        <v>87</v>
      </c>
      <c r="L1122" s="14" t="s">
        <v>353</v>
      </c>
      <c r="M1122" s="14" t="s">
        <v>4767</v>
      </c>
      <c r="N1122" t="s">
        <v>2992</v>
      </c>
    </row>
    <row r="1123" spans="2:15" x14ac:dyDescent="0.35">
      <c r="B1123" s="235"/>
      <c r="C1123" s="257">
        <v>-2.1223742216990638</v>
      </c>
      <c r="D1123" s="261">
        <v>47.676695872642185</v>
      </c>
      <c r="E1123" s="138" t="s">
        <v>395</v>
      </c>
      <c r="F1123" s="402">
        <v>85</v>
      </c>
      <c r="G1123" s="1" t="s">
        <v>56</v>
      </c>
      <c r="H1123" s="402">
        <v>19</v>
      </c>
      <c r="I1123" s="63">
        <v>15</v>
      </c>
      <c r="J1123" s="235" t="s">
        <v>49</v>
      </c>
      <c r="K1123" s="140">
        <v>49</v>
      </c>
      <c r="L1123" s="14" t="s">
        <v>178</v>
      </c>
      <c r="M1123" s="14" t="s">
        <v>4768</v>
      </c>
      <c r="N1123" t="s">
        <v>2992</v>
      </c>
    </row>
    <row r="1124" spans="2:15" x14ac:dyDescent="0.35">
      <c r="B1124" s="235"/>
      <c r="C1124" s="257">
        <v>5.6937219755202042</v>
      </c>
      <c r="D1124" s="261">
        <v>47.718770017485568</v>
      </c>
      <c r="E1124" s="138" t="s">
        <v>395</v>
      </c>
      <c r="F1124" s="402">
        <v>37</v>
      </c>
      <c r="G1124" s="1" t="s">
        <v>965</v>
      </c>
      <c r="H1124" s="402">
        <v>16</v>
      </c>
      <c r="I1124" s="63">
        <v>11</v>
      </c>
      <c r="J1124" s="235" t="s">
        <v>3913</v>
      </c>
      <c r="K1124" s="140">
        <v>83</v>
      </c>
      <c r="L1124" s="14" t="s">
        <v>1493</v>
      </c>
      <c r="M1124" s="14" t="s">
        <v>4769</v>
      </c>
      <c r="N1124" t="s">
        <v>2992</v>
      </c>
    </row>
    <row r="1125" spans="2:15" x14ac:dyDescent="0.35">
      <c r="B1125" s="235"/>
      <c r="C1125" s="257">
        <v>-5.4628445654884814</v>
      </c>
      <c r="D1125" s="261">
        <v>59.705603261063203</v>
      </c>
      <c r="E1125" s="138" t="s">
        <v>395</v>
      </c>
      <c r="F1125" s="402">
        <v>80</v>
      </c>
      <c r="G1125" s="1" t="s">
        <v>791</v>
      </c>
      <c r="H1125" s="402">
        <v>25</v>
      </c>
      <c r="I1125" s="63">
        <v>21</v>
      </c>
      <c r="J1125" s="235" t="s">
        <v>785</v>
      </c>
      <c r="K1125" s="140">
        <v>30</v>
      </c>
      <c r="L1125" s="14" t="s">
        <v>416</v>
      </c>
      <c r="M1125" s="14" t="s">
        <v>4771</v>
      </c>
      <c r="N1125" t="s">
        <v>2992</v>
      </c>
      <c r="O1125" s="85" t="s">
        <v>4770</v>
      </c>
    </row>
    <row r="1126" spans="2:15" x14ac:dyDescent="0.35">
      <c r="B1126" s="235"/>
      <c r="C1126" s="257">
        <v>6.6677900076280165</v>
      </c>
      <c r="D1126" s="261">
        <v>61.665864280265701</v>
      </c>
      <c r="E1126" s="138" t="s">
        <v>395</v>
      </c>
      <c r="F1126" s="402">
        <v>16</v>
      </c>
      <c r="G1126" s="1" t="s">
        <v>966</v>
      </c>
      <c r="H1126" s="402">
        <v>21</v>
      </c>
      <c r="I1126" s="63">
        <v>13</v>
      </c>
      <c r="J1126" s="235" t="s">
        <v>1308</v>
      </c>
      <c r="K1126" s="140">
        <v>78</v>
      </c>
      <c r="L1126" s="14" t="s">
        <v>186</v>
      </c>
      <c r="M1126" s="14" t="s">
        <v>4772</v>
      </c>
      <c r="N1126" t="s">
        <v>2992</v>
      </c>
    </row>
    <row r="1127" spans="2:15" x14ac:dyDescent="0.35">
      <c r="B1127" s="235"/>
      <c r="C1127" s="257">
        <v>7.0727361023868633</v>
      </c>
      <c r="D1127" s="261">
        <v>63.519474212580818</v>
      </c>
      <c r="E1127" s="138" t="s">
        <v>396</v>
      </c>
      <c r="F1127" s="402">
        <v>11</v>
      </c>
      <c r="G1127" s="1" t="s">
        <v>77</v>
      </c>
      <c r="H1127" s="402">
        <v>28</v>
      </c>
      <c r="I1127" s="63">
        <v>24</v>
      </c>
      <c r="J1127" s="235" t="s">
        <v>84</v>
      </c>
      <c r="K1127" s="140">
        <v>77</v>
      </c>
      <c r="L1127" s="14" t="s">
        <v>660</v>
      </c>
      <c r="M1127" s="14" t="s">
        <v>4773</v>
      </c>
      <c r="N1127" t="s">
        <v>2992</v>
      </c>
    </row>
    <row r="1128" spans="2:15" x14ac:dyDescent="0.35">
      <c r="B1128" s="235"/>
      <c r="C1128" s="257">
        <v>2.740222568253186</v>
      </c>
      <c r="D1128" s="261">
        <v>51.837341022676299</v>
      </c>
      <c r="E1128" s="138" t="s">
        <v>396</v>
      </c>
      <c r="F1128" s="402">
        <v>40</v>
      </c>
      <c r="G1128" s="1" t="s">
        <v>34</v>
      </c>
      <c r="H1128" s="402">
        <v>21</v>
      </c>
      <c r="I1128" s="63">
        <v>13</v>
      </c>
      <c r="J1128" s="235" t="s">
        <v>32</v>
      </c>
      <c r="K1128" s="140">
        <v>75</v>
      </c>
      <c r="L1128" s="14" t="s">
        <v>191</v>
      </c>
      <c r="M1128" s="14" t="s">
        <v>4774</v>
      </c>
      <c r="N1128" t="s">
        <v>2992</v>
      </c>
    </row>
    <row r="1129" spans="2:15" x14ac:dyDescent="0.35">
      <c r="B1129" s="235"/>
      <c r="C1129" s="257">
        <v>6.4426388028571608</v>
      </c>
      <c r="D1129" s="261">
        <v>61.826686569387746</v>
      </c>
      <c r="E1129" s="138" t="s">
        <v>395</v>
      </c>
      <c r="F1129" s="402">
        <v>20</v>
      </c>
      <c r="G1129" s="1" t="s">
        <v>962</v>
      </c>
      <c r="H1129" s="402">
        <v>19</v>
      </c>
      <c r="I1129" s="63">
        <v>15</v>
      </c>
      <c r="J1129" s="235" t="s">
        <v>958</v>
      </c>
      <c r="K1129" s="140">
        <v>74</v>
      </c>
      <c r="L1129" s="14" t="s">
        <v>194</v>
      </c>
      <c r="M1129" s="14" t="s">
        <v>4775</v>
      </c>
      <c r="N1129" t="s">
        <v>2992</v>
      </c>
    </row>
    <row r="1130" spans="2:15" x14ac:dyDescent="0.35">
      <c r="B1130" s="235"/>
      <c r="C1130" s="257">
        <v>6.8994348760846496</v>
      </c>
      <c r="D1130" s="261">
        <v>61.143260802796682</v>
      </c>
      <c r="E1130" s="138" t="s">
        <v>395</v>
      </c>
      <c r="F1130" s="402">
        <v>23</v>
      </c>
      <c r="G1130" s="1" t="s">
        <v>300</v>
      </c>
      <c r="H1130" s="402">
        <v>23</v>
      </c>
      <c r="I1130" s="63">
        <v>12</v>
      </c>
      <c r="J1130" s="235" t="s">
        <v>47</v>
      </c>
      <c r="K1130" s="140">
        <v>72</v>
      </c>
      <c r="L1130" s="14" t="s">
        <v>331</v>
      </c>
      <c r="M1130" s="14" t="s">
        <v>4776</v>
      </c>
      <c r="N1130" t="s">
        <v>2992</v>
      </c>
      <c r="O1130" s="85" t="s">
        <v>4491</v>
      </c>
    </row>
    <row r="1131" spans="2:15" x14ac:dyDescent="0.35">
      <c r="B1131" s="235"/>
      <c r="C1131" s="257">
        <v>8.9440342185191035</v>
      </c>
      <c r="D1131" s="261">
        <v>66.82568984391493</v>
      </c>
      <c r="E1131" s="138" t="s">
        <v>395</v>
      </c>
      <c r="F1131" s="402">
        <v>4</v>
      </c>
      <c r="G1131" s="1" t="s">
        <v>119</v>
      </c>
      <c r="H1131" s="402">
        <v>22</v>
      </c>
      <c r="I1131" s="63">
        <v>17</v>
      </c>
      <c r="J1131" s="235" t="s">
        <v>25</v>
      </c>
      <c r="K1131" s="140">
        <v>71</v>
      </c>
      <c r="L1131" s="14" t="s">
        <v>423</v>
      </c>
      <c r="M1131" s="14" t="s">
        <v>4777</v>
      </c>
      <c r="N1131" t="s">
        <v>2992</v>
      </c>
    </row>
    <row r="1132" spans="2:15" x14ac:dyDescent="0.35">
      <c r="B1132" s="235"/>
      <c r="C1132" s="257">
        <v>3.2018378220557651</v>
      </c>
      <c r="D1132" s="261">
        <v>67.579044412817311</v>
      </c>
      <c r="E1132" s="138" t="s">
        <v>395</v>
      </c>
      <c r="F1132" s="402">
        <v>27</v>
      </c>
      <c r="G1132" s="1" t="s">
        <v>66</v>
      </c>
      <c r="H1132" s="402">
        <v>19</v>
      </c>
      <c r="I1132" s="63">
        <v>12</v>
      </c>
      <c r="J1132" s="235" t="s">
        <v>114</v>
      </c>
      <c r="K1132" s="140">
        <v>48</v>
      </c>
      <c r="L1132" s="14" t="s">
        <v>296</v>
      </c>
      <c r="M1132" s="14" t="s">
        <v>4778</v>
      </c>
      <c r="N1132" t="s">
        <v>2992</v>
      </c>
      <c r="O1132" s="85" t="s">
        <v>4763</v>
      </c>
    </row>
    <row r="1133" spans="2:15" x14ac:dyDescent="0.35">
      <c r="B1133" s="235"/>
      <c r="C1133" s="257">
        <v>1.3358833764253755</v>
      </c>
      <c r="D1133" s="261">
        <v>68.911869016839006</v>
      </c>
      <c r="E1133" s="138" t="s">
        <v>396</v>
      </c>
      <c r="F1133" s="402">
        <v>28</v>
      </c>
      <c r="G1133" s="1" t="s">
        <v>33</v>
      </c>
      <c r="H1133" s="402">
        <v>26</v>
      </c>
      <c r="I1133" s="63">
        <v>14</v>
      </c>
      <c r="J1133" s="235" t="s">
        <v>30</v>
      </c>
      <c r="K1133" s="140">
        <v>47</v>
      </c>
      <c r="L1133" s="14" t="s">
        <v>296</v>
      </c>
      <c r="M1133" s="43" t="s">
        <v>4779</v>
      </c>
      <c r="N1133" s="1" t="s">
        <v>2953</v>
      </c>
    </row>
    <row r="1134" spans="2:15" x14ac:dyDescent="0.35">
      <c r="B1134" s="235"/>
      <c r="C1134" s="257">
        <v>7.1276325757620453</v>
      </c>
      <c r="D1134" s="261">
        <v>77.408833874455681</v>
      </c>
      <c r="E1134" s="138" t="s">
        <v>395</v>
      </c>
      <c r="F1134" s="402">
        <v>3</v>
      </c>
      <c r="G1134" s="1" t="s">
        <v>87</v>
      </c>
      <c r="H1134" s="402">
        <v>29</v>
      </c>
      <c r="I1134" s="63">
        <v>10</v>
      </c>
      <c r="J1134" s="235" t="s">
        <v>80</v>
      </c>
      <c r="K1134" s="140">
        <v>46</v>
      </c>
      <c r="L1134" s="14" t="s">
        <v>201</v>
      </c>
      <c r="M1134" s="43" t="s">
        <v>4780</v>
      </c>
      <c r="N1134" s="1" t="s">
        <v>2953</v>
      </c>
    </row>
    <row r="1135" spans="2:15" x14ac:dyDescent="0.35">
      <c r="B1135" s="235"/>
      <c r="C1135" s="257">
        <v>6.8185018704459806</v>
      </c>
      <c r="D1135" s="261">
        <v>79.058212949681433</v>
      </c>
      <c r="E1135" s="138" t="s">
        <v>396</v>
      </c>
      <c r="F1135" s="402">
        <v>2</v>
      </c>
      <c r="G1135" s="1" t="s">
        <v>795</v>
      </c>
      <c r="H1135" s="402">
        <v>23</v>
      </c>
      <c r="I1135" s="63">
        <v>11</v>
      </c>
      <c r="J1135" s="235" t="s">
        <v>794</v>
      </c>
      <c r="K1135" s="140">
        <v>43</v>
      </c>
      <c r="L1135" s="14" t="s">
        <v>334</v>
      </c>
      <c r="M1135" s="14" t="s">
        <v>4781</v>
      </c>
      <c r="N1135" t="s">
        <v>2992</v>
      </c>
    </row>
    <row r="1136" spans="2:15" x14ac:dyDescent="0.35">
      <c r="B1136" s="235"/>
      <c r="C1136" s="257">
        <v>-0.46313616566784893</v>
      </c>
      <c r="D1136" s="261">
        <v>72.60759726119133</v>
      </c>
      <c r="E1136" s="138" t="s">
        <v>395</v>
      </c>
      <c r="F1136" s="402">
        <v>38</v>
      </c>
      <c r="G1136" s="1" t="s">
        <v>71</v>
      </c>
      <c r="H1136" s="402">
        <v>11</v>
      </c>
      <c r="I1136" s="63">
        <v>8</v>
      </c>
      <c r="J1136" s="235" t="s">
        <v>72</v>
      </c>
      <c r="K1136" s="140">
        <v>31</v>
      </c>
      <c r="L1136" s="14" t="s">
        <v>281</v>
      </c>
      <c r="M1136" s="14" t="s">
        <v>4787</v>
      </c>
      <c r="N1136" t="s">
        <v>2992</v>
      </c>
    </row>
    <row r="1137" spans="1:15" x14ac:dyDescent="0.35">
      <c r="A1137" s="6" t="s">
        <v>4789</v>
      </c>
      <c r="B1137" s="235"/>
      <c r="C1137" s="257">
        <v>-3.9434521169617081</v>
      </c>
      <c r="D1137" s="261">
        <v>84.602465797829794</v>
      </c>
      <c r="E1137" s="138" t="s">
        <v>396</v>
      </c>
      <c r="F1137" s="402">
        <v>36</v>
      </c>
      <c r="G1137" s="1" t="s">
        <v>908</v>
      </c>
      <c r="H1137" s="402">
        <v>26</v>
      </c>
      <c r="I1137" s="63">
        <v>15</v>
      </c>
      <c r="J1137" s="235" t="s">
        <v>790</v>
      </c>
      <c r="K1137" s="140">
        <v>15</v>
      </c>
      <c r="L1137" s="14" t="s">
        <v>359</v>
      </c>
      <c r="M1137" s="14" t="s">
        <v>4788</v>
      </c>
      <c r="N1137" t="s">
        <v>2992</v>
      </c>
    </row>
    <row r="1138" spans="1:15" x14ac:dyDescent="0.35">
      <c r="B1138" s="235"/>
      <c r="C1138" s="257">
        <v>6.6745054686415264</v>
      </c>
      <c r="D1138" s="261">
        <v>82.01821037954177</v>
      </c>
      <c r="E1138" s="138" t="s">
        <v>395</v>
      </c>
      <c r="F1138" s="402">
        <v>5</v>
      </c>
      <c r="G1138" s="1" t="s">
        <v>118</v>
      </c>
      <c r="H1138" s="402">
        <v>22</v>
      </c>
      <c r="I1138" s="63">
        <v>17</v>
      </c>
      <c r="J1138" s="235" t="s">
        <v>52</v>
      </c>
      <c r="K1138" s="140">
        <v>32</v>
      </c>
      <c r="L1138" s="14" t="s">
        <v>185</v>
      </c>
      <c r="M1138" s="14" t="s">
        <v>4790</v>
      </c>
      <c r="N1138" t="s">
        <v>2992</v>
      </c>
    </row>
    <row r="1139" spans="1:15" x14ac:dyDescent="0.35">
      <c r="B1139" s="235"/>
      <c r="C1139" s="257">
        <v>3.8578640837043996</v>
      </c>
      <c r="D1139" s="261">
        <v>85.101525654496854</v>
      </c>
      <c r="E1139" s="138" t="s">
        <v>395</v>
      </c>
      <c r="F1139" s="402">
        <v>8</v>
      </c>
      <c r="G1139" s="1" t="s">
        <v>145</v>
      </c>
      <c r="H1139" s="402">
        <v>20</v>
      </c>
      <c r="I1139" s="63">
        <v>12</v>
      </c>
      <c r="J1139" s="235" t="s">
        <v>50</v>
      </c>
      <c r="K1139" s="140">
        <v>26</v>
      </c>
      <c r="L1139" s="14" t="s">
        <v>178</v>
      </c>
      <c r="M1139" s="14" t="s">
        <v>4791</v>
      </c>
      <c r="N1139" t="s">
        <v>2992</v>
      </c>
    </row>
    <row r="1140" spans="1:15" x14ac:dyDescent="0.35">
      <c r="B1140" s="235"/>
      <c r="C1140" s="257">
        <v>1.0205734174857255</v>
      </c>
      <c r="D1140" s="261">
        <v>86.771018987510189</v>
      </c>
      <c r="E1140" s="138" t="s">
        <v>395</v>
      </c>
      <c r="F1140" s="402">
        <v>22</v>
      </c>
      <c r="G1140" s="1" t="s">
        <v>115</v>
      </c>
      <c r="H1140" s="402">
        <v>19</v>
      </c>
      <c r="I1140" s="63">
        <v>14</v>
      </c>
      <c r="J1140" s="235" t="s">
        <v>67</v>
      </c>
      <c r="K1140" s="140">
        <v>18</v>
      </c>
      <c r="L1140" s="14" t="s">
        <v>179</v>
      </c>
      <c r="M1140" s="14" t="s">
        <v>4792</v>
      </c>
      <c r="N1140" t="s">
        <v>2992</v>
      </c>
    </row>
    <row r="1141" spans="1:15" x14ac:dyDescent="0.35">
      <c r="B1141" s="235"/>
      <c r="C1141" s="257">
        <v>0.77940602687426186</v>
      </c>
      <c r="D1141" s="261">
        <v>90.06828140937553</v>
      </c>
      <c r="E1141" s="138" t="s">
        <v>395</v>
      </c>
      <c r="F1141" s="402">
        <v>17</v>
      </c>
      <c r="G1141" s="1" t="s">
        <v>60</v>
      </c>
      <c r="H1141" s="402">
        <v>17</v>
      </c>
      <c r="I1141" s="63">
        <v>8</v>
      </c>
      <c r="J1141" s="235" t="s">
        <v>59</v>
      </c>
      <c r="K1141" s="140">
        <v>13</v>
      </c>
      <c r="L1141" s="14" t="s">
        <v>281</v>
      </c>
      <c r="M1141" s="14" t="s">
        <v>4793</v>
      </c>
      <c r="N1141" t="s">
        <v>2992</v>
      </c>
    </row>
    <row r="1142" spans="1:15" x14ac:dyDescent="0.35">
      <c r="B1142" s="235"/>
      <c r="C1142" s="257">
        <v>-0.85615217885804662</v>
      </c>
      <c r="D1142" s="261">
        <v>92.486537270612885</v>
      </c>
      <c r="E1142" s="138" t="s">
        <v>396</v>
      </c>
      <c r="F1142" s="402">
        <v>12</v>
      </c>
      <c r="G1142" s="1" t="s">
        <v>78</v>
      </c>
      <c r="H1142" s="402">
        <v>17</v>
      </c>
      <c r="I1142" s="63">
        <v>12</v>
      </c>
      <c r="J1142" s="235" t="s">
        <v>83</v>
      </c>
      <c r="K1142" s="140">
        <v>14</v>
      </c>
      <c r="L1142" s="14" t="s">
        <v>191</v>
      </c>
      <c r="M1142" s="14" t="s">
        <v>4794</v>
      </c>
      <c r="N1142" t="s">
        <v>2992</v>
      </c>
    </row>
    <row r="1143" spans="1:15" ht="15" thickBot="1" x14ac:dyDescent="0.4">
      <c r="B1143" s="57"/>
      <c r="C1143" s="259">
        <v>-1.4039879101812436</v>
      </c>
      <c r="D1143" s="262">
        <v>96.940348507272319</v>
      </c>
      <c r="E1143" s="222" t="s">
        <v>396</v>
      </c>
      <c r="F1143" s="381">
        <v>7</v>
      </c>
      <c r="G1143" s="44" t="s">
        <v>36</v>
      </c>
      <c r="H1143" s="381">
        <v>15</v>
      </c>
      <c r="I1143" s="56">
        <v>11</v>
      </c>
      <c r="J1143" s="57" t="s">
        <v>41</v>
      </c>
      <c r="K1143" s="141">
        <v>6</v>
      </c>
      <c r="L1143" s="23" t="s">
        <v>296</v>
      </c>
      <c r="M1143" s="23" t="s">
        <v>4795</v>
      </c>
      <c r="N1143" s="12" t="s">
        <v>2992</v>
      </c>
      <c r="O1143" s="86"/>
    </row>
    <row r="1144" spans="1:15" x14ac:dyDescent="0.35">
      <c r="B1144" s="235" t="s">
        <v>3301</v>
      </c>
      <c r="C1144" s="257">
        <v>15.840897972735311</v>
      </c>
      <c r="D1144" s="261">
        <v>55.10227987467016</v>
      </c>
      <c r="E1144" s="138" t="s">
        <v>396</v>
      </c>
      <c r="F1144" s="402">
        <v>1</v>
      </c>
      <c r="G1144" s="1" t="s">
        <v>795</v>
      </c>
      <c r="H1144" s="402">
        <v>24</v>
      </c>
      <c r="I1144" s="63">
        <v>13</v>
      </c>
      <c r="J1144" s="235" t="s">
        <v>88</v>
      </c>
      <c r="K1144" s="140">
        <v>107</v>
      </c>
      <c r="L1144" s="14" t="s">
        <v>608</v>
      </c>
      <c r="M1144" s="14" t="s">
        <v>4801</v>
      </c>
      <c r="N1144" t="s">
        <v>2992</v>
      </c>
      <c r="O1144" s="85" t="s">
        <v>4800</v>
      </c>
    </row>
    <row r="1145" spans="1:15" x14ac:dyDescent="0.35">
      <c r="B1145" s="235" t="s">
        <v>3301</v>
      </c>
      <c r="C1145" s="257">
        <v>5.1737068596335503</v>
      </c>
      <c r="D1145" s="261">
        <v>93.299045590235579</v>
      </c>
      <c r="E1145" s="138" t="s">
        <v>395</v>
      </c>
      <c r="F1145" s="402">
        <v>2</v>
      </c>
      <c r="G1145" s="1" t="s">
        <v>87</v>
      </c>
      <c r="H1145" s="402">
        <v>24</v>
      </c>
      <c r="I1145" s="63">
        <v>8</v>
      </c>
      <c r="J1145" s="235" t="s">
        <v>41</v>
      </c>
      <c r="K1145" s="140">
        <v>10</v>
      </c>
      <c r="L1145" s="14" t="s">
        <v>201</v>
      </c>
      <c r="M1145" s="43" t="s">
        <v>4802</v>
      </c>
      <c r="N1145" s="1" t="s">
        <v>2953</v>
      </c>
    </row>
    <row r="1146" spans="1:15" x14ac:dyDescent="0.35">
      <c r="B1146" s="235" t="s">
        <v>3301</v>
      </c>
      <c r="C1146" s="257">
        <v>5.2162904990417953</v>
      </c>
      <c r="D1146" s="261">
        <v>89.33417039347313</v>
      </c>
      <c r="E1146" s="138" t="s">
        <v>395</v>
      </c>
      <c r="F1146" s="402">
        <v>8</v>
      </c>
      <c r="G1146" s="1" t="s">
        <v>1344</v>
      </c>
      <c r="H1146" s="402">
        <v>19</v>
      </c>
      <c r="I1146" s="63">
        <v>17</v>
      </c>
      <c r="J1146" s="235" t="s">
        <v>83</v>
      </c>
      <c r="K1146" s="140">
        <v>18</v>
      </c>
      <c r="L1146" s="14" t="s">
        <v>194</v>
      </c>
      <c r="M1146" s="14" t="s">
        <v>4803</v>
      </c>
      <c r="N1146" t="s">
        <v>2992</v>
      </c>
    </row>
    <row r="1147" spans="1:15" x14ac:dyDescent="0.35">
      <c r="B1147" s="235" t="s">
        <v>3301</v>
      </c>
      <c r="C1147" s="257">
        <v>8.0699143947098033</v>
      </c>
      <c r="D1147" s="261">
        <v>88.624697889115126</v>
      </c>
      <c r="E1147" s="138" t="s">
        <v>395</v>
      </c>
      <c r="F1147" s="402">
        <v>3</v>
      </c>
      <c r="G1147" s="1" t="s">
        <v>26</v>
      </c>
      <c r="H1147" s="402">
        <v>33</v>
      </c>
      <c r="I1147" s="63">
        <v>10</v>
      </c>
      <c r="J1147" s="235" t="s">
        <v>85</v>
      </c>
      <c r="K1147" s="140">
        <v>19</v>
      </c>
      <c r="L1147" s="14" t="s">
        <v>332</v>
      </c>
      <c r="M1147" s="43" t="s">
        <v>4804</v>
      </c>
      <c r="N1147" s="1" t="s">
        <v>2953</v>
      </c>
    </row>
    <row r="1148" spans="1:15" x14ac:dyDescent="0.35">
      <c r="B1148" s="235" t="s">
        <v>3301</v>
      </c>
      <c r="C1148" s="257">
        <v>1.8895786753188391</v>
      </c>
      <c r="D1148" s="261">
        <v>90.910270851580748</v>
      </c>
      <c r="E1148" s="138" t="s">
        <v>396</v>
      </c>
      <c r="F1148" s="402">
        <v>6</v>
      </c>
      <c r="G1148" s="1" t="s">
        <v>36</v>
      </c>
      <c r="H1148" s="402">
        <v>17</v>
      </c>
      <c r="I1148" s="63">
        <v>11</v>
      </c>
      <c r="J1148" s="235" t="s">
        <v>300</v>
      </c>
      <c r="K1148" s="140">
        <v>22</v>
      </c>
      <c r="L1148" s="14" t="s">
        <v>286</v>
      </c>
      <c r="M1148" s="14" t="s">
        <v>4805</v>
      </c>
      <c r="N1148" t="s">
        <v>2992</v>
      </c>
    </row>
    <row r="1149" spans="1:15" x14ac:dyDescent="0.35">
      <c r="B1149" s="235" t="s">
        <v>3301</v>
      </c>
      <c r="C1149" s="257">
        <v>9.5620667321488035</v>
      </c>
      <c r="D1149" s="261">
        <v>79.388671386475764</v>
      </c>
      <c r="E1149" s="138" t="s">
        <v>395</v>
      </c>
      <c r="F1149" s="402">
        <v>4</v>
      </c>
      <c r="G1149" s="1" t="s">
        <v>119</v>
      </c>
      <c r="H1149" s="402">
        <v>20</v>
      </c>
      <c r="I1149" s="63">
        <v>15</v>
      </c>
      <c r="J1149" s="235" t="s">
        <v>43</v>
      </c>
      <c r="K1149" s="140">
        <v>41</v>
      </c>
      <c r="L1149" s="14" t="s">
        <v>533</v>
      </c>
      <c r="M1149" s="14" t="s">
        <v>4806</v>
      </c>
      <c r="N1149" t="s">
        <v>2992</v>
      </c>
    </row>
    <row r="1150" spans="1:15" x14ac:dyDescent="0.35">
      <c r="B1150" s="235" t="s">
        <v>3301</v>
      </c>
      <c r="C1150" s="257">
        <v>-3.8155032302270935</v>
      </c>
      <c r="D1150" s="261">
        <v>96.546573505146</v>
      </c>
      <c r="E1150" s="138" t="s">
        <v>396</v>
      </c>
      <c r="F1150" s="402">
        <v>14</v>
      </c>
      <c r="G1150" s="1" t="s">
        <v>46</v>
      </c>
      <c r="H1150" s="402">
        <v>14</v>
      </c>
      <c r="I1150" s="63">
        <v>13</v>
      </c>
      <c r="J1150" s="235" t="s">
        <v>145</v>
      </c>
      <c r="K1150" s="140">
        <v>7</v>
      </c>
      <c r="L1150" s="14" t="s">
        <v>281</v>
      </c>
      <c r="M1150" s="14" t="s">
        <v>4807</v>
      </c>
      <c r="N1150" s="92" t="s">
        <v>2954</v>
      </c>
    </row>
    <row r="1151" spans="1:15" x14ac:dyDescent="0.35">
      <c r="B1151" s="235" t="s">
        <v>3301</v>
      </c>
      <c r="C1151" s="257">
        <v>2.7114223512749403E-3</v>
      </c>
      <c r="D1151" s="261">
        <v>68.900042657059899</v>
      </c>
      <c r="E1151" s="138" t="s">
        <v>395</v>
      </c>
      <c r="F1151" s="402">
        <v>55</v>
      </c>
      <c r="G1151" s="1" t="s">
        <v>49</v>
      </c>
      <c r="H1151" s="402">
        <v>24</v>
      </c>
      <c r="I1151" s="63">
        <v>11</v>
      </c>
      <c r="J1151" s="235" t="s">
        <v>960</v>
      </c>
      <c r="K1151" s="140">
        <v>31</v>
      </c>
      <c r="L1151" s="14" t="s">
        <v>191</v>
      </c>
      <c r="M1151" s="43" t="s">
        <v>4808</v>
      </c>
      <c r="N1151" s="1" t="s">
        <v>2953</v>
      </c>
    </row>
    <row r="1152" spans="1:15" x14ac:dyDescent="0.35">
      <c r="A1152" s="6" t="s">
        <v>4813</v>
      </c>
      <c r="B1152" s="235" t="s">
        <v>3302</v>
      </c>
      <c r="C1152" s="257">
        <v>18.955481306068641</v>
      </c>
      <c r="D1152" s="261">
        <v>53.100047731813028</v>
      </c>
      <c r="E1152" s="138" t="s">
        <v>395</v>
      </c>
      <c r="F1152" s="402">
        <v>1</v>
      </c>
      <c r="G1152" s="1" t="s">
        <v>795</v>
      </c>
      <c r="H1152" s="402">
        <v>32</v>
      </c>
      <c r="I1152" s="63">
        <v>20</v>
      </c>
      <c r="J1152" s="235" t="s">
        <v>88</v>
      </c>
      <c r="K1152" s="140">
        <v>107</v>
      </c>
      <c r="L1152" s="14" t="s">
        <v>533</v>
      </c>
      <c r="M1152" s="14" t="s">
        <v>4810</v>
      </c>
      <c r="N1152" t="s">
        <v>2992</v>
      </c>
      <c r="O1152" s="85" t="s">
        <v>4809</v>
      </c>
    </row>
    <row r="1153" spans="1:15" x14ac:dyDescent="0.35">
      <c r="B1153" s="235" t="s">
        <v>3302</v>
      </c>
      <c r="C1153" s="257">
        <v>2.0740974846335507</v>
      </c>
      <c r="D1153" s="261">
        <v>95.291651617021287</v>
      </c>
      <c r="E1153" s="138" t="s">
        <v>396</v>
      </c>
      <c r="F1153" s="402">
        <v>2</v>
      </c>
      <c r="G1153" s="1" t="s">
        <v>87</v>
      </c>
      <c r="H1153" s="402">
        <v>23</v>
      </c>
      <c r="I1153" s="63">
        <v>21</v>
      </c>
      <c r="J1153" s="235" t="s">
        <v>41</v>
      </c>
      <c r="K1153" s="140">
        <v>10</v>
      </c>
      <c r="L1153" s="14" t="s">
        <v>577</v>
      </c>
      <c r="M1153" s="14" t="s">
        <v>4812</v>
      </c>
      <c r="N1153" s="92" t="s">
        <v>2954</v>
      </c>
      <c r="O1153" s="85" t="s">
        <v>4811</v>
      </c>
    </row>
    <row r="1154" spans="1:15" x14ac:dyDescent="0.35">
      <c r="B1154" s="235" t="s">
        <v>3302</v>
      </c>
      <c r="C1154" s="257">
        <v>1.6142071657084636</v>
      </c>
      <c r="D1154" s="261">
        <v>91.649795393473127</v>
      </c>
      <c r="E1154" s="138" t="s">
        <v>396</v>
      </c>
      <c r="F1154" s="402">
        <v>8</v>
      </c>
      <c r="G1154" s="1" t="s">
        <v>1344</v>
      </c>
      <c r="H1154" s="402">
        <v>16</v>
      </c>
      <c r="I1154" s="63">
        <v>7</v>
      </c>
      <c r="J1154" s="235" t="s">
        <v>83</v>
      </c>
      <c r="K1154" s="140">
        <v>18</v>
      </c>
      <c r="L1154" s="14" t="s">
        <v>447</v>
      </c>
      <c r="M1154" s="14" t="s">
        <v>4815</v>
      </c>
      <c r="N1154" t="s">
        <v>2992</v>
      </c>
      <c r="O1154" s="85" t="s">
        <v>4814</v>
      </c>
    </row>
    <row r="1155" spans="1:15" x14ac:dyDescent="0.35">
      <c r="B1155" s="235" t="s">
        <v>3302</v>
      </c>
      <c r="C1155" s="257">
        <v>-5.4449143947098042</v>
      </c>
      <c r="D1155" s="261">
        <v>97.312802110884874</v>
      </c>
      <c r="E1155" s="138" t="s">
        <v>395</v>
      </c>
      <c r="F1155" s="402">
        <v>19</v>
      </c>
      <c r="G1155" s="1" t="s">
        <v>85</v>
      </c>
      <c r="H1155" s="402">
        <v>25</v>
      </c>
      <c r="I1155" s="63">
        <v>24</v>
      </c>
      <c r="J1155" s="235" t="s">
        <v>26</v>
      </c>
      <c r="K1155" s="140">
        <v>3</v>
      </c>
      <c r="L1155" s="14" t="s">
        <v>504</v>
      </c>
      <c r="M1155" s="14" t="s">
        <v>4817</v>
      </c>
      <c r="N1155" t="s">
        <v>2992</v>
      </c>
      <c r="O1155" s="85" t="s">
        <v>4816</v>
      </c>
    </row>
    <row r="1156" spans="1:15" x14ac:dyDescent="0.35">
      <c r="B1156" s="235" t="s">
        <v>3302</v>
      </c>
      <c r="C1156" s="257">
        <v>-5.2118443003188384</v>
      </c>
      <c r="D1156" s="261">
        <v>95.475471335919252</v>
      </c>
      <c r="E1156" s="138" t="s">
        <v>396</v>
      </c>
      <c r="F1156" s="402">
        <v>22</v>
      </c>
      <c r="G1156" s="1" t="s">
        <v>300</v>
      </c>
      <c r="H1156" s="402">
        <v>28</v>
      </c>
      <c r="I1156" s="63">
        <v>15</v>
      </c>
      <c r="J1156" s="235" t="s">
        <v>36</v>
      </c>
      <c r="K1156" s="140">
        <v>6</v>
      </c>
      <c r="L1156" s="14" t="s">
        <v>950</v>
      </c>
      <c r="M1156" s="43" t="s">
        <v>4818</v>
      </c>
      <c r="N1156" s="1" t="s">
        <v>2953</v>
      </c>
      <c r="O1156" s="85" t="s">
        <v>4819</v>
      </c>
    </row>
    <row r="1157" spans="1:15" x14ac:dyDescent="0.35">
      <c r="B1157" s="235" t="s">
        <v>3302</v>
      </c>
      <c r="C1157" s="257">
        <v>6.8667542321488035</v>
      </c>
      <c r="D1157" s="261">
        <v>81.121372279332917</v>
      </c>
      <c r="E1157" s="138" t="s">
        <v>396</v>
      </c>
      <c r="F1157" s="402">
        <v>4</v>
      </c>
      <c r="G1157" s="1" t="s">
        <v>119</v>
      </c>
      <c r="H1157" s="402">
        <v>29</v>
      </c>
      <c r="I1157" s="63">
        <v>8</v>
      </c>
      <c r="J1157" s="235" t="s">
        <v>43</v>
      </c>
      <c r="K1157" s="140">
        <v>41</v>
      </c>
      <c r="L1157" s="14" t="s">
        <v>332</v>
      </c>
      <c r="M1157" s="43" t="s">
        <v>4821</v>
      </c>
      <c r="N1157" s="1" t="s">
        <v>2953</v>
      </c>
      <c r="O1157" s="85" t="s">
        <v>4820</v>
      </c>
    </row>
    <row r="1158" spans="1:15" x14ac:dyDescent="0.35">
      <c r="B1158" s="235" t="s">
        <v>3302</v>
      </c>
      <c r="C1158" s="257">
        <v>0.40661539252153578</v>
      </c>
      <c r="D1158" s="261">
        <v>93.832354390521871</v>
      </c>
      <c r="E1158" s="138" t="s">
        <v>395</v>
      </c>
      <c r="F1158" s="402">
        <v>14</v>
      </c>
      <c r="G1158" s="1" t="s">
        <v>46</v>
      </c>
      <c r="H1158" s="402">
        <v>20</v>
      </c>
      <c r="I1158" s="63">
        <v>15</v>
      </c>
      <c r="J1158" s="235" t="s">
        <v>145</v>
      </c>
      <c r="K1158" s="140">
        <v>7</v>
      </c>
      <c r="L1158" s="14" t="s">
        <v>296</v>
      </c>
      <c r="M1158" s="14" t="s">
        <v>4822</v>
      </c>
      <c r="N1158" t="s">
        <v>2992</v>
      </c>
      <c r="O1158" s="85" t="s">
        <v>4823</v>
      </c>
    </row>
    <row r="1159" spans="1:15" ht="15" thickBot="1" x14ac:dyDescent="0.4">
      <c r="B1159" s="57" t="s">
        <v>3302</v>
      </c>
      <c r="C1159" s="259">
        <v>-3.8090507676680465</v>
      </c>
      <c r="D1159" s="262">
        <v>71.350461207786608</v>
      </c>
      <c r="E1159" s="222" t="s">
        <v>396</v>
      </c>
      <c r="F1159" s="381">
        <v>55</v>
      </c>
      <c r="G1159" s="44" t="s">
        <v>49</v>
      </c>
      <c r="H1159" s="381">
        <v>18</v>
      </c>
      <c r="I1159" s="56">
        <v>10</v>
      </c>
      <c r="J1159" s="57" t="s">
        <v>960</v>
      </c>
      <c r="K1159" s="141">
        <v>31</v>
      </c>
      <c r="L1159" s="23" t="s">
        <v>297</v>
      </c>
      <c r="M1159" s="23" t="s">
        <v>4824</v>
      </c>
      <c r="N1159" s="12" t="s">
        <v>2992</v>
      </c>
      <c r="O1159" s="86" t="s">
        <v>4825</v>
      </c>
    </row>
    <row r="1160" spans="1:15" x14ac:dyDescent="0.35">
      <c r="A1160" s="6" t="s">
        <v>4827</v>
      </c>
      <c r="B1160" s="235" t="s">
        <v>3303</v>
      </c>
      <c r="C1160" s="257">
        <v>-0.27892464842749864</v>
      </c>
      <c r="D1160" s="261">
        <v>68.024364768966649</v>
      </c>
      <c r="E1160" s="138" t="s">
        <v>395</v>
      </c>
      <c r="F1160" s="402">
        <v>49</v>
      </c>
      <c r="G1160" s="1" t="s">
        <v>58</v>
      </c>
      <c r="H1160" s="402">
        <v>13</v>
      </c>
      <c r="I1160" s="63">
        <v>10</v>
      </c>
      <c r="J1160" s="235" t="s">
        <v>40</v>
      </c>
      <c r="K1160" s="140">
        <v>38</v>
      </c>
      <c r="L1160" s="14" t="s">
        <v>294</v>
      </c>
      <c r="M1160" s="14" t="s">
        <v>4828</v>
      </c>
      <c r="N1160" t="s">
        <v>2992</v>
      </c>
    </row>
    <row r="1161" spans="1:15" x14ac:dyDescent="0.35">
      <c r="B1161" s="235" t="s">
        <v>3303</v>
      </c>
      <c r="C1161" s="257">
        <v>-1.4141875880471093</v>
      </c>
      <c r="D1161" s="261">
        <v>87.704323272145245</v>
      </c>
      <c r="E1161" s="138" t="s">
        <v>396</v>
      </c>
      <c r="F1161" s="402">
        <v>24</v>
      </c>
      <c r="G1161" s="1" t="s">
        <v>33</v>
      </c>
      <c r="H1161" s="402">
        <v>24</v>
      </c>
      <c r="I1161" s="63">
        <v>8</v>
      </c>
      <c r="J1161" s="235" t="s">
        <v>300</v>
      </c>
      <c r="K1161" s="140">
        <v>22</v>
      </c>
      <c r="L1161" s="14" t="s">
        <v>397</v>
      </c>
      <c r="M1161" s="43" t="s">
        <v>4829</v>
      </c>
      <c r="N1161" s="1" t="s">
        <v>2953</v>
      </c>
    </row>
    <row r="1162" spans="1:15" x14ac:dyDescent="0.35">
      <c r="B1162" s="235" t="s">
        <v>3303</v>
      </c>
      <c r="C1162" s="257">
        <v>-2.7059722192431348</v>
      </c>
      <c r="D1162" s="261">
        <v>80.421067458359772</v>
      </c>
      <c r="E1162" s="138" t="s">
        <v>395</v>
      </c>
      <c r="F1162" s="402">
        <v>45</v>
      </c>
      <c r="G1162" s="1" t="s">
        <v>788</v>
      </c>
      <c r="H1162" s="402">
        <v>28</v>
      </c>
      <c r="I1162" s="63">
        <v>26</v>
      </c>
      <c r="J1162" s="235" t="s">
        <v>790</v>
      </c>
      <c r="K1162" s="140">
        <v>20</v>
      </c>
      <c r="L1162" s="14" t="s">
        <v>289</v>
      </c>
      <c r="M1162" s="14" t="s">
        <v>4831</v>
      </c>
      <c r="N1162" t="s">
        <v>2992</v>
      </c>
      <c r="O1162" s="85" t="s">
        <v>4830</v>
      </c>
    </row>
    <row r="1163" spans="1:15" x14ac:dyDescent="0.35">
      <c r="B1163" s="235" t="s">
        <v>3303</v>
      </c>
      <c r="C1163" s="257">
        <v>4.669909692350247</v>
      </c>
      <c r="D1163" s="261">
        <v>89.456202202169848</v>
      </c>
      <c r="E1163" s="138" t="s">
        <v>396</v>
      </c>
      <c r="F1163" s="402">
        <v>5</v>
      </c>
      <c r="G1163" s="1" t="s">
        <v>118</v>
      </c>
      <c r="H1163" s="402">
        <v>29</v>
      </c>
      <c r="I1163" s="63">
        <v>13</v>
      </c>
      <c r="J1163" s="235" t="s">
        <v>67</v>
      </c>
      <c r="K1163" s="140">
        <v>21</v>
      </c>
      <c r="L1163" s="14" t="s">
        <v>526</v>
      </c>
      <c r="M1163" s="43" t="s">
        <v>4832</v>
      </c>
      <c r="N1163" s="1" t="s">
        <v>2953</v>
      </c>
    </row>
    <row r="1164" spans="1:15" x14ac:dyDescent="0.35">
      <c r="B1164" s="235" t="s">
        <v>3303</v>
      </c>
      <c r="C1164" s="257">
        <v>0.81740073650841616</v>
      </c>
      <c r="D1164" s="261">
        <v>60.65035094458019</v>
      </c>
      <c r="E1164" s="138" t="s">
        <v>395</v>
      </c>
      <c r="F1164" s="402">
        <v>55</v>
      </c>
      <c r="G1164" s="1" t="s">
        <v>49</v>
      </c>
      <c r="H1164" s="402">
        <v>17</v>
      </c>
      <c r="I1164" s="63">
        <v>11</v>
      </c>
      <c r="J1164" s="235" t="s">
        <v>794</v>
      </c>
      <c r="K1164" s="140">
        <v>50</v>
      </c>
      <c r="L1164" s="14" t="s">
        <v>488</v>
      </c>
      <c r="M1164" s="14" t="s">
        <v>4833</v>
      </c>
      <c r="N1164" t="s">
        <v>2992</v>
      </c>
    </row>
    <row r="1165" spans="1:15" x14ac:dyDescent="0.35">
      <c r="B1165" s="235" t="s">
        <v>3303</v>
      </c>
      <c r="C1165" s="257">
        <v>7.5634193658938216</v>
      </c>
      <c r="D1165" s="261">
        <v>70.058324416698355</v>
      </c>
      <c r="E1165" s="138" t="s">
        <v>396</v>
      </c>
      <c r="F1165" s="402">
        <v>7</v>
      </c>
      <c r="G1165" s="1" t="s">
        <v>145</v>
      </c>
      <c r="H1165" s="402">
        <v>18</v>
      </c>
      <c r="I1165" s="63">
        <v>15</v>
      </c>
      <c r="J1165" s="235" t="s">
        <v>961</v>
      </c>
      <c r="K1165" s="140">
        <v>69</v>
      </c>
      <c r="L1165" s="14" t="s">
        <v>893</v>
      </c>
      <c r="M1165" s="14" t="s">
        <v>4834</v>
      </c>
      <c r="N1165" t="s">
        <v>2992</v>
      </c>
    </row>
    <row r="1166" spans="1:15" x14ac:dyDescent="0.35">
      <c r="B1166" s="235" t="s">
        <v>3303</v>
      </c>
      <c r="C1166" s="257">
        <v>-6.0078983164283892</v>
      </c>
      <c r="D1166" s="261">
        <v>83.576618893652949</v>
      </c>
      <c r="E1166" s="138" t="s">
        <v>395</v>
      </c>
      <c r="F1166" s="402">
        <v>51</v>
      </c>
      <c r="G1166" s="1" t="s">
        <v>28</v>
      </c>
      <c r="H1166" s="402">
        <v>26</v>
      </c>
      <c r="I1166" s="63">
        <v>20</v>
      </c>
      <c r="J1166" s="235" t="s">
        <v>77</v>
      </c>
      <c r="K1166" s="140">
        <v>11</v>
      </c>
      <c r="L1166" s="14" t="s">
        <v>507</v>
      </c>
      <c r="M1166" s="14" t="s">
        <v>4835</v>
      </c>
      <c r="N1166" t="s">
        <v>2992</v>
      </c>
    </row>
    <row r="1167" spans="1:15" x14ac:dyDescent="0.35">
      <c r="B1167" s="235" t="s">
        <v>3303</v>
      </c>
      <c r="C1167" s="257">
        <v>-3.1060182702630996</v>
      </c>
      <c r="D1167" s="261">
        <v>82.983954863315759</v>
      </c>
      <c r="E1167" s="138" t="s">
        <v>395</v>
      </c>
      <c r="F1167" s="402">
        <v>43</v>
      </c>
      <c r="G1167" s="1" t="s">
        <v>62</v>
      </c>
      <c r="H1167" s="402">
        <v>19</v>
      </c>
      <c r="I1167" s="63">
        <v>15</v>
      </c>
      <c r="J1167" s="235" t="s">
        <v>962</v>
      </c>
      <c r="K1167" s="140">
        <v>15</v>
      </c>
      <c r="L1167" s="14" t="s">
        <v>201</v>
      </c>
      <c r="M1167" s="14" t="s">
        <v>4836</v>
      </c>
      <c r="N1167" t="s">
        <v>2992</v>
      </c>
    </row>
    <row r="1168" spans="1:15" x14ac:dyDescent="0.35">
      <c r="B1168" s="235" t="s">
        <v>3304</v>
      </c>
      <c r="C1168" s="257">
        <v>4.1481954817608306</v>
      </c>
      <c r="D1168" s="261">
        <v>65.11511439770004</v>
      </c>
      <c r="E1168" s="138" t="s">
        <v>395</v>
      </c>
      <c r="F1168" s="402">
        <v>38</v>
      </c>
      <c r="G1168" s="1" t="s">
        <v>40</v>
      </c>
      <c r="H1168" s="402">
        <v>21</v>
      </c>
      <c r="I1168" s="63">
        <v>9</v>
      </c>
      <c r="J1168" s="235" t="s">
        <v>58</v>
      </c>
      <c r="K1168" s="140">
        <v>49</v>
      </c>
      <c r="L1168" s="14" t="s">
        <v>201</v>
      </c>
      <c r="M1168" s="14" t="s">
        <v>4838</v>
      </c>
      <c r="N1168" t="s">
        <v>2992</v>
      </c>
      <c r="O1168" s="85" t="s">
        <v>4837</v>
      </c>
    </row>
    <row r="1169" spans="2:15" x14ac:dyDescent="0.35">
      <c r="B1169" s="235" t="s">
        <v>3304</v>
      </c>
      <c r="C1169" s="257">
        <v>1.8347062414287945</v>
      </c>
      <c r="D1169" s="261">
        <v>85.569335898489655</v>
      </c>
      <c r="E1169" s="138" t="s">
        <v>395</v>
      </c>
      <c r="F1169" s="402">
        <v>24</v>
      </c>
      <c r="G1169" s="1" t="s">
        <v>33</v>
      </c>
      <c r="H1169" s="402">
        <v>20</v>
      </c>
      <c r="I1169" s="63">
        <v>15</v>
      </c>
      <c r="J1169" s="235" t="s">
        <v>300</v>
      </c>
      <c r="K1169" s="140">
        <v>22</v>
      </c>
      <c r="L1169" s="14" t="s">
        <v>194</v>
      </c>
      <c r="M1169" s="14" t="s">
        <v>4839</v>
      </c>
      <c r="N1169" t="s">
        <v>2992</v>
      </c>
      <c r="O1169" s="85" t="s">
        <v>4840</v>
      </c>
    </row>
    <row r="1170" spans="2:15" x14ac:dyDescent="0.35">
      <c r="B1170" s="235" t="s">
        <v>3304</v>
      </c>
      <c r="C1170" s="257">
        <v>5.9617013859097998</v>
      </c>
      <c r="D1170" s="261">
        <v>74.725167660687845</v>
      </c>
      <c r="E1170" s="138" t="s">
        <v>395</v>
      </c>
      <c r="F1170" s="402">
        <v>20</v>
      </c>
      <c r="G1170" s="1" t="s">
        <v>790</v>
      </c>
      <c r="H1170" s="402">
        <v>30</v>
      </c>
      <c r="I1170" s="63">
        <v>17</v>
      </c>
      <c r="J1170" s="235" t="s">
        <v>788</v>
      </c>
      <c r="K1170" s="140">
        <v>45</v>
      </c>
      <c r="L1170" s="14" t="s">
        <v>285</v>
      </c>
      <c r="M1170" s="14" t="s">
        <v>4841</v>
      </c>
      <c r="N1170" t="s">
        <v>2992</v>
      </c>
      <c r="O1170" s="85" t="s">
        <v>4842</v>
      </c>
    </row>
    <row r="1171" spans="2:15" x14ac:dyDescent="0.35">
      <c r="B1171" s="235" t="s">
        <v>3304</v>
      </c>
      <c r="C1171" s="257">
        <v>8.8805867756835788</v>
      </c>
      <c r="D1171" s="261">
        <v>86.689185833122224</v>
      </c>
      <c r="E1171" s="138" t="s">
        <v>395</v>
      </c>
      <c r="F1171" s="402">
        <v>5</v>
      </c>
      <c r="G1171" s="1" t="s">
        <v>118</v>
      </c>
      <c r="H1171" s="402">
        <v>22</v>
      </c>
      <c r="I1171" s="63">
        <v>16</v>
      </c>
      <c r="J1171" s="235" t="s">
        <v>67</v>
      </c>
      <c r="K1171" s="140">
        <v>21</v>
      </c>
      <c r="L1171" s="14" t="s">
        <v>2911</v>
      </c>
      <c r="M1171" s="14" t="s">
        <v>4843</v>
      </c>
      <c r="N1171" t="s">
        <v>2992</v>
      </c>
      <c r="O1171" s="85" t="s">
        <v>4844</v>
      </c>
    </row>
    <row r="1172" spans="2:15" x14ac:dyDescent="0.35">
      <c r="B1172" s="235" t="s">
        <v>3304</v>
      </c>
      <c r="C1172" s="257">
        <v>2.8298626192770722</v>
      </c>
      <c r="D1172" s="261">
        <v>59.327875993046497</v>
      </c>
      <c r="E1172" s="138" t="s">
        <v>395</v>
      </c>
      <c r="F1172" s="402">
        <v>50</v>
      </c>
      <c r="G1172" s="1" t="s">
        <v>794</v>
      </c>
      <c r="H1172" s="402">
        <v>18</v>
      </c>
      <c r="I1172" s="63">
        <v>16</v>
      </c>
      <c r="J1172" s="235" t="s">
        <v>49</v>
      </c>
      <c r="K1172" s="140">
        <v>55</v>
      </c>
      <c r="L1172" s="14" t="s">
        <v>493</v>
      </c>
      <c r="M1172" s="14" t="s">
        <v>4845</v>
      </c>
      <c r="N1172" t="s">
        <v>2992</v>
      </c>
      <c r="O1172" s="85" t="s">
        <v>4846</v>
      </c>
    </row>
    <row r="1173" spans="2:15" x14ac:dyDescent="0.35">
      <c r="B1173" s="235" t="s">
        <v>3304</v>
      </c>
      <c r="C1173" s="257">
        <v>10.161075615893825</v>
      </c>
      <c r="D1173" s="261">
        <v>68.351293166698341</v>
      </c>
      <c r="E1173" s="138" t="s">
        <v>395</v>
      </c>
      <c r="F1173" s="402">
        <v>7</v>
      </c>
      <c r="G1173" s="1" t="s">
        <v>145</v>
      </c>
      <c r="H1173" s="402">
        <v>27</v>
      </c>
      <c r="I1173" s="63">
        <v>12</v>
      </c>
      <c r="J1173" s="235" t="s">
        <v>961</v>
      </c>
      <c r="K1173" s="140">
        <v>69</v>
      </c>
      <c r="L1173" s="14" t="s">
        <v>190</v>
      </c>
      <c r="M1173" s="14" t="s">
        <v>4847</v>
      </c>
      <c r="N1173" t="s">
        <v>2992</v>
      </c>
      <c r="O1173" s="85" t="s">
        <v>4848</v>
      </c>
    </row>
    <row r="1174" spans="2:15" x14ac:dyDescent="0.35">
      <c r="B1174" s="235" t="s">
        <v>3304</v>
      </c>
      <c r="C1174" s="257">
        <v>9.3848514414283883</v>
      </c>
      <c r="D1174" s="261">
        <v>73.461383338489924</v>
      </c>
      <c r="E1174" s="138" t="s">
        <v>395</v>
      </c>
      <c r="F1174" s="402">
        <v>11</v>
      </c>
      <c r="G1174" s="1" t="s">
        <v>77</v>
      </c>
      <c r="H1174" s="402">
        <v>20</v>
      </c>
      <c r="I1174" s="63">
        <v>8</v>
      </c>
      <c r="J1174" s="235" t="s">
        <v>28</v>
      </c>
      <c r="K1174" s="140">
        <v>51</v>
      </c>
      <c r="L1174" s="14" t="s">
        <v>353</v>
      </c>
      <c r="M1174" s="43" t="s">
        <v>4849</v>
      </c>
      <c r="N1174" s="1" t="s">
        <v>2953</v>
      </c>
      <c r="O1174" s="85" t="s">
        <v>4850</v>
      </c>
    </row>
    <row r="1175" spans="2:15" ht="15" thickBot="1" x14ac:dyDescent="0.4">
      <c r="B1175" s="57" t="s">
        <v>3304</v>
      </c>
      <c r="C1175" s="259">
        <v>6.3304106313742103</v>
      </c>
      <c r="D1175" s="262">
        <v>76.782873013668379</v>
      </c>
      <c r="E1175" s="222" t="s">
        <v>395</v>
      </c>
      <c r="F1175" s="381">
        <v>15</v>
      </c>
      <c r="G1175" s="44" t="s">
        <v>962</v>
      </c>
      <c r="H1175" s="381">
        <v>18</v>
      </c>
      <c r="I1175" s="56">
        <v>16</v>
      </c>
      <c r="J1175" s="57" t="s">
        <v>62</v>
      </c>
      <c r="K1175" s="141">
        <v>43</v>
      </c>
      <c r="L1175" s="23" t="s">
        <v>608</v>
      </c>
      <c r="M1175" s="23" t="s">
        <v>4851</v>
      </c>
      <c r="N1175" s="12" t="s">
        <v>2992</v>
      </c>
      <c r="O1175" s="86" t="s">
        <v>4852</v>
      </c>
    </row>
    <row r="1176" spans="2:15" x14ac:dyDescent="0.35">
      <c r="B1176" s="235" t="s">
        <v>4160</v>
      </c>
      <c r="C1176" s="257">
        <v>5.5857033615959759</v>
      </c>
      <c r="D1176" s="261">
        <v>11.188783313145734</v>
      </c>
      <c r="E1176" s="138" t="s">
        <v>395</v>
      </c>
      <c r="F1176" s="402">
        <v>78</v>
      </c>
      <c r="G1176" s="1" t="s">
        <v>47</v>
      </c>
      <c r="H1176" s="402">
        <v>33</v>
      </c>
      <c r="I1176" s="63">
        <v>3</v>
      </c>
      <c r="J1176" s="235" t="s">
        <v>48</v>
      </c>
      <c r="K1176" s="140">
        <v>112</v>
      </c>
      <c r="L1176" s="14" t="s">
        <v>489</v>
      </c>
      <c r="M1176" s="43" t="s">
        <v>4857</v>
      </c>
      <c r="N1176" s="1" t="s">
        <v>2953</v>
      </c>
    </row>
    <row r="1177" spans="2:15" x14ac:dyDescent="0.35">
      <c r="B1177" s="235" t="s">
        <v>4856</v>
      </c>
      <c r="C1177" s="257">
        <v>-1.6176376925980942</v>
      </c>
      <c r="D1177" s="261">
        <v>2.9411697804272108</v>
      </c>
      <c r="E1177" s="138" t="s">
        <v>396</v>
      </c>
      <c r="F1177" s="402">
        <v>111</v>
      </c>
      <c r="G1177" s="1" t="s">
        <v>1342</v>
      </c>
      <c r="H1177" s="402">
        <v>20</v>
      </c>
      <c r="I1177" s="63">
        <v>19</v>
      </c>
      <c r="J1177" s="235" t="s">
        <v>964</v>
      </c>
      <c r="K1177" s="140">
        <v>109</v>
      </c>
      <c r="L1177" s="14" t="s">
        <v>184</v>
      </c>
      <c r="M1177" s="14" t="s">
        <v>4858</v>
      </c>
      <c r="N1177" t="s">
        <v>2992</v>
      </c>
    </row>
    <row r="1178" spans="2:15" x14ac:dyDescent="0.35">
      <c r="B1178" s="235"/>
      <c r="C1178" s="257">
        <v>-5.6194524865858062</v>
      </c>
      <c r="D1178" s="261">
        <v>16.067466061847004</v>
      </c>
      <c r="E1178" s="138" t="s">
        <v>396</v>
      </c>
      <c r="F1178" s="402">
        <v>110</v>
      </c>
      <c r="G1178" s="1" t="s">
        <v>31</v>
      </c>
      <c r="H1178" s="402">
        <v>19</v>
      </c>
      <c r="I1178" s="63">
        <v>17</v>
      </c>
      <c r="J1178" s="235" t="s">
        <v>292</v>
      </c>
      <c r="K1178" s="140">
        <v>87</v>
      </c>
      <c r="L1178" s="14" t="s">
        <v>334</v>
      </c>
      <c r="M1178" s="14" t="s">
        <v>4859</v>
      </c>
      <c r="N1178" t="s">
        <v>2992</v>
      </c>
      <c r="O1178" s="85" t="s">
        <v>4864</v>
      </c>
    </row>
    <row r="1179" spans="2:15" x14ac:dyDescent="0.35">
      <c r="B1179" s="235"/>
      <c r="C1179" s="257">
        <v>6.6843667989512365</v>
      </c>
      <c r="D1179" s="261">
        <v>31.743309429320554</v>
      </c>
      <c r="E1179" s="138" t="s">
        <v>395</v>
      </c>
      <c r="F1179" s="402">
        <v>50</v>
      </c>
      <c r="G1179" s="1" t="s">
        <v>28</v>
      </c>
      <c r="H1179" s="402">
        <v>29</v>
      </c>
      <c r="I1179" s="63">
        <v>22</v>
      </c>
      <c r="J1179" s="235" t="s">
        <v>27</v>
      </c>
      <c r="K1179" s="140">
        <v>108</v>
      </c>
      <c r="L1179" s="14" t="s">
        <v>3041</v>
      </c>
      <c r="M1179" s="14" t="s">
        <v>4860</v>
      </c>
      <c r="N1179" t="s">
        <v>2992</v>
      </c>
    </row>
    <row r="1180" spans="2:15" x14ac:dyDescent="0.35">
      <c r="B1180" s="235"/>
      <c r="C1180" s="257">
        <v>-3.1874083761295133</v>
      </c>
      <c r="D1180" s="261">
        <v>13.758863125806794</v>
      </c>
      <c r="E1180" s="138" t="s">
        <v>396</v>
      </c>
      <c r="F1180" s="402">
        <v>107</v>
      </c>
      <c r="G1180" s="1" t="s">
        <v>88</v>
      </c>
      <c r="H1180" s="402">
        <v>28</v>
      </c>
      <c r="I1180" s="63">
        <v>25</v>
      </c>
      <c r="J1180" s="235" t="s">
        <v>81</v>
      </c>
      <c r="K1180" s="140">
        <v>98</v>
      </c>
      <c r="L1180" s="14" t="s">
        <v>4861</v>
      </c>
      <c r="M1180" s="14" t="s">
        <v>4862</v>
      </c>
      <c r="N1180" t="s">
        <v>2992</v>
      </c>
      <c r="O1180" s="87" t="s">
        <v>4863</v>
      </c>
    </row>
    <row r="1181" spans="2:15" x14ac:dyDescent="0.35">
      <c r="B1181" s="235"/>
      <c r="C1181" s="257">
        <v>0.52433019113960422</v>
      </c>
      <c r="D1181" s="261">
        <v>8.1076212920431434</v>
      </c>
      <c r="E1181" s="138" t="s">
        <v>395</v>
      </c>
      <c r="F1181" s="402">
        <v>106</v>
      </c>
      <c r="G1181" s="1" t="s">
        <v>54</v>
      </c>
      <c r="H1181" s="402">
        <v>19</v>
      </c>
      <c r="I1181" s="63">
        <v>16</v>
      </c>
      <c r="J1181" s="235" t="s">
        <v>55</v>
      </c>
      <c r="K1181" s="140">
        <v>99</v>
      </c>
      <c r="L1181" s="14" t="s">
        <v>296</v>
      </c>
      <c r="M1181" s="14" t="s">
        <v>4865</v>
      </c>
      <c r="N1181" t="s">
        <v>2992</v>
      </c>
    </row>
    <row r="1182" spans="2:15" x14ac:dyDescent="0.35">
      <c r="B1182" s="235"/>
      <c r="C1182" s="257">
        <v>-4.3976951688417802</v>
      </c>
      <c r="D1182" s="261">
        <v>22.784067977744126</v>
      </c>
      <c r="E1182" s="138" t="s">
        <v>396</v>
      </c>
      <c r="F1182" s="402">
        <v>105</v>
      </c>
      <c r="G1182" s="1" t="s">
        <v>959</v>
      </c>
      <c r="H1182" s="402">
        <v>21</v>
      </c>
      <c r="I1182" s="63">
        <v>11</v>
      </c>
      <c r="J1182" s="235" t="s">
        <v>958</v>
      </c>
      <c r="K1182" s="140">
        <v>75</v>
      </c>
      <c r="L1182" s="14" t="s">
        <v>744</v>
      </c>
      <c r="M1182" s="14" t="s">
        <v>4868</v>
      </c>
      <c r="N1182" t="s">
        <v>2992</v>
      </c>
    </row>
    <row r="1183" spans="2:15" x14ac:dyDescent="0.35">
      <c r="B1183" s="235"/>
      <c r="C1183" s="257">
        <v>4.0181720332905684</v>
      </c>
      <c r="D1183" s="261">
        <v>34.049519976221021</v>
      </c>
      <c r="E1183" s="138" t="s">
        <v>396</v>
      </c>
      <c r="F1183" s="402">
        <v>53</v>
      </c>
      <c r="G1183" s="1" t="s">
        <v>75</v>
      </c>
      <c r="H1183" s="402">
        <v>25</v>
      </c>
      <c r="I1183" s="63">
        <v>11</v>
      </c>
      <c r="J1183" s="235" t="s">
        <v>76</v>
      </c>
      <c r="K1183" s="140">
        <v>104</v>
      </c>
      <c r="L1183" s="14" t="s">
        <v>507</v>
      </c>
      <c r="M1183" s="43" t="s">
        <v>4869</v>
      </c>
      <c r="N1183" s="1" t="s">
        <v>2953</v>
      </c>
    </row>
    <row r="1184" spans="2:15" x14ac:dyDescent="0.35">
      <c r="B1184" s="235"/>
      <c r="C1184" s="257">
        <v>6.6670549785517013</v>
      </c>
      <c r="D1184" s="261">
        <v>37.78246072960593</v>
      </c>
      <c r="E1184" s="138" t="s">
        <v>396</v>
      </c>
      <c r="F1184" s="402">
        <v>40</v>
      </c>
      <c r="G1184" s="1" t="s">
        <v>785</v>
      </c>
      <c r="H1184" s="402">
        <v>29</v>
      </c>
      <c r="I1184" s="63">
        <v>15</v>
      </c>
      <c r="J1184" s="235" t="s">
        <v>786</v>
      </c>
      <c r="K1184" s="140">
        <v>103</v>
      </c>
      <c r="L1184" s="14" t="s">
        <v>184</v>
      </c>
      <c r="M1184" s="14" t="s">
        <v>4870</v>
      </c>
      <c r="N1184" t="s">
        <v>2992</v>
      </c>
    </row>
    <row r="1185" spans="1:15" x14ac:dyDescent="0.35">
      <c r="B1185" s="235"/>
      <c r="C1185" s="257">
        <v>-1.5282266345258448</v>
      </c>
      <c r="D1185" s="261">
        <v>21.627304738947039</v>
      </c>
      <c r="E1185" s="138" t="s">
        <v>395</v>
      </c>
      <c r="F1185" s="402">
        <v>102</v>
      </c>
      <c r="G1185" s="1" t="s">
        <v>63</v>
      </c>
      <c r="H1185" s="402">
        <v>10</v>
      </c>
      <c r="I1185" s="63">
        <v>7</v>
      </c>
      <c r="J1185" s="235" t="s">
        <v>65</v>
      </c>
      <c r="K1185" s="140">
        <v>76</v>
      </c>
      <c r="L1185" s="14" t="s">
        <v>291</v>
      </c>
      <c r="M1185" s="14" t="s">
        <v>4871</v>
      </c>
      <c r="N1185" t="s">
        <v>2992</v>
      </c>
    </row>
    <row r="1186" spans="1:15" x14ac:dyDescent="0.35">
      <c r="B1186" s="235" t="s">
        <v>4872</v>
      </c>
      <c r="C1186" s="257">
        <v>6.013302546756143</v>
      </c>
      <c r="D1186" s="261">
        <v>24.276212466602765</v>
      </c>
      <c r="E1186" s="138" t="s">
        <v>395</v>
      </c>
      <c r="F1186" s="402">
        <v>59</v>
      </c>
      <c r="G1186" s="1" t="s">
        <v>793</v>
      </c>
      <c r="H1186" s="402">
        <v>24</v>
      </c>
      <c r="I1186" s="63">
        <v>16</v>
      </c>
      <c r="J1186" s="235" t="s">
        <v>796</v>
      </c>
      <c r="K1186" s="140">
        <v>101</v>
      </c>
      <c r="L1186" s="14" t="s">
        <v>296</v>
      </c>
      <c r="M1186" s="14" t="s">
        <v>4873</v>
      </c>
      <c r="N1186" t="s">
        <v>2992</v>
      </c>
    </row>
    <row r="1187" spans="1:15" x14ac:dyDescent="0.35">
      <c r="B1187" s="235" t="s">
        <v>1988</v>
      </c>
      <c r="C1187" s="257">
        <v>8.4833427194591273</v>
      </c>
      <c r="D1187" s="261">
        <v>49.297612343243479</v>
      </c>
      <c r="E1187" s="138" t="s">
        <v>395</v>
      </c>
      <c r="F1187" s="402">
        <v>25</v>
      </c>
      <c r="G1187" s="1" t="s">
        <v>69</v>
      </c>
      <c r="H1187" s="402">
        <v>28</v>
      </c>
      <c r="I1187" s="63">
        <v>17</v>
      </c>
      <c r="J1187" s="235" t="s">
        <v>70</v>
      </c>
      <c r="K1187" s="140">
        <v>100</v>
      </c>
      <c r="L1187" s="14" t="s">
        <v>443</v>
      </c>
      <c r="M1187" s="14" t="s">
        <v>4874</v>
      </c>
      <c r="N1187" t="s">
        <v>2992</v>
      </c>
    </row>
    <row r="1188" spans="1:15" x14ac:dyDescent="0.35">
      <c r="B1188" s="235"/>
      <c r="C1188" s="257">
        <v>-2.315884969399074</v>
      </c>
      <c r="D1188" s="261">
        <v>17.725632120999347</v>
      </c>
      <c r="E1188" s="138" t="s">
        <v>396</v>
      </c>
      <c r="F1188" s="402">
        <v>97</v>
      </c>
      <c r="G1188" s="1" t="s">
        <v>909</v>
      </c>
      <c r="H1188" s="402">
        <v>23</v>
      </c>
      <c r="I1188" s="63">
        <v>15</v>
      </c>
      <c r="J1188" s="235" t="s">
        <v>789</v>
      </c>
      <c r="K1188" s="140">
        <v>91</v>
      </c>
      <c r="L1188" s="14" t="s">
        <v>425</v>
      </c>
      <c r="M1188" s="14" t="s">
        <v>4875</v>
      </c>
      <c r="N1188" t="s">
        <v>2992</v>
      </c>
    </row>
    <row r="1189" spans="1:15" x14ac:dyDescent="0.35">
      <c r="B1189" s="235"/>
      <c r="C1189" s="257">
        <v>8.3896190060083295</v>
      </c>
      <c r="D1189" s="261">
        <v>53.650272138565484</v>
      </c>
      <c r="E1189" s="138" t="s">
        <v>395</v>
      </c>
      <c r="F1189" s="402">
        <v>17</v>
      </c>
      <c r="G1189" s="1" t="s">
        <v>59</v>
      </c>
      <c r="H1189" s="402">
        <v>25</v>
      </c>
      <c r="I1189" s="63">
        <v>4</v>
      </c>
      <c r="J1189" s="235" t="s">
        <v>61</v>
      </c>
      <c r="K1189" s="140">
        <v>96</v>
      </c>
      <c r="L1189" s="14" t="s">
        <v>398</v>
      </c>
      <c r="M1189" s="43" t="s">
        <v>4876</v>
      </c>
      <c r="N1189" s="1" t="s">
        <v>2953</v>
      </c>
    </row>
    <row r="1190" spans="1:15" x14ac:dyDescent="0.35">
      <c r="B1190" s="235"/>
      <c r="C1190" s="257">
        <v>2.2942785704042405</v>
      </c>
      <c r="D1190" s="261">
        <v>29.16480102113983</v>
      </c>
      <c r="E1190" s="138" t="s">
        <v>395</v>
      </c>
      <c r="F1190" s="402">
        <v>70</v>
      </c>
      <c r="G1190" s="1" t="s">
        <v>791</v>
      </c>
      <c r="H1190" s="402">
        <v>17</v>
      </c>
      <c r="I1190" s="63">
        <v>7</v>
      </c>
      <c r="J1190" s="235" t="s">
        <v>792</v>
      </c>
      <c r="K1190" s="140">
        <v>85</v>
      </c>
      <c r="L1190" s="14" t="s">
        <v>447</v>
      </c>
      <c r="M1190" s="14" t="s">
        <v>4877</v>
      </c>
      <c r="N1190" t="s">
        <v>2992</v>
      </c>
      <c r="O1190" s="85" t="s">
        <v>4411</v>
      </c>
    </row>
    <row r="1191" spans="1:15" x14ac:dyDescent="0.35">
      <c r="B1191" s="235"/>
      <c r="C1191" s="257">
        <v>5.4310119136354764</v>
      </c>
      <c r="D1191" s="261">
        <v>55.942134347403226</v>
      </c>
      <c r="E1191" s="138" t="s">
        <v>395</v>
      </c>
      <c r="F1191" s="402">
        <v>31</v>
      </c>
      <c r="G1191" s="1" t="s">
        <v>960</v>
      </c>
      <c r="H1191" s="402">
        <v>26</v>
      </c>
      <c r="I1191" s="63">
        <v>23</v>
      </c>
      <c r="J1191" s="235" t="s">
        <v>961</v>
      </c>
      <c r="K1191" s="140">
        <v>69</v>
      </c>
      <c r="L1191" s="14" t="s">
        <v>574</v>
      </c>
      <c r="M1191" s="14" t="s">
        <v>4879</v>
      </c>
      <c r="N1191" t="s">
        <v>2992</v>
      </c>
      <c r="O1191" s="85" t="s">
        <v>4878</v>
      </c>
    </row>
    <row r="1192" spans="1:15" x14ac:dyDescent="0.35">
      <c r="A1192" s="6" t="s">
        <v>4881</v>
      </c>
      <c r="B1192" s="235"/>
      <c r="C1192" s="257">
        <v>-3.9290898257522286</v>
      </c>
      <c r="D1192" s="261">
        <v>61.020778446965871</v>
      </c>
      <c r="E1192" s="138" t="s">
        <v>396</v>
      </c>
      <c r="F1192" s="402">
        <v>68</v>
      </c>
      <c r="G1192" s="1" t="s">
        <v>900</v>
      </c>
      <c r="H1192" s="402">
        <v>19</v>
      </c>
      <c r="I1192" s="63">
        <v>18</v>
      </c>
      <c r="J1192" s="235" t="s">
        <v>40</v>
      </c>
      <c r="K1192" s="140">
        <v>36</v>
      </c>
      <c r="L1192" s="14" t="s">
        <v>290</v>
      </c>
      <c r="M1192" s="14" t="s">
        <v>4882</v>
      </c>
      <c r="O1192" s="85" t="s">
        <v>4880</v>
      </c>
    </row>
    <row r="1193" spans="1:15" x14ac:dyDescent="0.35">
      <c r="B1193" s="235"/>
      <c r="C1193" s="257">
        <v>-4.4455345887276074</v>
      </c>
      <c r="D1193" s="261">
        <v>32.193238991948292</v>
      </c>
      <c r="E1193" s="138" t="s">
        <v>396</v>
      </c>
      <c r="F1193" s="402">
        <v>92</v>
      </c>
      <c r="G1193" s="1" t="s">
        <v>38</v>
      </c>
      <c r="H1193" s="402">
        <v>21</v>
      </c>
      <c r="I1193" s="63">
        <v>17</v>
      </c>
      <c r="J1193" s="235" t="s">
        <v>39</v>
      </c>
      <c r="K1193" s="140">
        <v>67</v>
      </c>
      <c r="L1193" s="14" t="s">
        <v>178</v>
      </c>
      <c r="M1193" s="14" t="s">
        <v>4883</v>
      </c>
      <c r="N1193" t="s">
        <v>2992</v>
      </c>
    </row>
    <row r="1194" spans="1:15" x14ac:dyDescent="0.35">
      <c r="B1194" s="235"/>
      <c r="C1194" s="257">
        <v>-1.9984198174060057</v>
      </c>
      <c r="D1194" s="261">
        <v>32.231014155290005</v>
      </c>
      <c r="E1194" s="138" t="s">
        <v>395</v>
      </c>
      <c r="F1194" s="402">
        <v>89</v>
      </c>
      <c r="G1194" s="1" t="s">
        <v>1859</v>
      </c>
      <c r="H1194" s="402">
        <v>22</v>
      </c>
      <c r="I1194" s="63">
        <v>18</v>
      </c>
      <c r="J1194" s="235" t="s">
        <v>1858</v>
      </c>
      <c r="K1194" s="140">
        <v>66</v>
      </c>
      <c r="L1194" s="14" t="s">
        <v>184</v>
      </c>
      <c r="M1194" s="14" t="s">
        <v>4884</v>
      </c>
      <c r="N1194" t="s">
        <v>2992</v>
      </c>
    </row>
    <row r="1195" spans="1:15" x14ac:dyDescent="0.35">
      <c r="B1195" s="235"/>
      <c r="C1195" s="257">
        <v>4.5319783298320591</v>
      </c>
      <c r="D1195" s="261">
        <v>67.834301192977108</v>
      </c>
      <c r="E1195" s="138" t="s">
        <v>396</v>
      </c>
      <c r="F1195" s="402">
        <v>16</v>
      </c>
      <c r="G1195" s="1" t="s">
        <v>115</v>
      </c>
      <c r="H1195" s="402">
        <v>34</v>
      </c>
      <c r="I1195" s="63">
        <v>12</v>
      </c>
      <c r="J1195" s="235" t="s">
        <v>64</v>
      </c>
      <c r="K1195" s="140">
        <v>65</v>
      </c>
      <c r="L1195" s="14" t="s">
        <v>290</v>
      </c>
      <c r="M1195" s="43" t="s">
        <v>4885</v>
      </c>
      <c r="N1195" s="1" t="s">
        <v>2953</v>
      </c>
      <c r="O1195" s="85" t="s">
        <v>4913</v>
      </c>
    </row>
    <row r="1196" spans="1:15" x14ac:dyDescent="0.35">
      <c r="B1196" s="235"/>
      <c r="C1196" s="257">
        <v>-3.3229511006207972</v>
      </c>
      <c r="D1196" s="261">
        <v>39.087822214729137</v>
      </c>
      <c r="E1196" s="138" t="s">
        <v>396</v>
      </c>
      <c r="F1196" s="402">
        <v>80</v>
      </c>
      <c r="G1196" s="1" t="s">
        <v>82</v>
      </c>
      <c r="H1196" s="402">
        <v>20</v>
      </c>
      <c r="I1196" s="63">
        <v>17</v>
      </c>
      <c r="J1196" s="235" t="s">
        <v>86</v>
      </c>
      <c r="K1196" s="140">
        <v>64</v>
      </c>
      <c r="L1196" s="14" t="s">
        <v>577</v>
      </c>
      <c r="M1196" s="14" t="s">
        <v>4886</v>
      </c>
      <c r="N1196" t="s">
        <v>2992</v>
      </c>
      <c r="O1196" s="87" t="s">
        <v>907</v>
      </c>
    </row>
    <row r="1197" spans="1:15" x14ac:dyDescent="0.35">
      <c r="B1197" s="235"/>
      <c r="C1197" s="257">
        <v>-0.32127588417765907</v>
      </c>
      <c r="D1197" s="261">
        <v>52.416982774412602</v>
      </c>
      <c r="E1197" s="138" t="s">
        <v>396</v>
      </c>
      <c r="F1197" s="402">
        <v>56</v>
      </c>
      <c r="G1197" s="1" t="s">
        <v>80</v>
      </c>
      <c r="H1197" s="402">
        <v>17</v>
      </c>
      <c r="I1197" s="63">
        <v>14</v>
      </c>
      <c r="J1197" s="235" t="s">
        <v>79</v>
      </c>
      <c r="K1197" s="140">
        <v>63</v>
      </c>
      <c r="L1197" s="14" t="s">
        <v>299</v>
      </c>
      <c r="M1197" s="14" t="s">
        <v>4887</v>
      </c>
      <c r="N1197" t="s">
        <v>2992</v>
      </c>
    </row>
    <row r="1198" spans="1:15" x14ac:dyDescent="0.35">
      <c r="A1198" s="6" t="s">
        <v>4895</v>
      </c>
      <c r="B1198" s="235"/>
      <c r="C1198" s="257">
        <v>-1.9226783237066369</v>
      </c>
      <c r="D1198" s="261">
        <v>60.989413088361879</v>
      </c>
      <c r="E1198" s="138" t="s">
        <v>396</v>
      </c>
      <c r="F1198" s="402">
        <v>62</v>
      </c>
      <c r="G1198" s="1" t="s">
        <v>44</v>
      </c>
      <c r="H1198" s="402">
        <v>21</v>
      </c>
      <c r="I1198" s="63">
        <v>15</v>
      </c>
      <c r="J1198" s="235" t="s">
        <v>43</v>
      </c>
      <c r="K1198" s="140">
        <v>41</v>
      </c>
      <c r="L1198" s="14" t="s">
        <v>334</v>
      </c>
      <c r="M1198" s="14" t="s">
        <v>4888</v>
      </c>
      <c r="N1198" t="s">
        <v>2992</v>
      </c>
      <c r="O1198" s="87" t="s">
        <v>4889</v>
      </c>
    </row>
    <row r="1199" spans="1:15" x14ac:dyDescent="0.35">
      <c r="B1199" s="235"/>
      <c r="C1199" s="257">
        <v>6.2513522871040772</v>
      </c>
      <c r="D1199" s="261">
        <v>71.891891223497083</v>
      </c>
      <c r="E1199" s="138" t="s">
        <v>395</v>
      </c>
      <c r="F1199" s="402">
        <v>8</v>
      </c>
      <c r="G1199" s="1" t="s">
        <v>36</v>
      </c>
      <c r="H1199" s="402">
        <v>35</v>
      </c>
      <c r="I1199" s="63">
        <v>26</v>
      </c>
      <c r="J1199" s="235" t="s">
        <v>37</v>
      </c>
      <c r="K1199" s="140">
        <v>61</v>
      </c>
      <c r="L1199" s="14" t="s">
        <v>1754</v>
      </c>
      <c r="M1199" s="14" t="s">
        <v>4890</v>
      </c>
      <c r="N1199" t="s">
        <v>2992</v>
      </c>
      <c r="O1199" s="87" t="s">
        <v>4914</v>
      </c>
    </row>
    <row r="1200" spans="1:15" x14ac:dyDescent="0.35">
      <c r="B1200" s="235"/>
      <c r="C1200" s="257">
        <v>-5.4561498169026965</v>
      </c>
      <c r="D1200" s="261">
        <v>78.182964154930488</v>
      </c>
      <c r="E1200" s="138" t="s">
        <v>396</v>
      </c>
      <c r="F1200" s="402">
        <v>60</v>
      </c>
      <c r="G1200" s="1" t="s">
        <v>42</v>
      </c>
      <c r="H1200" s="402">
        <v>15</v>
      </c>
      <c r="I1200" s="63">
        <v>9</v>
      </c>
      <c r="J1200" s="235" t="s">
        <v>46</v>
      </c>
      <c r="K1200" s="140">
        <v>12</v>
      </c>
      <c r="L1200" s="14" t="s">
        <v>418</v>
      </c>
      <c r="M1200" s="14" t="s">
        <v>4891</v>
      </c>
      <c r="N1200" t="s">
        <v>2992</v>
      </c>
      <c r="O1200" s="87" t="s">
        <v>4892</v>
      </c>
    </row>
    <row r="1201" spans="2:19" x14ac:dyDescent="0.35">
      <c r="B1201" s="235"/>
      <c r="C1201" s="257">
        <v>-3.0966357666727458</v>
      </c>
      <c r="D1201" s="261">
        <v>34.354739833337675</v>
      </c>
      <c r="E1201" s="138" t="s">
        <v>395</v>
      </c>
      <c r="F1201" s="402">
        <v>94</v>
      </c>
      <c r="G1201" s="1" t="s">
        <v>29</v>
      </c>
      <c r="H1201" s="402">
        <v>21</v>
      </c>
      <c r="I1201" s="63">
        <v>20</v>
      </c>
      <c r="J1201" s="235" t="s">
        <v>30</v>
      </c>
      <c r="K1201" s="140">
        <v>58</v>
      </c>
      <c r="L1201" s="14" t="s">
        <v>301</v>
      </c>
      <c r="M1201" s="14" t="s">
        <v>4893</v>
      </c>
      <c r="N1201" t="s">
        <v>2992</v>
      </c>
    </row>
    <row r="1202" spans="2:19" x14ac:dyDescent="0.35">
      <c r="B1202" s="235"/>
      <c r="C1202" s="257">
        <v>4.354455979603129</v>
      </c>
      <c r="D1202" s="261">
        <v>35.28253144314062</v>
      </c>
      <c r="E1202" s="138" t="s">
        <v>395</v>
      </c>
      <c r="F1202" s="402">
        <v>57</v>
      </c>
      <c r="G1202" s="1" t="s">
        <v>1860</v>
      </c>
      <c r="H1202" s="402">
        <v>24</v>
      </c>
      <c r="I1202" s="63">
        <v>7</v>
      </c>
      <c r="J1202" s="235" t="s">
        <v>22</v>
      </c>
      <c r="K1202" s="140">
        <v>81</v>
      </c>
      <c r="L1202" s="14" t="s">
        <v>286</v>
      </c>
      <c r="M1202" s="43" t="s">
        <v>4894</v>
      </c>
      <c r="N1202" s="1" t="s">
        <v>2953</v>
      </c>
    </row>
    <row r="1203" spans="2:19" x14ac:dyDescent="0.35">
      <c r="B1203" s="235"/>
      <c r="C1203" s="257">
        <v>3.6475592317258267</v>
      </c>
      <c r="D1203" s="261">
        <v>60.430314834481557</v>
      </c>
      <c r="E1203" s="138" t="s">
        <v>395</v>
      </c>
      <c r="F1203" s="402">
        <v>37</v>
      </c>
      <c r="G1203" s="1" t="s">
        <v>72</v>
      </c>
      <c r="H1203" s="402">
        <v>40</v>
      </c>
      <c r="I1203" s="63">
        <v>9</v>
      </c>
      <c r="J1203" s="235" t="s">
        <v>114</v>
      </c>
      <c r="K1203" s="140">
        <v>55</v>
      </c>
      <c r="L1203" s="14" t="s">
        <v>3036</v>
      </c>
      <c r="M1203" s="43" t="s">
        <v>4896</v>
      </c>
      <c r="N1203" s="1" t="s">
        <v>2953</v>
      </c>
    </row>
    <row r="1204" spans="2:19" x14ac:dyDescent="0.35">
      <c r="B1204" s="235" t="s">
        <v>2019</v>
      </c>
      <c r="C1204" s="257">
        <v>11.084620510365742</v>
      </c>
      <c r="D1204" s="261">
        <v>56.368128206881622</v>
      </c>
      <c r="E1204" s="138" t="s">
        <v>396</v>
      </c>
      <c r="F1204" s="402">
        <v>5</v>
      </c>
      <c r="G1204" s="1" t="s">
        <v>118</v>
      </c>
      <c r="H1204" s="402">
        <v>17</v>
      </c>
      <c r="I1204" s="63">
        <v>13</v>
      </c>
      <c r="J1204" s="235" t="s">
        <v>117</v>
      </c>
      <c r="K1204" s="140">
        <v>95</v>
      </c>
      <c r="L1204" s="14" t="s">
        <v>578</v>
      </c>
      <c r="M1204" s="14" t="s">
        <v>4897</v>
      </c>
      <c r="N1204" t="s">
        <v>2992</v>
      </c>
      <c r="O1204" s="85" t="s">
        <v>4915</v>
      </c>
    </row>
    <row r="1205" spans="2:19" x14ac:dyDescent="0.35">
      <c r="B1205" s="235" t="s">
        <v>4898</v>
      </c>
      <c r="C1205" s="257">
        <v>7.2168835082662213</v>
      </c>
      <c r="D1205" s="261">
        <v>53.059368922666984</v>
      </c>
      <c r="E1205" s="138" t="s">
        <v>395</v>
      </c>
      <c r="F1205" s="402">
        <v>24</v>
      </c>
      <c r="G1205" s="1" t="s">
        <v>67</v>
      </c>
      <c r="H1205" s="402">
        <v>29</v>
      </c>
      <c r="I1205" s="63">
        <v>10</v>
      </c>
      <c r="J1205" s="235" t="s">
        <v>68</v>
      </c>
      <c r="K1205" s="140">
        <v>93</v>
      </c>
      <c r="L1205" s="14" t="s">
        <v>337</v>
      </c>
      <c r="M1205" s="43" t="s">
        <v>4899</v>
      </c>
      <c r="N1205" s="1" t="s">
        <v>2953</v>
      </c>
    </row>
    <row r="1206" spans="2:19" x14ac:dyDescent="0.35">
      <c r="B1206" s="235" t="s">
        <v>4854</v>
      </c>
      <c r="C1206" s="257">
        <v>-0.58500959112009099</v>
      </c>
      <c r="D1206" s="261">
        <v>23.18572113651436</v>
      </c>
      <c r="E1206" s="138" t="s">
        <v>396</v>
      </c>
      <c r="F1206" s="402">
        <v>83</v>
      </c>
      <c r="G1206" s="1" t="s">
        <v>1308</v>
      </c>
      <c r="H1206" s="402">
        <v>19</v>
      </c>
      <c r="I1206" s="63">
        <v>12</v>
      </c>
      <c r="J1206" s="235" t="s">
        <v>3913</v>
      </c>
      <c r="K1206" s="140">
        <v>90</v>
      </c>
      <c r="L1206" s="14" t="s">
        <v>334</v>
      </c>
      <c r="M1206" s="14" t="s">
        <v>4900</v>
      </c>
      <c r="N1206" t="s">
        <v>2992</v>
      </c>
    </row>
    <row r="1207" spans="2:19" x14ac:dyDescent="0.35">
      <c r="B1207" s="235"/>
      <c r="C1207" s="257">
        <v>0.50513104916438845</v>
      </c>
      <c r="D1207" s="261">
        <v>21.960620679168297</v>
      </c>
      <c r="E1207" s="138" t="s">
        <v>395</v>
      </c>
      <c r="F1207" s="402">
        <v>88</v>
      </c>
      <c r="G1207" s="1" t="s">
        <v>783</v>
      </c>
      <c r="H1207" s="402">
        <v>18</v>
      </c>
      <c r="I1207" s="63">
        <v>14</v>
      </c>
      <c r="J1207" s="235" t="s">
        <v>784</v>
      </c>
      <c r="K1207" s="140">
        <v>86</v>
      </c>
      <c r="L1207" s="14" t="s">
        <v>301</v>
      </c>
      <c r="M1207" s="14" t="s">
        <v>4901</v>
      </c>
      <c r="N1207" t="s">
        <v>2992</v>
      </c>
    </row>
    <row r="1208" spans="2:19" x14ac:dyDescent="0.35">
      <c r="B1208" s="235"/>
      <c r="C1208" s="257">
        <v>5.8693142960173015</v>
      </c>
      <c r="D1208" s="261">
        <v>60.450489788559068</v>
      </c>
      <c r="E1208" s="138" t="s">
        <v>396</v>
      </c>
      <c r="F1208" s="402">
        <v>15</v>
      </c>
      <c r="G1208" s="1" t="s">
        <v>962</v>
      </c>
      <c r="H1208" s="402">
        <v>26</v>
      </c>
      <c r="I1208" s="63">
        <v>16</v>
      </c>
      <c r="J1208" s="235" t="s">
        <v>963</v>
      </c>
      <c r="K1208" s="140">
        <v>84</v>
      </c>
      <c r="L1208" s="14" t="s">
        <v>942</v>
      </c>
      <c r="M1208" s="14" t="s">
        <v>4902</v>
      </c>
      <c r="N1208" t="s">
        <v>2992</v>
      </c>
      <c r="O1208" s="85" t="s">
        <v>4903</v>
      </c>
    </row>
    <row r="1209" spans="2:19" x14ac:dyDescent="0.35">
      <c r="B1209" s="235"/>
      <c r="C1209" s="257">
        <v>3.4214288252951652</v>
      </c>
      <c r="D1209" s="261">
        <v>47.332907981932024</v>
      </c>
      <c r="E1209" s="138" t="s">
        <v>396</v>
      </c>
      <c r="F1209" s="402">
        <v>43</v>
      </c>
      <c r="G1209" s="1" t="s">
        <v>2011</v>
      </c>
      <c r="H1209" s="402">
        <v>21</v>
      </c>
      <c r="I1209" s="63">
        <v>18</v>
      </c>
      <c r="J1209" s="235" t="s">
        <v>35</v>
      </c>
      <c r="K1209" s="140">
        <v>82</v>
      </c>
      <c r="L1209" s="14" t="s">
        <v>299</v>
      </c>
      <c r="M1209" s="14" t="s">
        <v>4904</v>
      </c>
      <c r="N1209" t="s">
        <v>2992</v>
      </c>
      <c r="R1209">
        <v>7</v>
      </c>
      <c r="S1209">
        <v>32</v>
      </c>
    </row>
    <row r="1210" spans="2:19" x14ac:dyDescent="0.35">
      <c r="B1210" s="235"/>
      <c r="C1210" s="257">
        <v>-9.1730364769015829</v>
      </c>
      <c r="D1210" s="261">
        <v>76.909311769215421</v>
      </c>
      <c r="E1210" s="138" t="s">
        <v>396</v>
      </c>
      <c r="F1210" s="402">
        <v>79</v>
      </c>
      <c r="G1210" s="1" t="s">
        <v>32</v>
      </c>
      <c r="H1210" s="402">
        <v>17</v>
      </c>
      <c r="I1210" s="63">
        <v>11</v>
      </c>
      <c r="J1210" s="235" t="s">
        <v>119</v>
      </c>
      <c r="K1210" s="140">
        <v>4</v>
      </c>
      <c r="L1210" s="14" t="s">
        <v>495</v>
      </c>
      <c r="M1210" s="14" t="s">
        <v>4905</v>
      </c>
      <c r="N1210" t="s">
        <v>2992</v>
      </c>
      <c r="O1210" s="85" t="s">
        <v>4906</v>
      </c>
      <c r="R1210">
        <v>8</v>
      </c>
      <c r="S1210">
        <v>35</v>
      </c>
    </row>
    <row r="1211" spans="2:19" x14ac:dyDescent="0.35">
      <c r="B1211" s="235"/>
      <c r="C1211" s="257">
        <v>6.1008352904288605</v>
      </c>
      <c r="D1211" s="261">
        <v>61.713689078265098</v>
      </c>
      <c r="E1211" s="138" t="s">
        <v>396</v>
      </c>
      <c r="F1211" s="402">
        <v>18</v>
      </c>
      <c r="G1211" s="1" t="s">
        <v>83</v>
      </c>
      <c r="H1211" s="402">
        <v>26</v>
      </c>
      <c r="I1211" s="63">
        <v>16</v>
      </c>
      <c r="J1211" s="235" t="s">
        <v>84</v>
      </c>
      <c r="K1211" s="140">
        <v>77</v>
      </c>
      <c r="L1211" s="14" t="s">
        <v>347</v>
      </c>
      <c r="M1211" s="14" t="s">
        <v>4907</v>
      </c>
      <c r="N1211" t="s">
        <v>2992</v>
      </c>
      <c r="R1211">
        <v>14</v>
      </c>
      <c r="S1211">
        <v>40</v>
      </c>
    </row>
    <row r="1212" spans="2:19" x14ac:dyDescent="0.35">
      <c r="B1212" s="235"/>
      <c r="C1212" s="257">
        <v>6.1735745183259478</v>
      </c>
      <c r="D1212" s="261">
        <v>66.661732486910026</v>
      </c>
      <c r="E1212" s="138" t="s">
        <v>396</v>
      </c>
      <c r="F1212" s="402">
        <v>7</v>
      </c>
      <c r="G1212" s="1" t="s">
        <v>145</v>
      </c>
      <c r="H1212" s="402">
        <v>24</v>
      </c>
      <c r="I1212" s="63">
        <v>11</v>
      </c>
      <c r="J1212" s="235" t="s">
        <v>56</v>
      </c>
      <c r="K1212" s="140">
        <v>74</v>
      </c>
      <c r="L1212" s="14" t="s">
        <v>297</v>
      </c>
      <c r="M1212" s="43" t="s">
        <v>4908</v>
      </c>
      <c r="N1212" s="1" t="s">
        <v>2953</v>
      </c>
      <c r="O1212" s="85" t="s">
        <v>4909</v>
      </c>
      <c r="R1212">
        <v>16</v>
      </c>
      <c r="S1212">
        <v>42</v>
      </c>
    </row>
    <row r="1213" spans="2:19" x14ac:dyDescent="0.35">
      <c r="B1213" s="235"/>
      <c r="C1213" s="257">
        <v>5.2025822850393393</v>
      </c>
      <c r="D1213" s="261">
        <v>51.283869796400474</v>
      </c>
      <c r="E1213" s="138" t="s">
        <v>395</v>
      </c>
      <c r="F1213" s="402">
        <v>39</v>
      </c>
      <c r="G1213" s="1" t="s">
        <v>34</v>
      </c>
      <c r="H1213" s="402">
        <v>27</v>
      </c>
      <c r="I1213" s="63">
        <v>7</v>
      </c>
      <c r="J1213" s="235" t="s">
        <v>25</v>
      </c>
      <c r="K1213" s="140">
        <v>73</v>
      </c>
      <c r="L1213" s="14" t="s">
        <v>332</v>
      </c>
      <c r="M1213" s="43" t="s">
        <v>4911</v>
      </c>
      <c r="N1213" s="1" t="s">
        <v>2953</v>
      </c>
      <c r="R1213">
        <v>21</v>
      </c>
      <c r="S1213">
        <v>48</v>
      </c>
    </row>
    <row r="1214" spans="2:19" x14ac:dyDescent="0.35">
      <c r="B1214" s="235"/>
      <c r="C1214" s="257">
        <v>10.057414953449758</v>
      </c>
      <c r="D1214" s="261">
        <v>64.95898931896447</v>
      </c>
      <c r="E1214" s="138" t="s">
        <v>395</v>
      </c>
      <c r="F1214" s="402">
        <v>6</v>
      </c>
      <c r="G1214" s="1" t="s">
        <v>1344</v>
      </c>
      <c r="H1214" s="402">
        <v>30</v>
      </c>
      <c r="I1214" s="63">
        <v>11</v>
      </c>
      <c r="J1214" s="235" t="s">
        <v>1343</v>
      </c>
      <c r="K1214" s="140">
        <v>72</v>
      </c>
      <c r="L1214" s="14" t="s">
        <v>334</v>
      </c>
      <c r="M1214" s="43" t="s">
        <v>4912</v>
      </c>
      <c r="N1214" s="1" t="s">
        <v>2953</v>
      </c>
      <c r="O1214" s="85" t="s">
        <v>4916</v>
      </c>
      <c r="R1214">
        <v>24</v>
      </c>
      <c r="S1214">
        <v>49</v>
      </c>
    </row>
    <row r="1215" spans="2:19" x14ac:dyDescent="0.35">
      <c r="B1215" s="235"/>
      <c r="C1215" s="257">
        <v>5.7042982137829092</v>
      </c>
      <c r="D1215" s="261">
        <v>62.354072704440775</v>
      </c>
      <c r="E1215" s="138" t="s">
        <v>396</v>
      </c>
      <c r="F1215" s="402">
        <v>23</v>
      </c>
      <c r="G1215" s="1" t="s">
        <v>73</v>
      </c>
      <c r="H1215" s="402">
        <v>30</v>
      </c>
      <c r="I1215" s="63">
        <v>11</v>
      </c>
      <c r="J1215" s="235" t="s">
        <v>74</v>
      </c>
      <c r="K1215" s="140">
        <v>71</v>
      </c>
      <c r="L1215" s="14" t="s">
        <v>331</v>
      </c>
      <c r="M1215" s="43" t="s">
        <v>4917</v>
      </c>
      <c r="N1215" s="1" t="s">
        <v>2953</v>
      </c>
      <c r="R1215">
        <v>28</v>
      </c>
      <c r="S1215">
        <v>56</v>
      </c>
    </row>
    <row r="1216" spans="2:19" x14ac:dyDescent="0.35">
      <c r="B1216" s="235" t="s">
        <v>4919</v>
      </c>
      <c r="C1216" s="257">
        <v>1.3925568956277083</v>
      </c>
      <c r="D1216" s="261">
        <v>56.817816503123076</v>
      </c>
      <c r="E1216" s="138" t="s">
        <v>395</v>
      </c>
      <c r="F1216" s="402">
        <v>51</v>
      </c>
      <c r="G1216" s="1" t="s">
        <v>58</v>
      </c>
      <c r="H1216" s="402">
        <v>17</v>
      </c>
      <c r="I1216" s="63">
        <v>10</v>
      </c>
      <c r="J1216" s="235" t="s">
        <v>57</v>
      </c>
      <c r="K1216" s="140">
        <v>54</v>
      </c>
      <c r="L1216" s="14" t="s">
        <v>360</v>
      </c>
      <c r="M1216" s="14" t="s">
        <v>4918</v>
      </c>
      <c r="N1216" t="s">
        <v>2992</v>
      </c>
      <c r="O1216" s="85" t="s">
        <v>4763</v>
      </c>
    </row>
    <row r="1217" spans="1:15" x14ac:dyDescent="0.35">
      <c r="B1217" s="235"/>
      <c r="C1217" s="257">
        <v>5.9800860558622775</v>
      </c>
      <c r="D1217" s="261">
        <v>70.014224245812656</v>
      </c>
      <c r="E1217" s="138" t="s">
        <v>395</v>
      </c>
      <c r="F1217" s="402">
        <v>20</v>
      </c>
      <c r="G1217" s="1" t="s">
        <v>790</v>
      </c>
      <c r="H1217" s="402">
        <v>26</v>
      </c>
      <c r="I1217" s="63">
        <v>15</v>
      </c>
      <c r="J1217" s="235" t="s">
        <v>794</v>
      </c>
      <c r="K1217" s="140">
        <v>52</v>
      </c>
      <c r="L1217" s="14" t="s">
        <v>178</v>
      </c>
      <c r="M1217" s="14" t="s">
        <v>4920</v>
      </c>
      <c r="N1217" t="s">
        <v>2992</v>
      </c>
    </row>
    <row r="1218" spans="1:15" x14ac:dyDescent="0.35">
      <c r="B1218" s="235"/>
      <c r="C1218" s="257">
        <v>-0.9384331679319069</v>
      </c>
      <c r="D1218" s="261">
        <v>62.500666548522787</v>
      </c>
      <c r="E1218" s="138" t="s">
        <v>396</v>
      </c>
      <c r="F1218" s="402">
        <v>46</v>
      </c>
      <c r="G1218" s="1" t="s">
        <v>24</v>
      </c>
      <c r="H1218" s="402">
        <v>9</v>
      </c>
      <c r="I1218" s="63">
        <v>4</v>
      </c>
      <c r="J1218" s="235" t="s">
        <v>23</v>
      </c>
      <c r="K1218" s="140">
        <v>49</v>
      </c>
      <c r="L1218" s="14" t="s">
        <v>530</v>
      </c>
      <c r="M1218" s="14" t="s">
        <v>4922</v>
      </c>
      <c r="N1218" t="s">
        <v>2992</v>
      </c>
      <c r="O1218" s="85" t="s">
        <v>4491</v>
      </c>
    </row>
    <row r="1219" spans="1:15" x14ac:dyDescent="0.35">
      <c r="B1219" s="235"/>
      <c r="C1219" s="257">
        <v>-0.89465805228120932</v>
      </c>
      <c r="D1219" s="261">
        <v>63.272970037343711</v>
      </c>
      <c r="E1219" s="138" t="s">
        <v>396</v>
      </c>
      <c r="F1219" s="402">
        <v>45</v>
      </c>
      <c r="G1219" s="1" t="s">
        <v>788</v>
      </c>
      <c r="H1219" s="402">
        <v>19</v>
      </c>
      <c r="I1219" s="63">
        <v>15</v>
      </c>
      <c r="J1219" s="235" t="s">
        <v>787</v>
      </c>
      <c r="K1219" s="140">
        <v>48</v>
      </c>
      <c r="L1219" s="14" t="s">
        <v>347</v>
      </c>
      <c r="M1219" s="14" t="s">
        <v>4923</v>
      </c>
      <c r="N1219" s="92" t="s">
        <v>2954</v>
      </c>
    </row>
    <row r="1220" spans="1:15" x14ac:dyDescent="0.35">
      <c r="B1220" s="235"/>
      <c r="C1220" s="257">
        <v>3.6200160533935932</v>
      </c>
      <c r="D1220" s="261">
        <v>65.673202819004572</v>
      </c>
      <c r="E1220" s="138" t="s">
        <v>395</v>
      </c>
      <c r="F1220" s="402">
        <v>32</v>
      </c>
      <c r="G1220" s="1" t="s">
        <v>50</v>
      </c>
      <c r="H1220" s="402">
        <v>19</v>
      </c>
      <c r="I1220" s="63">
        <v>11</v>
      </c>
      <c r="J1220" s="235" t="s">
        <v>49</v>
      </c>
      <c r="K1220" s="140">
        <v>47</v>
      </c>
      <c r="L1220" s="14" t="s">
        <v>291</v>
      </c>
      <c r="M1220" s="14" t="s">
        <v>4924</v>
      </c>
      <c r="N1220" t="s">
        <v>2992</v>
      </c>
    </row>
    <row r="1221" spans="1:15" x14ac:dyDescent="0.35">
      <c r="B1221" s="235" t="s">
        <v>4926</v>
      </c>
      <c r="C1221" s="257">
        <v>3.5019383594944617</v>
      </c>
      <c r="D1221" s="261">
        <v>77.85575831464682</v>
      </c>
      <c r="E1221" s="138" t="s">
        <v>396</v>
      </c>
      <c r="F1221" s="402">
        <v>11</v>
      </c>
      <c r="G1221" s="1" t="s">
        <v>41</v>
      </c>
      <c r="H1221" s="402">
        <v>18</v>
      </c>
      <c r="I1221" s="63">
        <v>11</v>
      </c>
      <c r="J1221" s="235" t="s">
        <v>45</v>
      </c>
      <c r="K1221" s="140">
        <v>44</v>
      </c>
      <c r="L1221" s="14" t="s">
        <v>331</v>
      </c>
      <c r="M1221" s="43" t="s">
        <v>4927</v>
      </c>
      <c r="N1221" s="1" t="s">
        <v>2992</v>
      </c>
      <c r="O1221" s="85" t="s">
        <v>4928</v>
      </c>
    </row>
    <row r="1222" spans="1:15" x14ac:dyDescent="0.35">
      <c r="B1222" s="235"/>
      <c r="C1222" s="257">
        <v>3.9316479792922343</v>
      </c>
      <c r="D1222" s="261">
        <v>77.548822871934121</v>
      </c>
      <c r="E1222" s="138" t="s">
        <v>396</v>
      </c>
      <c r="F1222" s="402">
        <v>13</v>
      </c>
      <c r="G1222" s="1" t="s">
        <v>60</v>
      </c>
      <c r="H1222" s="402">
        <v>24</v>
      </c>
      <c r="I1222" s="63">
        <v>9</v>
      </c>
      <c r="J1222" s="235" t="s">
        <v>62</v>
      </c>
      <c r="K1222" s="140">
        <v>42</v>
      </c>
      <c r="L1222" s="14" t="s">
        <v>450</v>
      </c>
      <c r="M1222" s="43" t="s">
        <v>4925</v>
      </c>
      <c r="N1222" s="1" t="s">
        <v>2953</v>
      </c>
    </row>
    <row r="1223" spans="1:15" x14ac:dyDescent="0.35">
      <c r="B1223" s="235"/>
      <c r="C1223" s="257">
        <v>0.29785629144645176</v>
      </c>
      <c r="D1223" s="261">
        <v>74.072959791823962</v>
      </c>
      <c r="E1223" s="138" t="s">
        <v>396</v>
      </c>
      <c r="F1223" s="402">
        <v>26</v>
      </c>
      <c r="G1223" s="1" t="s">
        <v>51</v>
      </c>
      <c r="H1223" s="402">
        <v>15</v>
      </c>
      <c r="I1223" s="63">
        <v>11</v>
      </c>
      <c r="J1223" s="235" t="s">
        <v>52</v>
      </c>
      <c r="K1223" s="140">
        <v>38</v>
      </c>
      <c r="L1223" s="14" t="s">
        <v>179</v>
      </c>
      <c r="M1223" s="14" t="s">
        <v>4929</v>
      </c>
      <c r="N1223" t="s">
        <v>2992</v>
      </c>
    </row>
    <row r="1224" spans="1:15" x14ac:dyDescent="0.35">
      <c r="B1224" s="235"/>
      <c r="C1224" s="257">
        <v>-3.4827670834204572</v>
      </c>
      <c r="D1224" s="261">
        <v>84.987690773871762</v>
      </c>
      <c r="E1224" s="138" t="s">
        <v>396</v>
      </c>
      <c r="F1224" s="402">
        <v>35</v>
      </c>
      <c r="G1224" s="1" t="s">
        <v>965</v>
      </c>
      <c r="H1224" s="402">
        <v>18</v>
      </c>
      <c r="I1224" s="63">
        <v>14</v>
      </c>
      <c r="J1224" s="235" t="s">
        <v>966</v>
      </c>
      <c r="K1224" s="140">
        <v>14</v>
      </c>
      <c r="L1224" s="14" t="s">
        <v>286</v>
      </c>
      <c r="M1224" s="14" t="s">
        <v>4930</v>
      </c>
      <c r="N1224" t="s">
        <v>2992</v>
      </c>
    </row>
    <row r="1225" spans="1:15" x14ac:dyDescent="0.35">
      <c r="B1225" s="235"/>
      <c r="C1225" s="257">
        <v>2.1452090333630283</v>
      </c>
      <c r="D1225" s="261">
        <v>73.958779261883549</v>
      </c>
      <c r="E1225" s="138" t="s">
        <v>395</v>
      </c>
      <c r="F1225" s="402">
        <v>27</v>
      </c>
      <c r="G1225" s="1" t="s">
        <v>66</v>
      </c>
      <c r="H1225" s="402">
        <v>15</v>
      </c>
      <c r="I1225" s="63">
        <v>11</v>
      </c>
      <c r="J1225" s="235" t="s">
        <v>71</v>
      </c>
      <c r="K1225" s="140">
        <v>34</v>
      </c>
      <c r="L1225" s="14" t="s">
        <v>294</v>
      </c>
      <c r="M1225" s="14" t="s">
        <v>4931</v>
      </c>
      <c r="N1225" t="s">
        <v>2992</v>
      </c>
      <c r="O1225" s="85" t="s">
        <v>4952</v>
      </c>
    </row>
    <row r="1226" spans="1:15" x14ac:dyDescent="0.35">
      <c r="B1226" s="235" t="s">
        <v>1974</v>
      </c>
      <c r="C1226" s="257">
        <v>0.92867014561646943</v>
      </c>
      <c r="D1226" s="261">
        <v>74.024164181702517</v>
      </c>
      <c r="E1226" s="138" t="s">
        <v>395</v>
      </c>
      <c r="F1226" s="402">
        <v>33</v>
      </c>
      <c r="G1226" s="1" t="s">
        <v>1301</v>
      </c>
      <c r="H1226" s="402">
        <v>17</v>
      </c>
      <c r="I1226" s="63">
        <v>12</v>
      </c>
      <c r="J1226" s="235" t="s">
        <v>1302</v>
      </c>
      <c r="K1226" s="140">
        <v>30</v>
      </c>
      <c r="L1226" s="14" t="s">
        <v>360</v>
      </c>
      <c r="M1226" s="14" t="s">
        <v>4932</v>
      </c>
      <c r="N1226" t="s">
        <v>2992</v>
      </c>
    </row>
    <row r="1227" spans="1:15" x14ac:dyDescent="0.35">
      <c r="B1227" s="235"/>
      <c r="C1227" s="257">
        <v>-5.8945999180480904</v>
      </c>
      <c r="D1227" s="261">
        <v>93.138999941462913</v>
      </c>
      <c r="E1227" s="138" t="s">
        <v>396</v>
      </c>
      <c r="F1227" s="402">
        <v>29</v>
      </c>
      <c r="G1227" s="1" t="s">
        <v>908</v>
      </c>
      <c r="H1227" s="402">
        <v>17</v>
      </c>
      <c r="I1227" s="63">
        <v>12</v>
      </c>
      <c r="J1227" s="235" t="s">
        <v>795</v>
      </c>
      <c r="K1227" s="140">
        <v>2</v>
      </c>
      <c r="L1227" s="14" t="s">
        <v>450</v>
      </c>
      <c r="M1227" s="14" t="s">
        <v>4933</v>
      </c>
      <c r="N1227" t="s">
        <v>2992</v>
      </c>
      <c r="O1227" s="85" t="s">
        <v>4953</v>
      </c>
    </row>
    <row r="1228" spans="1:15" x14ac:dyDescent="0.35">
      <c r="B1228" s="235"/>
      <c r="C1228" s="257">
        <v>0.11788723746029879</v>
      </c>
      <c r="D1228" s="261">
        <v>82.058651973242647</v>
      </c>
      <c r="E1228" s="138" t="s">
        <v>395</v>
      </c>
      <c r="F1228" s="402">
        <v>28</v>
      </c>
      <c r="G1228" s="1" t="s">
        <v>53</v>
      </c>
      <c r="H1228" s="402">
        <v>15</v>
      </c>
      <c r="I1228" s="63">
        <v>9</v>
      </c>
      <c r="J1228" s="235" t="s">
        <v>300</v>
      </c>
      <c r="K1228" s="140">
        <v>22</v>
      </c>
      <c r="L1228" s="14" t="s">
        <v>360</v>
      </c>
      <c r="M1228" s="14" t="s">
        <v>4935</v>
      </c>
      <c r="N1228" t="s">
        <v>2992</v>
      </c>
    </row>
    <row r="1229" spans="1:15" x14ac:dyDescent="0.35">
      <c r="B1229" s="235" t="s">
        <v>4938</v>
      </c>
      <c r="C1229" s="257">
        <v>3.1948513424773641</v>
      </c>
      <c r="D1229" s="261">
        <v>90.217963326801893</v>
      </c>
      <c r="E1229" s="138" t="s">
        <v>396</v>
      </c>
      <c r="F1229" s="402">
        <v>3</v>
      </c>
      <c r="G1229" s="1" t="s">
        <v>26</v>
      </c>
      <c r="H1229" s="402">
        <v>27</v>
      </c>
      <c r="I1229" s="63">
        <v>25</v>
      </c>
      <c r="J1229" s="235" t="s">
        <v>33</v>
      </c>
      <c r="K1229" s="140">
        <v>21</v>
      </c>
      <c r="L1229" s="14" t="s">
        <v>633</v>
      </c>
      <c r="M1229" s="14" t="s">
        <v>4937</v>
      </c>
      <c r="N1229" s="92" t="s">
        <v>2954</v>
      </c>
      <c r="O1229" s="85" t="s">
        <v>4936</v>
      </c>
    </row>
    <row r="1230" spans="1:15" x14ac:dyDescent="0.35">
      <c r="B1230" s="235" t="s">
        <v>1980</v>
      </c>
      <c r="C1230" s="257">
        <v>5.0245658144704972</v>
      </c>
      <c r="D1230" s="261">
        <v>90.161024418235357</v>
      </c>
      <c r="E1230" s="138" t="s">
        <v>395</v>
      </c>
      <c r="F1230" s="402">
        <v>1</v>
      </c>
      <c r="G1230" s="1" t="s">
        <v>87</v>
      </c>
      <c r="H1230" s="402">
        <v>25</v>
      </c>
      <c r="I1230" s="63">
        <v>7</v>
      </c>
      <c r="J1230" s="235" t="s">
        <v>85</v>
      </c>
      <c r="K1230" s="140">
        <v>19</v>
      </c>
      <c r="L1230" s="14" t="s">
        <v>201</v>
      </c>
      <c r="M1230" s="43" t="s">
        <v>4939</v>
      </c>
      <c r="N1230" s="1" t="s">
        <v>2953</v>
      </c>
      <c r="O1230" s="85" t="s">
        <v>4940</v>
      </c>
    </row>
    <row r="1231" spans="1:15" ht="15" thickBot="1" x14ac:dyDescent="0.4">
      <c r="B1231" s="57" t="s">
        <v>4934</v>
      </c>
      <c r="C1231" s="259">
        <v>-1.1474003594544133</v>
      </c>
      <c r="D1231" s="262">
        <v>94.882071685324576</v>
      </c>
      <c r="E1231" s="222" t="s">
        <v>396</v>
      </c>
      <c r="F1231" s="381">
        <v>10</v>
      </c>
      <c r="G1231" s="44" t="s">
        <v>77</v>
      </c>
      <c r="H1231" s="381">
        <v>17</v>
      </c>
      <c r="I1231" s="56">
        <v>12</v>
      </c>
      <c r="J1231" s="57" t="s">
        <v>78</v>
      </c>
      <c r="K1231" s="141">
        <v>9</v>
      </c>
      <c r="L1231" s="23" t="s">
        <v>360</v>
      </c>
      <c r="M1231" s="23" t="s">
        <v>4941</v>
      </c>
      <c r="N1231" s="12" t="s">
        <v>2992</v>
      </c>
      <c r="O1231" s="86" t="s">
        <v>4942</v>
      </c>
    </row>
    <row r="1232" spans="1:15" x14ac:dyDescent="0.35">
      <c r="A1232" s="6" t="s">
        <v>4963</v>
      </c>
      <c r="B1232" s="235" t="s">
        <v>3309</v>
      </c>
      <c r="C1232" s="257">
        <v>5.2883589841968437</v>
      </c>
      <c r="D1232" s="261">
        <v>72.498006953242083</v>
      </c>
      <c r="E1232" s="138" t="s">
        <v>395</v>
      </c>
      <c r="F1232" s="402">
        <v>27</v>
      </c>
      <c r="G1232" s="1" t="s">
        <v>33</v>
      </c>
      <c r="H1232" s="402">
        <v>17</v>
      </c>
      <c r="I1232" s="63">
        <v>10</v>
      </c>
      <c r="J1232" s="235" t="s">
        <v>40</v>
      </c>
      <c r="K1232" s="140">
        <v>38</v>
      </c>
      <c r="L1232" s="14" t="s">
        <v>186</v>
      </c>
      <c r="M1232" s="14" t="s">
        <v>4958</v>
      </c>
      <c r="N1232" t="s">
        <v>2992</v>
      </c>
    </row>
    <row r="1233" spans="2:15" x14ac:dyDescent="0.35">
      <c r="B1233" s="235" t="s">
        <v>3309</v>
      </c>
      <c r="C1233" s="257">
        <v>7.8488071175915568</v>
      </c>
      <c r="D1233" s="261">
        <v>88.804712465582696</v>
      </c>
      <c r="E1233" s="138" t="s">
        <v>395</v>
      </c>
      <c r="F1233" s="402">
        <v>3</v>
      </c>
      <c r="G1233" s="1" t="s">
        <v>118</v>
      </c>
      <c r="H1233" s="402">
        <v>24</v>
      </c>
      <c r="I1233" s="63">
        <v>11</v>
      </c>
      <c r="J1233" s="235" t="s">
        <v>790</v>
      </c>
      <c r="K1233" s="140">
        <v>18</v>
      </c>
      <c r="L1233" s="14" t="s">
        <v>281</v>
      </c>
      <c r="M1233" s="43" t="s">
        <v>4959</v>
      </c>
      <c r="N1233" s="1" t="s">
        <v>2953</v>
      </c>
    </row>
    <row r="1234" spans="2:15" x14ac:dyDescent="0.35">
      <c r="B1234" s="235" t="s">
        <v>3309</v>
      </c>
      <c r="C1234" s="257">
        <v>8.7320776411048531</v>
      </c>
      <c r="D1234" s="261">
        <v>73.890348978702519</v>
      </c>
      <c r="E1234" s="138" t="s">
        <v>396</v>
      </c>
      <c r="F1234" s="402">
        <v>7</v>
      </c>
      <c r="G1234" s="1" t="s">
        <v>145</v>
      </c>
      <c r="H1234" s="402">
        <v>26</v>
      </c>
      <c r="I1234" s="63">
        <v>15</v>
      </c>
      <c r="J1234" s="235" t="s">
        <v>49</v>
      </c>
      <c r="K1234" s="140">
        <v>55</v>
      </c>
      <c r="L1234" s="14" t="s">
        <v>178</v>
      </c>
      <c r="M1234" s="14" t="s">
        <v>4960</v>
      </c>
      <c r="N1234" t="s">
        <v>2992</v>
      </c>
    </row>
    <row r="1235" spans="2:15" x14ac:dyDescent="0.35">
      <c r="B1235" s="235" t="s">
        <v>3309</v>
      </c>
      <c r="C1235" s="257">
        <v>-6.4295872486785353</v>
      </c>
      <c r="D1235" s="261">
        <v>85.839443049131617</v>
      </c>
      <c r="E1235" s="138" t="s">
        <v>395</v>
      </c>
      <c r="F1235" s="402">
        <v>50</v>
      </c>
      <c r="G1235" s="1" t="s">
        <v>62</v>
      </c>
      <c r="H1235" s="402">
        <v>22</v>
      </c>
      <c r="I1235" s="63">
        <v>19</v>
      </c>
      <c r="J1235" s="235" t="s">
        <v>77</v>
      </c>
      <c r="K1235" s="140">
        <v>9</v>
      </c>
      <c r="L1235" s="14" t="s">
        <v>178</v>
      </c>
      <c r="M1235" s="14" t="s">
        <v>4962</v>
      </c>
      <c r="O1235" s="87" t="s">
        <v>4961</v>
      </c>
    </row>
    <row r="1236" spans="2:15" x14ac:dyDescent="0.35">
      <c r="B1236" s="235" t="s">
        <v>3310</v>
      </c>
      <c r="C1236" s="257">
        <v>-1.4190881508635109</v>
      </c>
      <c r="D1236" s="261">
        <v>76.905757927710312</v>
      </c>
      <c r="E1236" s="138" t="s">
        <v>395</v>
      </c>
      <c r="F1236" s="402">
        <v>38</v>
      </c>
      <c r="G1236" s="1" t="s">
        <v>40</v>
      </c>
      <c r="H1236" s="402">
        <v>19</v>
      </c>
      <c r="I1236" s="63">
        <v>14</v>
      </c>
      <c r="J1236" s="235" t="s">
        <v>33</v>
      </c>
      <c r="K1236" s="140">
        <v>27</v>
      </c>
      <c r="L1236" s="14" t="s">
        <v>337</v>
      </c>
      <c r="M1236" s="14" t="s">
        <v>4973</v>
      </c>
      <c r="N1236" t="s">
        <v>2992</v>
      </c>
      <c r="O1236" s="85" t="s">
        <v>4974</v>
      </c>
    </row>
    <row r="1237" spans="2:15" x14ac:dyDescent="0.35">
      <c r="B1237" s="235" t="s">
        <v>3310</v>
      </c>
      <c r="C1237" s="257">
        <v>4.0406300342582222</v>
      </c>
      <c r="D1237" s="261">
        <v>91.307228834630322</v>
      </c>
      <c r="E1237" s="138" t="s">
        <v>396</v>
      </c>
      <c r="F1237" s="402">
        <v>3</v>
      </c>
      <c r="G1237" s="1" t="s">
        <v>118</v>
      </c>
      <c r="H1237" s="402">
        <v>26</v>
      </c>
      <c r="I1237" s="63">
        <v>19</v>
      </c>
      <c r="J1237" s="235" t="s">
        <v>790</v>
      </c>
      <c r="K1237" s="140">
        <v>18</v>
      </c>
      <c r="L1237" s="14" t="s">
        <v>299</v>
      </c>
      <c r="M1237" s="14" t="s">
        <v>4975</v>
      </c>
      <c r="N1237" t="s">
        <v>2992</v>
      </c>
      <c r="O1237" s="85" t="s">
        <v>4976</v>
      </c>
    </row>
    <row r="1238" spans="2:15" x14ac:dyDescent="0.35">
      <c r="B1238" s="235" t="s">
        <v>3310</v>
      </c>
      <c r="C1238" s="257">
        <v>13.459550102393244</v>
      </c>
      <c r="D1238" s="261">
        <v>70.783724218427295</v>
      </c>
      <c r="E1238" s="138" t="s">
        <v>395</v>
      </c>
      <c r="F1238" s="402">
        <v>7</v>
      </c>
      <c r="G1238" s="1" t="s">
        <v>145</v>
      </c>
      <c r="H1238" s="402">
        <v>35</v>
      </c>
      <c r="I1238" s="63">
        <v>14</v>
      </c>
      <c r="J1238" s="235" t="s">
        <v>49</v>
      </c>
      <c r="K1238" s="140">
        <v>55</v>
      </c>
      <c r="L1238" s="14" t="s">
        <v>369</v>
      </c>
      <c r="M1238" s="43" t="s">
        <v>4977</v>
      </c>
      <c r="N1238" s="1" t="s">
        <v>2953</v>
      </c>
      <c r="O1238" s="85" t="s">
        <v>4978</v>
      </c>
    </row>
    <row r="1239" spans="2:15" ht="15" thickBot="1" x14ac:dyDescent="0.4">
      <c r="B1239" s="57" t="s">
        <v>3310</v>
      </c>
      <c r="C1239" s="259">
        <v>10.217399748678535</v>
      </c>
      <c r="D1239" s="262">
        <v>73.899994450868405</v>
      </c>
      <c r="E1239" s="222" t="s">
        <v>395</v>
      </c>
      <c r="F1239" s="381">
        <v>9</v>
      </c>
      <c r="G1239" s="44" t="s">
        <v>77</v>
      </c>
      <c r="H1239" s="381">
        <v>21</v>
      </c>
      <c r="I1239" s="56">
        <v>13</v>
      </c>
      <c r="J1239" s="57" t="s">
        <v>62</v>
      </c>
      <c r="K1239" s="141">
        <v>50</v>
      </c>
      <c r="L1239" s="23" t="s">
        <v>365</v>
      </c>
      <c r="M1239" s="23" t="s">
        <v>4979</v>
      </c>
      <c r="N1239" s="12" t="s">
        <v>2992</v>
      </c>
      <c r="O1239" s="86" t="s">
        <v>4980</v>
      </c>
    </row>
    <row r="1240" spans="2:15" x14ac:dyDescent="0.35">
      <c r="B1240" s="235" t="s">
        <v>3307</v>
      </c>
      <c r="C1240" s="257">
        <v>0.52856259465387012</v>
      </c>
      <c r="D1240" s="261">
        <v>90.378959760579662</v>
      </c>
      <c r="E1240" s="138" t="s">
        <v>396</v>
      </c>
      <c r="F1240" s="402">
        <v>11</v>
      </c>
      <c r="G1240" s="1" t="s">
        <v>41</v>
      </c>
      <c r="H1240" s="402">
        <v>31</v>
      </c>
      <c r="I1240" s="63">
        <v>13</v>
      </c>
      <c r="J1240" s="235" t="s">
        <v>69</v>
      </c>
      <c r="K1240" s="140">
        <v>22</v>
      </c>
      <c r="L1240" s="14" t="s">
        <v>290</v>
      </c>
      <c r="M1240" s="43" t="s">
        <v>4964</v>
      </c>
      <c r="N1240" s="1" t="s">
        <v>2953</v>
      </c>
    </row>
    <row r="1241" spans="2:15" x14ac:dyDescent="0.35">
      <c r="B1241" s="235" t="s">
        <v>3307</v>
      </c>
      <c r="C1241" s="257">
        <v>-0.82629172197302747</v>
      </c>
      <c r="D1241" s="261">
        <v>96.187437535554082</v>
      </c>
      <c r="E1241" s="138" t="s">
        <v>395</v>
      </c>
      <c r="F1241" s="402">
        <v>13</v>
      </c>
      <c r="G1241" s="1" t="s">
        <v>59</v>
      </c>
      <c r="H1241" s="402">
        <v>17</v>
      </c>
      <c r="I1241" s="63">
        <v>13</v>
      </c>
      <c r="J1241" s="235" t="s">
        <v>119</v>
      </c>
      <c r="K1241" s="140">
        <v>6</v>
      </c>
      <c r="L1241" s="14" t="s">
        <v>184</v>
      </c>
      <c r="M1241" s="14" t="s">
        <v>4966</v>
      </c>
      <c r="N1241" t="s">
        <v>2992</v>
      </c>
      <c r="O1241" s="87" t="s">
        <v>4965</v>
      </c>
    </row>
    <row r="1242" spans="2:15" x14ac:dyDescent="0.35">
      <c r="B1242" s="235" t="s">
        <v>3307</v>
      </c>
      <c r="C1242" s="257">
        <v>3.4490301648087467</v>
      </c>
      <c r="D1242" s="261">
        <v>96.095266322622948</v>
      </c>
      <c r="E1242" s="138" t="s">
        <v>395</v>
      </c>
      <c r="F1242" s="402">
        <v>2</v>
      </c>
      <c r="G1242" s="1" t="s">
        <v>26</v>
      </c>
      <c r="H1242" s="402">
        <v>21</v>
      </c>
      <c r="I1242" s="63">
        <v>16</v>
      </c>
      <c r="J1242" s="235" t="s">
        <v>795</v>
      </c>
      <c r="K1242" s="140">
        <v>4</v>
      </c>
      <c r="L1242" s="14" t="s">
        <v>334</v>
      </c>
      <c r="M1242" s="14" t="s">
        <v>4967</v>
      </c>
      <c r="N1242" t="s">
        <v>2992</v>
      </c>
      <c r="O1242" s="85" t="s">
        <v>4689</v>
      </c>
    </row>
    <row r="1243" spans="2:15" x14ac:dyDescent="0.35">
      <c r="B1243" s="235" t="s">
        <v>3307</v>
      </c>
      <c r="C1243" s="257">
        <v>-1.9984996212235056</v>
      </c>
      <c r="D1243" s="261">
        <v>94.53474975650083</v>
      </c>
      <c r="E1243" s="138" t="s">
        <v>395</v>
      </c>
      <c r="F1243" s="402">
        <v>16</v>
      </c>
      <c r="G1243" s="1" t="s">
        <v>46</v>
      </c>
      <c r="H1243" s="402">
        <v>19</v>
      </c>
      <c r="I1243" s="63">
        <v>17</v>
      </c>
      <c r="J1243" s="235" t="s">
        <v>36</v>
      </c>
      <c r="K1243" s="140">
        <v>8</v>
      </c>
      <c r="L1243" s="14" t="s">
        <v>178</v>
      </c>
      <c r="M1243" s="14" t="s">
        <v>4968</v>
      </c>
      <c r="N1243" t="s">
        <v>2992</v>
      </c>
    </row>
    <row r="1244" spans="2:15" x14ac:dyDescent="0.35">
      <c r="B1244" s="235" t="s">
        <v>3308</v>
      </c>
      <c r="C1244" s="257">
        <v>4.1670809454056279</v>
      </c>
      <c r="D1244" s="261">
        <v>88.039912249382098</v>
      </c>
      <c r="E1244" s="138" t="s">
        <v>395</v>
      </c>
      <c r="F1244" s="402">
        <v>11</v>
      </c>
      <c r="G1244" s="1" t="s">
        <v>41</v>
      </c>
      <c r="H1244" s="402">
        <v>19</v>
      </c>
      <c r="I1244" s="63">
        <v>6</v>
      </c>
      <c r="J1244" s="235" t="s">
        <v>69</v>
      </c>
      <c r="K1244" s="140">
        <v>22</v>
      </c>
      <c r="L1244" s="14" t="s">
        <v>447</v>
      </c>
      <c r="M1244" s="43" t="s">
        <v>4981</v>
      </c>
      <c r="N1244" s="1" t="s">
        <v>2953</v>
      </c>
      <c r="O1244" s="85" t="s">
        <v>4982</v>
      </c>
    </row>
    <row r="1245" spans="2:15" x14ac:dyDescent="0.35">
      <c r="B1245" s="235" t="s">
        <v>3308</v>
      </c>
      <c r="C1245" s="257">
        <v>4.0678774720817277</v>
      </c>
      <c r="D1245" s="261">
        <v>92.0411859108046</v>
      </c>
      <c r="E1245" s="138" t="s">
        <v>395</v>
      </c>
      <c r="F1245" s="402">
        <v>6</v>
      </c>
      <c r="G1245" s="1" t="s">
        <v>119</v>
      </c>
      <c r="H1245" s="402">
        <v>18</v>
      </c>
      <c r="I1245" s="63">
        <v>7</v>
      </c>
      <c r="J1245" s="235" t="s">
        <v>59</v>
      </c>
      <c r="K1245" s="140">
        <v>13</v>
      </c>
      <c r="L1245" s="14" t="s">
        <v>286</v>
      </c>
      <c r="M1245" s="43" t="s">
        <v>4983</v>
      </c>
      <c r="N1245" s="1" t="s">
        <v>2953</v>
      </c>
      <c r="O1245" s="85" t="s">
        <v>4984</v>
      </c>
    </row>
    <row r="1246" spans="2:15" x14ac:dyDescent="0.35">
      <c r="B1246" s="235" t="s">
        <v>3308</v>
      </c>
      <c r="C1246" s="237">
        <v>-0.50843029623238079</v>
      </c>
      <c r="D1246" s="266">
        <v>98.639348047577954</v>
      </c>
      <c r="E1246" s="402" t="s">
        <v>396</v>
      </c>
      <c r="F1246" s="402">
        <v>2</v>
      </c>
      <c r="G1246" s="1" t="s">
        <v>26</v>
      </c>
      <c r="H1246" s="402">
        <v>12</v>
      </c>
      <c r="I1246" s="63">
        <v>8</v>
      </c>
      <c r="J1246" s="235" t="s">
        <v>795</v>
      </c>
      <c r="K1246" s="140">
        <v>4</v>
      </c>
      <c r="L1246" s="14" t="s">
        <v>403</v>
      </c>
      <c r="M1246" s="14" t="s">
        <v>4985</v>
      </c>
      <c r="N1246" t="s">
        <v>2992</v>
      </c>
      <c r="O1246" s="85" t="s">
        <v>4986</v>
      </c>
    </row>
    <row r="1247" spans="2:15" ht="15" thickBot="1" x14ac:dyDescent="0.4">
      <c r="B1247" s="57" t="s">
        <v>3308</v>
      </c>
      <c r="C1247" s="259">
        <v>6.2901860000500989</v>
      </c>
      <c r="D1247" s="262">
        <v>89.206308999967803</v>
      </c>
      <c r="E1247" s="222" t="s">
        <v>395</v>
      </c>
      <c r="F1247" s="381">
        <v>8</v>
      </c>
      <c r="G1247" s="44" t="s">
        <v>36</v>
      </c>
      <c r="H1247" s="381">
        <v>30</v>
      </c>
      <c r="I1247" s="56">
        <v>19</v>
      </c>
      <c r="J1247" s="57" t="s">
        <v>46</v>
      </c>
      <c r="K1247" s="141">
        <v>16</v>
      </c>
      <c r="L1247" s="23" t="s">
        <v>285</v>
      </c>
      <c r="M1247" s="23" t="s">
        <v>4987</v>
      </c>
      <c r="N1247" s="12" t="s">
        <v>2992</v>
      </c>
      <c r="O1247" s="86" t="s">
        <v>4988</v>
      </c>
    </row>
    <row r="1248" spans="2:15" x14ac:dyDescent="0.35">
      <c r="B1248" s="235" t="s">
        <v>3305</v>
      </c>
      <c r="C1248" s="257">
        <v>6.6693652800044836</v>
      </c>
      <c r="D1248" s="261">
        <v>93.743800891425693</v>
      </c>
      <c r="E1248" s="138" t="s">
        <v>395</v>
      </c>
      <c r="F1248" s="402">
        <v>1</v>
      </c>
      <c r="G1248" s="1" t="s">
        <v>87</v>
      </c>
      <c r="H1248" s="402">
        <v>35</v>
      </c>
      <c r="I1248" s="63">
        <v>21</v>
      </c>
      <c r="J1248" s="235" t="s">
        <v>119</v>
      </c>
      <c r="K1248" s="140">
        <v>6</v>
      </c>
      <c r="L1248" s="14" t="s">
        <v>289</v>
      </c>
      <c r="M1248" s="43" t="s">
        <v>4969</v>
      </c>
      <c r="N1248" s="1" t="s">
        <v>2953</v>
      </c>
    </row>
    <row r="1249" spans="1:16" x14ac:dyDescent="0.35">
      <c r="B1249" s="235" t="s">
        <v>3305</v>
      </c>
      <c r="C1249" s="257">
        <v>-6.8552520964412924</v>
      </c>
      <c r="D1249" s="363">
        <v>102.43819777628369</v>
      </c>
      <c r="E1249" s="138" t="s">
        <v>396</v>
      </c>
      <c r="F1249" s="402">
        <v>5</v>
      </c>
      <c r="G1249" s="1" t="s">
        <v>1344</v>
      </c>
      <c r="H1249" s="402">
        <v>20</v>
      </c>
      <c r="I1249" s="63">
        <v>14</v>
      </c>
      <c r="J1249" s="235" t="s">
        <v>26</v>
      </c>
      <c r="K1249" s="140">
        <v>2</v>
      </c>
      <c r="L1249" s="14" t="s">
        <v>404</v>
      </c>
      <c r="M1249" s="14" t="s">
        <v>4970</v>
      </c>
      <c r="N1249" t="s">
        <v>2992</v>
      </c>
      <c r="O1249" s="85" t="s">
        <v>4689</v>
      </c>
    </row>
    <row r="1250" spans="1:16" x14ac:dyDescent="0.35">
      <c r="B1250" s="235" t="s">
        <v>3305</v>
      </c>
      <c r="C1250" s="257">
        <v>3.0333016645148057</v>
      </c>
      <c r="D1250" s="261">
        <v>67.313413215669058</v>
      </c>
      <c r="E1250" s="138" t="s">
        <v>396</v>
      </c>
      <c r="F1250" s="402">
        <v>30</v>
      </c>
      <c r="G1250" s="1" t="s">
        <v>300</v>
      </c>
      <c r="H1250" s="402">
        <v>18</v>
      </c>
      <c r="I1250" s="63">
        <v>14</v>
      </c>
      <c r="J1250" s="235" t="s">
        <v>49</v>
      </c>
      <c r="K1250" s="140">
        <v>55</v>
      </c>
      <c r="L1250" s="14" t="s">
        <v>186</v>
      </c>
      <c r="M1250" s="14" t="s">
        <v>4971</v>
      </c>
      <c r="N1250" t="s">
        <v>2992</v>
      </c>
    </row>
    <row r="1251" spans="1:16" x14ac:dyDescent="0.35">
      <c r="B1251" s="235" t="s">
        <v>3305</v>
      </c>
      <c r="C1251" s="257">
        <v>7.9854009240349564</v>
      </c>
      <c r="D1251" s="261">
        <v>89.241527977406093</v>
      </c>
      <c r="E1251" s="138" t="s">
        <v>395</v>
      </c>
      <c r="F1251" s="402">
        <v>4</v>
      </c>
      <c r="G1251" s="1" t="s">
        <v>795</v>
      </c>
      <c r="H1251" s="402">
        <v>20</v>
      </c>
      <c r="I1251" s="63">
        <v>10</v>
      </c>
      <c r="J1251" s="235" t="s">
        <v>46</v>
      </c>
      <c r="K1251" s="140">
        <v>16</v>
      </c>
      <c r="L1251" s="14" t="s">
        <v>403</v>
      </c>
      <c r="M1251" s="14" t="s">
        <v>4972</v>
      </c>
      <c r="N1251" t="s">
        <v>2992</v>
      </c>
    </row>
    <row r="1252" spans="1:16" x14ac:dyDescent="0.35">
      <c r="A1252" s="6" t="s">
        <v>4989</v>
      </c>
      <c r="B1252" s="235" t="s">
        <v>3306</v>
      </c>
      <c r="C1252" s="257">
        <v>2.5883355112829722</v>
      </c>
      <c r="D1252" s="261">
        <v>97.367320028460952</v>
      </c>
      <c r="E1252" s="138" t="s">
        <v>396</v>
      </c>
      <c r="F1252" s="402">
        <v>1</v>
      </c>
      <c r="G1252" s="1" t="s">
        <v>87</v>
      </c>
      <c r="H1252" s="402">
        <v>21</v>
      </c>
      <c r="I1252" s="63">
        <v>20</v>
      </c>
      <c r="J1252" s="235" t="s">
        <v>119</v>
      </c>
      <c r="K1252" s="140">
        <v>6</v>
      </c>
      <c r="L1252" s="14" t="s">
        <v>185</v>
      </c>
      <c r="M1252" s="14" t="s">
        <v>4991</v>
      </c>
      <c r="N1252" s="92" t="s">
        <v>2954</v>
      </c>
      <c r="O1252" s="87" t="s">
        <v>4990</v>
      </c>
    </row>
    <row r="1253" spans="1:16" x14ac:dyDescent="0.35">
      <c r="B1253" s="235" t="s">
        <v>3306</v>
      </c>
      <c r="C1253" s="257">
        <v>-2.4415361172236731</v>
      </c>
      <c r="D1253" s="363">
        <v>99.600808932500925</v>
      </c>
      <c r="E1253" s="138" t="s">
        <v>395</v>
      </c>
      <c r="F1253" s="402">
        <v>5</v>
      </c>
      <c r="G1253" s="1" t="s">
        <v>1344</v>
      </c>
      <c r="H1253" s="402">
        <v>20</v>
      </c>
      <c r="I1253" s="63">
        <v>10</v>
      </c>
      <c r="J1253" s="235" t="s">
        <v>26</v>
      </c>
      <c r="K1253" s="140">
        <v>2</v>
      </c>
      <c r="L1253" s="14" t="s">
        <v>201</v>
      </c>
      <c r="M1253" s="14" t="s">
        <v>4992</v>
      </c>
      <c r="N1253" t="s">
        <v>2992</v>
      </c>
      <c r="O1253" s="85" t="s">
        <v>4993</v>
      </c>
    </row>
    <row r="1254" spans="1:16" x14ac:dyDescent="0.35">
      <c r="B1254" s="235" t="s">
        <v>3306</v>
      </c>
      <c r="C1254" s="257">
        <v>6.9194643067729338</v>
      </c>
      <c r="D1254" s="261">
        <v>64.815165802788826</v>
      </c>
      <c r="E1254" s="138" t="s">
        <v>395</v>
      </c>
      <c r="F1254" s="402">
        <v>30</v>
      </c>
      <c r="G1254" s="1" t="s">
        <v>300</v>
      </c>
      <c r="H1254" s="402">
        <v>21</v>
      </c>
      <c r="I1254" s="63">
        <v>18</v>
      </c>
      <c r="J1254" s="235" t="s">
        <v>49</v>
      </c>
      <c r="K1254" s="140">
        <v>55</v>
      </c>
      <c r="L1254" s="14" t="s">
        <v>179</v>
      </c>
      <c r="M1254" s="14" t="s">
        <v>4994</v>
      </c>
      <c r="N1254" t="s">
        <v>2992</v>
      </c>
      <c r="O1254" s="85" t="s">
        <v>4819</v>
      </c>
    </row>
    <row r="1255" spans="1:16" ht="15" thickBot="1" x14ac:dyDescent="0.4">
      <c r="B1255" s="57" t="s">
        <v>3306</v>
      </c>
      <c r="C1255" s="259">
        <v>3.9894510564238308</v>
      </c>
      <c r="D1255" s="262">
        <v>91.810352892298965</v>
      </c>
      <c r="E1255" s="222" t="s">
        <v>396</v>
      </c>
      <c r="F1255" s="381">
        <v>4</v>
      </c>
      <c r="G1255" s="44" t="s">
        <v>795</v>
      </c>
      <c r="H1255" s="381">
        <v>18</v>
      </c>
      <c r="I1255" s="56">
        <v>11</v>
      </c>
      <c r="J1255" s="57" t="s">
        <v>46</v>
      </c>
      <c r="K1255" s="141">
        <v>16</v>
      </c>
      <c r="L1255" s="23" t="s">
        <v>400</v>
      </c>
      <c r="M1255" s="23" t="s">
        <v>4995</v>
      </c>
      <c r="N1255" s="12" t="s">
        <v>2992</v>
      </c>
      <c r="O1255" s="86" t="s">
        <v>4996</v>
      </c>
    </row>
    <row r="1256" spans="1:16" x14ac:dyDescent="0.35">
      <c r="A1256" s="6" t="s">
        <v>5023</v>
      </c>
      <c r="B1256" s="235" t="s">
        <v>3315</v>
      </c>
      <c r="C1256" s="257">
        <v>6.6113153956188251</v>
      </c>
      <c r="D1256" s="261">
        <v>85.469707025736199</v>
      </c>
      <c r="E1256" s="138" t="s">
        <v>396</v>
      </c>
      <c r="F1256" s="402">
        <v>3</v>
      </c>
      <c r="G1256" s="1" t="s">
        <v>118</v>
      </c>
      <c r="H1256" s="402">
        <v>31</v>
      </c>
      <c r="I1256" s="63">
        <v>22</v>
      </c>
      <c r="J1256" s="235" t="s">
        <v>33</v>
      </c>
      <c r="K1256" s="140">
        <v>28</v>
      </c>
      <c r="L1256" s="14" t="s">
        <v>929</v>
      </c>
      <c r="M1256" s="14" t="s">
        <v>5022</v>
      </c>
      <c r="N1256" t="s">
        <v>2992</v>
      </c>
    </row>
    <row r="1257" spans="1:16" x14ac:dyDescent="0.35">
      <c r="B1257" s="235" t="s">
        <v>3315</v>
      </c>
      <c r="C1257" s="257">
        <v>-0.14243231031665068</v>
      </c>
      <c r="D1257" s="261">
        <v>95.493598375350942</v>
      </c>
      <c r="E1257" s="138" t="s">
        <v>395</v>
      </c>
      <c r="F1257" s="402">
        <v>10</v>
      </c>
      <c r="G1257" s="1" t="s">
        <v>77</v>
      </c>
      <c r="H1257" s="402">
        <v>16</v>
      </c>
      <c r="I1257" s="63">
        <v>7</v>
      </c>
      <c r="J1257" s="235" t="s">
        <v>145</v>
      </c>
      <c r="K1257" s="140">
        <v>6</v>
      </c>
      <c r="L1257" s="14" t="s">
        <v>288</v>
      </c>
      <c r="M1257" s="14" t="s">
        <v>5024</v>
      </c>
      <c r="N1257" t="s">
        <v>2992</v>
      </c>
      <c r="P1257" s="6"/>
    </row>
    <row r="1258" spans="1:16" x14ac:dyDescent="0.35">
      <c r="B1258" s="235" t="s">
        <v>3316</v>
      </c>
      <c r="C1258" s="257">
        <v>11.375690395618825</v>
      </c>
      <c r="D1258" s="261">
        <v>82.338832025736195</v>
      </c>
      <c r="E1258" s="138" t="s">
        <v>395</v>
      </c>
      <c r="F1258" s="402">
        <v>3</v>
      </c>
      <c r="G1258" s="1" t="s">
        <v>118</v>
      </c>
      <c r="H1258" s="402">
        <v>31</v>
      </c>
      <c r="I1258" s="63">
        <v>13</v>
      </c>
      <c r="J1258" s="235" t="s">
        <v>33</v>
      </c>
      <c r="K1258" s="140">
        <v>28</v>
      </c>
      <c r="L1258" s="14" t="s">
        <v>190</v>
      </c>
      <c r="M1258" s="43" t="s">
        <v>5030</v>
      </c>
      <c r="N1258" s="1" t="s">
        <v>2953</v>
      </c>
      <c r="O1258" s="85" t="s">
        <v>5031</v>
      </c>
      <c r="P1258" s="6"/>
    </row>
    <row r="1259" spans="1:16" ht="15" thickBot="1" x14ac:dyDescent="0.4">
      <c r="B1259" s="57" t="s">
        <v>3316</v>
      </c>
      <c r="C1259" s="259">
        <v>-5.0511823103166513</v>
      </c>
      <c r="D1259" s="262">
        <v>98.719348375350947</v>
      </c>
      <c r="E1259" s="222" t="s">
        <v>396</v>
      </c>
      <c r="F1259" s="381">
        <v>10</v>
      </c>
      <c r="G1259" s="44" t="s">
        <v>77</v>
      </c>
      <c r="H1259" s="381">
        <v>23</v>
      </c>
      <c r="I1259" s="56">
        <v>20</v>
      </c>
      <c r="J1259" s="57" t="s">
        <v>145</v>
      </c>
      <c r="K1259" s="141">
        <v>6</v>
      </c>
      <c r="L1259" s="23" t="s">
        <v>359</v>
      </c>
      <c r="M1259" s="23" t="s">
        <v>5032</v>
      </c>
      <c r="N1259" s="12" t="s">
        <v>2992</v>
      </c>
      <c r="O1259" s="86" t="s">
        <v>5033</v>
      </c>
      <c r="P1259" s="6"/>
    </row>
    <row r="1260" spans="1:16" x14ac:dyDescent="0.35">
      <c r="B1260" s="235" t="s">
        <v>3313</v>
      </c>
      <c r="C1260" s="257">
        <v>-3.7561800937331267</v>
      </c>
      <c r="D1260" s="261">
        <v>97.914687203114141</v>
      </c>
      <c r="E1260" s="138" t="s">
        <v>396</v>
      </c>
      <c r="F1260" s="402">
        <v>9</v>
      </c>
      <c r="G1260" s="1" t="s">
        <v>41</v>
      </c>
      <c r="H1260" s="402">
        <v>25</v>
      </c>
      <c r="I1260" s="63">
        <v>16</v>
      </c>
      <c r="J1260" s="235" t="s">
        <v>119</v>
      </c>
      <c r="K1260" s="140">
        <v>7</v>
      </c>
      <c r="L1260" s="14" t="s">
        <v>526</v>
      </c>
      <c r="M1260" s="14" t="s">
        <v>5025</v>
      </c>
      <c r="N1260" t="s">
        <v>2992</v>
      </c>
      <c r="O1260" s="85" t="s">
        <v>5029</v>
      </c>
    </row>
    <row r="1261" spans="1:16" x14ac:dyDescent="0.35">
      <c r="B1261" s="235" t="s">
        <v>3313</v>
      </c>
      <c r="C1261" s="257">
        <v>-5.4026197272868064</v>
      </c>
      <c r="D1261" s="363">
        <v>100.66061268182722</v>
      </c>
      <c r="E1261" s="138" t="s">
        <v>396</v>
      </c>
      <c r="F1261" s="402">
        <v>8</v>
      </c>
      <c r="G1261" s="1" t="s">
        <v>36</v>
      </c>
      <c r="H1261" s="402">
        <v>20</v>
      </c>
      <c r="I1261" s="63">
        <v>13</v>
      </c>
      <c r="J1261" s="235" t="s">
        <v>26</v>
      </c>
      <c r="K1261" s="140">
        <v>2</v>
      </c>
      <c r="L1261" s="14" t="s">
        <v>360</v>
      </c>
      <c r="M1261" s="14" t="s">
        <v>5026</v>
      </c>
      <c r="N1261" t="s">
        <v>2992</v>
      </c>
    </row>
    <row r="1262" spans="1:16" x14ac:dyDescent="0.35">
      <c r="B1262" s="235" t="s">
        <v>3314</v>
      </c>
      <c r="C1262" s="257">
        <v>-0.27264261223661745</v>
      </c>
      <c r="D1262" s="261">
        <v>95.675270250723543</v>
      </c>
      <c r="E1262" s="138" t="s">
        <v>396</v>
      </c>
      <c r="F1262" s="402">
        <v>7</v>
      </c>
      <c r="G1262" s="1" t="s">
        <v>119</v>
      </c>
      <c r="H1262" s="402">
        <v>28</v>
      </c>
      <c r="I1262" s="63">
        <v>20</v>
      </c>
      <c r="J1262" s="235" t="s">
        <v>41</v>
      </c>
      <c r="K1262" s="140">
        <v>9</v>
      </c>
      <c r="L1262" s="14" t="s">
        <v>625</v>
      </c>
      <c r="M1262" s="43" t="s">
        <v>5035</v>
      </c>
      <c r="N1262" s="1" t="s">
        <v>2953</v>
      </c>
      <c r="O1262" s="85" t="s">
        <v>5034</v>
      </c>
    </row>
    <row r="1263" spans="1:16" ht="15" thickBot="1" x14ac:dyDescent="0.4">
      <c r="B1263" s="57" t="s">
        <v>3314</v>
      </c>
      <c r="C1263" s="259">
        <v>1.1676197272868056</v>
      </c>
      <c r="D1263" s="262">
        <v>96.436887318172765</v>
      </c>
      <c r="E1263" s="222" t="s">
        <v>396</v>
      </c>
      <c r="F1263" s="381">
        <v>2</v>
      </c>
      <c r="G1263" s="44" t="s">
        <v>26</v>
      </c>
      <c r="H1263" s="381">
        <v>21</v>
      </c>
      <c r="I1263" s="56">
        <v>19</v>
      </c>
      <c r="J1263" s="57" t="s">
        <v>36</v>
      </c>
      <c r="K1263" s="141">
        <v>8</v>
      </c>
      <c r="L1263" s="23" t="s">
        <v>179</v>
      </c>
      <c r="M1263" s="23" t="s">
        <v>5037</v>
      </c>
      <c r="N1263" s="12" t="s">
        <v>2992</v>
      </c>
      <c r="O1263" s="86" t="s">
        <v>5036</v>
      </c>
    </row>
    <row r="1264" spans="1:16" x14ac:dyDescent="0.35">
      <c r="B1264" s="235" t="s">
        <v>3311</v>
      </c>
      <c r="C1264" s="257">
        <v>15.97546744006036</v>
      </c>
      <c r="D1264" s="261">
        <v>80.087199502818336</v>
      </c>
      <c r="E1264" s="138" t="s">
        <v>395</v>
      </c>
      <c r="F1264" s="402">
        <v>1</v>
      </c>
      <c r="G1264" s="1" t="s">
        <v>87</v>
      </c>
      <c r="H1264" s="402">
        <v>29</v>
      </c>
      <c r="I1264" s="63">
        <v>16</v>
      </c>
      <c r="J1264" s="235" t="s">
        <v>300</v>
      </c>
      <c r="K1264" s="140">
        <v>29</v>
      </c>
      <c r="L1264" s="14" t="s">
        <v>294</v>
      </c>
      <c r="M1264" s="14" t="s">
        <v>5027</v>
      </c>
      <c r="N1264" t="s">
        <v>2992</v>
      </c>
    </row>
    <row r="1265" spans="1:15" x14ac:dyDescent="0.35">
      <c r="B1265" s="235" t="s">
        <v>3311</v>
      </c>
      <c r="C1265" s="257">
        <v>4.8309064065658331</v>
      </c>
      <c r="D1265" s="261">
        <v>94.363167310064824</v>
      </c>
      <c r="E1265" s="138" t="s">
        <v>395</v>
      </c>
      <c r="F1265" s="402">
        <v>4</v>
      </c>
      <c r="G1265" s="1" t="s">
        <v>795</v>
      </c>
      <c r="H1265" s="402">
        <v>17</v>
      </c>
      <c r="I1265" s="63">
        <v>11</v>
      </c>
      <c r="J1265" s="235" t="s">
        <v>1344</v>
      </c>
      <c r="K1265" s="140">
        <v>5</v>
      </c>
      <c r="L1265" s="14" t="s">
        <v>181</v>
      </c>
      <c r="M1265" s="14" t="s">
        <v>5028</v>
      </c>
      <c r="N1265" t="s">
        <v>2992</v>
      </c>
      <c r="O1265" s="85" t="s">
        <v>4689</v>
      </c>
    </row>
    <row r="1266" spans="1:15" x14ac:dyDescent="0.35">
      <c r="B1266" s="235" t="s">
        <v>3312</v>
      </c>
      <c r="C1266" s="257">
        <v>-10.10421744006036</v>
      </c>
      <c r="D1266" s="261">
        <v>96.85271121146738</v>
      </c>
      <c r="E1266" s="138" t="s">
        <v>395</v>
      </c>
      <c r="F1266" s="402">
        <v>29</v>
      </c>
      <c r="G1266" s="1" t="s">
        <v>300</v>
      </c>
      <c r="H1266" s="402">
        <v>16</v>
      </c>
      <c r="I1266" s="63">
        <v>13</v>
      </c>
      <c r="J1266" s="235" t="s">
        <v>87</v>
      </c>
      <c r="K1266" s="140">
        <v>1</v>
      </c>
      <c r="L1266" s="14" t="s">
        <v>450</v>
      </c>
      <c r="M1266" s="14" t="s">
        <v>5039</v>
      </c>
      <c r="N1266" t="s">
        <v>2992</v>
      </c>
      <c r="O1266" s="85" t="s">
        <v>5038</v>
      </c>
    </row>
    <row r="1267" spans="1:15" ht="15" thickBot="1" x14ac:dyDescent="0.4">
      <c r="B1267" s="57" t="s">
        <v>3312</v>
      </c>
      <c r="C1267" s="259">
        <v>5.616031921465902E-2</v>
      </c>
      <c r="D1267" s="262">
        <v>97.432646937647718</v>
      </c>
      <c r="E1267" s="222" t="s">
        <v>395</v>
      </c>
      <c r="F1267" s="381">
        <v>5</v>
      </c>
      <c r="G1267" s="44" t="s">
        <v>1344</v>
      </c>
      <c r="H1267" s="381">
        <v>15</v>
      </c>
      <c r="I1267" s="56">
        <v>9</v>
      </c>
      <c r="J1267" s="57" t="s">
        <v>795</v>
      </c>
      <c r="K1267" s="141">
        <v>4</v>
      </c>
      <c r="L1267" s="23" t="s">
        <v>360</v>
      </c>
      <c r="M1267" s="271" t="s">
        <v>5040</v>
      </c>
      <c r="N1267" s="44" t="s">
        <v>2953</v>
      </c>
      <c r="O1267" s="86" t="s">
        <v>5041</v>
      </c>
    </row>
    <row r="1268" spans="1:15" x14ac:dyDescent="0.35">
      <c r="B1268" s="235" t="s">
        <v>675</v>
      </c>
      <c r="C1268" s="257">
        <v>3.9306262579669111</v>
      </c>
      <c r="D1268" s="261">
        <v>94.542017030478888</v>
      </c>
      <c r="E1268" s="138" t="s">
        <v>395</v>
      </c>
      <c r="F1268" s="402">
        <v>3</v>
      </c>
      <c r="G1268" s="1" t="s">
        <v>118</v>
      </c>
      <c r="H1268" s="402">
        <v>24</v>
      </c>
      <c r="I1268" s="63">
        <v>11</v>
      </c>
      <c r="J1268" s="235" t="s">
        <v>145</v>
      </c>
      <c r="K1268" s="140">
        <v>7</v>
      </c>
      <c r="L1268" s="14" t="s">
        <v>337</v>
      </c>
      <c r="M1268" s="43" t="s">
        <v>5048</v>
      </c>
      <c r="N1268" s="1" t="s">
        <v>2953</v>
      </c>
    </row>
    <row r="1269" spans="1:15" x14ac:dyDescent="0.35">
      <c r="B1269" s="235" t="s">
        <v>677</v>
      </c>
      <c r="C1269" s="257">
        <v>-2.6273873781230139</v>
      </c>
      <c r="D1269" s="261">
        <v>97.126568848480829</v>
      </c>
      <c r="E1269" s="138" t="s">
        <v>396</v>
      </c>
      <c r="F1269" s="402">
        <v>10</v>
      </c>
      <c r="G1269" s="1" t="s">
        <v>41</v>
      </c>
      <c r="H1269" s="402">
        <v>18</v>
      </c>
      <c r="I1269" s="63">
        <v>14</v>
      </c>
      <c r="J1269" s="235" t="s">
        <v>36</v>
      </c>
      <c r="K1269" s="140">
        <v>6</v>
      </c>
      <c r="L1269" s="14" t="s">
        <v>191</v>
      </c>
      <c r="M1269" s="14" t="s">
        <v>5049</v>
      </c>
      <c r="N1269" t="s">
        <v>2992</v>
      </c>
      <c r="O1269" s="85" t="s">
        <v>5050</v>
      </c>
    </row>
    <row r="1270" spans="1:15" x14ac:dyDescent="0.35">
      <c r="B1270" s="235" t="s">
        <v>1154</v>
      </c>
      <c r="C1270" s="257">
        <v>6.874969232414073</v>
      </c>
      <c r="D1270" s="261">
        <v>92.60716307584218</v>
      </c>
      <c r="E1270" s="138" t="s">
        <v>395</v>
      </c>
      <c r="F1270" s="402">
        <v>1</v>
      </c>
      <c r="G1270" s="1" t="s">
        <v>87</v>
      </c>
      <c r="H1270" s="402">
        <v>27</v>
      </c>
      <c r="I1270" s="63">
        <v>13</v>
      </c>
      <c r="J1270" s="235" t="s">
        <v>77</v>
      </c>
      <c r="K1270" s="140">
        <v>9</v>
      </c>
      <c r="L1270" s="14" t="s">
        <v>337</v>
      </c>
      <c r="M1270" s="43" t="s">
        <v>5052</v>
      </c>
      <c r="N1270" s="1" t="s">
        <v>2953</v>
      </c>
      <c r="O1270" s="85" t="s">
        <v>5053</v>
      </c>
    </row>
    <row r="1271" spans="1:15" x14ac:dyDescent="0.35">
      <c r="A1271" s="6" t="s">
        <v>5056</v>
      </c>
      <c r="B1271" s="235" t="s">
        <v>676</v>
      </c>
      <c r="C1271" s="257">
        <v>3.6072350321874196</v>
      </c>
      <c r="D1271" s="261">
        <v>94.754531264562544</v>
      </c>
      <c r="E1271" s="138" t="s">
        <v>395</v>
      </c>
      <c r="F1271" s="402">
        <v>2</v>
      </c>
      <c r="G1271" s="1" t="s">
        <v>26</v>
      </c>
      <c r="H1271" s="402">
        <v>22</v>
      </c>
      <c r="I1271" s="63">
        <v>17</v>
      </c>
      <c r="J1271" s="235" t="s">
        <v>119</v>
      </c>
      <c r="K1271" s="140">
        <v>8</v>
      </c>
      <c r="L1271" s="14" t="s">
        <v>443</v>
      </c>
      <c r="M1271" s="14" t="s">
        <v>5054</v>
      </c>
      <c r="N1271" t="s">
        <v>2992</v>
      </c>
      <c r="O1271" s="85" t="s">
        <v>5055</v>
      </c>
    </row>
    <row r="1272" spans="1:15" x14ac:dyDescent="0.35">
      <c r="B1272" s="235" t="s">
        <v>4954</v>
      </c>
      <c r="C1272" s="257">
        <v>5.1525868938347195</v>
      </c>
      <c r="D1272" s="261">
        <v>91.43901432690862</v>
      </c>
      <c r="E1272" s="138" t="s">
        <v>395</v>
      </c>
      <c r="F1272" s="402">
        <v>5</v>
      </c>
      <c r="G1272" s="1" t="s">
        <v>1344</v>
      </c>
      <c r="H1272" s="402">
        <v>32</v>
      </c>
      <c r="I1272" s="63">
        <v>13</v>
      </c>
      <c r="J1272" s="235" t="s">
        <v>962</v>
      </c>
      <c r="K1272" s="140">
        <v>13</v>
      </c>
      <c r="L1272" s="14" t="s">
        <v>285</v>
      </c>
      <c r="M1272" s="43" t="s">
        <v>5057</v>
      </c>
      <c r="N1272" s="1" t="s">
        <v>2953</v>
      </c>
      <c r="O1272" s="85" t="s">
        <v>5058</v>
      </c>
    </row>
    <row r="1273" spans="1:15" x14ac:dyDescent="0.35">
      <c r="B1273" s="235" t="s">
        <v>674</v>
      </c>
      <c r="C1273" s="257">
        <v>3.4554838831463623</v>
      </c>
      <c r="D1273" s="261">
        <v>89.679253448218105</v>
      </c>
      <c r="E1273" s="138" t="s">
        <v>395</v>
      </c>
      <c r="F1273" s="402">
        <v>12</v>
      </c>
      <c r="G1273" s="1" t="s">
        <v>115</v>
      </c>
      <c r="H1273" s="402">
        <v>22</v>
      </c>
      <c r="I1273" s="63">
        <v>18</v>
      </c>
      <c r="J1273" s="235" t="s">
        <v>67</v>
      </c>
      <c r="K1273" s="140">
        <v>16</v>
      </c>
      <c r="L1273" s="14" t="s">
        <v>623</v>
      </c>
      <c r="M1273" s="14" t="s">
        <v>5059</v>
      </c>
      <c r="N1273" t="s">
        <v>2992</v>
      </c>
    </row>
    <row r="1274" spans="1:15" ht="15" thickBot="1" x14ac:dyDescent="0.4">
      <c r="B1274" s="57" t="s">
        <v>1155</v>
      </c>
      <c r="C1274" s="259">
        <v>3.8547689000696153</v>
      </c>
      <c r="D1274" s="262">
        <v>89.41686615138282</v>
      </c>
      <c r="E1274" s="222" t="s">
        <v>396</v>
      </c>
      <c r="F1274" s="381">
        <v>4</v>
      </c>
      <c r="G1274" s="44" t="s">
        <v>795</v>
      </c>
      <c r="H1274" s="381">
        <v>23</v>
      </c>
      <c r="I1274" s="56">
        <v>22</v>
      </c>
      <c r="J1274" s="57" t="s">
        <v>908</v>
      </c>
      <c r="K1274" s="141">
        <v>24</v>
      </c>
      <c r="L1274" s="23" t="s">
        <v>606</v>
      </c>
      <c r="M1274" s="23" t="s">
        <v>5060</v>
      </c>
      <c r="N1274" s="344" t="s">
        <v>2954</v>
      </c>
      <c r="O1274" s="86" t="s">
        <v>5061</v>
      </c>
    </row>
    <row r="1275" spans="1:15" x14ac:dyDescent="0.35">
      <c r="A1275" s="6" t="s">
        <v>5075</v>
      </c>
      <c r="B1275" s="235" t="s">
        <v>3321</v>
      </c>
      <c r="C1275" s="257">
        <v>5.2735519937164854</v>
      </c>
      <c r="D1275" s="261">
        <v>92.509522975557729</v>
      </c>
      <c r="E1275" s="138" t="s">
        <v>396</v>
      </c>
      <c r="F1275" s="402">
        <v>3</v>
      </c>
      <c r="G1275" s="1" t="s">
        <v>118</v>
      </c>
      <c r="H1275" s="402">
        <v>30</v>
      </c>
      <c r="I1275" s="63">
        <v>14</v>
      </c>
      <c r="J1275" s="235" t="s">
        <v>77</v>
      </c>
      <c r="K1275" s="140">
        <v>11</v>
      </c>
      <c r="L1275" s="14" t="s">
        <v>359</v>
      </c>
      <c r="M1275" s="14" t="s">
        <v>5073</v>
      </c>
      <c r="N1275" t="s">
        <v>2992</v>
      </c>
    </row>
    <row r="1276" spans="1:15" ht="15" thickBot="1" x14ac:dyDescent="0.4">
      <c r="B1276" s="57" t="s">
        <v>3322</v>
      </c>
      <c r="C1276" s="259">
        <v>10.261051993716485</v>
      </c>
      <c r="D1276" s="262">
        <v>89.23202297555774</v>
      </c>
      <c r="E1276" s="222" t="s">
        <v>395</v>
      </c>
      <c r="F1276" s="381">
        <v>3</v>
      </c>
      <c r="G1276" s="44" t="s">
        <v>118</v>
      </c>
      <c r="H1276" s="381">
        <v>20</v>
      </c>
      <c r="I1276" s="56">
        <v>16</v>
      </c>
      <c r="J1276" s="57" t="s">
        <v>77</v>
      </c>
      <c r="K1276" s="141">
        <v>11</v>
      </c>
      <c r="L1276" s="23" t="s">
        <v>472</v>
      </c>
      <c r="M1276" s="23" t="s">
        <v>5078</v>
      </c>
      <c r="N1276" s="12" t="s">
        <v>2992</v>
      </c>
      <c r="O1276" s="86" t="s">
        <v>5079</v>
      </c>
    </row>
    <row r="1277" spans="1:15" x14ac:dyDescent="0.35">
      <c r="B1277" s="235" t="s">
        <v>3319</v>
      </c>
      <c r="C1277" s="257">
        <v>3.1197398083921581</v>
      </c>
      <c r="D1277" s="261">
        <v>94.056952980319323</v>
      </c>
      <c r="E1277" s="138" t="s">
        <v>395</v>
      </c>
      <c r="F1277" s="402">
        <v>8</v>
      </c>
      <c r="G1277" s="1" t="s">
        <v>41</v>
      </c>
      <c r="H1277" s="402">
        <v>25</v>
      </c>
      <c r="I1277" s="63">
        <v>16</v>
      </c>
      <c r="J1277" s="235" t="s">
        <v>36</v>
      </c>
      <c r="K1277" s="140">
        <v>6</v>
      </c>
      <c r="L1277" s="14" t="s">
        <v>301</v>
      </c>
      <c r="M1277" s="14" t="s">
        <v>5074</v>
      </c>
      <c r="N1277" t="s">
        <v>2992</v>
      </c>
      <c r="O1277" s="87"/>
    </row>
    <row r="1278" spans="1:15" ht="15" thickBot="1" x14ac:dyDescent="0.4">
      <c r="A1278" s="6" t="s">
        <v>5077</v>
      </c>
      <c r="B1278" s="57" t="s">
        <v>3320</v>
      </c>
      <c r="C1278" s="259">
        <v>-2.3665101916078415</v>
      </c>
      <c r="D1278" s="262">
        <v>97.583827980319327</v>
      </c>
      <c r="E1278" s="222" t="s">
        <v>396</v>
      </c>
      <c r="F1278" s="381">
        <v>8</v>
      </c>
      <c r="G1278" s="44" t="s">
        <v>41</v>
      </c>
      <c r="H1278" s="381">
        <v>18</v>
      </c>
      <c r="I1278" s="56">
        <v>17</v>
      </c>
      <c r="J1278" s="57" t="s">
        <v>36</v>
      </c>
      <c r="K1278" s="141">
        <v>6</v>
      </c>
      <c r="L1278" s="23" t="s">
        <v>185</v>
      </c>
      <c r="M1278" s="23" t="s">
        <v>5080</v>
      </c>
      <c r="N1278" s="12" t="s">
        <v>2992</v>
      </c>
      <c r="O1278" s="86" t="s">
        <v>5081</v>
      </c>
    </row>
    <row r="1279" spans="1:15" x14ac:dyDescent="0.35">
      <c r="B1279" s="235" t="s">
        <v>3317</v>
      </c>
      <c r="C1279" s="257">
        <v>2.948127628915346</v>
      </c>
      <c r="D1279" s="261">
        <v>96.417275095697278</v>
      </c>
      <c r="E1279" s="138" t="s">
        <v>396</v>
      </c>
      <c r="F1279" s="402">
        <v>1</v>
      </c>
      <c r="G1279" s="1" t="s">
        <v>87</v>
      </c>
      <c r="H1279" s="402">
        <v>19</v>
      </c>
      <c r="I1279" s="63">
        <v>16</v>
      </c>
      <c r="J1279" s="235" t="s">
        <v>795</v>
      </c>
      <c r="K1279" s="140">
        <v>5</v>
      </c>
      <c r="L1279" s="14" t="s">
        <v>488</v>
      </c>
      <c r="M1279" s="14" t="s">
        <v>5076</v>
      </c>
      <c r="N1279" t="s">
        <v>2992</v>
      </c>
    </row>
    <row r="1280" spans="1:15" ht="15" thickBot="1" x14ac:dyDescent="0.4">
      <c r="B1280" s="57" t="s">
        <v>3318</v>
      </c>
      <c r="C1280" s="259">
        <v>7.9356276289153458</v>
      </c>
      <c r="D1280" s="262">
        <v>93.211025095697281</v>
      </c>
      <c r="E1280" s="222" t="s">
        <v>395</v>
      </c>
      <c r="F1280" s="381">
        <v>1</v>
      </c>
      <c r="G1280" s="44" t="s">
        <v>87</v>
      </c>
      <c r="H1280" s="381">
        <v>19</v>
      </c>
      <c r="I1280" s="56">
        <v>11</v>
      </c>
      <c r="J1280" s="57" t="s">
        <v>795</v>
      </c>
      <c r="K1280" s="141">
        <v>5</v>
      </c>
      <c r="L1280" s="23" t="s">
        <v>403</v>
      </c>
      <c r="M1280" s="23" t="s">
        <v>5082</v>
      </c>
      <c r="N1280" s="12" t="s">
        <v>2992</v>
      </c>
      <c r="O1280" s="86" t="s">
        <v>5083</v>
      </c>
    </row>
    <row r="1281" spans="1:19" x14ac:dyDescent="0.35">
      <c r="A1281" s="6" t="s">
        <v>5145</v>
      </c>
      <c r="B1281" s="237" t="s">
        <v>5129</v>
      </c>
      <c r="C1281" s="257">
        <v>-0.55486199659613167</v>
      </c>
      <c r="D1281" s="261">
        <v>94.298770397860395</v>
      </c>
      <c r="E1281" s="138" t="s">
        <v>396</v>
      </c>
      <c r="F1281" s="402">
        <v>10</v>
      </c>
      <c r="G1281" s="1" t="s">
        <v>60</v>
      </c>
      <c r="H1281" s="402">
        <v>22</v>
      </c>
      <c r="I1281" s="63">
        <v>12</v>
      </c>
      <c r="J1281" s="235" t="s">
        <v>77</v>
      </c>
      <c r="K1281" s="140">
        <v>12</v>
      </c>
      <c r="L1281" s="14" t="s">
        <v>334</v>
      </c>
      <c r="M1281" s="14" t="s">
        <v>5146</v>
      </c>
      <c r="N1281" t="s">
        <v>2992</v>
      </c>
    </row>
    <row r="1282" spans="1:19" x14ac:dyDescent="0.35">
      <c r="B1282" s="237" t="s">
        <v>5131</v>
      </c>
      <c r="C1282" s="257">
        <v>1.1022559219715544</v>
      </c>
      <c r="D1282" s="261">
        <v>91.882153420475021</v>
      </c>
      <c r="E1282" s="138" t="s">
        <v>395</v>
      </c>
      <c r="F1282" s="402">
        <v>14</v>
      </c>
      <c r="G1282" s="1" t="s">
        <v>78</v>
      </c>
      <c r="H1282" s="402">
        <v>13</v>
      </c>
      <c r="I1282" s="63">
        <v>12</v>
      </c>
      <c r="J1282" s="235" t="s">
        <v>59</v>
      </c>
      <c r="K1282" s="140">
        <v>13</v>
      </c>
      <c r="L1282" t="s">
        <v>608</v>
      </c>
      <c r="M1282" t="s">
        <v>5147</v>
      </c>
      <c r="N1282" t="s">
        <v>2992</v>
      </c>
    </row>
    <row r="1283" spans="1:19" x14ac:dyDescent="0.35">
      <c r="B1283" s="237" t="s">
        <v>5130</v>
      </c>
      <c r="C1283" s="257">
        <v>3.2176686708269502</v>
      </c>
      <c r="D1283" s="261">
        <v>91.927465406908766</v>
      </c>
      <c r="E1283" s="138" t="s">
        <v>395</v>
      </c>
      <c r="F1283" s="402">
        <v>10</v>
      </c>
      <c r="G1283" s="1" t="s">
        <v>60</v>
      </c>
      <c r="H1283" s="402">
        <v>27</v>
      </c>
      <c r="I1283" s="63">
        <v>6</v>
      </c>
      <c r="J1283" s="235" t="s">
        <v>77</v>
      </c>
      <c r="K1283" s="140">
        <v>12</v>
      </c>
      <c r="L1283" t="s">
        <v>495</v>
      </c>
      <c r="M1283" s="1" t="s">
        <v>5148</v>
      </c>
      <c r="N1283" s="1" t="s">
        <v>2953</v>
      </c>
      <c r="O1283" s="85" t="s">
        <v>5149</v>
      </c>
    </row>
    <row r="1284" spans="1:19" x14ac:dyDescent="0.35">
      <c r="B1284" s="237" t="s">
        <v>5132</v>
      </c>
      <c r="C1284" s="257">
        <v>2.0227440780284454</v>
      </c>
      <c r="D1284" s="261">
        <v>91.303560865239263</v>
      </c>
      <c r="E1284" s="138" t="s">
        <v>395</v>
      </c>
      <c r="F1284" s="402">
        <v>13</v>
      </c>
      <c r="G1284" s="1" t="s">
        <v>59</v>
      </c>
      <c r="H1284" s="402">
        <v>21</v>
      </c>
      <c r="I1284" s="63">
        <v>19</v>
      </c>
      <c r="J1284" s="235" t="s">
        <v>78</v>
      </c>
      <c r="K1284" s="140">
        <v>14</v>
      </c>
      <c r="L1284" t="s">
        <v>633</v>
      </c>
      <c r="M1284" t="s">
        <v>5150</v>
      </c>
      <c r="N1284" t="s">
        <v>2992</v>
      </c>
      <c r="O1284" s="85" t="s">
        <v>5151</v>
      </c>
    </row>
    <row r="1285" spans="1:19" x14ac:dyDescent="0.35">
      <c r="B1285" s="72" t="s">
        <v>5133</v>
      </c>
      <c r="C1285" s="257">
        <v>-1.8756937771162225</v>
      </c>
      <c r="D1285" s="261">
        <v>94.304007517044482</v>
      </c>
      <c r="E1285" s="138" t="s">
        <v>396</v>
      </c>
      <c r="F1285" s="402">
        <v>12</v>
      </c>
      <c r="G1285" s="1" t="s">
        <v>77</v>
      </c>
      <c r="H1285" s="402">
        <v>24</v>
      </c>
      <c r="I1285" s="63">
        <v>6</v>
      </c>
      <c r="J1285" s="235" t="s">
        <v>59</v>
      </c>
      <c r="K1285" s="140">
        <v>13</v>
      </c>
      <c r="L1285" t="s">
        <v>744</v>
      </c>
      <c r="M1285" s="1" t="s">
        <v>5154</v>
      </c>
      <c r="N1285" s="1" t="s">
        <v>2953</v>
      </c>
    </row>
    <row r="1286" spans="1:19" ht="15" thickBot="1" x14ac:dyDescent="0.4">
      <c r="B1286" s="364" t="s">
        <v>5134</v>
      </c>
      <c r="C1286" s="259">
        <v>-1.5244449783070224</v>
      </c>
      <c r="D1286" s="262">
        <v>94.083222557792993</v>
      </c>
      <c r="E1286" s="222" t="s">
        <v>396</v>
      </c>
      <c r="F1286" s="381">
        <v>13</v>
      </c>
      <c r="G1286" s="44" t="s">
        <v>59</v>
      </c>
      <c r="H1286" s="381">
        <v>24</v>
      </c>
      <c r="I1286" s="56">
        <v>12</v>
      </c>
      <c r="J1286" s="57" t="s">
        <v>77</v>
      </c>
      <c r="K1286" s="141">
        <v>12</v>
      </c>
      <c r="L1286" s="23" t="s">
        <v>546</v>
      </c>
      <c r="M1286" s="271" t="s">
        <v>5155</v>
      </c>
      <c r="N1286" s="44" t="s">
        <v>2953</v>
      </c>
      <c r="O1286" s="86" t="s">
        <v>5156</v>
      </c>
    </row>
    <row r="1287" spans="1:19" x14ac:dyDescent="0.35">
      <c r="B1287" s="237" t="s">
        <v>4669</v>
      </c>
      <c r="C1287" s="257">
        <v>-0.55780005527364396</v>
      </c>
      <c r="D1287" s="261">
        <v>95.125617177600574</v>
      </c>
      <c r="E1287" s="138" t="s">
        <v>396</v>
      </c>
      <c r="F1287" s="402">
        <v>8</v>
      </c>
      <c r="G1287" s="1" t="s">
        <v>36</v>
      </c>
      <c r="H1287" s="402">
        <v>16</v>
      </c>
      <c r="I1287" s="63">
        <v>13</v>
      </c>
      <c r="J1287" s="235" t="s">
        <v>115</v>
      </c>
      <c r="K1287" s="140">
        <v>11</v>
      </c>
      <c r="L1287" s="14" t="s">
        <v>295</v>
      </c>
      <c r="M1287" s="14" t="s">
        <v>5159</v>
      </c>
      <c r="N1287" t="s">
        <v>2992</v>
      </c>
    </row>
    <row r="1288" spans="1:19" x14ac:dyDescent="0.35">
      <c r="B1288" s="237" t="s">
        <v>4669</v>
      </c>
      <c r="C1288" s="257">
        <v>2.0815433060030206</v>
      </c>
      <c r="D1288" s="261">
        <v>94.016601350512389</v>
      </c>
      <c r="E1288" s="138" t="s">
        <v>396</v>
      </c>
      <c r="F1288" s="402">
        <v>5</v>
      </c>
      <c r="G1288" s="1" t="s">
        <v>795</v>
      </c>
      <c r="H1288" s="402">
        <v>22</v>
      </c>
      <c r="I1288" s="63">
        <v>15</v>
      </c>
      <c r="J1288" s="235" t="s">
        <v>77</v>
      </c>
      <c r="K1288" s="140">
        <v>12</v>
      </c>
      <c r="L1288" s="14" t="s">
        <v>285</v>
      </c>
      <c r="M1288" s="14" t="s">
        <v>5160</v>
      </c>
      <c r="N1288" t="s">
        <v>2992</v>
      </c>
    </row>
    <row r="1289" spans="1:19" x14ac:dyDescent="0.35">
      <c r="B1289" s="237" t="s">
        <v>4669</v>
      </c>
      <c r="C1289" s="257">
        <v>1.3909683733271434</v>
      </c>
      <c r="D1289" s="261">
        <v>94.725677022480085</v>
      </c>
      <c r="E1289" s="138" t="s">
        <v>395</v>
      </c>
      <c r="F1289" s="402">
        <v>10</v>
      </c>
      <c r="G1289" s="1" t="s">
        <v>60</v>
      </c>
      <c r="H1289" s="402">
        <v>15</v>
      </c>
      <c r="I1289" s="63">
        <v>13</v>
      </c>
      <c r="J1289" s="235" t="s">
        <v>41</v>
      </c>
      <c r="K1289" s="140">
        <v>6</v>
      </c>
      <c r="L1289" s="14" t="s">
        <v>453</v>
      </c>
      <c r="M1289" s="14" t="s">
        <v>5161</v>
      </c>
      <c r="N1289" t="s">
        <v>2992</v>
      </c>
    </row>
    <row r="1290" spans="1:19" x14ac:dyDescent="0.35">
      <c r="B1290" s="237" t="s">
        <v>4669</v>
      </c>
      <c r="C1290" s="257">
        <v>-1.1812856428112584</v>
      </c>
      <c r="D1290" s="261">
        <v>96.342522404052787</v>
      </c>
      <c r="E1290" s="138" t="s">
        <v>396</v>
      </c>
      <c r="F1290" s="402">
        <v>7</v>
      </c>
      <c r="G1290" s="1" t="s">
        <v>119</v>
      </c>
      <c r="H1290" s="402">
        <v>22</v>
      </c>
      <c r="I1290" s="63">
        <v>21</v>
      </c>
      <c r="J1290" s="235" t="s">
        <v>145</v>
      </c>
      <c r="K1290" s="140">
        <v>9</v>
      </c>
      <c r="L1290" s="14" t="s">
        <v>577</v>
      </c>
      <c r="M1290" s="14" t="s">
        <v>5162</v>
      </c>
      <c r="N1290" t="s">
        <v>2992</v>
      </c>
    </row>
    <row r="1291" spans="1:19" x14ac:dyDescent="0.35">
      <c r="B1291" s="237" t="s">
        <v>4670</v>
      </c>
      <c r="C1291" s="257">
        <v>2.8796999447263563</v>
      </c>
      <c r="D1291" s="261">
        <v>92.964902891886297</v>
      </c>
      <c r="E1291" s="138" t="s">
        <v>395</v>
      </c>
      <c r="F1291" s="402">
        <v>8</v>
      </c>
      <c r="G1291" s="1" t="s">
        <v>36</v>
      </c>
      <c r="H1291" s="402">
        <v>21</v>
      </c>
      <c r="I1291" s="63">
        <v>15</v>
      </c>
      <c r="J1291" s="235" t="s">
        <v>115</v>
      </c>
      <c r="K1291" s="140">
        <v>11</v>
      </c>
      <c r="L1291" s="14" t="s">
        <v>369</v>
      </c>
      <c r="M1291" s="14" t="s">
        <v>5163</v>
      </c>
      <c r="N1291" t="s">
        <v>2992</v>
      </c>
      <c r="O1291" s="85" t="s">
        <v>5164</v>
      </c>
      <c r="R1291" s="235"/>
      <c r="S1291" s="235"/>
    </row>
    <row r="1292" spans="1:19" x14ac:dyDescent="0.35">
      <c r="B1292" s="237" t="s">
        <v>4670</v>
      </c>
      <c r="C1292" s="257">
        <v>6.2690433060030202</v>
      </c>
      <c r="D1292" s="261">
        <v>91.384458493369522</v>
      </c>
      <c r="E1292" s="138" t="s">
        <v>395</v>
      </c>
      <c r="F1292" s="402">
        <v>5</v>
      </c>
      <c r="G1292" s="1" t="s">
        <v>795</v>
      </c>
      <c r="H1292" s="402">
        <v>27</v>
      </c>
      <c r="I1292" s="63">
        <v>9</v>
      </c>
      <c r="J1292" s="235" t="s">
        <v>77</v>
      </c>
      <c r="K1292" s="140">
        <v>12</v>
      </c>
      <c r="L1292" s="14" t="s">
        <v>191</v>
      </c>
      <c r="M1292" s="43" t="s">
        <v>5165</v>
      </c>
      <c r="N1292" s="1" t="s">
        <v>2953</v>
      </c>
      <c r="O1292" s="85" t="s">
        <v>5166</v>
      </c>
      <c r="R1292" s="235"/>
      <c r="S1292" s="235"/>
    </row>
    <row r="1293" spans="1:19" x14ac:dyDescent="0.35">
      <c r="B1293" s="237" t="s">
        <v>4670</v>
      </c>
      <c r="C1293" s="257">
        <v>2.1957608770446031</v>
      </c>
      <c r="D1293" s="261">
        <v>94.219807448714818</v>
      </c>
      <c r="E1293" s="138" t="s">
        <v>395</v>
      </c>
      <c r="F1293" s="402">
        <v>6</v>
      </c>
      <c r="G1293" s="1" t="s">
        <v>41</v>
      </c>
      <c r="H1293" s="402">
        <v>15</v>
      </c>
      <c r="I1293" s="63">
        <v>10</v>
      </c>
      <c r="J1293" s="235" t="s">
        <v>60</v>
      </c>
      <c r="K1293" s="140">
        <v>10</v>
      </c>
      <c r="L1293" s="14" t="s">
        <v>187</v>
      </c>
      <c r="M1293" s="14" t="s">
        <v>5167</v>
      </c>
      <c r="N1293" t="s">
        <v>2992</v>
      </c>
      <c r="O1293" s="85" t="s">
        <v>5168</v>
      </c>
      <c r="R1293" s="235"/>
      <c r="S1293" s="235"/>
    </row>
    <row r="1294" spans="1:19" ht="15" thickBot="1" x14ac:dyDescent="0.4">
      <c r="B1294" s="258" t="s">
        <v>4670</v>
      </c>
      <c r="C1294" s="259">
        <v>-2.2214921349665193</v>
      </c>
      <c r="D1294" s="262">
        <v>96.996366484836088</v>
      </c>
      <c r="E1294" s="222" t="s">
        <v>396</v>
      </c>
      <c r="F1294" s="381">
        <v>9</v>
      </c>
      <c r="G1294" s="44" t="s">
        <v>145</v>
      </c>
      <c r="H1294" s="381">
        <v>18</v>
      </c>
      <c r="I1294" s="56">
        <v>13</v>
      </c>
      <c r="J1294" s="57" t="s">
        <v>119</v>
      </c>
      <c r="K1294" s="141">
        <v>7</v>
      </c>
      <c r="L1294" s="23" t="s">
        <v>297</v>
      </c>
      <c r="M1294" s="23" t="s">
        <v>5169</v>
      </c>
      <c r="N1294" s="12" t="s">
        <v>2992</v>
      </c>
      <c r="O1294" s="86" t="s">
        <v>5170</v>
      </c>
      <c r="R1294" s="235"/>
    </row>
    <row r="1295" spans="1:19" x14ac:dyDescent="0.35">
      <c r="A1295" s="6" t="s">
        <v>5176</v>
      </c>
      <c r="B1295" s="237" t="s">
        <v>4671</v>
      </c>
      <c r="C1295" s="257">
        <v>4.6742332884518429</v>
      </c>
      <c r="D1295" s="261">
        <v>94.861910504401706</v>
      </c>
      <c r="E1295" s="138" t="s">
        <v>396</v>
      </c>
      <c r="F1295" s="402">
        <v>1</v>
      </c>
      <c r="G1295" s="1" t="s">
        <v>87</v>
      </c>
      <c r="H1295" s="402">
        <v>25</v>
      </c>
      <c r="I1295" s="63">
        <v>12</v>
      </c>
      <c r="J1295" s="235" t="s">
        <v>36</v>
      </c>
      <c r="K1295" s="140">
        <v>7</v>
      </c>
      <c r="L1295" s="14" t="s">
        <v>185</v>
      </c>
      <c r="M1295" s="43" t="s">
        <v>5175</v>
      </c>
      <c r="N1295" s="1" t="s">
        <v>2953</v>
      </c>
      <c r="R1295" s="235"/>
      <c r="S1295" s="235"/>
    </row>
    <row r="1296" spans="1:19" x14ac:dyDescent="0.35">
      <c r="B1296" s="237" t="s">
        <v>4671</v>
      </c>
      <c r="C1296" s="257">
        <v>1.3376543322130372</v>
      </c>
      <c r="D1296" s="261">
        <v>96.684188705466084</v>
      </c>
      <c r="E1296" s="138" t="s">
        <v>395</v>
      </c>
      <c r="F1296" s="402">
        <v>5</v>
      </c>
      <c r="G1296" s="1" t="s">
        <v>795</v>
      </c>
      <c r="H1296" s="402">
        <v>19</v>
      </c>
      <c r="I1296" s="63">
        <v>11</v>
      </c>
      <c r="J1296" s="235" t="s">
        <v>1344</v>
      </c>
      <c r="K1296" s="140">
        <v>4</v>
      </c>
      <c r="L1296" s="14" t="s">
        <v>191</v>
      </c>
      <c r="M1296" s="14" t="s">
        <v>5177</v>
      </c>
      <c r="N1296" t="s">
        <v>2992</v>
      </c>
      <c r="R1296" s="235"/>
      <c r="S1296" s="235"/>
    </row>
    <row r="1297" spans="1:19" x14ac:dyDescent="0.35">
      <c r="B1297" s="237" t="s">
        <v>4671</v>
      </c>
      <c r="C1297" s="257">
        <v>1.5088131575139907</v>
      </c>
      <c r="D1297" s="261">
        <v>96.576603158134063</v>
      </c>
      <c r="E1297" s="138" t="s">
        <v>396</v>
      </c>
      <c r="F1297" s="402">
        <v>3</v>
      </c>
      <c r="G1297" s="1" t="s">
        <v>26</v>
      </c>
      <c r="H1297" s="402">
        <v>10</v>
      </c>
      <c r="I1297" s="63">
        <v>7</v>
      </c>
      <c r="J1297" s="235" t="s">
        <v>41</v>
      </c>
      <c r="K1297" s="140">
        <v>6</v>
      </c>
      <c r="L1297" s="14" t="s">
        <v>5178</v>
      </c>
      <c r="M1297" s="14" t="s">
        <v>5179</v>
      </c>
      <c r="N1297" t="s">
        <v>2992</v>
      </c>
      <c r="R1297" s="235"/>
      <c r="S1297" s="235"/>
    </row>
    <row r="1298" spans="1:19" x14ac:dyDescent="0.35">
      <c r="B1298" s="237" t="s">
        <v>4671</v>
      </c>
      <c r="C1298" s="257">
        <v>2.568864989645832</v>
      </c>
      <c r="D1298" s="261">
        <v>95.360284863651188</v>
      </c>
      <c r="E1298" s="138" t="s">
        <v>396</v>
      </c>
      <c r="F1298" s="402">
        <v>2</v>
      </c>
      <c r="G1298" s="1" t="s">
        <v>118</v>
      </c>
      <c r="H1298" s="402">
        <v>20</v>
      </c>
      <c r="I1298" s="63">
        <v>13</v>
      </c>
      <c r="J1298" s="235" t="s">
        <v>145</v>
      </c>
      <c r="K1298" s="140">
        <v>9</v>
      </c>
      <c r="L1298" s="14" t="s">
        <v>179</v>
      </c>
      <c r="M1298" s="14" t="s">
        <v>5180</v>
      </c>
      <c r="N1298" t="s">
        <v>2992</v>
      </c>
      <c r="R1298" s="235"/>
      <c r="S1298" s="235"/>
    </row>
    <row r="1299" spans="1:19" x14ac:dyDescent="0.35">
      <c r="B1299" s="237" t="s">
        <v>4672</v>
      </c>
      <c r="C1299" s="257">
        <v>8.936733288451844</v>
      </c>
      <c r="D1299" s="261">
        <v>92.18262479011598</v>
      </c>
      <c r="E1299" s="138" t="s">
        <v>395</v>
      </c>
      <c r="F1299" s="402">
        <v>1</v>
      </c>
      <c r="G1299" s="1" t="s">
        <v>87</v>
      </c>
      <c r="H1299" s="402">
        <v>41</v>
      </c>
      <c r="I1299" s="63">
        <v>8</v>
      </c>
      <c r="J1299" s="235" t="s">
        <v>36</v>
      </c>
      <c r="K1299" s="140">
        <v>7</v>
      </c>
      <c r="L1299" s="14" t="s">
        <v>950</v>
      </c>
      <c r="M1299" s="43" t="s">
        <v>5181</v>
      </c>
      <c r="N1299" s="1" t="s">
        <v>2953</v>
      </c>
      <c r="O1299" s="85" t="s">
        <v>5182</v>
      </c>
      <c r="R1299" s="235"/>
      <c r="S1299" s="235"/>
    </row>
    <row r="1300" spans="1:19" x14ac:dyDescent="0.35">
      <c r="B1300" s="237" t="s">
        <v>4672</v>
      </c>
      <c r="C1300" s="257">
        <v>2.9025891495173992</v>
      </c>
      <c r="D1300" s="261">
        <v>95.700515391731926</v>
      </c>
      <c r="E1300" s="138" t="s">
        <v>395</v>
      </c>
      <c r="F1300" s="402">
        <v>4</v>
      </c>
      <c r="G1300" s="1" t="s">
        <v>1344</v>
      </c>
      <c r="H1300" s="402">
        <v>18</v>
      </c>
      <c r="I1300" s="63">
        <v>15</v>
      </c>
      <c r="J1300" s="235" t="s">
        <v>795</v>
      </c>
      <c r="K1300" s="140">
        <v>5</v>
      </c>
      <c r="L1300" s="14" t="s">
        <v>179</v>
      </c>
      <c r="M1300" s="14" t="s">
        <v>5183</v>
      </c>
      <c r="N1300" t="s">
        <v>2992</v>
      </c>
      <c r="O1300" s="85" t="s">
        <v>5184</v>
      </c>
      <c r="R1300" s="235"/>
      <c r="S1300" s="235"/>
    </row>
    <row r="1301" spans="1:19" x14ac:dyDescent="0.35">
      <c r="B1301" s="237" t="s">
        <v>4672</v>
      </c>
      <c r="C1301" s="257">
        <v>5.7713131575139904</v>
      </c>
      <c r="D1301" s="261">
        <v>93.897317443848351</v>
      </c>
      <c r="E1301" s="138" t="s">
        <v>395</v>
      </c>
      <c r="F1301" s="402">
        <v>3</v>
      </c>
      <c r="G1301" s="1" t="s">
        <v>26</v>
      </c>
      <c r="H1301" s="402">
        <v>23</v>
      </c>
      <c r="I1301" s="63">
        <v>8</v>
      </c>
      <c r="J1301" s="235" t="s">
        <v>41</v>
      </c>
      <c r="K1301" s="140">
        <v>6</v>
      </c>
      <c r="L1301" s="14" t="s">
        <v>331</v>
      </c>
      <c r="M1301" s="43" t="s">
        <v>5185</v>
      </c>
      <c r="N1301" s="1" t="s">
        <v>2953</v>
      </c>
      <c r="O1301" s="85" t="s">
        <v>5186</v>
      </c>
      <c r="R1301" s="235"/>
      <c r="S1301" s="235"/>
    </row>
    <row r="1302" spans="1:19" ht="15" thickBot="1" x14ac:dyDescent="0.4">
      <c r="B1302" s="258" t="s">
        <v>4672</v>
      </c>
      <c r="C1302" s="259">
        <v>-7.106364989645833</v>
      </c>
      <c r="D1302" s="405">
        <v>101.44185799349165</v>
      </c>
      <c r="E1302" s="222" t="s">
        <v>396</v>
      </c>
      <c r="F1302" s="381">
        <v>9</v>
      </c>
      <c r="G1302" s="44" t="s">
        <v>145</v>
      </c>
      <c r="H1302" s="381">
        <v>19</v>
      </c>
      <c r="I1302" s="56">
        <v>13</v>
      </c>
      <c r="J1302" s="57" t="s">
        <v>118</v>
      </c>
      <c r="K1302" s="141">
        <v>2</v>
      </c>
      <c r="L1302" s="23" t="s">
        <v>297</v>
      </c>
      <c r="M1302" s="23" t="s">
        <v>5187</v>
      </c>
      <c r="N1302" s="12" t="s">
        <v>2992</v>
      </c>
      <c r="O1302" s="86" t="s">
        <v>5188</v>
      </c>
      <c r="R1302" s="235"/>
      <c r="S1302" s="235"/>
    </row>
    <row r="1303" spans="1:19" x14ac:dyDescent="0.35">
      <c r="B1303" s="72" t="s">
        <v>5012</v>
      </c>
      <c r="C1303" s="257">
        <v>4.5657599741867561</v>
      </c>
      <c r="D1303" s="261">
        <v>93.005093730511177</v>
      </c>
      <c r="E1303" s="138" t="s">
        <v>395</v>
      </c>
      <c r="F1303" s="402">
        <v>5</v>
      </c>
      <c r="G1303" s="1" t="s">
        <v>1344</v>
      </c>
      <c r="H1303" s="402">
        <v>26</v>
      </c>
      <c r="I1303" s="63">
        <v>15</v>
      </c>
      <c r="J1303" s="235" t="s">
        <v>60</v>
      </c>
      <c r="K1303" s="140">
        <v>10</v>
      </c>
      <c r="L1303" s="14" t="s">
        <v>299</v>
      </c>
      <c r="M1303" s="14" t="s">
        <v>5191</v>
      </c>
      <c r="N1303" t="s">
        <v>2992</v>
      </c>
      <c r="R1303" s="235"/>
      <c r="S1303" s="235"/>
    </row>
    <row r="1304" spans="1:19" x14ac:dyDescent="0.35">
      <c r="B1304" s="72" t="s">
        <v>5012</v>
      </c>
      <c r="C1304" s="257">
        <v>1.2147397648431846</v>
      </c>
      <c r="D1304" s="261">
        <v>95.111449290670009</v>
      </c>
      <c r="E1304" s="138" t="s">
        <v>395</v>
      </c>
      <c r="F1304" s="402">
        <v>9</v>
      </c>
      <c r="G1304" s="1" t="s">
        <v>36</v>
      </c>
      <c r="H1304" s="402">
        <v>26</v>
      </c>
      <c r="I1304" s="63">
        <v>6</v>
      </c>
      <c r="J1304" s="235" t="s">
        <v>119</v>
      </c>
      <c r="K1304" s="140">
        <v>6</v>
      </c>
      <c r="L1304" s="14" t="s">
        <v>547</v>
      </c>
      <c r="M1304" s="43" t="s">
        <v>5192</v>
      </c>
      <c r="N1304" s="1" t="s">
        <v>2953</v>
      </c>
      <c r="R1304" s="235"/>
      <c r="S1304" s="235"/>
    </row>
    <row r="1305" spans="1:19" x14ac:dyDescent="0.35">
      <c r="B1305" s="72" t="s">
        <v>5012</v>
      </c>
      <c r="C1305" s="257">
        <v>3.3009200791379825</v>
      </c>
      <c r="D1305" s="261">
        <v>92.700135950256126</v>
      </c>
      <c r="E1305" s="138" t="s">
        <v>395</v>
      </c>
      <c r="F1305" s="402">
        <v>8</v>
      </c>
      <c r="G1305" s="1" t="s">
        <v>145</v>
      </c>
      <c r="H1305" s="402">
        <v>20</v>
      </c>
      <c r="I1305" s="63">
        <v>17</v>
      </c>
      <c r="J1305" s="235" t="s">
        <v>115</v>
      </c>
      <c r="K1305" s="140">
        <v>11</v>
      </c>
      <c r="L1305" s="14" t="s">
        <v>443</v>
      </c>
      <c r="M1305" s="14" t="s">
        <v>5193</v>
      </c>
      <c r="N1305" t="s">
        <v>2992</v>
      </c>
      <c r="R1305" s="235"/>
      <c r="S1305" s="235"/>
    </row>
    <row r="1306" spans="1:19" x14ac:dyDescent="0.35">
      <c r="B1306" s="72" t="s">
        <v>5012</v>
      </c>
      <c r="C1306" s="257">
        <v>3.7136629168151525</v>
      </c>
      <c r="D1306" s="261">
        <v>92.440697595144755</v>
      </c>
      <c r="E1306" s="138" t="s">
        <v>395</v>
      </c>
      <c r="F1306" s="402">
        <v>7</v>
      </c>
      <c r="G1306" s="1" t="s">
        <v>41</v>
      </c>
      <c r="H1306" s="402">
        <v>23</v>
      </c>
      <c r="I1306" s="63">
        <v>22</v>
      </c>
      <c r="J1306" s="235" t="s">
        <v>77</v>
      </c>
      <c r="K1306" s="140">
        <v>12</v>
      </c>
      <c r="L1306" s="14" t="s">
        <v>623</v>
      </c>
      <c r="M1306" s="14" t="s">
        <v>5194</v>
      </c>
      <c r="N1306" t="s">
        <v>2992</v>
      </c>
      <c r="R1306" s="235"/>
      <c r="S1306" s="235"/>
    </row>
    <row r="1307" spans="1:19" x14ac:dyDescent="0.35">
      <c r="B1307" s="72" t="s">
        <v>5013</v>
      </c>
      <c r="C1307" s="406">
        <v>0.13138497418675507</v>
      </c>
      <c r="D1307" s="407">
        <v>95.792415159082609</v>
      </c>
      <c r="E1307" s="138" t="s">
        <v>396</v>
      </c>
      <c r="F1307" s="402">
        <v>5</v>
      </c>
      <c r="G1307" s="84" t="s">
        <v>1344</v>
      </c>
      <c r="H1307" s="402">
        <v>16</v>
      </c>
      <c r="I1307" s="63">
        <v>12</v>
      </c>
      <c r="J1307" s="235" t="s">
        <v>60</v>
      </c>
      <c r="K1307" s="63">
        <v>10</v>
      </c>
      <c r="L1307" s="85" t="s">
        <v>296</v>
      </c>
      <c r="M1307" s="85" t="s">
        <v>5195</v>
      </c>
      <c r="N1307" s="85" t="s">
        <v>2992</v>
      </c>
      <c r="O1307" s="85" t="s">
        <v>5196</v>
      </c>
      <c r="R1307" s="235"/>
      <c r="S1307" s="235"/>
    </row>
    <row r="1308" spans="1:19" x14ac:dyDescent="0.35">
      <c r="B1308" s="72" t="s">
        <v>5013</v>
      </c>
      <c r="C1308" s="257">
        <v>3.0991830158742739</v>
      </c>
      <c r="D1308" s="261">
        <v>93.926942104307599</v>
      </c>
      <c r="E1308" s="138" t="s">
        <v>395</v>
      </c>
      <c r="F1308" s="402">
        <v>6</v>
      </c>
      <c r="G1308" s="1" t="s">
        <v>119</v>
      </c>
      <c r="H1308" s="402">
        <v>21</v>
      </c>
      <c r="I1308" s="63">
        <v>17</v>
      </c>
      <c r="J1308" s="235" t="s">
        <v>36</v>
      </c>
      <c r="K1308" s="140">
        <v>9</v>
      </c>
      <c r="L1308" s="14" t="s">
        <v>443</v>
      </c>
      <c r="M1308" s="14" t="s">
        <v>5197</v>
      </c>
      <c r="N1308" t="s">
        <v>2992</v>
      </c>
      <c r="O1308" s="85" t="s">
        <v>5198</v>
      </c>
      <c r="R1308" s="235"/>
      <c r="S1308" s="235"/>
    </row>
    <row r="1309" spans="1:19" x14ac:dyDescent="0.35">
      <c r="B1309" s="72" t="s">
        <v>5013</v>
      </c>
      <c r="C1309" s="257">
        <v>0.17887081196702229</v>
      </c>
      <c r="D1309" s="261">
        <v>94.662566918192155</v>
      </c>
      <c r="E1309" s="138" t="s">
        <v>395</v>
      </c>
      <c r="F1309" s="402">
        <v>11</v>
      </c>
      <c r="G1309" s="1" t="s">
        <v>115</v>
      </c>
      <c r="H1309" s="402">
        <v>12</v>
      </c>
      <c r="I1309" s="63">
        <v>9</v>
      </c>
      <c r="J1309" s="235" t="s">
        <v>145</v>
      </c>
      <c r="K1309" s="140">
        <v>8</v>
      </c>
      <c r="L1309" s="14" t="s">
        <v>295</v>
      </c>
      <c r="M1309" s="14" t="s">
        <v>5199</v>
      </c>
      <c r="N1309" t="s">
        <v>2992</v>
      </c>
      <c r="O1309" s="85" t="s">
        <v>5200</v>
      </c>
      <c r="R1309" s="235"/>
      <c r="S1309" s="235"/>
    </row>
    <row r="1310" spans="1:19" ht="15" thickBot="1" x14ac:dyDescent="0.4">
      <c r="B1310" s="364" t="s">
        <v>5013</v>
      </c>
      <c r="C1310" s="259">
        <v>-0.41366291681515205</v>
      </c>
      <c r="D1310" s="262">
        <v>95.035016690569535</v>
      </c>
      <c r="E1310" s="222" t="s">
        <v>395</v>
      </c>
      <c r="F1310" s="381">
        <v>12</v>
      </c>
      <c r="G1310" s="44" t="s">
        <v>77</v>
      </c>
      <c r="H1310" s="381">
        <v>22</v>
      </c>
      <c r="I1310" s="56">
        <v>5</v>
      </c>
      <c r="J1310" s="57" t="s">
        <v>41</v>
      </c>
      <c r="K1310" s="141">
        <v>7</v>
      </c>
      <c r="L1310" s="23" t="s">
        <v>744</v>
      </c>
      <c r="M1310" s="271" t="s">
        <v>5201</v>
      </c>
      <c r="N1310" s="44" t="s">
        <v>2953</v>
      </c>
      <c r="O1310" s="86" t="s">
        <v>5202</v>
      </c>
      <c r="R1310" s="235"/>
      <c r="S1310" s="235"/>
    </row>
    <row r="1311" spans="1:19" x14ac:dyDescent="0.35">
      <c r="A1311" s="6" t="s">
        <v>5212</v>
      </c>
      <c r="B1311" s="72" t="s">
        <v>5014</v>
      </c>
      <c r="C1311" s="257">
        <v>-0.30492702793175402</v>
      </c>
      <c r="D1311" s="261">
        <v>97.441668417557111</v>
      </c>
      <c r="E1311" s="138" t="s">
        <v>395</v>
      </c>
      <c r="F1311" s="409">
        <v>6</v>
      </c>
      <c r="G1311" s="1" t="s">
        <v>36</v>
      </c>
      <c r="H1311" s="409">
        <v>17</v>
      </c>
      <c r="I1311" s="63">
        <v>10</v>
      </c>
      <c r="J1311" s="235" t="s">
        <v>1344</v>
      </c>
      <c r="K1311" s="140">
        <v>4</v>
      </c>
      <c r="L1311" s="14" t="s">
        <v>201</v>
      </c>
      <c r="M1311" s="14" t="s">
        <v>5210</v>
      </c>
      <c r="N1311" t="s">
        <v>2992</v>
      </c>
      <c r="R1311" s="235"/>
      <c r="S1311" s="235"/>
    </row>
    <row r="1312" spans="1:19" x14ac:dyDescent="0.35">
      <c r="B1312" s="72" t="s">
        <v>5014</v>
      </c>
      <c r="C1312" s="257">
        <v>1.7584975646456837</v>
      </c>
      <c r="D1312" s="261">
        <v>92.56965867365129</v>
      </c>
      <c r="E1312" s="138" t="s">
        <v>395</v>
      </c>
      <c r="F1312" s="409">
        <v>11</v>
      </c>
      <c r="G1312" s="1" t="s">
        <v>77</v>
      </c>
      <c r="H1312" s="409">
        <v>16</v>
      </c>
      <c r="I1312" s="63">
        <v>10</v>
      </c>
      <c r="J1312" s="235" t="s">
        <v>115</v>
      </c>
      <c r="K1312" s="140">
        <v>12</v>
      </c>
      <c r="L1312" s="14" t="s">
        <v>190</v>
      </c>
      <c r="M1312" s="14" t="s">
        <v>5211</v>
      </c>
      <c r="N1312" t="s">
        <v>2992</v>
      </c>
      <c r="R1312" s="235"/>
      <c r="S1312" s="235"/>
    </row>
    <row r="1313" spans="1:19" x14ac:dyDescent="0.35">
      <c r="B1313" s="72" t="s">
        <v>5015</v>
      </c>
      <c r="C1313" s="257">
        <v>-5.0715936945984206</v>
      </c>
      <c r="D1313" s="363">
        <v>100.43785889374759</v>
      </c>
      <c r="E1313" s="138" t="s">
        <v>396</v>
      </c>
      <c r="F1313" s="409">
        <v>6</v>
      </c>
      <c r="G1313" s="1" t="s">
        <v>36</v>
      </c>
      <c r="H1313" s="409">
        <v>25</v>
      </c>
      <c r="I1313" s="63">
        <v>18</v>
      </c>
      <c r="J1313" s="235" t="s">
        <v>1344</v>
      </c>
      <c r="K1313" s="140">
        <v>4</v>
      </c>
      <c r="L1313" s="14" t="s">
        <v>332</v>
      </c>
      <c r="M1313" s="14" t="s">
        <v>5216</v>
      </c>
      <c r="N1313" t="s">
        <v>2992</v>
      </c>
      <c r="O1313" s="85" t="s">
        <v>5217</v>
      </c>
      <c r="R1313" s="235"/>
      <c r="S1313" s="235"/>
    </row>
    <row r="1314" spans="1:19" ht="15" thickBot="1" x14ac:dyDescent="0.4">
      <c r="B1314" s="364" t="s">
        <v>5015</v>
      </c>
      <c r="C1314" s="259">
        <v>1.981502435354316</v>
      </c>
      <c r="D1314" s="262">
        <v>92.429484183491567</v>
      </c>
      <c r="E1314" s="222" t="s">
        <v>395</v>
      </c>
      <c r="F1314" s="381">
        <v>12</v>
      </c>
      <c r="G1314" s="44" t="s">
        <v>115</v>
      </c>
      <c r="H1314" s="381">
        <v>29</v>
      </c>
      <c r="I1314" s="56">
        <v>17</v>
      </c>
      <c r="J1314" s="57" t="s">
        <v>77</v>
      </c>
      <c r="K1314" s="141">
        <v>11</v>
      </c>
      <c r="L1314" s="23" t="s">
        <v>358</v>
      </c>
      <c r="M1314" s="271" t="s">
        <v>5218</v>
      </c>
      <c r="N1314" s="44" t="s">
        <v>2953</v>
      </c>
      <c r="O1314" s="86" t="s">
        <v>5219</v>
      </c>
      <c r="R1314" s="235"/>
      <c r="S1314" s="235"/>
    </row>
    <row r="1315" spans="1:19" x14ac:dyDescent="0.35">
      <c r="B1315" s="237" t="s">
        <v>4673</v>
      </c>
      <c r="C1315" s="257">
        <v>-2.5025471365490297</v>
      </c>
      <c r="D1315" s="363">
        <v>99.923029628687971</v>
      </c>
      <c r="E1315" s="138" t="s">
        <v>395</v>
      </c>
      <c r="F1315" s="409">
        <v>5</v>
      </c>
      <c r="G1315" s="1" t="s">
        <v>795</v>
      </c>
      <c r="H1315" s="409">
        <v>15</v>
      </c>
      <c r="I1315" s="63">
        <v>12</v>
      </c>
      <c r="J1315" s="235" t="s">
        <v>87</v>
      </c>
      <c r="K1315" s="140">
        <v>1</v>
      </c>
      <c r="L1315" s="14" t="s">
        <v>337</v>
      </c>
      <c r="M1315" s="14" t="s">
        <v>5213</v>
      </c>
      <c r="N1315" t="s">
        <v>2992</v>
      </c>
    </row>
    <row r="1316" spans="1:19" x14ac:dyDescent="0.35">
      <c r="B1316" s="237" t="s">
        <v>4673</v>
      </c>
      <c r="C1316" s="257">
        <v>1.9284976955377857</v>
      </c>
      <c r="D1316" s="261">
        <v>98.412801448519104</v>
      </c>
      <c r="E1316" s="138" t="s">
        <v>395</v>
      </c>
      <c r="F1316" s="409">
        <v>2</v>
      </c>
      <c r="G1316" s="1" t="s">
        <v>26</v>
      </c>
      <c r="H1316" s="409">
        <v>23</v>
      </c>
      <c r="I1316" s="63">
        <v>20</v>
      </c>
      <c r="J1316" s="235" t="s">
        <v>118</v>
      </c>
      <c r="K1316" s="140">
        <v>3</v>
      </c>
      <c r="L1316" s="14" t="s">
        <v>512</v>
      </c>
      <c r="M1316" s="14" t="s">
        <v>5215</v>
      </c>
      <c r="N1316" t="s">
        <v>2992</v>
      </c>
      <c r="O1316" s="85" t="s">
        <v>5214</v>
      </c>
    </row>
    <row r="1317" spans="1:19" x14ac:dyDescent="0.35">
      <c r="B1317" s="237" t="s">
        <v>4674</v>
      </c>
      <c r="C1317" s="257">
        <v>-7.2275471365490294</v>
      </c>
      <c r="D1317" s="363">
        <v>102.89302962868796</v>
      </c>
      <c r="E1317" s="138" t="s">
        <v>396</v>
      </c>
      <c r="F1317" s="409">
        <v>5</v>
      </c>
      <c r="G1317" s="1" t="s">
        <v>795</v>
      </c>
      <c r="H1317" s="409">
        <v>22</v>
      </c>
      <c r="I1317" s="63">
        <v>18</v>
      </c>
      <c r="J1317" s="235" t="s">
        <v>87</v>
      </c>
      <c r="K1317" s="140">
        <v>1</v>
      </c>
      <c r="L1317" s="14" t="s">
        <v>334</v>
      </c>
      <c r="M1317" s="14" t="s">
        <v>5220</v>
      </c>
      <c r="N1317" t="s">
        <v>2992</v>
      </c>
      <c r="O1317" s="85" t="s">
        <v>5227</v>
      </c>
    </row>
    <row r="1318" spans="1:19" ht="15" thickBot="1" x14ac:dyDescent="0.4">
      <c r="B1318" s="258" t="s">
        <v>4674</v>
      </c>
      <c r="C1318" s="259">
        <v>2.4749398044622142</v>
      </c>
      <c r="D1318" s="262">
        <v>97.069323551480892</v>
      </c>
      <c r="E1318" s="222" t="s">
        <v>395</v>
      </c>
      <c r="F1318" s="381">
        <v>3</v>
      </c>
      <c r="G1318" s="44" t="s">
        <v>118</v>
      </c>
      <c r="H1318" s="381">
        <v>23</v>
      </c>
      <c r="I1318" s="56">
        <v>6</v>
      </c>
      <c r="J1318" s="57" t="s">
        <v>26</v>
      </c>
      <c r="K1318" s="141">
        <v>2</v>
      </c>
      <c r="L1318" s="23" t="s">
        <v>397</v>
      </c>
      <c r="M1318" s="271" t="s">
        <v>5221</v>
      </c>
      <c r="N1318" s="44" t="s">
        <v>2953</v>
      </c>
      <c r="O1318" s="86" t="s">
        <v>5222</v>
      </c>
    </row>
    <row r="1319" spans="1:19" x14ac:dyDescent="0.35">
      <c r="B1319" s="72" t="s">
        <v>5016</v>
      </c>
      <c r="C1319" s="257">
        <v>2.0654064225349638</v>
      </c>
      <c r="D1319" s="261">
        <v>96.226744534406592</v>
      </c>
      <c r="E1319" s="138" t="s">
        <v>396</v>
      </c>
      <c r="F1319" s="409">
        <v>3</v>
      </c>
      <c r="G1319" s="1" t="s">
        <v>26</v>
      </c>
      <c r="H1319" s="409">
        <v>20</v>
      </c>
      <c r="I1319" s="63">
        <v>14</v>
      </c>
      <c r="J1319" s="235" t="s">
        <v>36</v>
      </c>
      <c r="K1319" s="140">
        <v>6</v>
      </c>
      <c r="L1319" s="14" t="s">
        <v>299</v>
      </c>
      <c r="M1319" s="14" t="s">
        <v>5228</v>
      </c>
      <c r="N1319" t="s">
        <v>2992</v>
      </c>
      <c r="R1319" s="235"/>
      <c r="S1319" s="235"/>
    </row>
    <row r="1320" spans="1:19" x14ac:dyDescent="0.35">
      <c r="B1320" s="72" t="s">
        <v>5016</v>
      </c>
      <c r="C1320" s="257">
        <v>7.203279129268223</v>
      </c>
      <c r="D1320" s="261">
        <v>92.172224547317114</v>
      </c>
      <c r="E1320" s="138" t="s">
        <v>396</v>
      </c>
      <c r="F1320" s="409">
        <v>1</v>
      </c>
      <c r="G1320" s="1" t="s">
        <v>87</v>
      </c>
      <c r="H1320" s="409">
        <v>26</v>
      </c>
      <c r="I1320" s="63">
        <v>13</v>
      </c>
      <c r="J1320" s="235" t="s">
        <v>115</v>
      </c>
      <c r="K1320" s="140">
        <v>11</v>
      </c>
      <c r="L1320" s="14" t="s">
        <v>186</v>
      </c>
      <c r="M1320" s="43" t="s">
        <v>5229</v>
      </c>
      <c r="N1320" s="1" t="s">
        <v>2953</v>
      </c>
      <c r="R1320" s="235"/>
      <c r="S1320" s="235"/>
    </row>
    <row r="1321" spans="1:19" x14ac:dyDescent="0.35">
      <c r="B1321" s="72" t="s">
        <v>5017</v>
      </c>
      <c r="C1321" s="257">
        <v>-7.0252790054168912</v>
      </c>
      <c r="D1321" s="363">
        <v>101.94088966054775</v>
      </c>
      <c r="E1321" s="138" t="s">
        <v>396</v>
      </c>
      <c r="F1321" s="409">
        <v>6</v>
      </c>
      <c r="G1321" s="1" t="s">
        <v>36</v>
      </c>
      <c r="H1321" s="409">
        <v>19</v>
      </c>
      <c r="I1321" s="63">
        <v>15</v>
      </c>
      <c r="J1321" s="235" t="s">
        <v>26</v>
      </c>
      <c r="K1321" s="140">
        <v>3</v>
      </c>
      <c r="L1321" s="14" t="s">
        <v>447</v>
      </c>
      <c r="M1321" s="14" t="s">
        <v>5230</v>
      </c>
      <c r="N1321" t="s">
        <v>2992</v>
      </c>
      <c r="O1321" s="85" t="s">
        <v>5231</v>
      </c>
      <c r="R1321" s="235"/>
      <c r="S1321" s="235"/>
    </row>
    <row r="1322" spans="1:19" ht="15" thickBot="1" x14ac:dyDescent="0.4">
      <c r="B1322" s="364" t="s">
        <v>5017</v>
      </c>
      <c r="C1322" s="259">
        <v>-12.558279129268222</v>
      </c>
      <c r="D1322" s="405">
        <v>104.59377545268289</v>
      </c>
      <c r="E1322" s="222" t="s">
        <v>396</v>
      </c>
      <c r="F1322" s="381">
        <v>11</v>
      </c>
      <c r="G1322" s="44" t="s">
        <v>115</v>
      </c>
      <c r="H1322" s="381">
        <v>26</v>
      </c>
      <c r="I1322" s="56">
        <v>24</v>
      </c>
      <c r="J1322" s="57" t="s">
        <v>87</v>
      </c>
      <c r="K1322" s="141">
        <v>1</v>
      </c>
      <c r="L1322" s="23" t="s">
        <v>361</v>
      </c>
      <c r="M1322" s="23" t="s">
        <v>5232</v>
      </c>
      <c r="N1322" s="12" t="s">
        <v>2992</v>
      </c>
      <c r="O1322" s="86" t="s">
        <v>5233</v>
      </c>
      <c r="R1322" s="235"/>
      <c r="S1322" s="235"/>
    </row>
    <row r="1323" spans="1:19" x14ac:dyDescent="0.35">
      <c r="A1323" s="6" t="s">
        <v>5236</v>
      </c>
      <c r="B1323" s="72" t="s">
        <v>5018</v>
      </c>
      <c r="C1323" s="257">
        <v>-5.1636653756131379</v>
      </c>
      <c r="D1323" s="363">
        <v>102.14573252181398</v>
      </c>
      <c r="E1323" s="138" t="s">
        <v>396</v>
      </c>
      <c r="F1323" s="411">
        <v>3</v>
      </c>
      <c r="G1323" s="1" t="s">
        <v>26</v>
      </c>
      <c r="H1323" s="411">
        <v>24</v>
      </c>
      <c r="I1323" s="63">
        <v>8</v>
      </c>
      <c r="J1323" s="235" t="s">
        <v>87</v>
      </c>
      <c r="K1323" s="140">
        <v>1</v>
      </c>
      <c r="L1323" s="14" t="s">
        <v>3037</v>
      </c>
      <c r="M1323" s="43" t="s">
        <v>5234</v>
      </c>
      <c r="N1323" s="1" t="s">
        <v>2953</v>
      </c>
      <c r="O1323" s="87" t="s">
        <v>5235</v>
      </c>
    </row>
    <row r="1324" spans="1:19" ht="15" thickBot="1" x14ac:dyDescent="0.4">
      <c r="B1324" s="364" t="s">
        <v>5019</v>
      </c>
      <c r="C1324" s="259">
        <v>-0.40366537561313881</v>
      </c>
      <c r="D1324" s="262">
        <v>99.153732521813978</v>
      </c>
      <c r="E1324" s="222" t="s">
        <v>395</v>
      </c>
      <c r="F1324" s="381">
        <v>3</v>
      </c>
      <c r="G1324" s="44" t="s">
        <v>26</v>
      </c>
      <c r="H1324" s="381">
        <v>27</v>
      </c>
      <c r="I1324" s="56">
        <v>25</v>
      </c>
      <c r="J1324" s="57" t="s">
        <v>87</v>
      </c>
      <c r="K1324" s="141">
        <v>1</v>
      </c>
      <c r="L1324" s="23" t="s">
        <v>601</v>
      </c>
      <c r="M1324" s="23" t="s">
        <v>5238</v>
      </c>
      <c r="N1324" s="12" t="s">
        <v>2992</v>
      </c>
      <c r="O1324" s="86" t="s">
        <v>5239</v>
      </c>
    </row>
    <row r="1325" spans="1:19" x14ac:dyDescent="0.35">
      <c r="B1325" s="237" t="s">
        <v>4675</v>
      </c>
      <c r="C1325" s="257">
        <v>-4.7408253761864119</v>
      </c>
      <c r="D1325" s="363">
        <v>101.32994737931718</v>
      </c>
      <c r="E1325" s="138" t="s">
        <v>396</v>
      </c>
      <c r="F1325" s="411">
        <v>4</v>
      </c>
      <c r="G1325" s="1" t="s">
        <v>795</v>
      </c>
      <c r="H1325" s="411">
        <v>17</v>
      </c>
      <c r="I1325" s="63">
        <v>14</v>
      </c>
      <c r="J1325" s="235" t="s">
        <v>118</v>
      </c>
      <c r="K1325" s="140">
        <v>2</v>
      </c>
      <c r="L1325" s="14" t="s">
        <v>450</v>
      </c>
      <c r="M1325" s="14" t="s">
        <v>5237</v>
      </c>
      <c r="N1325" t="s">
        <v>2992</v>
      </c>
      <c r="R1325" s="235"/>
      <c r="S1325" s="235"/>
    </row>
    <row r="1326" spans="1:19" ht="15" thickBot="1" x14ac:dyDescent="0.4">
      <c r="B1326" s="258" t="s">
        <v>4676</v>
      </c>
      <c r="C1326" s="259">
        <v>0.78667462381358866</v>
      </c>
      <c r="D1326" s="262">
        <v>98.8555188078886</v>
      </c>
      <c r="E1326" s="222" t="s">
        <v>395</v>
      </c>
      <c r="F1326" s="381">
        <v>4</v>
      </c>
      <c r="G1326" s="44" t="s">
        <v>795</v>
      </c>
      <c r="H1326" s="381">
        <v>19</v>
      </c>
      <c r="I1326" s="56">
        <v>18</v>
      </c>
      <c r="J1326" s="57" t="s">
        <v>118</v>
      </c>
      <c r="K1326" s="141">
        <v>2</v>
      </c>
      <c r="L1326" s="23" t="s">
        <v>369</v>
      </c>
      <c r="M1326" s="23" t="s">
        <v>5240</v>
      </c>
      <c r="N1326" s="12" t="s">
        <v>2992</v>
      </c>
      <c r="O1326" s="86" t="s">
        <v>5241</v>
      </c>
      <c r="R1326" s="235"/>
      <c r="S1326" s="235"/>
    </row>
    <row r="1327" spans="1:19" x14ac:dyDescent="0.35">
      <c r="B1327" s="72" t="s">
        <v>5020</v>
      </c>
      <c r="C1327" s="257">
        <v>2.3264199228200466</v>
      </c>
      <c r="D1327" s="261">
        <v>97.16267890565598</v>
      </c>
      <c r="E1327" s="138" t="s">
        <v>395</v>
      </c>
      <c r="F1327" s="411">
        <v>2</v>
      </c>
      <c r="G1327" s="1" t="s">
        <v>26</v>
      </c>
      <c r="H1327" s="411">
        <v>14</v>
      </c>
      <c r="I1327" s="63">
        <v>13</v>
      </c>
      <c r="J1327" s="235" t="s">
        <v>118</v>
      </c>
      <c r="K1327" s="140">
        <v>3</v>
      </c>
      <c r="L1327" s="14" t="s">
        <v>400</v>
      </c>
      <c r="M1327" s="14" t="s">
        <v>5244</v>
      </c>
      <c r="N1327" t="s">
        <v>2992</v>
      </c>
    </row>
    <row r="1328" spans="1:19" ht="15" thickBot="1" x14ac:dyDescent="0.4">
      <c r="B1328" s="364" t="s">
        <v>5021</v>
      </c>
      <c r="C1328" s="259">
        <v>2.6948482765390342</v>
      </c>
      <c r="D1328" s="262">
        <v>96.931095369032604</v>
      </c>
      <c r="E1328" s="222" t="s">
        <v>395</v>
      </c>
      <c r="F1328" s="381">
        <v>3</v>
      </c>
      <c r="G1328" s="44" t="s">
        <v>118</v>
      </c>
      <c r="H1328" s="381">
        <v>16</v>
      </c>
      <c r="I1328" s="56">
        <v>15</v>
      </c>
      <c r="J1328" s="57" t="s">
        <v>26</v>
      </c>
      <c r="K1328" s="141">
        <v>2</v>
      </c>
      <c r="L1328" s="23" t="s">
        <v>179</v>
      </c>
      <c r="M1328" s="23" t="s">
        <v>5245</v>
      </c>
      <c r="N1328" s="12" t="s">
        <v>2992</v>
      </c>
      <c r="O1328" s="86" t="s">
        <v>5246</v>
      </c>
    </row>
    <row r="1329" spans="2:15" x14ac:dyDescent="0.35">
      <c r="B1329" s="237" t="s">
        <v>4677</v>
      </c>
      <c r="C1329" s="257">
        <v>4.2251222157599662</v>
      </c>
      <c r="D1329" s="261">
        <v>95.419208892950877</v>
      </c>
      <c r="E1329" s="138" t="s">
        <v>395</v>
      </c>
      <c r="F1329" s="411">
        <v>3</v>
      </c>
      <c r="G1329" s="1" t="s">
        <v>118</v>
      </c>
      <c r="H1329" s="411">
        <v>23</v>
      </c>
      <c r="I1329" s="63">
        <v>18</v>
      </c>
      <c r="J1329" s="235" t="s">
        <v>795</v>
      </c>
      <c r="K1329" s="140">
        <v>4</v>
      </c>
      <c r="L1329" s="14" t="s">
        <v>507</v>
      </c>
      <c r="M1329" s="14" t="s">
        <v>5247</v>
      </c>
      <c r="N1329" t="s">
        <v>2992</v>
      </c>
      <c r="O1329" s="87" t="s">
        <v>5248</v>
      </c>
    </row>
    <row r="1330" spans="2:15" ht="15" thickBot="1" x14ac:dyDescent="0.4">
      <c r="B1330" s="258" t="s">
        <v>4678</v>
      </c>
      <c r="C1330" s="259">
        <v>-1.539086736293374</v>
      </c>
      <c r="D1330" s="262">
        <v>99.042425948527267</v>
      </c>
      <c r="E1330" s="222" t="s">
        <v>396</v>
      </c>
      <c r="F1330" s="381">
        <v>3</v>
      </c>
      <c r="G1330" s="44" t="s">
        <v>118</v>
      </c>
      <c r="H1330" s="381">
        <v>19</v>
      </c>
      <c r="I1330" s="56">
        <v>16</v>
      </c>
      <c r="J1330" s="57" t="s">
        <v>795</v>
      </c>
      <c r="K1330" s="141">
        <v>4</v>
      </c>
      <c r="L1330" s="23" t="s">
        <v>179</v>
      </c>
      <c r="M1330" s="23" t="s">
        <v>5249</v>
      </c>
      <c r="N1330" s="12" t="s">
        <v>2992</v>
      </c>
      <c r="O1330" s="88" t="s">
        <v>5257</v>
      </c>
    </row>
    <row r="1331" spans="2:15" x14ac:dyDescent="0.35">
      <c r="B1331" s="237" t="s">
        <v>4679</v>
      </c>
      <c r="C1331" s="257">
        <v>1.0088627039273728</v>
      </c>
      <c r="D1331" s="261">
        <v>97.440857728959941</v>
      </c>
      <c r="E1331" s="138" t="s">
        <v>395</v>
      </c>
      <c r="F1331" s="411">
        <v>4</v>
      </c>
      <c r="G1331" s="1" t="s">
        <v>795</v>
      </c>
      <c r="H1331" s="411">
        <v>19</v>
      </c>
      <c r="I1331" s="63">
        <v>8</v>
      </c>
      <c r="J1331" s="235" t="s">
        <v>118</v>
      </c>
      <c r="K1331" s="140">
        <v>3</v>
      </c>
      <c r="L1331" s="14" t="s">
        <v>297</v>
      </c>
      <c r="M1331" s="43" t="s">
        <v>5250</v>
      </c>
      <c r="N1331" s="1" t="s">
        <v>2953</v>
      </c>
      <c r="O1331" s="87" t="s">
        <v>5252</v>
      </c>
    </row>
    <row r="1332" spans="2:15" x14ac:dyDescent="0.35">
      <c r="B1332" s="237" t="s">
        <v>4680</v>
      </c>
      <c r="C1332" s="257">
        <v>5.0239497960726274</v>
      </c>
      <c r="D1332" s="261">
        <v>94.917088699611483</v>
      </c>
      <c r="E1332" s="138" t="s">
        <v>395</v>
      </c>
      <c r="F1332" s="411">
        <v>3</v>
      </c>
      <c r="G1332" s="1" t="s">
        <v>118</v>
      </c>
      <c r="H1332" s="411">
        <v>30</v>
      </c>
      <c r="I1332" s="63">
        <v>17</v>
      </c>
      <c r="J1332" s="235" t="s">
        <v>795</v>
      </c>
      <c r="K1332" s="140">
        <v>4</v>
      </c>
      <c r="L1332" s="14" t="s">
        <v>504</v>
      </c>
      <c r="M1332" s="43" t="s">
        <v>5251</v>
      </c>
      <c r="N1332" s="1" t="s">
        <v>2953</v>
      </c>
      <c r="O1332" s="87" t="s">
        <v>5253</v>
      </c>
    </row>
    <row r="1333" spans="2:15" ht="15" thickBot="1" x14ac:dyDescent="0.4">
      <c r="B1333" s="258" t="s">
        <v>4681</v>
      </c>
      <c r="C1333" s="259">
        <v>4.8889657204188417</v>
      </c>
      <c r="D1333" s="262">
        <v>95.001935832879582</v>
      </c>
      <c r="E1333" s="222" t="s">
        <v>395</v>
      </c>
      <c r="F1333" s="381">
        <v>3</v>
      </c>
      <c r="G1333" s="44" t="s">
        <v>118</v>
      </c>
      <c r="H1333" s="381">
        <v>17</v>
      </c>
      <c r="I1333" s="56">
        <v>15</v>
      </c>
      <c r="J1333" s="57" t="s">
        <v>795</v>
      </c>
      <c r="K1333" s="141">
        <v>4</v>
      </c>
      <c r="L1333" s="23" t="s">
        <v>488</v>
      </c>
      <c r="M1333" s="23" t="s">
        <v>5254</v>
      </c>
      <c r="N1333" s="12" t="s">
        <v>2992</v>
      </c>
      <c r="O1333" s="86" t="s">
        <v>5256</v>
      </c>
    </row>
    <row r="1334" spans="2:15" x14ac:dyDescent="0.35">
      <c r="O1334" s="413" t="s">
        <v>5255</v>
      </c>
    </row>
    <row r="1358" spans="2:13" x14ac:dyDescent="0.35">
      <c r="B1358" s="235"/>
      <c r="L1358" s="14"/>
      <c r="M1358" s="14"/>
    </row>
    <row r="1359" spans="2:13" x14ac:dyDescent="0.35">
      <c r="B1359" s="235"/>
      <c r="L1359" s="14"/>
      <c r="M1359" s="14"/>
    </row>
    <row r="1360" spans="2:13" x14ac:dyDescent="0.35">
      <c r="B1360" s="235"/>
      <c r="L1360" s="14"/>
      <c r="M1360" s="14"/>
    </row>
    <row r="1361" spans="2:13" x14ac:dyDescent="0.35">
      <c r="B1361" s="235"/>
      <c r="L1361" s="14"/>
      <c r="M1361" s="14"/>
    </row>
    <row r="1362" spans="2:13" x14ac:dyDescent="0.35">
      <c r="B1362" s="235"/>
      <c r="L1362" s="14"/>
      <c r="M1362" s="14"/>
    </row>
    <row r="1363" spans="2:13" x14ac:dyDescent="0.35">
      <c r="B1363" s="235"/>
      <c r="L1363" s="14"/>
      <c r="M1363" s="14"/>
    </row>
    <row r="1364" spans="2:13" x14ac:dyDescent="0.35">
      <c r="B1364" s="235"/>
      <c r="L1364" s="14"/>
      <c r="M1364" s="14"/>
    </row>
    <row r="1365" spans="2:13" x14ac:dyDescent="0.35">
      <c r="B1365" s="235"/>
      <c r="L1365" s="14"/>
      <c r="M1365" s="14"/>
    </row>
    <row r="1366" spans="2:13" x14ac:dyDescent="0.35">
      <c r="B1366" s="235"/>
      <c r="L1366" s="14"/>
      <c r="M1366" s="14"/>
    </row>
    <row r="1367" spans="2:13" x14ac:dyDescent="0.35">
      <c r="B1367" s="235"/>
      <c r="L1367" s="14"/>
      <c r="M1367" s="14"/>
    </row>
    <row r="1368" spans="2:13" x14ac:dyDescent="0.35">
      <c r="B1368" s="235"/>
      <c r="L1368" s="14"/>
      <c r="M1368" s="14"/>
    </row>
    <row r="1369" spans="2:13" x14ac:dyDescent="0.35">
      <c r="B1369" s="235"/>
      <c r="L1369" s="14"/>
      <c r="M1369" s="14"/>
    </row>
    <row r="1370" spans="2:13" x14ac:dyDescent="0.35">
      <c r="B1370" s="235"/>
      <c r="L1370" s="14"/>
      <c r="M1370" s="14"/>
    </row>
    <row r="1371" spans="2:13" x14ac:dyDescent="0.35">
      <c r="B1371" s="235"/>
      <c r="L1371" s="14"/>
      <c r="M1371" s="14"/>
    </row>
    <row r="1372" spans="2:13" x14ac:dyDescent="0.35">
      <c r="B1372" s="235"/>
      <c r="L1372" s="14"/>
      <c r="M1372" s="14"/>
    </row>
    <row r="1373" spans="2:13" x14ac:dyDescent="0.35">
      <c r="B1373" s="235"/>
      <c r="L1373" s="14"/>
      <c r="M1373" s="14"/>
    </row>
    <row r="1374" spans="2:13" x14ac:dyDescent="0.35">
      <c r="B1374" s="235"/>
      <c r="L1374" s="14"/>
      <c r="M1374" s="14"/>
    </row>
    <row r="1375" spans="2:13" x14ac:dyDescent="0.35">
      <c r="B1375" s="235"/>
      <c r="L1375" s="14"/>
      <c r="M1375" s="14"/>
    </row>
    <row r="1376" spans="2:13" x14ac:dyDescent="0.35">
      <c r="B1376" s="235"/>
      <c r="L1376" s="14"/>
      <c r="M1376" s="14"/>
    </row>
    <row r="1377" spans="2:13" x14ac:dyDescent="0.35">
      <c r="B1377" s="235"/>
      <c r="L1377" s="14"/>
      <c r="M1377" s="14"/>
    </row>
    <row r="1378" spans="2:13" x14ac:dyDescent="0.35">
      <c r="B1378" s="235"/>
      <c r="L1378" s="14"/>
      <c r="M1378" s="14"/>
    </row>
    <row r="1379" spans="2:13" x14ac:dyDescent="0.35">
      <c r="B1379" s="235"/>
      <c r="L1379" s="14"/>
      <c r="M1379" s="14"/>
    </row>
    <row r="1380" spans="2:13" x14ac:dyDescent="0.35">
      <c r="B1380" s="235"/>
      <c r="L1380" s="14"/>
      <c r="M1380" s="14"/>
    </row>
    <row r="1381" spans="2:13" x14ac:dyDescent="0.35">
      <c r="B1381" s="235"/>
      <c r="L1381" s="14"/>
      <c r="M1381" s="14"/>
    </row>
    <row r="1382" spans="2:13" x14ac:dyDescent="0.35">
      <c r="B1382" s="235"/>
      <c r="L1382" s="14"/>
      <c r="M1382" s="14"/>
    </row>
    <row r="1383" spans="2:13" x14ac:dyDescent="0.35">
      <c r="B1383" s="235"/>
      <c r="L1383" s="14"/>
      <c r="M1383" s="14"/>
    </row>
    <row r="1384" spans="2:13" x14ac:dyDescent="0.35">
      <c r="B1384" s="235"/>
      <c r="L1384" s="14"/>
      <c r="M1384" s="14"/>
    </row>
    <row r="1385" spans="2:13" x14ac:dyDescent="0.35">
      <c r="B1385" s="235"/>
      <c r="L1385" s="14"/>
      <c r="M1385" s="14"/>
    </row>
    <row r="1386" spans="2:13" x14ac:dyDescent="0.35">
      <c r="B1386" s="235"/>
      <c r="L1386" s="14"/>
      <c r="M1386" s="14"/>
    </row>
    <row r="1387" spans="2:13" x14ac:dyDescent="0.35">
      <c r="B1387" s="235"/>
      <c r="L1387" s="14"/>
      <c r="M1387" s="14"/>
    </row>
    <row r="1388" spans="2:13" x14ac:dyDescent="0.35">
      <c r="B1388" s="235"/>
      <c r="L1388" s="14"/>
      <c r="M1388" s="14"/>
    </row>
    <row r="1389" spans="2:13" x14ac:dyDescent="0.35">
      <c r="B1389" s="235"/>
      <c r="L1389" s="14"/>
      <c r="M1389" s="14"/>
    </row>
    <row r="1390" spans="2:13" x14ac:dyDescent="0.35">
      <c r="B1390" s="235"/>
      <c r="L1390" s="14"/>
      <c r="M1390" s="14"/>
    </row>
    <row r="1391" spans="2:13" x14ac:dyDescent="0.35">
      <c r="B1391" s="235"/>
      <c r="L1391" s="14"/>
      <c r="M1391" s="14"/>
    </row>
    <row r="1392" spans="2:13" x14ac:dyDescent="0.35">
      <c r="B1392" s="235"/>
      <c r="L1392" s="14"/>
      <c r="M1392" s="14"/>
    </row>
    <row r="1393" spans="2:13" x14ac:dyDescent="0.35">
      <c r="B1393" s="235"/>
      <c r="L1393" s="14"/>
      <c r="M1393" s="14"/>
    </row>
    <row r="1394" spans="2:13" x14ac:dyDescent="0.35">
      <c r="B1394" s="235"/>
      <c r="L1394" s="14"/>
      <c r="M1394" s="14"/>
    </row>
    <row r="1395" spans="2:13" x14ac:dyDescent="0.35">
      <c r="B1395" s="235"/>
      <c r="L1395" s="14"/>
      <c r="M1395" s="14"/>
    </row>
    <row r="1396" spans="2:13" x14ac:dyDescent="0.35">
      <c r="B1396" s="235"/>
      <c r="L1396" s="14"/>
      <c r="M1396" s="14"/>
    </row>
    <row r="1397" spans="2:13" x14ac:dyDescent="0.35">
      <c r="B1397" s="235"/>
      <c r="L1397" s="14"/>
      <c r="M1397" s="14"/>
    </row>
    <row r="1398" spans="2:13" x14ac:dyDescent="0.35">
      <c r="B1398" s="235"/>
      <c r="L1398" s="14"/>
      <c r="M1398" s="14"/>
    </row>
    <row r="1399" spans="2:13" x14ac:dyDescent="0.35">
      <c r="B1399" s="235"/>
      <c r="L1399" s="14"/>
      <c r="M1399" s="14"/>
    </row>
    <row r="1400" spans="2:13" x14ac:dyDescent="0.35">
      <c r="B1400" s="235"/>
      <c r="L1400" s="14"/>
      <c r="M1400" s="14"/>
    </row>
    <row r="1401" spans="2:13" x14ac:dyDescent="0.35">
      <c r="B1401" s="235"/>
      <c r="L1401" s="14"/>
      <c r="M1401" s="14"/>
    </row>
    <row r="1402" spans="2:13" x14ac:dyDescent="0.35">
      <c r="B1402" s="235"/>
      <c r="L1402" s="14"/>
      <c r="M1402" s="14"/>
    </row>
    <row r="1403" spans="2:13" x14ac:dyDescent="0.35">
      <c r="B1403" s="235"/>
      <c r="L1403" s="14"/>
      <c r="M1403" s="14"/>
    </row>
    <row r="1404" spans="2:13" x14ac:dyDescent="0.35">
      <c r="B1404" s="235"/>
      <c r="L1404" s="14"/>
      <c r="M1404" s="14"/>
    </row>
    <row r="1405" spans="2:13" x14ac:dyDescent="0.35">
      <c r="B1405" s="235"/>
      <c r="L1405" s="14"/>
      <c r="M1405" s="14"/>
    </row>
    <row r="1406" spans="2:13" x14ac:dyDescent="0.35">
      <c r="B1406" s="235"/>
      <c r="L1406" s="14"/>
      <c r="M1406" s="14"/>
    </row>
    <row r="1407" spans="2:13" x14ac:dyDescent="0.35">
      <c r="B1407" s="235"/>
      <c r="L1407" s="14"/>
      <c r="M1407" s="14"/>
    </row>
    <row r="1408" spans="2:13" x14ac:dyDescent="0.35">
      <c r="B1408" s="235"/>
      <c r="L1408" s="14"/>
      <c r="M1408" s="14"/>
    </row>
    <row r="1409" spans="2:13" x14ac:dyDescent="0.35">
      <c r="B1409" s="235"/>
      <c r="L1409" s="14"/>
      <c r="M1409" s="14"/>
    </row>
    <row r="1410" spans="2:13" x14ac:dyDescent="0.35">
      <c r="B1410" s="235"/>
      <c r="L1410" s="14"/>
      <c r="M1410" s="14"/>
    </row>
    <row r="1411" spans="2:13" x14ac:dyDescent="0.35">
      <c r="B1411" s="235"/>
      <c r="L1411" s="14"/>
      <c r="M1411" s="14"/>
    </row>
    <row r="1412" spans="2:13" x14ac:dyDescent="0.35">
      <c r="B1412" s="235"/>
      <c r="L1412" s="14"/>
      <c r="M1412" s="14"/>
    </row>
    <row r="1413" spans="2:13" x14ac:dyDescent="0.35">
      <c r="B1413" s="235"/>
      <c r="L1413" s="14"/>
      <c r="M1413" s="14"/>
    </row>
    <row r="1414" spans="2:13" x14ac:dyDescent="0.35">
      <c r="B1414" s="235"/>
      <c r="L1414" s="14"/>
      <c r="M1414" s="14"/>
    </row>
    <row r="1415" spans="2:13" x14ac:dyDescent="0.35">
      <c r="B1415" s="235"/>
      <c r="L1415" s="14"/>
      <c r="M1415" s="14"/>
    </row>
    <row r="1416" spans="2:13" x14ac:dyDescent="0.35">
      <c r="B1416" s="235"/>
      <c r="L1416" s="14"/>
      <c r="M1416" s="14"/>
    </row>
    <row r="1417" spans="2:13" x14ac:dyDescent="0.35">
      <c r="B1417" s="235"/>
      <c r="L1417" s="14"/>
      <c r="M1417" s="14"/>
    </row>
    <row r="1418" spans="2:13" x14ac:dyDescent="0.35">
      <c r="B1418" s="235"/>
      <c r="L1418" s="14"/>
      <c r="M1418" s="14"/>
    </row>
    <row r="1419" spans="2:13" x14ac:dyDescent="0.35">
      <c r="B1419" s="235"/>
      <c r="L1419" s="14"/>
      <c r="M1419" s="14"/>
    </row>
    <row r="1420" spans="2:13" x14ac:dyDescent="0.35">
      <c r="B1420" s="235"/>
      <c r="L1420" s="14"/>
      <c r="M1420" s="14"/>
    </row>
    <row r="1421" spans="2:13" x14ac:dyDescent="0.35">
      <c r="B1421" s="235"/>
      <c r="L1421" s="14"/>
      <c r="M1421" s="14"/>
    </row>
    <row r="1422" spans="2:13" x14ac:dyDescent="0.35">
      <c r="B1422" s="235"/>
      <c r="L1422" s="14"/>
      <c r="M1422" s="14"/>
    </row>
    <row r="1423" spans="2:13" x14ac:dyDescent="0.35">
      <c r="B1423" s="235"/>
      <c r="L1423" s="14"/>
      <c r="M1423" s="14"/>
    </row>
    <row r="1424" spans="2:13" x14ac:dyDescent="0.35">
      <c r="B1424" s="235"/>
      <c r="L1424" s="14"/>
      <c r="M1424" s="14"/>
    </row>
    <row r="1425" spans="2:13" x14ac:dyDescent="0.35">
      <c r="B1425" s="235"/>
      <c r="L1425" s="14"/>
      <c r="M1425" s="14"/>
    </row>
    <row r="1426" spans="2:13" x14ac:dyDescent="0.35">
      <c r="B1426" s="235"/>
      <c r="L1426" s="14"/>
      <c r="M1426" s="14"/>
    </row>
    <row r="1427" spans="2:13" x14ac:dyDescent="0.35">
      <c r="B1427" s="235"/>
      <c r="L1427" s="14"/>
      <c r="M1427" s="14"/>
    </row>
    <row r="1428" spans="2:13" x14ac:dyDescent="0.35">
      <c r="B1428" s="235"/>
      <c r="L1428" s="14"/>
      <c r="M1428" s="14"/>
    </row>
    <row r="1429" spans="2:13" x14ac:dyDescent="0.35">
      <c r="B1429" s="235"/>
      <c r="L1429" s="14"/>
      <c r="M1429" s="14"/>
    </row>
    <row r="1430" spans="2:13" x14ac:dyDescent="0.35">
      <c r="B1430" s="235"/>
      <c r="L1430" s="14"/>
      <c r="M1430" s="14"/>
    </row>
    <row r="1431" spans="2:13" x14ac:dyDescent="0.35">
      <c r="B1431" s="235"/>
      <c r="L1431" s="14"/>
      <c r="M1431" s="14"/>
    </row>
    <row r="1432" spans="2:13" x14ac:dyDescent="0.35">
      <c r="B1432" s="235"/>
      <c r="L1432" s="14"/>
      <c r="M1432" s="14"/>
    </row>
    <row r="1433" spans="2:13" x14ac:dyDescent="0.35">
      <c r="B1433" s="235"/>
      <c r="L1433" s="14"/>
      <c r="M1433" s="14"/>
    </row>
    <row r="1434" spans="2:13" x14ac:dyDescent="0.35">
      <c r="B1434" s="235"/>
      <c r="L1434" s="14"/>
      <c r="M1434" s="14"/>
    </row>
    <row r="1435" spans="2:13" x14ac:dyDescent="0.35">
      <c r="B1435" s="235"/>
      <c r="L1435" s="14"/>
      <c r="M1435" s="14"/>
    </row>
    <row r="1436" spans="2:13" x14ac:dyDescent="0.35">
      <c r="B1436" s="235"/>
      <c r="L1436" s="14"/>
      <c r="M1436" s="14"/>
    </row>
    <row r="1437" spans="2:13" x14ac:dyDescent="0.35">
      <c r="B1437" s="235"/>
      <c r="L1437" s="14"/>
      <c r="M1437" s="14"/>
    </row>
    <row r="1438" spans="2:13" x14ac:dyDescent="0.35">
      <c r="B1438" s="235"/>
      <c r="L1438" s="14"/>
      <c r="M1438" s="14"/>
    </row>
    <row r="1439" spans="2:13" x14ac:dyDescent="0.35">
      <c r="B1439" s="235"/>
      <c r="L1439" s="14"/>
      <c r="M1439" s="14"/>
    </row>
    <row r="1440" spans="2:13" x14ac:dyDescent="0.35">
      <c r="B1440" s="235"/>
      <c r="L1440" s="14"/>
      <c r="M1440" s="14"/>
    </row>
    <row r="1441" spans="2:13" x14ac:dyDescent="0.35">
      <c r="B1441" s="235"/>
      <c r="L1441" s="14"/>
      <c r="M1441" s="14"/>
    </row>
    <row r="1442" spans="2:13" x14ac:dyDescent="0.35">
      <c r="B1442" s="235"/>
      <c r="L1442" s="14"/>
      <c r="M1442" s="14"/>
    </row>
    <row r="1443" spans="2:13" x14ac:dyDescent="0.35">
      <c r="B1443" s="235"/>
      <c r="L1443" s="14"/>
      <c r="M1443" s="14"/>
    </row>
    <row r="1444" spans="2:13" x14ac:dyDescent="0.35">
      <c r="B1444" s="235"/>
      <c r="L1444" s="14"/>
      <c r="M1444" s="14"/>
    </row>
    <row r="1445" spans="2:13" x14ac:dyDescent="0.35">
      <c r="B1445" s="235"/>
      <c r="L1445" s="14"/>
      <c r="M1445" s="14"/>
    </row>
    <row r="1446" spans="2:13" x14ac:dyDescent="0.35">
      <c r="B1446" s="235"/>
      <c r="L1446" s="14"/>
      <c r="M1446" s="14"/>
    </row>
    <row r="1447" spans="2:13" x14ac:dyDescent="0.35">
      <c r="B1447" s="235"/>
      <c r="L1447" s="14"/>
      <c r="M1447" s="14"/>
    </row>
    <row r="1448" spans="2:13" x14ac:dyDescent="0.35">
      <c r="B1448" s="235"/>
      <c r="L1448" s="14"/>
      <c r="M1448" s="14"/>
    </row>
    <row r="1449" spans="2:13" x14ac:dyDescent="0.35">
      <c r="B1449" s="235"/>
      <c r="L1449" s="14"/>
      <c r="M1449" s="14"/>
    </row>
    <row r="1450" spans="2:13" x14ac:dyDescent="0.35">
      <c r="B1450" s="235"/>
      <c r="L1450" s="14"/>
      <c r="M1450" s="14"/>
    </row>
    <row r="1451" spans="2:13" x14ac:dyDescent="0.35">
      <c r="B1451" s="235"/>
      <c r="L1451" s="14"/>
      <c r="M1451" s="14"/>
    </row>
    <row r="1452" spans="2:13" x14ac:dyDescent="0.35">
      <c r="B1452" s="235"/>
      <c r="L1452" s="14"/>
      <c r="M1452" s="14"/>
    </row>
    <row r="1453" spans="2:13" x14ac:dyDescent="0.35">
      <c r="B1453" s="235"/>
      <c r="L1453" s="14"/>
      <c r="M1453" s="14"/>
    </row>
    <row r="1454" spans="2:13" x14ac:dyDescent="0.35">
      <c r="B1454" s="235"/>
    </row>
    <row r="1455" spans="2:13" x14ac:dyDescent="0.35">
      <c r="B1455" s="235"/>
    </row>
    <row r="1456" spans="2:13" x14ac:dyDescent="0.35">
      <c r="B1456" s="235"/>
    </row>
    <row r="1457" spans="2:2" x14ac:dyDescent="0.35">
      <c r="B1457" s="235"/>
    </row>
    <row r="1458" spans="2:2" x14ac:dyDescent="0.35">
      <c r="B1458" s="235"/>
    </row>
    <row r="1459" spans="2:2" x14ac:dyDescent="0.35">
      <c r="B1459" s="235"/>
    </row>
    <row r="1460" spans="2:2" x14ac:dyDescent="0.35">
      <c r="B1460" s="235"/>
    </row>
    <row r="1461" spans="2:2" x14ac:dyDescent="0.35">
      <c r="B1461" s="235"/>
    </row>
    <row r="1462" spans="2:2" x14ac:dyDescent="0.35">
      <c r="B1462" s="235"/>
    </row>
    <row r="1463" spans="2:2" x14ac:dyDescent="0.35">
      <c r="B1463" s="235"/>
    </row>
  </sheetData>
  <sortState xmlns:xlrd2="http://schemas.microsoft.com/office/spreadsheetml/2017/richdata2" ref="Q1266:Q1277">
    <sortCondition ref="Q1266"/>
  </sortState>
  <conditionalFormatting sqref="F1 K1">
    <cfRule type="cellIs" dxfId="286" priority="21" operator="lessThan">
      <formula>26</formula>
    </cfRule>
  </conditionalFormatting>
  <conditionalFormatting sqref="F2:F1305 K2:K1305 K1307:K1999 F1307:F1999">
    <cfRule type="cellIs" dxfId="285" priority="19" operator="between">
      <formula>1</formula>
      <formula>25</formula>
    </cfRule>
  </conditionalFormatting>
  <conditionalFormatting sqref="F449:F462 K449:K462">
    <cfRule type="cellIs" dxfId="284" priority="15" operator="between">
      <formula>1</formula>
      <formula>25</formula>
    </cfRule>
  </conditionalFormatting>
  <conditionalFormatting sqref="K475:K489 F475:F489">
    <cfRule type="cellIs" dxfId="283" priority="14" operator="between">
      <formula>1</formula>
      <formula>25</formula>
    </cfRule>
  </conditionalFormatting>
  <conditionalFormatting sqref="F607">
    <cfRule type="cellIs" dxfId="282" priority="11" operator="between">
      <formula>1</formula>
      <formula>25</formula>
    </cfRule>
  </conditionalFormatting>
  <conditionalFormatting sqref="K607">
    <cfRule type="cellIs" dxfId="281" priority="10" operator="between">
      <formula>1</formula>
      <formula>25</formula>
    </cfRule>
  </conditionalFormatting>
  <conditionalFormatting sqref="F634 K634">
    <cfRule type="cellIs" dxfId="280" priority="9" operator="between">
      <formula>1</formula>
      <formula>25</formula>
    </cfRule>
  </conditionalFormatting>
  <conditionalFormatting sqref="F635">
    <cfRule type="cellIs" dxfId="279" priority="7" operator="between">
      <formula>1</formula>
      <formula>25</formula>
    </cfRule>
  </conditionalFormatting>
  <conditionalFormatting sqref="D1:D1305 D1307:D1048576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81 F1281">
    <cfRule type="cellIs" dxfId="278" priority="5" operator="between">
      <formula>1</formula>
      <formula>25</formula>
    </cfRule>
  </conditionalFormatting>
  <conditionalFormatting sqref="D128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86 F1286">
    <cfRule type="cellIs" dxfId="277" priority="3" operator="between">
      <formula>1</formula>
      <formula>25</formula>
    </cfRule>
  </conditionalFormatting>
  <conditionalFormatting sqref="D1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06 K1306">
    <cfRule type="cellIs" dxfId="276" priority="1" operator="between">
      <formula>1</formula>
      <formula>25</formula>
    </cfRule>
  </conditionalFormatting>
  <conditionalFormatting sqref="D13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G118"/>
  <sheetViews>
    <sheetView topLeftCell="N1" zoomScale="89" zoomScaleNormal="89" workbookViewId="0">
      <pane ySplit="1" topLeftCell="A2" activePane="bottomLeft" state="frozen"/>
      <selection activeCell="B1" sqref="B1"/>
      <selection pane="bottomLeft" activeCell="AZ2" sqref="AZ2"/>
    </sheetView>
  </sheetViews>
  <sheetFormatPr defaultRowHeight="14.5" x14ac:dyDescent="0.35"/>
  <cols>
    <col min="1" max="1" width="4.453125" hidden="1" customWidth="1"/>
    <col min="2" max="2" width="9.54296875" style="1" customWidth="1"/>
    <col min="3" max="3" width="13" style="1" bestFit="1" customWidth="1"/>
    <col min="4" max="4" width="16.6328125" style="1" customWidth="1"/>
    <col min="5" max="5" width="3.6328125" style="20" customWidth="1"/>
    <col min="6" max="7" width="4.36328125" style="6" customWidth="1"/>
    <col min="8" max="8" width="2.90625" style="1" customWidth="1"/>
    <col min="9" max="10" width="4.36328125" style="1" customWidth="1"/>
    <col min="11" max="11" width="1.54296875" customWidth="1"/>
    <col min="12" max="13" width="4.36328125" style="1" customWidth="1"/>
    <col min="14" max="14" width="1.54296875" customWidth="1"/>
    <col min="15" max="16" width="4.90625" customWidth="1"/>
    <col min="17" max="17" width="4.453125" customWidth="1"/>
    <col min="18" max="18" width="5.90625" customWidth="1"/>
    <col min="19" max="19" width="5.36328125" customWidth="1"/>
    <col min="20" max="20" width="6.36328125" style="9" customWidth="1"/>
    <col min="21" max="21" width="1.54296875" customWidth="1"/>
    <col min="22" max="23" width="4.90625" customWidth="1"/>
    <col min="24" max="24" width="4.453125" customWidth="1"/>
    <col min="25" max="25" width="5.90625" customWidth="1"/>
    <col min="26" max="26" width="5.36328125" customWidth="1"/>
    <col min="27" max="27" width="6.36328125" style="9" customWidth="1"/>
    <col min="28" max="28" width="1.54296875" customWidth="1"/>
    <col min="29" max="30" width="5.1796875" customWidth="1"/>
    <col min="31" max="31" width="5.453125" customWidth="1"/>
    <col min="32" max="32" width="5.90625" customWidth="1"/>
    <col min="33" max="33" width="5.36328125" customWidth="1"/>
    <col min="34" max="34" width="6.36328125" style="9" customWidth="1"/>
    <col min="35" max="35" width="4.90625" style="54" customWidth="1"/>
    <col min="36" max="37" width="6.6328125" style="54" customWidth="1"/>
    <col min="38" max="38" width="4.90625" style="54" customWidth="1"/>
    <col min="39" max="39" width="4" style="54" customWidth="1"/>
    <col min="40" max="40" width="6.54296875" style="54" customWidth="1"/>
    <col min="41" max="41" width="7.08984375" style="54" customWidth="1"/>
    <col min="42" max="42" width="6.54296875" style="54" customWidth="1"/>
    <col min="43" max="43" width="5.36328125" style="54" customWidth="1"/>
    <col min="44" max="44" width="4.54296875" style="54" customWidth="1"/>
    <col min="45" max="45" width="7.08984375" style="54" customWidth="1"/>
    <col min="46" max="46" width="6" style="54" customWidth="1"/>
    <col min="47" max="49" width="3.90625" style="9" customWidth="1"/>
    <col min="50" max="50" width="4.6328125" style="54" customWidth="1"/>
    <col min="51" max="51" width="1.54296875" style="9" customWidth="1"/>
    <col min="52" max="52" width="4.1796875" style="49" customWidth="1"/>
    <col min="53" max="53" width="4.1796875" style="48" customWidth="1"/>
    <col min="54" max="54" width="4.6328125" customWidth="1"/>
    <col min="55" max="55" width="7.08984375" style="1" customWidth="1"/>
    <col min="56" max="65" width="4.81640625" customWidth="1"/>
    <col min="66" max="66" width="4.08984375" style="48" customWidth="1"/>
    <col min="67" max="67" width="4" style="218" customWidth="1"/>
    <col min="68" max="68" width="4.453125" style="220" customWidth="1"/>
    <col min="69" max="69" width="4.36328125" style="220" customWidth="1"/>
    <col min="70" max="70" width="7.36328125" customWidth="1"/>
    <col min="71" max="73" width="8.90625" customWidth="1"/>
    <col min="74" max="76" width="7" customWidth="1"/>
    <col min="77" max="77" width="8.90625" customWidth="1"/>
    <col min="80" max="80" width="8.90625" customWidth="1"/>
    <col min="81" max="81" width="4.1796875" customWidth="1"/>
    <col min="82" max="82" width="16.6328125" customWidth="1"/>
    <col min="95" max="95" width="8.90625" customWidth="1"/>
  </cols>
  <sheetData>
    <row r="1" spans="1:111" s="6" customFormat="1" x14ac:dyDescent="0.35">
      <c r="B1" s="286"/>
      <c r="C1" s="239" t="str">
        <f>CONCATENATE("    ", ROUND(Archive!C1, 3), "     &gt;", ROUND(Archive!D1, 0), "&lt;     ", Archive!M1)</f>
        <v xml:space="preserve">    -872.047     &gt;647&lt;     {89.206-0}</v>
      </c>
      <c r="D1" s="1"/>
      <c r="E1" s="20"/>
      <c r="F1" s="1" t="s">
        <v>3903</v>
      </c>
      <c r="G1" s="1" t="s">
        <v>1781</v>
      </c>
      <c r="H1" s="1"/>
      <c r="I1" s="1" t="s">
        <v>3902</v>
      </c>
      <c r="J1" s="1" t="s">
        <v>1779</v>
      </c>
      <c r="L1" s="15" t="s">
        <v>3901</v>
      </c>
      <c r="M1" s="15" t="s">
        <v>3879</v>
      </c>
      <c r="O1" s="6" t="s">
        <v>1362</v>
      </c>
      <c r="P1" s="6" t="s">
        <v>1363</v>
      </c>
      <c r="Q1" s="6" t="s">
        <v>3904</v>
      </c>
      <c r="R1" s="6" t="s">
        <v>410</v>
      </c>
      <c r="S1" s="6" t="s">
        <v>2467</v>
      </c>
      <c r="T1" s="9" t="s">
        <v>1813</v>
      </c>
      <c r="V1" s="8" t="s">
        <v>1362</v>
      </c>
      <c r="W1" s="8" t="s">
        <v>1363</v>
      </c>
      <c r="X1" s="8" t="s">
        <v>3904</v>
      </c>
      <c r="Y1" s="8" t="s">
        <v>410</v>
      </c>
      <c r="Z1" s="8" t="s">
        <v>2467</v>
      </c>
      <c r="AA1" s="8" t="s">
        <v>1813</v>
      </c>
      <c r="AC1" s="1" t="s">
        <v>3165</v>
      </c>
      <c r="AD1" s="1" t="s">
        <v>3166</v>
      </c>
      <c r="AE1" s="1" t="s">
        <v>0</v>
      </c>
      <c r="AF1" s="1" t="s">
        <v>410</v>
      </c>
      <c r="AG1" s="1" t="s">
        <v>2467</v>
      </c>
      <c r="AH1" s="20" t="s">
        <v>3878</v>
      </c>
      <c r="AI1" s="334" t="s">
        <v>3877</v>
      </c>
      <c r="AJ1" s="334" t="s">
        <v>1171</v>
      </c>
      <c r="AK1" s="334" t="s">
        <v>1172</v>
      </c>
      <c r="AL1" s="54" t="s">
        <v>2466</v>
      </c>
      <c r="AM1" s="54" t="s">
        <v>1773</v>
      </c>
      <c r="AN1" s="334" t="s">
        <v>741</v>
      </c>
      <c r="AO1" s="334" t="s">
        <v>4036</v>
      </c>
      <c r="AP1" s="334" t="s">
        <v>742</v>
      </c>
      <c r="AQ1" s="334" t="s">
        <v>2467</v>
      </c>
      <c r="AR1" s="54" t="s">
        <v>2468</v>
      </c>
      <c r="AS1" s="334" t="s">
        <v>1290</v>
      </c>
      <c r="AT1" s="54" t="s">
        <v>1470</v>
      </c>
      <c r="AU1" s="228" t="s">
        <v>1767</v>
      </c>
      <c r="AV1" s="228" t="s">
        <v>1774</v>
      </c>
      <c r="AW1" s="228" t="s">
        <v>2365</v>
      </c>
      <c r="AX1" s="335" t="s">
        <v>1782</v>
      </c>
      <c r="AY1" s="9"/>
      <c r="AZ1" s="267">
        <f>112-COUNTIF(BB2:BB113, 0)</f>
        <v>0</v>
      </c>
      <c r="BA1" s="48"/>
      <c r="BB1" s="179" t="s">
        <v>4039</v>
      </c>
      <c r="BC1" s="6" t="s">
        <v>180</v>
      </c>
      <c r="BD1" s="171" t="s">
        <v>4165</v>
      </c>
      <c r="BE1" s="171" t="s">
        <v>4169</v>
      </c>
      <c r="BF1" s="171" t="s">
        <v>4170</v>
      </c>
      <c r="BG1" s="171" t="s">
        <v>4171</v>
      </c>
      <c r="BH1" s="171" t="s">
        <v>4172</v>
      </c>
      <c r="BI1" s="171" t="s">
        <v>4166</v>
      </c>
      <c r="BJ1" s="171" t="s">
        <v>4167</v>
      </c>
      <c r="BK1" s="171" t="s">
        <v>4168</v>
      </c>
      <c r="BL1" s="171" t="s">
        <v>4173</v>
      </c>
      <c r="BM1" s="171" t="s">
        <v>4174</v>
      </c>
      <c r="BN1" s="48" t="s">
        <v>737</v>
      </c>
      <c r="BO1" s="217" t="s">
        <v>2118</v>
      </c>
      <c r="BP1" s="219" t="s">
        <v>2119</v>
      </c>
      <c r="BQ1" s="219"/>
      <c r="BR1" s="204" t="s">
        <v>1899</v>
      </c>
      <c r="BS1" s="6">
        <f>_xlfn.STDEV.P(BS2:BS113)</f>
        <v>0.18229976136513093</v>
      </c>
      <c r="BT1" s="6" t="s">
        <v>3010</v>
      </c>
      <c r="BU1" s="6" t="s">
        <v>1296</v>
      </c>
      <c r="BV1" s="6" t="s">
        <v>170</v>
      </c>
      <c r="BW1" s="6" t="s">
        <v>3011</v>
      </c>
      <c r="BX1" s="6" t="s">
        <v>3833</v>
      </c>
      <c r="BZ1" s="359">
        <f>AVERAGE(BU2:BU113)</f>
        <v>5.8231504350037806</v>
      </c>
      <c r="CA1" s="281">
        <f>AVERAGE(BS2:BS113)</f>
        <v>0.53604776422418909</v>
      </c>
      <c r="CB1" s="414"/>
      <c r="CD1" s="289">
        <f>_xlfn.STDEV.P(BC2:BC113)-BS1</f>
        <v>0</v>
      </c>
      <c r="CE1" s="6" t="s">
        <v>2754</v>
      </c>
      <c r="CF1" s="6" t="s">
        <v>5223</v>
      </c>
      <c r="CG1" s="6" t="s">
        <v>5190</v>
      </c>
      <c r="CH1" s="6" t="s">
        <v>5173</v>
      </c>
      <c r="CI1" s="6" t="s">
        <v>5171</v>
      </c>
      <c r="CJ1" s="6" t="s">
        <v>1072</v>
      </c>
      <c r="CK1" s="6" t="s">
        <v>5084</v>
      </c>
      <c r="CL1" s="6" t="s">
        <v>5062</v>
      </c>
      <c r="CM1" s="6" t="s">
        <v>5042</v>
      </c>
      <c r="CN1" s="6" t="s">
        <v>4997</v>
      </c>
      <c r="CO1" s="6" t="s">
        <v>4943</v>
      </c>
      <c r="CP1" s="6" t="s">
        <v>3116</v>
      </c>
      <c r="CQ1" s="6" t="s">
        <v>4798</v>
      </c>
      <c r="CR1" s="6" t="s">
        <v>3117</v>
      </c>
      <c r="CS1" s="6" t="s">
        <v>4572</v>
      </c>
      <c r="CT1" s="6" t="s">
        <v>3118</v>
      </c>
      <c r="CU1" s="6" t="s">
        <v>4081</v>
      </c>
      <c r="CV1" s="6" t="s">
        <v>3899</v>
      </c>
      <c r="CW1" s="6" t="s">
        <v>3464</v>
      </c>
      <c r="CX1" s="6" t="s">
        <v>3264</v>
      </c>
      <c r="CY1" s="6" t="s">
        <v>3087</v>
      </c>
      <c r="CZ1" s="6" t="s">
        <v>2845</v>
      </c>
      <c r="DA1" s="6" t="s">
        <v>2491</v>
      </c>
      <c r="DB1" s="6" t="s">
        <v>2224</v>
      </c>
      <c r="DC1" s="6" t="s">
        <v>1812</v>
      </c>
      <c r="DD1" s="6" t="s">
        <v>1811</v>
      </c>
      <c r="DE1" s="6" t="s">
        <v>1810</v>
      </c>
      <c r="DF1" s="6" t="s">
        <v>1809</v>
      </c>
      <c r="DG1" s="6" t="s">
        <v>1396</v>
      </c>
    </row>
    <row r="2" spans="1:111" x14ac:dyDescent="0.35">
      <c r="A2">
        <v>1</v>
      </c>
      <c r="B2" s="15" t="s">
        <v>143</v>
      </c>
      <c r="C2" s="15" t="s">
        <v>1085</v>
      </c>
      <c r="D2" s="15" t="s">
        <v>78</v>
      </c>
      <c r="F2" s="6">
        <v>10</v>
      </c>
      <c r="G2" s="6">
        <v>3</v>
      </c>
      <c r="H2" s="8">
        <v>14</v>
      </c>
      <c r="I2" s="6">
        <v>6</v>
      </c>
      <c r="J2" s="6">
        <v>3</v>
      </c>
      <c r="L2" s="1">
        <v>15</v>
      </c>
      <c r="M2" s="1">
        <v>5</v>
      </c>
      <c r="O2">
        <v>246</v>
      </c>
      <c r="P2">
        <f>162+17</f>
        <v>179</v>
      </c>
      <c r="Q2">
        <v>116</v>
      </c>
      <c r="R2" s="9">
        <f>25.242+10.264+0.174-0.856+1.147</f>
        <v>35.970999999999997</v>
      </c>
      <c r="S2" s="263">
        <f>632+54+89+92+95</f>
        <v>962</v>
      </c>
      <c r="T2" s="203">
        <f>500.1525+52.492+65.835+74.372+13.305</f>
        <v>706.15649999999994</v>
      </c>
      <c r="V2">
        <f>343+19</f>
        <v>362</v>
      </c>
      <c r="W2">
        <f>292+21</f>
        <v>313</v>
      </c>
      <c r="X2">
        <v>160</v>
      </c>
      <c r="Y2" s="9">
        <f>62.155-0.31+3.508-2.826-6.707+1.102-2.023</f>
        <v>54.898999999999987</v>
      </c>
      <c r="Z2" s="263">
        <f>1025+91+89+94+101+92+91</f>
        <v>1583</v>
      </c>
      <c r="AA2" s="203">
        <f>676.5725+7.076+48.194+1.941+84.366+41.753+24.997</f>
        <v>884.89949999999999</v>
      </c>
      <c r="AC2">
        <f t="shared" ref="AC2:AC33" si="0">O2+((1/4)*V2)</f>
        <v>336.5</v>
      </c>
      <c r="AD2">
        <f t="shared" ref="AD2:AD33" si="1">P2+((1/4)*W2)</f>
        <v>257.25</v>
      </c>
      <c r="AE2">
        <f t="shared" ref="AE2:AE33" si="2">Q2+((1/4)*X2)</f>
        <v>156</v>
      </c>
      <c r="AF2">
        <f t="shared" ref="AF2:AF33" si="3">R2+((1/4)*Y2)</f>
        <v>49.69574999999999</v>
      </c>
      <c r="AG2">
        <f t="shared" ref="AG2:AG33" si="4">S2+((1/4)*Z2)</f>
        <v>1357.75</v>
      </c>
      <c r="AH2">
        <f t="shared" ref="AH2:AH33" si="5">T2+((1/4)*AA2)</f>
        <v>927.38137499999993</v>
      </c>
      <c r="AI2" s="73">
        <f t="shared" ref="AI2:AI33" si="6">F2+G2+((1/4)*(L2+M2))</f>
        <v>18</v>
      </c>
      <c r="AJ2" s="73">
        <f t="shared" ref="AJ2:AJ33" si="7">IFERROR(AC2/AI2, 0)</f>
        <v>18.694444444444443</v>
      </c>
      <c r="AK2" s="73">
        <f t="shared" ref="AK2:AK33" si="8">IFERROR(AD2/AI2, 0)</f>
        <v>14.291666666666666</v>
      </c>
      <c r="AL2" s="73">
        <f t="shared" ref="AL2:AL33" si="9">AJ2-AK2</f>
        <v>4.4027777777777768</v>
      </c>
      <c r="AM2" s="73">
        <f t="shared" ref="AM2:AM33" si="10">IFERROR(AC2/AE2, 0)</f>
        <v>2.1570512820512819</v>
      </c>
      <c r="AN2" s="227">
        <f t="shared" ref="AN2:AN33" si="11">IF((AF2)&lt;0, (AF2/2), AF2)/AI2</f>
        <v>2.7608749999999995</v>
      </c>
      <c r="AO2" s="227">
        <f t="shared" ref="AO2:AO33" si="12">(AN2-(SMALL(AN:AN,1)))*(2-(1-((1-BX2)/2)))+MIN(AN:AN)</f>
        <v>2.4841380441002077</v>
      </c>
      <c r="AP2" s="227">
        <f t="shared" ref="AP2:AP33" si="13">AL2-(IF(AVERAGE(AN2:AO2)&lt;0, AVERAGE(AN2:AO2)*2, AVERAGE(AN2:AO2)))</f>
        <v>1.7802712557276732</v>
      </c>
      <c r="AQ2" s="89">
        <f t="shared" ref="AQ2:AQ33" si="14">(AVERAGE((AL2-MIN(AL:AL))*AR2, SQRT((AL2-MIN(AL:AL))*AR2))/100)*BX2</f>
        <v>6.3983552963738495</v>
      </c>
      <c r="AR2" s="73">
        <f t="shared" ref="AR2:AR33" si="15">(AG2/AI2)</f>
        <v>75.430555555555557</v>
      </c>
      <c r="AS2" s="89">
        <f t="shared" ref="AS2:AS33" si="16">IFERROR(AH2/AI2,0)</f>
        <v>51.521187499999996</v>
      </c>
      <c r="AT2" s="89">
        <f t="shared" ref="AT2:AT33" si="17">IFERROR(IF(SQRT(AS2)&gt;10, 10, SQRT(AS2)), 0)</f>
        <v>7.1778260984785636</v>
      </c>
      <c r="AU2" s="9">
        <v>28</v>
      </c>
      <c r="AV2" s="9">
        <v>24</v>
      </c>
      <c r="AW2" s="20">
        <v>26</v>
      </c>
      <c r="AX2" s="54">
        <f t="shared" ref="AX2:AX33" si="18">SUM(AU2:AW2)</f>
        <v>78</v>
      </c>
      <c r="AZ2" s="49">
        <v>14</v>
      </c>
      <c r="BA2" s="48">
        <f t="shared" ref="BA2:BA33" si="19">_xlfn.RANK.EQ(BC2,BC:BC, 0)</f>
        <v>14</v>
      </c>
      <c r="BB2" s="245">
        <f t="shared" ref="BB2:BB33" si="20">AZ2-BA2</f>
        <v>0</v>
      </c>
      <c r="BC2" s="36">
        <f t="shared" ref="BC2:BC33" si="21">((BD2*2.25)+(BE2*1.5)+(BF2*1)+(BG2*1)+(BH2*0.75)+(BI2*1)+(BJ2*1)+(BK2*0.75)+(BL2*1)+(BM2*0.75)+(BN2/LARGE(BN:BN,1))*(3/15))/(10+(9/30))</f>
        <v>0.76468114163757961</v>
      </c>
      <c r="BD2" s="205">
        <f t="shared" ref="BD2:BD33" si="22">IFERROR(IF((F2+G2)=1, IF(F2=0, 0.333, IF(F2=1, 0.666, 0)), IF((F2+G2)=2, IF(F2=0, 0.166, IF(F2=1, 0.5, IF(F2=2, 0.833, 0))),  (F2+(L2/6))/(F2+G2))), 0)</f>
        <v>0.96153846153846156</v>
      </c>
      <c r="BE2" s="205">
        <f t="shared" ref="BE2:BE33" si="23">IFERROR(IF((I2+J2)=1, IF(I2=0, 0.333, IF(I2=1, 0.666, 0)), IF((I2+J2)=2, IF(I2=0, 0.166, IF(I2=1, 0.5, IF(I2=2, 0.833, 0))), (I2/(I2+J2)))), 0)</f>
        <v>0.66666666666666663</v>
      </c>
      <c r="BF2" s="205">
        <f t="shared" ref="BF2:BF33" si="24">(AJ2-(SMALL(AJ:AJ, 1)))/((LARGE(AJ:AJ, 1))-(SMALL(AJ:AJ, 1)))</f>
        <v>0.52487325059679291</v>
      </c>
      <c r="BG2" s="205">
        <f t="shared" ref="BG2:BG33" si="25">1-(AK2-SMALL(AK:AK,1))/(LARGE(AK:AK,1)-SMALL(AK:AK,1))</f>
        <v>0.82945605408727729</v>
      </c>
      <c r="BH2" s="205">
        <f t="shared" ref="BH2:BH33" si="26">(AM2-SMALL(AM:AM,1))/(LARGE(AM:AM,1)-SMALL(AM:AM,1))</f>
        <v>0.53909853314066869</v>
      </c>
      <c r="BI2" s="205">
        <f t="shared" ref="BI2:BI33" si="27">1-(AO2-SMALL(AO:AO,1))/(LARGE(AO:AO,1)-SMALL(AO:AO,1))</f>
        <v>0.38250269604954168</v>
      </c>
      <c r="BJ2" s="205">
        <f t="shared" ref="BJ2:BJ33" si="28">(AP2+ABS(MIN(AP:AP)))/(MAX(AP:AP)+ABS(MIN(AP:AP)))</f>
        <v>0.73260599316934671</v>
      </c>
      <c r="BK2" s="205">
        <f t="shared" ref="BK2:BK33" si="29">AVERAGE(AQ2/MAX(AQ:AQ), SQRT(AQ2/MAX(AQ:AQ)))</f>
        <v>0.73129641818383673</v>
      </c>
      <c r="BL2" s="205">
        <f t="shared" ref="BL2:BL33" si="30">AVERAGE(AT2/MAX(AT:AT), (AT2-SMALL(AT:AT,1))/(LARGE(AT:AT,1)-SMALL(AT:AT,1)))</f>
        <v>0.75423429872347925</v>
      </c>
      <c r="BM2" s="205">
        <f t="shared" ref="BM2:BM33" si="31">IFERROR(AX2/MAX(AX:AX), 0)</f>
        <v>0.61904761904761907</v>
      </c>
      <c r="BN2" s="48">
        <f>10+44</f>
        <v>54</v>
      </c>
      <c r="BO2" s="220">
        <f t="shared" ref="BO2:BO33" si="32">BN2+AX2</f>
        <v>132</v>
      </c>
      <c r="BP2" s="220">
        <v>87</v>
      </c>
      <c r="BQ2" s="220">
        <f t="shared" ref="BQ2:BQ33" si="33">BO2+BP2</f>
        <v>219</v>
      </c>
      <c r="BR2" s="205">
        <v>1.6666666666666665</v>
      </c>
      <c r="BS2" s="35">
        <v>0.76468114163757961</v>
      </c>
      <c r="BT2">
        <v>2</v>
      </c>
      <c r="BU2" s="205">
        <v>7.1778260984785636</v>
      </c>
      <c r="BV2" s="34">
        <v>0.52487325059679291</v>
      </c>
      <c r="BW2" s="34">
        <v>0.82945605408727729</v>
      </c>
      <c r="BX2" s="34">
        <f>IF(A2&lt;17, SoC!O$3, IF(A2&lt;33, SoC!O$4, IF(A2&lt;49, SoC!O$5, IF(A2&lt;65, SoC!O$6, IF(A2&lt;81, SoC!O$7, IF(A2&lt;97, SoC!O$8, SoC!O$9))))))</f>
        <v>1.0968295917365127</v>
      </c>
      <c r="BY2" s="205">
        <f t="shared" ref="BY2:BY33" si="34">SQRT(BS2)</f>
        <v>0.87446048603557813</v>
      </c>
      <c r="BZ2" s="205" t="str">
        <f t="shared" ref="BZ2:BZ33" si="35">IF(BY2&lt;(15/30), "F", IF(BY2&lt;(18/30), "F+", IF(BY2&lt;(19/30), "D-", IF(BY2&lt;(20/30), "D", IF(BY2&lt;(21/30), "D+", IF(BY2&lt;(22/30), "C-", IF(BY2&lt;(23/30), "C", IF(BY2&lt;(24/30), "C+", IF(BY2&lt;(25/30), "B-", IF(BY2&lt;(26/30), "B", IF(BY2&lt;(27/30), "B+", IF(BY2&lt;(28/30), "A-", IF(BY2&lt;(29/30), "A", "A+")))))))))))))</f>
        <v>B+</v>
      </c>
      <c r="CA2" s="35">
        <f t="shared" ref="CA2:CA33" si="36">(((BS2-$CA$1)/0.15)*3)+((BU2-$BZ$1)/2)</f>
        <v>5.2500053800052022</v>
      </c>
      <c r="CB2" s="245">
        <f t="shared" ref="CB2:CB33" si="37">CF2-CE2</f>
        <v>0</v>
      </c>
      <c r="CC2" s="48">
        <v>59</v>
      </c>
      <c r="CD2" s="15" t="s">
        <v>78</v>
      </c>
      <c r="CE2">
        <v>14</v>
      </c>
      <c r="CF2">
        <v>14</v>
      </c>
      <c r="CG2">
        <v>14</v>
      </c>
      <c r="CH2">
        <v>14</v>
      </c>
      <c r="CI2">
        <v>14</v>
      </c>
      <c r="CJ2">
        <v>14</v>
      </c>
      <c r="CK2">
        <v>14</v>
      </c>
      <c r="CL2">
        <v>14</v>
      </c>
      <c r="CM2">
        <v>15</v>
      </c>
      <c r="CN2">
        <v>15</v>
      </c>
      <c r="CO2">
        <v>14</v>
      </c>
      <c r="CP2">
        <v>9</v>
      </c>
      <c r="CQ2">
        <v>9</v>
      </c>
      <c r="CR2">
        <v>12</v>
      </c>
      <c r="CS2">
        <v>11</v>
      </c>
      <c r="CT2">
        <v>13</v>
      </c>
      <c r="CU2">
        <v>11</v>
      </c>
      <c r="CV2">
        <v>14</v>
      </c>
      <c r="CW2">
        <v>17</v>
      </c>
      <c r="CX2">
        <v>20</v>
      </c>
      <c r="CY2">
        <v>18</v>
      </c>
      <c r="CZ2">
        <v>11</v>
      </c>
      <c r="DA2">
        <v>13</v>
      </c>
      <c r="DB2">
        <v>20</v>
      </c>
      <c r="DC2">
        <v>29</v>
      </c>
      <c r="DD2">
        <v>9</v>
      </c>
      <c r="DE2" s="154">
        <v>21</v>
      </c>
      <c r="DF2">
        <v>23</v>
      </c>
      <c r="DG2">
        <v>54</v>
      </c>
    </row>
    <row r="3" spans="1:111" x14ac:dyDescent="0.35">
      <c r="A3">
        <v>2</v>
      </c>
      <c r="B3" s="15" t="s">
        <v>143</v>
      </c>
      <c r="C3" s="15" t="s">
        <v>1085</v>
      </c>
      <c r="D3" s="15" t="s">
        <v>76</v>
      </c>
      <c r="F3" s="6">
        <v>3</v>
      </c>
      <c r="G3" s="6">
        <v>10</v>
      </c>
      <c r="H3" s="6"/>
      <c r="I3" s="6">
        <v>1</v>
      </c>
      <c r="J3" s="6">
        <v>8</v>
      </c>
      <c r="L3" s="1">
        <v>0</v>
      </c>
      <c r="M3" s="1">
        <v>2</v>
      </c>
      <c r="O3">
        <v>196</v>
      </c>
      <c r="P3">
        <f>269+25</f>
        <v>294</v>
      </c>
      <c r="Q3">
        <v>111</v>
      </c>
      <c r="R3" s="9">
        <f>-53.113-9.814-3.623-5.813-4.018</f>
        <v>-76.381</v>
      </c>
      <c r="S3" s="263">
        <f>299+47+7+23+34</f>
        <v>410</v>
      </c>
      <c r="T3" s="203">
        <f>138.923+2.653+46.612+52.282+3.564</f>
        <v>244.03399999999996</v>
      </c>
      <c r="V3">
        <v>29</v>
      </c>
      <c r="W3">
        <v>47</v>
      </c>
      <c r="X3">
        <v>21</v>
      </c>
      <c r="Y3" s="9">
        <f>-13.625</f>
        <v>-13.625</v>
      </c>
      <c r="Z3" s="263">
        <f>60</f>
        <v>60</v>
      </c>
      <c r="AA3" s="203">
        <f>27.339</f>
        <v>27.338999999999999</v>
      </c>
      <c r="AC3">
        <f t="shared" si="0"/>
        <v>203.25</v>
      </c>
      <c r="AD3">
        <f t="shared" si="1"/>
        <v>305.75</v>
      </c>
      <c r="AE3">
        <f t="shared" si="2"/>
        <v>116.25</v>
      </c>
      <c r="AF3">
        <f t="shared" si="3"/>
        <v>-79.78725</v>
      </c>
      <c r="AG3">
        <f t="shared" si="4"/>
        <v>425</v>
      </c>
      <c r="AH3">
        <f t="shared" si="5"/>
        <v>250.86874999999998</v>
      </c>
      <c r="AI3" s="73">
        <f t="shared" si="6"/>
        <v>13.5</v>
      </c>
      <c r="AJ3" s="73">
        <f t="shared" si="7"/>
        <v>15.055555555555555</v>
      </c>
      <c r="AK3" s="73">
        <f t="shared" si="8"/>
        <v>22.648148148148149</v>
      </c>
      <c r="AL3" s="73">
        <f t="shared" si="9"/>
        <v>-7.5925925925925934</v>
      </c>
      <c r="AM3" s="73">
        <f t="shared" si="10"/>
        <v>1.7483870967741935</v>
      </c>
      <c r="AN3" s="227">
        <f t="shared" si="11"/>
        <v>-2.9550833333333335</v>
      </c>
      <c r="AO3" s="227">
        <f t="shared" si="12"/>
        <v>-2.9550833333333335</v>
      </c>
      <c r="AP3" s="227">
        <f t="shared" si="13"/>
        <v>-1.6824259259259264</v>
      </c>
      <c r="AQ3" s="89">
        <f t="shared" si="14"/>
        <v>0.5758884216099257</v>
      </c>
      <c r="AR3" s="73">
        <f t="shared" si="15"/>
        <v>31.481481481481481</v>
      </c>
      <c r="AS3" s="89">
        <f t="shared" si="16"/>
        <v>18.582870370370369</v>
      </c>
      <c r="AT3" s="89">
        <f t="shared" si="17"/>
        <v>4.3107853542446728</v>
      </c>
      <c r="AU3" s="9">
        <v>7</v>
      </c>
      <c r="AV3" s="9">
        <v>0</v>
      </c>
      <c r="AX3" s="54">
        <f t="shared" si="18"/>
        <v>7</v>
      </c>
      <c r="AZ3" s="49">
        <v>107</v>
      </c>
      <c r="BA3" s="48">
        <f t="shared" si="19"/>
        <v>107</v>
      </c>
      <c r="BB3" s="245">
        <f t="shared" si="20"/>
        <v>0</v>
      </c>
      <c r="BC3" s="36">
        <f t="shared" si="21"/>
        <v>0.27824122165593779</v>
      </c>
      <c r="BD3" s="205">
        <f t="shared" si="22"/>
        <v>0.23076923076923078</v>
      </c>
      <c r="BE3" s="205">
        <f t="shared" si="23"/>
        <v>0.1111111111111111</v>
      </c>
      <c r="BF3" s="205">
        <f t="shared" si="24"/>
        <v>0.21333920573725809</v>
      </c>
      <c r="BG3" s="205">
        <f t="shared" si="25"/>
        <v>4.9791709349177204E-2</v>
      </c>
      <c r="BH3" s="205">
        <f t="shared" si="26"/>
        <v>8.7435156341854961E-2</v>
      </c>
      <c r="BI3" s="205">
        <f t="shared" si="27"/>
        <v>1</v>
      </c>
      <c r="BJ3" s="205">
        <f t="shared" si="28"/>
        <v>0.37123896706717568</v>
      </c>
      <c r="BK3" s="205">
        <f t="shared" si="29"/>
        <v>0.15073175224913979</v>
      </c>
      <c r="BL3" s="205">
        <f t="shared" si="30"/>
        <v>0.31865875022853341</v>
      </c>
      <c r="BM3" s="205">
        <f t="shared" si="31"/>
        <v>5.5555555555555552E-2</v>
      </c>
      <c r="BN3" s="48">
        <v>5</v>
      </c>
      <c r="BO3" s="220">
        <f t="shared" si="32"/>
        <v>12</v>
      </c>
      <c r="BP3" s="220">
        <v>2</v>
      </c>
      <c r="BQ3" s="220">
        <f t="shared" si="33"/>
        <v>14</v>
      </c>
      <c r="BR3" s="205">
        <v>-1</v>
      </c>
      <c r="BS3" s="35">
        <v>0.27824122165593779</v>
      </c>
      <c r="BT3">
        <v>1</v>
      </c>
      <c r="BU3" s="205">
        <v>4.3107853542446728</v>
      </c>
      <c r="BV3" s="34">
        <v>0.21333920573725809</v>
      </c>
      <c r="BW3" s="34">
        <v>4.9791709349177204E-2</v>
      </c>
      <c r="BX3" s="34">
        <f>IF(A3&lt;17, SoC!O$3, IF(A3&lt;33, SoC!O$4, IF(A3&lt;49, SoC!O$5, IF(A3&lt;65, SoC!O$6, IF(A3&lt;81, SoC!O$7, IF(A3&lt;97, SoC!O$8, SoC!O$9))))))</f>
        <v>1.0968295917365127</v>
      </c>
      <c r="BY3" s="205">
        <f t="shared" si="34"/>
        <v>0.52748575493176852</v>
      </c>
      <c r="BZ3" s="205" t="str">
        <f t="shared" si="35"/>
        <v>F+</v>
      </c>
      <c r="CA3" s="35">
        <f t="shared" si="36"/>
        <v>-5.9123133917445809</v>
      </c>
      <c r="CB3" s="245">
        <f t="shared" si="37"/>
        <v>0</v>
      </c>
      <c r="CC3" s="48">
        <v>8</v>
      </c>
      <c r="CD3" s="15" t="s">
        <v>76</v>
      </c>
      <c r="CE3">
        <v>107</v>
      </c>
      <c r="CF3">
        <v>107</v>
      </c>
      <c r="CG3">
        <v>107</v>
      </c>
      <c r="CH3">
        <v>107</v>
      </c>
      <c r="CI3">
        <v>107</v>
      </c>
      <c r="CJ3">
        <v>107</v>
      </c>
      <c r="CK3">
        <v>107</v>
      </c>
      <c r="CL3">
        <v>107</v>
      </c>
      <c r="CM3">
        <v>107</v>
      </c>
      <c r="CN3">
        <v>107</v>
      </c>
      <c r="CO3">
        <v>107</v>
      </c>
      <c r="CP3">
        <v>104</v>
      </c>
      <c r="CQ3">
        <v>105</v>
      </c>
      <c r="CR3">
        <v>108</v>
      </c>
      <c r="CS3">
        <v>108</v>
      </c>
      <c r="CT3">
        <v>110</v>
      </c>
      <c r="CU3">
        <v>111</v>
      </c>
      <c r="CV3">
        <v>109</v>
      </c>
      <c r="CW3">
        <v>111</v>
      </c>
      <c r="CX3">
        <v>111</v>
      </c>
      <c r="CY3">
        <v>112</v>
      </c>
      <c r="CZ3">
        <v>112</v>
      </c>
      <c r="DA3">
        <v>112</v>
      </c>
      <c r="DB3">
        <v>112</v>
      </c>
      <c r="DC3">
        <v>110</v>
      </c>
      <c r="DD3">
        <v>109</v>
      </c>
      <c r="DE3" s="154">
        <v>108</v>
      </c>
      <c r="DF3">
        <v>92</v>
      </c>
      <c r="DG3">
        <v>105</v>
      </c>
    </row>
    <row r="4" spans="1:111" x14ac:dyDescent="0.35">
      <c r="A4">
        <v>3</v>
      </c>
      <c r="B4" s="15" t="s">
        <v>143</v>
      </c>
      <c r="C4" s="15" t="s">
        <v>1085</v>
      </c>
      <c r="D4" s="15" t="s">
        <v>75</v>
      </c>
      <c r="F4" s="6">
        <v>7</v>
      </c>
      <c r="G4" s="6">
        <v>6</v>
      </c>
      <c r="H4" s="6"/>
      <c r="I4" s="6">
        <v>5</v>
      </c>
      <c r="J4" s="6">
        <v>4</v>
      </c>
      <c r="L4" s="1">
        <v>4</v>
      </c>
      <c r="M4" s="1">
        <v>7</v>
      </c>
      <c r="O4">
        <f>188+25</f>
        <v>213</v>
      </c>
      <c r="P4">
        <f>188+11</f>
        <v>199</v>
      </c>
      <c r="Q4">
        <v>105</v>
      </c>
      <c r="R4" s="9">
        <f>8.326-0.625+6.433+1.197+4.018</f>
        <v>19.349</v>
      </c>
      <c r="S4" s="263">
        <f>579+84+46+55+34</f>
        <v>798</v>
      </c>
      <c r="T4" s="203">
        <f>325.391+22.022+1.245+10.229+(115.154-7.577)</f>
        <v>466.464</v>
      </c>
      <c r="V4">
        <f>179+17</f>
        <v>196</v>
      </c>
      <c r="W4">
        <f>182+26</f>
        <v>208</v>
      </c>
      <c r="X4">
        <v>107</v>
      </c>
      <c r="Y4" s="9">
        <f>-5.713-4.817-7.792</f>
        <v>-18.322000000000003</v>
      </c>
      <c r="Z4" s="263">
        <f>683+80+78</f>
        <v>841</v>
      </c>
      <c r="AA4" s="203">
        <f>300.679+11.27+6.327</f>
        <v>318.27599999999995</v>
      </c>
      <c r="AC4">
        <f t="shared" si="0"/>
        <v>262</v>
      </c>
      <c r="AD4">
        <f t="shared" si="1"/>
        <v>251</v>
      </c>
      <c r="AE4">
        <f t="shared" si="2"/>
        <v>131.75</v>
      </c>
      <c r="AF4">
        <f t="shared" si="3"/>
        <v>14.7685</v>
      </c>
      <c r="AG4">
        <f t="shared" si="4"/>
        <v>1008.25</v>
      </c>
      <c r="AH4">
        <f t="shared" si="5"/>
        <v>546.03300000000002</v>
      </c>
      <c r="AI4" s="73">
        <f t="shared" si="6"/>
        <v>15.75</v>
      </c>
      <c r="AJ4" s="73">
        <f t="shared" si="7"/>
        <v>16.634920634920636</v>
      </c>
      <c r="AK4" s="73">
        <f t="shared" si="8"/>
        <v>15.936507936507937</v>
      </c>
      <c r="AL4" s="73">
        <f t="shared" si="9"/>
        <v>0.69841269841269948</v>
      </c>
      <c r="AM4" s="73">
        <f t="shared" si="10"/>
        <v>1.9886148007590132</v>
      </c>
      <c r="AN4" s="227">
        <f t="shared" si="11"/>
        <v>0.93768253968253967</v>
      </c>
      <c r="AO4" s="227">
        <f t="shared" si="12"/>
        <v>0.74921507457756142</v>
      </c>
      <c r="AP4" s="227">
        <f t="shared" si="13"/>
        <v>-0.14503610871735106</v>
      </c>
      <c r="AQ4" s="89">
        <f t="shared" si="14"/>
        <v>4.1205536805894072</v>
      </c>
      <c r="AR4" s="73">
        <f t="shared" si="15"/>
        <v>64.015873015873012</v>
      </c>
      <c r="AS4" s="89">
        <f t="shared" si="16"/>
        <v>34.668761904761908</v>
      </c>
      <c r="AT4" s="89">
        <f t="shared" si="17"/>
        <v>5.8880185041117103</v>
      </c>
      <c r="AU4" s="9">
        <v>28</v>
      </c>
      <c r="AV4" s="9">
        <v>12</v>
      </c>
      <c r="AW4" s="20">
        <v>20</v>
      </c>
      <c r="AX4" s="54">
        <f t="shared" si="18"/>
        <v>60</v>
      </c>
      <c r="AZ4" s="49">
        <v>45</v>
      </c>
      <c r="BA4" s="48">
        <f t="shared" si="19"/>
        <v>45</v>
      </c>
      <c r="BB4" s="245">
        <f t="shared" si="20"/>
        <v>0</v>
      </c>
      <c r="BC4" s="36">
        <f t="shared" si="21"/>
        <v>0.57191122612651257</v>
      </c>
      <c r="BD4" s="205">
        <f t="shared" si="22"/>
        <v>0.58974358974358976</v>
      </c>
      <c r="BE4" s="205">
        <f t="shared" si="23"/>
        <v>0.55555555555555558</v>
      </c>
      <c r="BF4" s="205">
        <f t="shared" si="24"/>
        <v>0.34855245530551876</v>
      </c>
      <c r="BG4" s="205">
        <f t="shared" si="25"/>
        <v>0.67599145374191472</v>
      </c>
      <c r="BH4" s="205">
        <f t="shared" si="26"/>
        <v>0.35293935243097729</v>
      </c>
      <c r="BI4" s="205">
        <f t="shared" si="27"/>
        <v>0.57946291919593751</v>
      </c>
      <c r="BJ4" s="205">
        <f t="shared" si="28"/>
        <v>0.53168094540358823</v>
      </c>
      <c r="BK4" s="205">
        <f t="shared" si="29"/>
        <v>0.53504084392665918</v>
      </c>
      <c r="BL4" s="205">
        <f t="shared" si="30"/>
        <v>0.55828010745529377</v>
      </c>
      <c r="BM4" s="205">
        <f t="shared" si="31"/>
        <v>0.47619047619047616</v>
      </c>
      <c r="BN4" s="48">
        <v>10</v>
      </c>
      <c r="BO4" s="220">
        <f t="shared" si="32"/>
        <v>70</v>
      </c>
      <c r="BP4" s="220">
        <v>45</v>
      </c>
      <c r="BQ4" s="220">
        <f t="shared" si="33"/>
        <v>115</v>
      </c>
      <c r="BR4" s="205">
        <v>0.33333333333333331</v>
      </c>
      <c r="BS4" s="35">
        <v>0.57191122612651257</v>
      </c>
      <c r="BT4">
        <v>4</v>
      </c>
      <c r="BU4" s="205">
        <v>5.8880185041117103</v>
      </c>
      <c r="BV4" s="34">
        <v>0.34855245530551876</v>
      </c>
      <c r="BW4" s="34">
        <v>0.67599145374191472</v>
      </c>
      <c r="BX4" s="34">
        <f>IF(A4&lt;17, SoC!O$3, IF(A4&lt;33, SoC!O$4, IF(A4&lt;49, SoC!O$5, IF(A4&lt;65, SoC!O$6, IF(A4&lt;81, SoC!O$7, IF(A4&lt;97, SoC!O$8, SoC!O$9))))))</f>
        <v>1.0968295917365127</v>
      </c>
      <c r="BY4" s="205">
        <f t="shared" si="34"/>
        <v>0.75624812470941871</v>
      </c>
      <c r="BZ4" s="205" t="str">
        <f t="shared" si="35"/>
        <v>C</v>
      </c>
      <c r="CA4" s="35">
        <f t="shared" si="36"/>
        <v>0.74970327260043446</v>
      </c>
      <c r="CB4" s="245">
        <f t="shared" si="37"/>
        <v>0</v>
      </c>
      <c r="CC4" s="48">
        <v>93</v>
      </c>
      <c r="CD4" s="15" t="s">
        <v>75</v>
      </c>
      <c r="CE4">
        <v>45</v>
      </c>
      <c r="CF4">
        <v>45</v>
      </c>
      <c r="CG4">
        <v>46</v>
      </c>
      <c r="CH4">
        <v>46</v>
      </c>
      <c r="CI4">
        <v>45</v>
      </c>
      <c r="CJ4">
        <v>46</v>
      </c>
      <c r="CK4">
        <v>46</v>
      </c>
      <c r="CL4">
        <v>46</v>
      </c>
      <c r="CM4">
        <v>46</v>
      </c>
      <c r="CN4">
        <v>46</v>
      </c>
      <c r="CO4">
        <v>45</v>
      </c>
      <c r="CP4">
        <v>53</v>
      </c>
      <c r="CQ4">
        <v>52</v>
      </c>
      <c r="CR4">
        <v>45</v>
      </c>
      <c r="CS4">
        <v>43</v>
      </c>
      <c r="CT4">
        <v>40</v>
      </c>
      <c r="CU4">
        <v>39</v>
      </c>
      <c r="CV4">
        <v>32</v>
      </c>
      <c r="CW4">
        <v>35</v>
      </c>
      <c r="CX4">
        <v>40</v>
      </c>
      <c r="CY4">
        <v>36</v>
      </c>
      <c r="CZ4">
        <v>32</v>
      </c>
      <c r="DA4">
        <v>31</v>
      </c>
      <c r="DB4">
        <v>40</v>
      </c>
      <c r="DC4">
        <v>42</v>
      </c>
      <c r="DD4">
        <v>32</v>
      </c>
      <c r="DE4" s="154">
        <v>48</v>
      </c>
      <c r="DF4">
        <v>61</v>
      </c>
      <c r="DG4">
        <v>24</v>
      </c>
    </row>
    <row r="5" spans="1:111" x14ac:dyDescent="0.35">
      <c r="A5">
        <v>4</v>
      </c>
      <c r="B5" s="15" t="s">
        <v>143</v>
      </c>
      <c r="C5" s="15" t="s">
        <v>1085</v>
      </c>
      <c r="D5" s="15" t="s">
        <v>77</v>
      </c>
      <c r="F5" s="6">
        <v>11</v>
      </c>
      <c r="G5" s="6">
        <v>3</v>
      </c>
      <c r="H5" s="8">
        <v>12</v>
      </c>
      <c r="I5" s="6">
        <v>8</v>
      </c>
      <c r="J5" s="6">
        <v>1</v>
      </c>
      <c r="L5" s="1">
        <v>15</v>
      </c>
      <c r="M5" s="1">
        <v>15</v>
      </c>
      <c r="O5">
        <v>279</v>
      </c>
      <c r="P5">
        <f>194+27</f>
        <v>221</v>
      </c>
      <c r="Q5">
        <v>119</v>
      </c>
      <c r="R5" s="9">
        <f>26.278+8.638+1.012+7.073-1.147-6.875</f>
        <v>34.978999999999999</v>
      </c>
      <c r="S5" s="263">
        <f>579+58+88+64+95+93</f>
        <v>977</v>
      </c>
      <c r="T5" s="203">
        <f>420.565+36.764+51.595+62.232+56.4+4.601</f>
        <v>632.15699999999993</v>
      </c>
      <c r="V5">
        <v>544</v>
      </c>
      <c r="W5">
        <f>512+29</f>
        <v>541</v>
      </c>
      <c r="X5">
        <v>260</v>
      </c>
      <c r="Y5" s="9">
        <f>8.611+1.494+3.949+6.008+9.385+6.43+10.217-0.142-5.051-5.274-10.261+0.555-3.218-1.876+1.524-2.082-6.269-3.714-0.414+1.758-1.982</f>
        <v>9.6479999999999961</v>
      </c>
      <c r="Z5" s="263">
        <f>842+82+80+84+73+86+74+95+99+93+89+94+92+94+94+94+91+92+95+93+92</f>
        <v>2628</v>
      </c>
      <c r="AA5" s="203">
        <f>435.336+40.646+(205.912-53.9143)+3.735+(114.62-7.31)+9.687+50.626+78.805+58.694+11.581+23.286+12.934+1.525+(218.552-62.368)+11.913+8.454+6.009+17.235+(250.516-83.6773)+60.543+8.125</f>
        <v>1421.4643999999998</v>
      </c>
      <c r="AC5">
        <f t="shared" si="0"/>
        <v>415</v>
      </c>
      <c r="AD5">
        <f t="shared" si="1"/>
        <v>356.25</v>
      </c>
      <c r="AE5">
        <f t="shared" si="2"/>
        <v>184</v>
      </c>
      <c r="AF5">
        <f t="shared" si="3"/>
        <v>37.390999999999998</v>
      </c>
      <c r="AG5">
        <f t="shared" si="4"/>
        <v>1634</v>
      </c>
      <c r="AH5">
        <f t="shared" si="5"/>
        <v>987.52309999999989</v>
      </c>
      <c r="AI5" s="73">
        <f t="shared" si="6"/>
        <v>21.5</v>
      </c>
      <c r="AJ5" s="73">
        <f t="shared" si="7"/>
        <v>19.302325581395348</v>
      </c>
      <c r="AK5" s="73">
        <f t="shared" si="8"/>
        <v>16.569767441860463</v>
      </c>
      <c r="AL5" s="73">
        <f t="shared" si="9"/>
        <v>2.7325581395348841</v>
      </c>
      <c r="AM5" s="73">
        <f t="shared" si="10"/>
        <v>2.2554347826086958</v>
      </c>
      <c r="AN5" s="227">
        <f t="shared" si="11"/>
        <v>1.7391162790697674</v>
      </c>
      <c r="AO5" s="227">
        <f t="shared" si="12"/>
        <v>1.5118475630704227</v>
      </c>
      <c r="AP5" s="227">
        <f t="shared" si="13"/>
        <v>1.1070762184647891</v>
      </c>
      <c r="AQ5" s="89">
        <f t="shared" si="14"/>
        <v>5.7392151642507594</v>
      </c>
      <c r="AR5" s="73">
        <f t="shared" si="15"/>
        <v>76</v>
      </c>
      <c r="AS5" s="89">
        <f t="shared" si="16"/>
        <v>45.931306976744182</v>
      </c>
      <c r="AT5" s="89">
        <f t="shared" si="17"/>
        <v>6.7772639742557015</v>
      </c>
      <c r="AU5" s="9">
        <v>21</v>
      </c>
      <c r="AV5" s="9">
        <v>18</v>
      </c>
      <c r="AW5" s="9">
        <v>35</v>
      </c>
      <c r="AX5" s="54">
        <f t="shared" si="18"/>
        <v>74</v>
      </c>
      <c r="AZ5" s="49">
        <v>12</v>
      </c>
      <c r="BA5" s="48">
        <f t="shared" si="19"/>
        <v>12</v>
      </c>
      <c r="BB5" s="245">
        <f t="shared" si="20"/>
        <v>0</v>
      </c>
      <c r="BC5" s="36">
        <f t="shared" si="21"/>
        <v>0.78630395951125576</v>
      </c>
      <c r="BD5" s="205">
        <f t="shared" si="22"/>
        <v>0.9642857142857143</v>
      </c>
      <c r="BE5" s="205">
        <f t="shared" si="23"/>
        <v>0.88888888888888884</v>
      </c>
      <c r="BF5" s="205">
        <f t="shared" si="24"/>
        <v>0.57691541928360679</v>
      </c>
      <c r="BG5" s="205">
        <f t="shared" si="25"/>
        <v>0.61690799159531762</v>
      </c>
      <c r="BH5" s="205">
        <f t="shared" si="26"/>
        <v>0.64783383631611136</v>
      </c>
      <c r="BI5" s="205">
        <f t="shared" si="27"/>
        <v>0.49288370631389589</v>
      </c>
      <c r="BJ5" s="205">
        <f t="shared" si="28"/>
        <v>0.66235136914638915</v>
      </c>
      <c r="BK5" s="205">
        <f t="shared" si="29"/>
        <v>0.67622092534134326</v>
      </c>
      <c r="BL5" s="205">
        <f t="shared" si="30"/>
        <v>0.69337884443125364</v>
      </c>
      <c r="BM5" s="205">
        <f t="shared" si="31"/>
        <v>0.58730158730158732</v>
      </c>
      <c r="BN5" s="48">
        <f>30+60</f>
        <v>90</v>
      </c>
      <c r="BO5" s="220">
        <f t="shared" si="32"/>
        <v>164</v>
      </c>
      <c r="BP5" s="220">
        <v>91</v>
      </c>
      <c r="BQ5" s="220">
        <f t="shared" si="33"/>
        <v>255</v>
      </c>
      <c r="BR5" s="205">
        <v>0.66666666666666663</v>
      </c>
      <c r="BS5" s="35">
        <v>0.78630395951125576</v>
      </c>
      <c r="BT5">
        <v>3</v>
      </c>
      <c r="BU5" s="205">
        <v>6.7772639742557015</v>
      </c>
      <c r="BV5" s="34">
        <v>0.57691541928360679</v>
      </c>
      <c r="BW5" s="34">
        <v>0.61690799159531762</v>
      </c>
      <c r="BX5" s="34">
        <f>IF(A5&lt;17, SoC!O$3, IF(A5&lt;33, SoC!O$4, IF(A5&lt;49, SoC!O$5, IF(A5&lt;65, SoC!O$6, IF(A5&lt;81, SoC!O$7, IF(A5&lt;97, SoC!O$8, SoC!O$9))))))</f>
        <v>1.0968295917365127</v>
      </c>
      <c r="BY5" s="205">
        <f t="shared" si="34"/>
        <v>0.88673781892465586</v>
      </c>
      <c r="BZ5" s="205" t="str">
        <f t="shared" si="35"/>
        <v>B+</v>
      </c>
      <c r="CA5" s="35">
        <f t="shared" si="36"/>
        <v>5.4821806753672941</v>
      </c>
      <c r="CB5" s="245">
        <f t="shared" si="37"/>
        <v>0</v>
      </c>
      <c r="CC5" s="48">
        <v>76</v>
      </c>
      <c r="CD5" s="15" t="s">
        <v>77</v>
      </c>
      <c r="CE5">
        <v>12</v>
      </c>
      <c r="CF5">
        <v>12</v>
      </c>
      <c r="CG5">
        <v>11</v>
      </c>
      <c r="CH5">
        <v>12</v>
      </c>
      <c r="CI5">
        <v>12</v>
      </c>
      <c r="CJ5">
        <v>12</v>
      </c>
      <c r="CK5">
        <v>12</v>
      </c>
      <c r="CL5">
        <v>11</v>
      </c>
      <c r="CM5">
        <v>9</v>
      </c>
      <c r="CN5">
        <v>10</v>
      </c>
      <c r="CO5">
        <v>9</v>
      </c>
      <c r="CP5">
        <v>10</v>
      </c>
      <c r="CQ5">
        <v>11</v>
      </c>
      <c r="CR5">
        <v>11</v>
      </c>
      <c r="CS5">
        <v>12</v>
      </c>
      <c r="CT5">
        <v>14</v>
      </c>
      <c r="CU5">
        <v>16</v>
      </c>
      <c r="CV5">
        <v>15</v>
      </c>
      <c r="CW5">
        <v>14</v>
      </c>
      <c r="CX5">
        <v>12</v>
      </c>
      <c r="CY5">
        <v>13</v>
      </c>
      <c r="CZ5">
        <v>17</v>
      </c>
      <c r="DA5">
        <v>17</v>
      </c>
      <c r="DB5">
        <v>18</v>
      </c>
      <c r="DC5">
        <v>22</v>
      </c>
      <c r="DD5">
        <v>30</v>
      </c>
      <c r="DE5" s="154">
        <v>23</v>
      </c>
      <c r="DF5">
        <v>48</v>
      </c>
      <c r="DG5">
        <v>37</v>
      </c>
    </row>
    <row r="6" spans="1:111" x14ac:dyDescent="0.35">
      <c r="A6">
        <v>5</v>
      </c>
      <c r="B6" s="15" t="s">
        <v>143</v>
      </c>
      <c r="C6" s="15" t="s">
        <v>1084</v>
      </c>
      <c r="D6" s="15" t="s">
        <v>74</v>
      </c>
      <c r="F6" s="6">
        <v>5</v>
      </c>
      <c r="G6" s="6">
        <v>8</v>
      </c>
      <c r="H6" s="6"/>
      <c r="I6" s="6">
        <v>5</v>
      </c>
      <c r="J6" s="6">
        <v>4</v>
      </c>
      <c r="L6" s="1">
        <v>4</v>
      </c>
      <c r="M6" s="1">
        <v>5</v>
      </c>
      <c r="O6">
        <v>176</v>
      </c>
      <c r="P6">
        <v>270</v>
      </c>
      <c r="Q6">
        <v>103</v>
      </c>
      <c r="R6" s="9">
        <f>-14.995-5.3-10.645+1.094-5.704</f>
        <v>-35.549999999999997</v>
      </c>
      <c r="S6" s="263">
        <f>542+64+64+16+62</f>
        <v>748</v>
      </c>
      <c r="T6" s="203">
        <f>203.597+0+0.536+(101.789-0.8945)+5.507</f>
        <v>310.53450000000004</v>
      </c>
      <c r="V6">
        <f>118+25</f>
        <v>143</v>
      </c>
      <c r="W6">
        <f>143+15</f>
        <v>158</v>
      </c>
      <c r="X6">
        <v>77</v>
      </c>
      <c r="Y6" s="9">
        <f>-6.406+2.223+4.828</f>
        <v>0.64500000000000046</v>
      </c>
      <c r="Z6" s="263">
        <f>474+23+21</f>
        <v>518</v>
      </c>
      <c r="AA6" s="203">
        <f>91.669+42.593+58.154</f>
        <v>192.416</v>
      </c>
      <c r="AC6">
        <f t="shared" si="0"/>
        <v>211.75</v>
      </c>
      <c r="AD6">
        <f t="shared" si="1"/>
        <v>309.5</v>
      </c>
      <c r="AE6">
        <f t="shared" si="2"/>
        <v>122.25</v>
      </c>
      <c r="AF6">
        <f t="shared" si="3"/>
        <v>-35.388749999999995</v>
      </c>
      <c r="AG6">
        <f t="shared" si="4"/>
        <v>877.5</v>
      </c>
      <c r="AH6">
        <f t="shared" si="5"/>
        <v>358.63850000000002</v>
      </c>
      <c r="AI6" s="73">
        <f t="shared" si="6"/>
        <v>15.25</v>
      </c>
      <c r="AJ6" s="73">
        <f t="shared" si="7"/>
        <v>13.885245901639344</v>
      </c>
      <c r="AK6" s="73">
        <f t="shared" si="8"/>
        <v>20.295081967213115</v>
      </c>
      <c r="AL6" s="73">
        <f t="shared" si="9"/>
        <v>-6.4098360655737707</v>
      </c>
      <c r="AM6" s="73">
        <f t="shared" si="10"/>
        <v>1.7321063394683027</v>
      </c>
      <c r="AN6" s="227">
        <f t="shared" si="11"/>
        <v>-1.1602868852459014</v>
      </c>
      <c r="AO6" s="227">
        <f t="shared" si="12"/>
        <v>-1.2471815889051261</v>
      </c>
      <c r="AP6" s="227">
        <f t="shared" si="13"/>
        <v>-4.0023675914227432</v>
      </c>
      <c r="AQ6" s="89">
        <f t="shared" si="14"/>
        <v>1.4133395090814183</v>
      </c>
      <c r="AR6" s="73">
        <f t="shared" si="15"/>
        <v>57.540983606557376</v>
      </c>
      <c r="AS6" s="89">
        <f t="shared" si="16"/>
        <v>23.517278688524591</v>
      </c>
      <c r="AT6" s="89">
        <f t="shared" si="17"/>
        <v>4.8494616905925332</v>
      </c>
      <c r="AU6" s="9">
        <v>21</v>
      </c>
      <c r="AV6" s="9">
        <v>6</v>
      </c>
      <c r="AW6" s="9">
        <v>14</v>
      </c>
      <c r="AX6" s="54">
        <f t="shared" si="18"/>
        <v>41</v>
      </c>
      <c r="AZ6" s="49">
        <v>82</v>
      </c>
      <c r="BA6" s="48">
        <f t="shared" si="19"/>
        <v>82</v>
      </c>
      <c r="BB6" s="245">
        <f t="shared" si="20"/>
        <v>0</v>
      </c>
      <c r="BC6" s="36">
        <f t="shared" si="21"/>
        <v>0.39208454343547422</v>
      </c>
      <c r="BD6" s="205">
        <f t="shared" si="22"/>
        <v>0.4358974358974359</v>
      </c>
      <c r="BE6" s="205">
        <f t="shared" si="23"/>
        <v>0.55555555555555558</v>
      </c>
      <c r="BF6" s="205">
        <f t="shared" si="24"/>
        <v>0.11314617666843006</v>
      </c>
      <c r="BG6" s="205">
        <f t="shared" si="25"/>
        <v>0.26933408566505801</v>
      </c>
      <c r="BH6" s="205">
        <f t="shared" si="26"/>
        <v>6.9441355841244196E-2</v>
      </c>
      <c r="BI6" s="205">
        <f t="shared" si="27"/>
        <v>0.80610740960605654</v>
      </c>
      <c r="BJ6" s="205">
        <f t="shared" si="28"/>
        <v>0.12912988954433235</v>
      </c>
      <c r="BK6" s="205">
        <f t="shared" si="29"/>
        <v>0.26225530382444695</v>
      </c>
      <c r="BL6" s="205">
        <f t="shared" si="30"/>
        <v>0.40049722466872295</v>
      </c>
      <c r="BM6" s="205">
        <f t="shared" si="31"/>
        <v>0.32539682539682541</v>
      </c>
      <c r="BN6" s="48">
        <v>10</v>
      </c>
      <c r="BO6" s="220">
        <f t="shared" si="32"/>
        <v>51</v>
      </c>
      <c r="BP6" s="220">
        <v>14</v>
      </c>
      <c r="BQ6" s="220">
        <f t="shared" si="33"/>
        <v>65</v>
      </c>
      <c r="BR6" s="205">
        <v>0</v>
      </c>
      <c r="BS6" s="35">
        <v>0.39208454343547422</v>
      </c>
      <c r="BT6">
        <v>3</v>
      </c>
      <c r="BU6" s="205">
        <v>4.8494616905925332</v>
      </c>
      <c r="BV6" s="34">
        <v>0.11314617666843006</v>
      </c>
      <c r="BW6" s="34">
        <v>0.26933408566505801</v>
      </c>
      <c r="BX6" s="34">
        <f>IF(A6&lt;17, SoC!O$3, IF(A6&lt;33, SoC!O$4, IF(A6&lt;49, SoC!O$5, IF(A6&lt;65, SoC!O$6, IF(A6&lt;81, SoC!O$7, IF(A6&lt;97, SoC!O$8, SoC!O$9))))))</f>
        <v>1.0968295917365127</v>
      </c>
      <c r="BY6" s="205">
        <f t="shared" si="34"/>
        <v>0.62616654608456546</v>
      </c>
      <c r="BZ6" s="205" t="str">
        <f t="shared" si="35"/>
        <v>D-</v>
      </c>
      <c r="CA6" s="35">
        <f t="shared" si="36"/>
        <v>-3.3661087879799214</v>
      </c>
      <c r="CB6" s="245">
        <f t="shared" si="37"/>
        <v>0</v>
      </c>
      <c r="CC6" s="48">
        <v>61</v>
      </c>
      <c r="CD6" s="15" t="s">
        <v>74</v>
      </c>
      <c r="CE6">
        <v>82</v>
      </c>
      <c r="CF6">
        <v>82</v>
      </c>
      <c r="CG6">
        <v>81</v>
      </c>
      <c r="CH6">
        <v>81</v>
      </c>
      <c r="CI6">
        <v>81</v>
      </c>
      <c r="CJ6">
        <v>81</v>
      </c>
      <c r="CK6">
        <v>81</v>
      </c>
      <c r="CL6">
        <v>81</v>
      </c>
      <c r="CM6">
        <v>81</v>
      </c>
      <c r="CN6">
        <v>78</v>
      </c>
      <c r="CO6">
        <v>80</v>
      </c>
      <c r="CP6">
        <v>71</v>
      </c>
      <c r="CQ6">
        <v>71</v>
      </c>
      <c r="CR6">
        <v>84</v>
      </c>
      <c r="CS6">
        <v>84</v>
      </c>
      <c r="CT6">
        <v>75</v>
      </c>
      <c r="CU6">
        <v>79</v>
      </c>
      <c r="CV6">
        <v>72</v>
      </c>
      <c r="CW6">
        <v>70</v>
      </c>
      <c r="CX6">
        <v>64</v>
      </c>
      <c r="CY6">
        <v>63</v>
      </c>
      <c r="CZ6">
        <v>49</v>
      </c>
      <c r="DA6">
        <v>46</v>
      </c>
      <c r="DB6">
        <v>48</v>
      </c>
      <c r="DC6">
        <v>50</v>
      </c>
      <c r="DD6">
        <v>77</v>
      </c>
      <c r="DE6" s="154">
        <v>62</v>
      </c>
      <c r="DF6">
        <v>44</v>
      </c>
      <c r="DG6">
        <v>52</v>
      </c>
    </row>
    <row r="7" spans="1:111" x14ac:dyDescent="0.35">
      <c r="A7">
        <v>6</v>
      </c>
      <c r="B7" s="15" t="s">
        <v>143</v>
      </c>
      <c r="C7" s="15" t="s">
        <v>1084</v>
      </c>
      <c r="D7" s="15" t="s">
        <v>80</v>
      </c>
      <c r="F7" s="6">
        <v>7</v>
      </c>
      <c r="G7" s="6">
        <v>6</v>
      </c>
      <c r="H7" s="6"/>
      <c r="I7" s="6">
        <v>4</v>
      </c>
      <c r="J7" s="6">
        <v>5</v>
      </c>
      <c r="L7" s="1">
        <v>1</v>
      </c>
      <c r="M7" s="1">
        <v>3</v>
      </c>
      <c r="O7">
        <v>229</v>
      </c>
      <c r="P7">
        <v>213</v>
      </c>
      <c r="Q7">
        <v>112</v>
      </c>
      <c r="R7" s="9">
        <f>0.734+3.814+2.881-7.128-0.321</f>
        <v>-1.9999999999999851E-2</v>
      </c>
      <c r="S7" s="263">
        <f>292+38+42+77+52</f>
        <v>501</v>
      </c>
      <c r="T7" s="203">
        <f>396.569+27.27+20.209+5.621+44.594</f>
        <v>494.26299999999998</v>
      </c>
      <c r="V7">
        <v>55</v>
      </c>
      <c r="W7">
        <v>66</v>
      </c>
      <c r="X7">
        <v>32</v>
      </c>
      <c r="Y7" s="9">
        <f>-14.568</f>
        <v>-14.568</v>
      </c>
      <c r="Z7" s="263">
        <f>170</f>
        <v>170</v>
      </c>
      <c r="AA7" s="203">
        <f>135.123</f>
        <v>135.12299999999999</v>
      </c>
      <c r="AC7">
        <f t="shared" si="0"/>
        <v>242.75</v>
      </c>
      <c r="AD7">
        <f t="shared" si="1"/>
        <v>229.5</v>
      </c>
      <c r="AE7">
        <f t="shared" si="2"/>
        <v>120</v>
      </c>
      <c r="AF7">
        <f t="shared" si="3"/>
        <v>-3.6619999999999999</v>
      </c>
      <c r="AG7">
        <f t="shared" si="4"/>
        <v>543.5</v>
      </c>
      <c r="AH7">
        <f t="shared" si="5"/>
        <v>528.04374999999993</v>
      </c>
      <c r="AI7" s="73">
        <f t="shared" si="6"/>
        <v>14</v>
      </c>
      <c r="AJ7" s="73">
        <f t="shared" si="7"/>
        <v>17.339285714285715</v>
      </c>
      <c r="AK7" s="73">
        <f t="shared" si="8"/>
        <v>16.392857142857142</v>
      </c>
      <c r="AL7" s="73">
        <f t="shared" si="9"/>
        <v>0.94642857142857295</v>
      </c>
      <c r="AM7" s="73">
        <f t="shared" si="10"/>
        <v>2.0229166666666667</v>
      </c>
      <c r="AN7" s="227">
        <f t="shared" si="11"/>
        <v>-0.13078571428571428</v>
      </c>
      <c r="AO7" s="227">
        <f t="shared" si="12"/>
        <v>-0.26752350698310767</v>
      </c>
      <c r="AP7" s="227">
        <f t="shared" si="13"/>
        <v>1.3447377926973949</v>
      </c>
      <c r="AQ7" s="89">
        <f t="shared" si="14"/>
        <v>2.5783351297535808</v>
      </c>
      <c r="AR7" s="73">
        <f t="shared" si="15"/>
        <v>38.821428571428569</v>
      </c>
      <c r="AS7" s="89">
        <f t="shared" si="16"/>
        <v>37.717410714285712</v>
      </c>
      <c r="AT7" s="89">
        <f t="shared" si="17"/>
        <v>6.1414502126359141</v>
      </c>
      <c r="AU7" s="9">
        <v>21</v>
      </c>
      <c r="AV7" s="9">
        <v>0</v>
      </c>
      <c r="AX7" s="54">
        <f t="shared" si="18"/>
        <v>21</v>
      </c>
      <c r="AZ7" s="49">
        <v>51</v>
      </c>
      <c r="BA7" s="48">
        <f t="shared" si="19"/>
        <v>51</v>
      </c>
      <c r="BB7" s="245">
        <f t="shared" si="20"/>
        <v>0</v>
      </c>
      <c r="BC7" s="36">
        <f t="shared" si="21"/>
        <v>0.54798734928728643</v>
      </c>
      <c r="BD7" s="205">
        <f t="shared" si="22"/>
        <v>0.55128205128205132</v>
      </c>
      <c r="BE7" s="205">
        <f t="shared" si="23"/>
        <v>0.44444444444444442</v>
      </c>
      <c r="BF7" s="205">
        <f t="shared" si="24"/>
        <v>0.40885484675870021</v>
      </c>
      <c r="BG7" s="205">
        <f t="shared" si="25"/>
        <v>0.63341382035297222</v>
      </c>
      <c r="BH7" s="205">
        <f t="shared" si="26"/>
        <v>0.3908504225577763</v>
      </c>
      <c r="BI7" s="205">
        <f t="shared" si="27"/>
        <v>0.6948899793154073</v>
      </c>
      <c r="BJ7" s="205">
        <f t="shared" si="28"/>
        <v>0.68715372747972281</v>
      </c>
      <c r="BK7" s="205">
        <f t="shared" si="29"/>
        <v>0.38842507260017711</v>
      </c>
      <c r="BL7" s="205">
        <f t="shared" si="30"/>
        <v>0.59678275366583389</v>
      </c>
      <c r="BM7" s="205">
        <f t="shared" si="31"/>
        <v>0.16666666666666666</v>
      </c>
      <c r="BN7" s="48">
        <v>5</v>
      </c>
      <c r="BO7" s="220">
        <f t="shared" si="32"/>
        <v>26</v>
      </c>
      <c r="BP7" s="220">
        <v>39</v>
      </c>
      <c r="BQ7" s="220">
        <f t="shared" si="33"/>
        <v>65</v>
      </c>
      <c r="BR7" s="205">
        <v>-1.6666666666666665</v>
      </c>
      <c r="BS7" s="35">
        <v>0.54798734928728643</v>
      </c>
      <c r="BT7">
        <v>2</v>
      </c>
      <c r="BU7" s="205">
        <v>6.1414502126359141</v>
      </c>
      <c r="BV7" s="34">
        <v>0.40885484675870021</v>
      </c>
      <c r="BW7" s="34">
        <v>0.63341382035297222</v>
      </c>
      <c r="BX7" s="34">
        <f>IF(A7&lt;17, SoC!O$3, IF(A7&lt;33, SoC!O$4, IF(A7&lt;49, SoC!O$5, IF(A7&lt;65, SoC!O$6, IF(A7&lt;81, SoC!O$7, IF(A7&lt;97, SoC!O$8, SoC!O$9))))))</f>
        <v>1.0968295917365127</v>
      </c>
      <c r="BY7" s="205">
        <f t="shared" si="34"/>
        <v>0.7402616762248917</v>
      </c>
      <c r="BZ7" s="205" t="str">
        <f t="shared" si="35"/>
        <v>C</v>
      </c>
      <c r="CA7" s="35">
        <f t="shared" si="36"/>
        <v>0.39794159007801344</v>
      </c>
      <c r="CB7" s="245">
        <f t="shared" si="37"/>
        <v>0</v>
      </c>
      <c r="CC7" s="48">
        <v>47</v>
      </c>
      <c r="CD7" s="15" t="s">
        <v>80</v>
      </c>
      <c r="CE7">
        <v>51</v>
      </c>
      <c r="CF7">
        <v>51</v>
      </c>
      <c r="CG7">
        <v>51</v>
      </c>
      <c r="CH7">
        <v>51</v>
      </c>
      <c r="CI7">
        <v>51</v>
      </c>
      <c r="CJ7">
        <v>51</v>
      </c>
      <c r="CK7">
        <v>51</v>
      </c>
      <c r="CL7">
        <v>51</v>
      </c>
      <c r="CM7">
        <v>51</v>
      </c>
      <c r="CN7">
        <v>52</v>
      </c>
      <c r="CO7">
        <v>52</v>
      </c>
      <c r="CP7">
        <v>56</v>
      </c>
      <c r="CQ7">
        <v>56</v>
      </c>
      <c r="CR7">
        <v>46</v>
      </c>
      <c r="CS7">
        <v>47</v>
      </c>
      <c r="CT7">
        <v>52</v>
      </c>
      <c r="CU7">
        <v>53</v>
      </c>
      <c r="CV7">
        <v>59</v>
      </c>
      <c r="CW7">
        <v>60</v>
      </c>
      <c r="CX7">
        <v>66</v>
      </c>
      <c r="CY7">
        <v>65</v>
      </c>
      <c r="CZ7">
        <v>79</v>
      </c>
      <c r="DA7">
        <v>86</v>
      </c>
      <c r="DB7">
        <v>98</v>
      </c>
      <c r="DC7">
        <v>105</v>
      </c>
      <c r="DD7">
        <v>97</v>
      </c>
      <c r="DE7" s="154">
        <v>86</v>
      </c>
      <c r="DF7">
        <v>68</v>
      </c>
      <c r="DG7">
        <v>66</v>
      </c>
    </row>
    <row r="8" spans="1:111" x14ac:dyDescent="0.35">
      <c r="A8">
        <v>7</v>
      </c>
      <c r="B8" s="15" t="s">
        <v>143</v>
      </c>
      <c r="C8" s="15" t="s">
        <v>1084</v>
      </c>
      <c r="D8" s="15" t="s">
        <v>79</v>
      </c>
      <c r="F8" s="6">
        <v>5</v>
      </c>
      <c r="G8" s="6">
        <v>8</v>
      </c>
      <c r="H8" s="6"/>
      <c r="I8" s="6">
        <v>4</v>
      </c>
      <c r="J8" s="6">
        <v>5</v>
      </c>
      <c r="L8" s="1">
        <v>3</v>
      </c>
      <c r="M8" s="1">
        <v>8</v>
      </c>
      <c r="O8">
        <f>184+14</f>
        <v>198</v>
      </c>
      <c r="P8">
        <f>192+17</f>
        <v>209</v>
      </c>
      <c r="Q8">
        <v>107</v>
      </c>
      <c r="R8" s="9">
        <f>14.676+1.597-5.724-5.955+0.321</f>
        <v>4.9149999999999991</v>
      </c>
      <c r="S8" s="263">
        <f>563+44+74+68+52</f>
        <v>801</v>
      </c>
      <c r="T8" s="203">
        <f>255.194+78.577+12.595+13.063+14.991</f>
        <v>374.41999999999996</v>
      </c>
      <c r="V8">
        <f>147+14</f>
        <v>161</v>
      </c>
      <c r="W8">
        <f>171+21</f>
        <v>192</v>
      </c>
      <c r="X8">
        <v>94</v>
      </c>
      <c r="Y8" s="9">
        <f>-30.481-6.35-3.233</f>
        <v>-40.064</v>
      </c>
      <c r="Z8" s="263">
        <f>632+76+78</f>
        <v>786</v>
      </c>
      <c r="AA8" s="203">
        <f>328.603+16.451+12.599</f>
        <v>357.65300000000002</v>
      </c>
      <c r="AC8">
        <f t="shared" si="0"/>
        <v>238.25</v>
      </c>
      <c r="AD8">
        <f t="shared" si="1"/>
        <v>257</v>
      </c>
      <c r="AE8">
        <f t="shared" si="2"/>
        <v>130.5</v>
      </c>
      <c r="AF8">
        <f t="shared" si="3"/>
        <v>-5.1010000000000009</v>
      </c>
      <c r="AG8">
        <f t="shared" si="4"/>
        <v>997.5</v>
      </c>
      <c r="AH8">
        <f t="shared" si="5"/>
        <v>463.83324999999996</v>
      </c>
      <c r="AI8" s="73">
        <f t="shared" si="6"/>
        <v>15.75</v>
      </c>
      <c r="AJ8" s="73">
        <f t="shared" si="7"/>
        <v>15.126984126984127</v>
      </c>
      <c r="AK8" s="73">
        <f t="shared" si="8"/>
        <v>16.317460317460316</v>
      </c>
      <c r="AL8" s="73">
        <f t="shared" si="9"/>
        <v>-1.1904761904761898</v>
      </c>
      <c r="AM8" s="73">
        <f t="shared" si="10"/>
        <v>1.8256704980842913</v>
      </c>
      <c r="AN8" s="227">
        <f t="shared" si="11"/>
        <v>-0.16193650793650796</v>
      </c>
      <c r="AO8" s="227">
        <f t="shared" si="12"/>
        <v>-0.29716614131816366</v>
      </c>
      <c r="AP8" s="227">
        <f t="shared" si="13"/>
        <v>-0.73137354122151821</v>
      </c>
      <c r="AQ8" s="89">
        <f t="shared" si="14"/>
        <v>3.4085263278305229</v>
      </c>
      <c r="AR8" s="73">
        <f t="shared" si="15"/>
        <v>63.333333333333336</v>
      </c>
      <c r="AS8" s="89">
        <f t="shared" si="16"/>
        <v>29.449730158730155</v>
      </c>
      <c r="AT8" s="89">
        <f t="shared" si="17"/>
        <v>5.4267605584483043</v>
      </c>
      <c r="AU8" s="9">
        <v>35</v>
      </c>
      <c r="AV8" s="9">
        <v>6</v>
      </c>
      <c r="AW8" s="20">
        <v>14</v>
      </c>
      <c r="AX8" s="54">
        <f t="shared" si="18"/>
        <v>55</v>
      </c>
      <c r="AZ8" s="49">
        <v>64</v>
      </c>
      <c r="BA8" s="48">
        <f t="shared" si="19"/>
        <v>64</v>
      </c>
      <c r="BB8" s="245">
        <f t="shared" si="20"/>
        <v>0</v>
      </c>
      <c r="BC8" s="36">
        <f t="shared" si="21"/>
        <v>0.480688964487266</v>
      </c>
      <c r="BD8" s="205">
        <f t="shared" si="22"/>
        <v>0.42307692307692307</v>
      </c>
      <c r="BE8" s="205">
        <f t="shared" si="23"/>
        <v>0.44444444444444442</v>
      </c>
      <c r="BF8" s="205">
        <f t="shared" si="24"/>
        <v>0.21945437782828495</v>
      </c>
      <c r="BG8" s="205">
        <f t="shared" si="25"/>
        <v>0.64044838586940633</v>
      </c>
      <c r="BH8" s="205">
        <f t="shared" si="26"/>
        <v>0.17285023127079474</v>
      </c>
      <c r="BI8" s="205">
        <f t="shared" si="27"/>
        <v>0.69825521222536535</v>
      </c>
      <c r="BJ8" s="205">
        <f t="shared" si="28"/>
        <v>0.47049077971453152</v>
      </c>
      <c r="BK8" s="205">
        <f t="shared" si="29"/>
        <v>0.46929214682307951</v>
      </c>
      <c r="BL8" s="205">
        <f t="shared" si="30"/>
        <v>0.4882034323734834</v>
      </c>
      <c r="BM8" s="205">
        <f t="shared" si="31"/>
        <v>0.43650793650793651</v>
      </c>
      <c r="BN8" s="48">
        <v>5</v>
      </c>
      <c r="BO8" s="220">
        <f t="shared" si="32"/>
        <v>60</v>
      </c>
      <c r="BP8" s="220">
        <v>27</v>
      </c>
      <c r="BQ8" s="220">
        <f t="shared" si="33"/>
        <v>87</v>
      </c>
      <c r="BR8" s="205">
        <v>-1.6666666666666665</v>
      </c>
      <c r="BS8" s="35">
        <v>0.480688964487266</v>
      </c>
      <c r="BT8">
        <v>4</v>
      </c>
      <c r="BU8" s="205">
        <v>5.4267605584483043</v>
      </c>
      <c r="BV8" s="34">
        <v>0.21945437782828495</v>
      </c>
      <c r="BW8" s="34">
        <v>0.64044838586940633</v>
      </c>
      <c r="BX8" s="34">
        <f>IF(A8&lt;17, SoC!O$3, IF(A8&lt;33, SoC!O$4, IF(A8&lt;49, SoC!O$5, IF(A8&lt;65, SoC!O$6, IF(A8&lt;81, SoC!O$7, IF(A8&lt;97, SoC!O$8, SoC!O$9))))))</f>
        <v>1.0968295917365127</v>
      </c>
      <c r="BY8" s="205">
        <f t="shared" si="34"/>
        <v>0.69331736202641425</v>
      </c>
      <c r="BZ8" s="205" t="str">
        <f t="shared" si="35"/>
        <v>D+</v>
      </c>
      <c r="CA8" s="35">
        <f t="shared" si="36"/>
        <v>-1.3053709330162</v>
      </c>
      <c r="CB8" s="245">
        <f t="shared" si="37"/>
        <v>0</v>
      </c>
      <c r="CC8" s="48">
        <v>83</v>
      </c>
      <c r="CD8" s="15" t="s">
        <v>79</v>
      </c>
      <c r="CE8">
        <v>64</v>
      </c>
      <c r="CF8">
        <v>64</v>
      </c>
      <c r="CG8">
        <v>64</v>
      </c>
      <c r="CH8">
        <v>64</v>
      </c>
      <c r="CI8">
        <v>64</v>
      </c>
      <c r="CJ8">
        <v>64</v>
      </c>
      <c r="CK8">
        <v>65</v>
      </c>
      <c r="CL8">
        <v>65</v>
      </c>
      <c r="CM8">
        <v>65</v>
      </c>
      <c r="CN8">
        <v>65</v>
      </c>
      <c r="CO8">
        <v>64</v>
      </c>
      <c r="CP8">
        <v>63</v>
      </c>
      <c r="CQ8">
        <v>62</v>
      </c>
      <c r="CR8">
        <v>56</v>
      </c>
      <c r="CS8">
        <v>56</v>
      </c>
      <c r="CT8">
        <v>50</v>
      </c>
      <c r="CU8">
        <v>49</v>
      </c>
      <c r="CV8">
        <v>58</v>
      </c>
      <c r="CW8">
        <v>62</v>
      </c>
      <c r="CX8">
        <v>54</v>
      </c>
      <c r="CY8">
        <v>58</v>
      </c>
      <c r="CZ8">
        <v>50</v>
      </c>
      <c r="DA8">
        <v>56</v>
      </c>
      <c r="DB8">
        <v>38</v>
      </c>
      <c r="DC8">
        <v>21</v>
      </c>
      <c r="DD8">
        <v>35</v>
      </c>
      <c r="DE8" s="154">
        <v>15</v>
      </c>
      <c r="DF8">
        <v>27</v>
      </c>
      <c r="DG8">
        <v>30</v>
      </c>
    </row>
    <row r="9" spans="1:111" x14ac:dyDescent="0.35">
      <c r="A9">
        <v>8</v>
      </c>
      <c r="B9" s="15" t="s">
        <v>143</v>
      </c>
      <c r="C9" s="15" t="s">
        <v>1084</v>
      </c>
      <c r="D9" s="15" t="s">
        <v>73</v>
      </c>
      <c r="F9" s="6">
        <v>10</v>
      </c>
      <c r="G9" s="6">
        <v>3</v>
      </c>
      <c r="H9" s="6"/>
      <c r="I9" s="6">
        <v>7</v>
      </c>
      <c r="J9" s="6">
        <v>2</v>
      </c>
      <c r="L9" s="1">
        <v>2</v>
      </c>
      <c r="M9" s="1">
        <v>2</v>
      </c>
      <c r="O9">
        <v>251</v>
      </c>
      <c r="P9">
        <v>178</v>
      </c>
      <c r="Q9">
        <v>128</v>
      </c>
      <c r="R9" s="9">
        <f>-11.161+5.334+5.529+7.475+5.704</f>
        <v>12.881</v>
      </c>
      <c r="S9" s="263">
        <f>479+53+49+52+62</f>
        <v>695</v>
      </c>
      <c r="T9" s="203">
        <f>401.67+(100.529-0.2645)+78.856+45.512+(168.851-34.4255)</f>
        <v>760.72800000000007</v>
      </c>
      <c r="V9">
        <v>65</v>
      </c>
      <c r="W9">
        <v>57</v>
      </c>
      <c r="X9">
        <v>27</v>
      </c>
      <c r="Y9" s="9">
        <f>10.811</f>
        <v>10.811</v>
      </c>
      <c r="Z9" s="263">
        <f>167</f>
        <v>167</v>
      </c>
      <c r="AA9" s="203">
        <f>106.569</f>
        <v>106.569</v>
      </c>
      <c r="AC9">
        <f t="shared" si="0"/>
        <v>267.25</v>
      </c>
      <c r="AD9">
        <f t="shared" si="1"/>
        <v>192.25</v>
      </c>
      <c r="AE9">
        <f t="shared" si="2"/>
        <v>134.75</v>
      </c>
      <c r="AF9">
        <f t="shared" si="3"/>
        <v>15.58375</v>
      </c>
      <c r="AG9">
        <f t="shared" si="4"/>
        <v>736.75</v>
      </c>
      <c r="AH9">
        <f t="shared" si="5"/>
        <v>787.37025000000006</v>
      </c>
      <c r="AI9" s="73">
        <f t="shared" si="6"/>
        <v>14</v>
      </c>
      <c r="AJ9" s="73">
        <f t="shared" si="7"/>
        <v>19.089285714285715</v>
      </c>
      <c r="AK9" s="73">
        <f t="shared" si="8"/>
        <v>13.732142857142858</v>
      </c>
      <c r="AL9" s="73">
        <f t="shared" si="9"/>
        <v>5.3571428571428577</v>
      </c>
      <c r="AM9" s="73">
        <f t="shared" si="10"/>
        <v>1.9833024118738405</v>
      </c>
      <c r="AN9" s="227">
        <f t="shared" si="11"/>
        <v>1.1131249999999999</v>
      </c>
      <c r="AO9" s="227">
        <f t="shared" si="12"/>
        <v>0.91616352399212753</v>
      </c>
      <c r="AP9" s="227">
        <f t="shared" si="13"/>
        <v>4.342498595146794</v>
      </c>
      <c r="AQ9" s="89">
        <f t="shared" si="14"/>
        <v>4.7695432615794395</v>
      </c>
      <c r="AR9" s="73">
        <f t="shared" si="15"/>
        <v>52.625</v>
      </c>
      <c r="AS9" s="89">
        <f t="shared" si="16"/>
        <v>56.240732142857148</v>
      </c>
      <c r="AT9" s="89">
        <f t="shared" si="17"/>
        <v>7.4993821174052169</v>
      </c>
      <c r="AU9" s="9">
        <v>7</v>
      </c>
      <c r="AV9" s="9">
        <v>12</v>
      </c>
      <c r="AX9" s="54">
        <f t="shared" si="18"/>
        <v>19</v>
      </c>
      <c r="AZ9" s="49">
        <v>15</v>
      </c>
      <c r="BA9" s="48">
        <f t="shared" si="19"/>
        <v>15</v>
      </c>
      <c r="BB9" s="245">
        <f t="shared" si="20"/>
        <v>0</v>
      </c>
      <c r="BC9" s="36">
        <f t="shared" si="21"/>
        <v>0.73693287510831862</v>
      </c>
      <c r="BD9" s="205">
        <f t="shared" si="22"/>
        <v>0.79487179487179493</v>
      </c>
      <c r="BE9" s="205">
        <f t="shared" si="23"/>
        <v>0.77777777777777779</v>
      </c>
      <c r="BF9" s="205">
        <f t="shared" si="24"/>
        <v>0.55867656298885826</v>
      </c>
      <c r="BG9" s="205">
        <f t="shared" si="25"/>
        <v>0.88165993502502416</v>
      </c>
      <c r="BH9" s="205">
        <f t="shared" si="26"/>
        <v>0.34706799988972459</v>
      </c>
      <c r="BI9" s="205">
        <f t="shared" si="27"/>
        <v>0.56050979883942686</v>
      </c>
      <c r="BJ9" s="205">
        <f t="shared" si="28"/>
        <v>1</v>
      </c>
      <c r="BK9" s="205">
        <f t="shared" si="29"/>
        <v>0.59282373384760234</v>
      </c>
      <c r="BL9" s="205">
        <f t="shared" si="30"/>
        <v>0.80308673990259982</v>
      </c>
      <c r="BM9" s="205">
        <f t="shared" si="31"/>
        <v>0.15079365079365079</v>
      </c>
      <c r="BN9" s="48">
        <v>10</v>
      </c>
      <c r="BO9" s="220">
        <f t="shared" si="32"/>
        <v>29</v>
      </c>
      <c r="BP9" s="220">
        <v>83</v>
      </c>
      <c r="BQ9" s="220">
        <f t="shared" si="33"/>
        <v>112</v>
      </c>
      <c r="BR9" s="205">
        <v>0</v>
      </c>
      <c r="BS9" s="35">
        <v>0.73693287510831862</v>
      </c>
      <c r="BT9">
        <v>1</v>
      </c>
      <c r="BU9" s="205">
        <v>7.4993821174052169</v>
      </c>
      <c r="BV9" s="34">
        <v>0.55867656298885826</v>
      </c>
      <c r="BW9" s="34">
        <v>0.88165993502502416</v>
      </c>
      <c r="BX9" s="34">
        <f>IF(A9&lt;17, SoC!O$3, IF(A9&lt;33, SoC!O$4, IF(A9&lt;49, SoC!O$5, IF(A9&lt;65, SoC!O$6, IF(A9&lt;81, SoC!O$7, IF(A9&lt;97, SoC!O$8, SoC!O$9))))))</f>
        <v>1.0968295917365127</v>
      </c>
      <c r="BY9" s="205">
        <f t="shared" si="34"/>
        <v>0.85844794548552483</v>
      </c>
      <c r="BZ9" s="205" t="str">
        <f t="shared" si="35"/>
        <v>B</v>
      </c>
      <c r="CA9" s="35">
        <f t="shared" si="36"/>
        <v>4.8558180588833091</v>
      </c>
      <c r="CB9" s="245">
        <f t="shared" si="37"/>
        <v>0</v>
      </c>
      <c r="CC9" s="48">
        <v>38</v>
      </c>
      <c r="CD9" s="15" t="s">
        <v>73</v>
      </c>
      <c r="CE9">
        <v>15</v>
      </c>
      <c r="CF9">
        <v>15</v>
      </c>
      <c r="CG9">
        <v>15</v>
      </c>
      <c r="CH9">
        <v>15</v>
      </c>
      <c r="CI9">
        <v>15</v>
      </c>
      <c r="CJ9">
        <v>15</v>
      </c>
      <c r="CK9">
        <v>15</v>
      </c>
      <c r="CL9">
        <v>15</v>
      </c>
      <c r="CM9">
        <v>17</v>
      </c>
      <c r="CN9">
        <v>18</v>
      </c>
      <c r="CO9">
        <v>19</v>
      </c>
      <c r="CP9">
        <v>23</v>
      </c>
      <c r="CQ9">
        <v>25</v>
      </c>
      <c r="CR9">
        <v>24</v>
      </c>
      <c r="CS9">
        <v>24</v>
      </c>
      <c r="CT9">
        <v>29</v>
      </c>
      <c r="CU9">
        <v>29</v>
      </c>
      <c r="CV9">
        <v>37</v>
      </c>
      <c r="CW9">
        <v>36</v>
      </c>
      <c r="CX9">
        <v>43</v>
      </c>
      <c r="CY9">
        <v>46</v>
      </c>
      <c r="CZ9">
        <v>53</v>
      </c>
      <c r="DA9">
        <v>44</v>
      </c>
      <c r="DB9">
        <v>46</v>
      </c>
      <c r="DC9">
        <v>70</v>
      </c>
      <c r="DD9">
        <v>79</v>
      </c>
      <c r="DE9" s="154">
        <v>94</v>
      </c>
      <c r="DF9">
        <v>78</v>
      </c>
      <c r="DG9">
        <v>75</v>
      </c>
    </row>
    <row r="10" spans="1:111" x14ac:dyDescent="0.35">
      <c r="A10">
        <v>9</v>
      </c>
      <c r="B10" s="15" t="s">
        <v>143</v>
      </c>
      <c r="C10" s="15" t="s">
        <v>1083</v>
      </c>
      <c r="D10" s="15" t="s">
        <v>84</v>
      </c>
      <c r="F10" s="6">
        <v>5</v>
      </c>
      <c r="G10" s="6">
        <v>8</v>
      </c>
      <c r="H10" s="6"/>
      <c r="I10" s="6">
        <v>2</v>
      </c>
      <c r="J10" s="6">
        <v>7</v>
      </c>
      <c r="L10" s="1">
        <v>0</v>
      </c>
      <c r="M10" s="1">
        <v>2</v>
      </c>
      <c r="O10">
        <f>196+16</f>
        <v>212</v>
      </c>
      <c r="P10">
        <f>221+26</f>
        <v>247</v>
      </c>
      <c r="Q10">
        <v>106</v>
      </c>
      <c r="R10" s="9">
        <f>-9.439-5.334+6.603-7.073-6.101</f>
        <v>-21.344000000000001</v>
      </c>
      <c r="S10" s="263">
        <f>278+53+21+64+62</f>
        <v>478</v>
      </c>
      <c r="T10" s="203">
        <f>201.345+0.424+26.35+24.407+13.937</f>
        <v>266.46300000000002</v>
      </c>
      <c r="V10">
        <v>22</v>
      </c>
      <c r="W10">
        <v>31</v>
      </c>
      <c r="X10">
        <v>12</v>
      </c>
      <c r="Y10" s="9">
        <f>-6.443</f>
        <v>-6.4429999999999996</v>
      </c>
      <c r="Z10" s="263">
        <f>87</f>
        <v>87</v>
      </c>
      <c r="AA10" s="203">
        <f>14.58</f>
        <v>14.58</v>
      </c>
      <c r="AC10">
        <f t="shared" si="0"/>
        <v>217.5</v>
      </c>
      <c r="AD10">
        <f t="shared" si="1"/>
        <v>254.75</v>
      </c>
      <c r="AE10">
        <f t="shared" si="2"/>
        <v>109</v>
      </c>
      <c r="AF10">
        <f t="shared" si="3"/>
        <v>-22.954750000000001</v>
      </c>
      <c r="AG10">
        <f t="shared" si="4"/>
        <v>499.75</v>
      </c>
      <c r="AH10">
        <f t="shared" si="5"/>
        <v>270.108</v>
      </c>
      <c r="AI10" s="73">
        <f t="shared" si="6"/>
        <v>13.5</v>
      </c>
      <c r="AJ10" s="73">
        <f t="shared" si="7"/>
        <v>16.111111111111111</v>
      </c>
      <c r="AK10" s="73">
        <f t="shared" si="8"/>
        <v>18.87037037037037</v>
      </c>
      <c r="AL10" s="73">
        <f t="shared" si="9"/>
        <v>-2.7592592592592595</v>
      </c>
      <c r="AM10" s="73">
        <f t="shared" si="10"/>
        <v>1.9954128440366972</v>
      </c>
      <c r="AN10" s="227">
        <f t="shared" si="11"/>
        <v>-0.85017592592592595</v>
      </c>
      <c r="AO10" s="227">
        <f t="shared" si="12"/>
        <v>-0.95208458837713605</v>
      </c>
      <c r="AP10" s="227">
        <f t="shared" si="13"/>
        <v>-0.95699874495619763</v>
      </c>
      <c r="AQ10" s="89">
        <f t="shared" si="14"/>
        <v>1.6890200280830181</v>
      </c>
      <c r="AR10" s="73">
        <f t="shared" si="15"/>
        <v>37.018518518518519</v>
      </c>
      <c r="AS10" s="89">
        <f t="shared" si="16"/>
        <v>20.007999999999999</v>
      </c>
      <c r="AT10" s="89">
        <f t="shared" si="17"/>
        <v>4.4730302927657446</v>
      </c>
      <c r="AU10" s="9">
        <v>14</v>
      </c>
      <c r="AV10" s="9">
        <v>0</v>
      </c>
      <c r="AX10" s="54">
        <f t="shared" si="18"/>
        <v>14</v>
      </c>
      <c r="AZ10" s="49">
        <v>81</v>
      </c>
      <c r="BA10" s="48">
        <f t="shared" si="19"/>
        <v>81</v>
      </c>
      <c r="BB10" s="245">
        <f t="shared" si="20"/>
        <v>0</v>
      </c>
      <c r="BC10" s="36">
        <f t="shared" si="21"/>
        <v>0.39305074213969027</v>
      </c>
      <c r="BD10" s="205">
        <f t="shared" si="22"/>
        <v>0.38461538461538464</v>
      </c>
      <c r="BE10" s="205">
        <f t="shared" si="23"/>
        <v>0.22222222222222221</v>
      </c>
      <c r="BF10" s="205">
        <f t="shared" si="24"/>
        <v>0.30370785997132166</v>
      </c>
      <c r="BG10" s="205">
        <f t="shared" si="25"/>
        <v>0.40226046575155372</v>
      </c>
      <c r="BH10" s="205">
        <f t="shared" si="26"/>
        <v>0.36045267826926025</v>
      </c>
      <c r="BI10" s="205">
        <f t="shared" si="27"/>
        <v>0.77260599652036943</v>
      </c>
      <c r="BJ10" s="205">
        <f t="shared" si="28"/>
        <v>0.44694453682639029</v>
      </c>
      <c r="BK10" s="205">
        <f t="shared" si="29"/>
        <v>0.29405132445054372</v>
      </c>
      <c r="BL10" s="205">
        <f t="shared" si="30"/>
        <v>0.34330783421137323</v>
      </c>
      <c r="BM10" s="205">
        <f t="shared" si="31"/>
        <v>0.1111111111111111</v>
      </c>
      <c r="BN10" s="48">
        <v>5</v>
      </c>
      <c r="BO10" s="220">
        <f t="shared" si="32"/>
        <v>19</v>
      </c>
      <c r="BP10" s="220">
        <v>15</v>
      </c>
      <c r="BQ10" s="220">
        <f t="shared" si="33"/>
        <v>34</v>
      </c>
      <c r="BR10" s="205">
        <v>0</v>
      </c>
      <c r="BS10" s="35">
        <v>0.39305074213969027</v>
      </c>
      <c r="BT10">
        <v>2</v>
      </c>
      <c r="BU10" s="205">
        <v>4.4730302927657446</v>
      </c>
      <c r="BV10" s="34">
        <v>0.30370785997132166</v>
      </c>
      <c r="BW10" s="34">
        <v>0.40226046575155372</v>
      </c>
      <c r="BX10" s="34">
        <f>IF(A10&lt;17, SoC!O$3, IF(A10&lt;33, SoC!O$4, IF(A10&lt;49, SoC!O$5, IF(A10&lt;65, SoC!O$6, IF(A10&lt;81, SoC!O$7, IF(A10&lt;97, SoC!O$8, SoC!O$9))))))</f>
        <v>1.0968295917365127</v>
      </c>
      <c r="BY10" s="205">
        <f t="shared" si="34"/>
        <v>0.62693759030679463</v>
      </c>
      <c r="BZ10" s="205" t="str">
        <f t="shared" si="35"/>
        <v>D-</v>
      </c>
      <c r="CA10" s="35">
        <f t="shared" si="36"/>
        <v>-3.5350005128089945</v>
      </c>
      <c r="CB10" s="245">
        <f t="shared" si="37"/>
        <v>0</v>
      </c>
      <c r="CC10" s="48">
        <v>51</v>
      </c>
      <c r="CD10" s="15" t="s">
        <v>84</v>
      </c>
      <c r="CE10">
        <v>81</v>
      </c>
      <c r="CF10">
        <v>81</v>
      </c>
      <c r="CG10">
        <v>82</v>
      </c>
      <c r="CH10">
        <v>82</v>
      </c>
      <c r="CI10">
        <v>82</v>
      </c>
      <c r="CJ10">
        <v>82</v>
      </c>
      <c r="CK10">
        <v>82</v>
      </c>
      <c r="CL10">
        <v>82</v>
      </c>
      <c r="CM10">
        <v>82</v>
      </c>
      <c r="CN10">
        <v>82</v>
      </c>
      <c r="CO10">
        <v>82</v>
      </c>
      <c r="CP10">
        <v>77</v>
      </c>
      <c r="CQ10">
        <v>77</v>
      </c>
      <c r="CR10">
        <v>77</v>
      </c>
      <c r="CS10">
        <v>77</v>
      </c>
      <c r="CT10">
        <v>76</v>
      </c>
      <c r="CU10">
        <v>73</v>
      </c>
      <c r="CV10">
        <v>71</v>
      </c>
      <c r="CW10">
        <v>73</v>
      </c>
      <c r="CX10">
        <v>72</v>
      </c>
      <c r="CY10">
        <v>71</v>
      </c>
      <c r="CZ10">
        <v>84</v>
      </c>
      <c r="DA10">
        <v>88</v>
      </c>
      <c r="DB10">
        <v>103</v>
      </c>
      <c r="DC10">
        <v>91</v>
      </c>
      <c r="DD10">
        <v>74</v>
      </c>
      <c r="DE10" s="154">
        <v>101</v>
      </c>
      <c r="DF10">
        <v>86</v>
      </c>
      <c r="DG10">
        <v>62</v>
      </c>
    </row>
    <row r="11" spans="1:111" x14ac:dyDescent="0.35">
      <c r="A11">
        <v>10</v>
      </c>
      <c r="B11" s="15" t="s">
        <v>143</v>
      </c>
      <c r="C11" s="15" t="s">
        <v>1083</v>
      </c>
      <c r="D11" s="15" t="s">
        <v>82</v>
      </c>
      <c r="F11" s="6">
        <v>5</v>
      </c>
      <c r="G11" s="6">
        <v>8</v>
      </c>
      <c r="H11" s="6"/>
      <c r="I11" s="6">
        <v>3</v>
      </c>
      <c r="J11" s="6">
        <v>6</v>
      </c>
      <c r="L11" s="1">
        <v>2</v>
      </c>
      <c r="M11" s="1">
        <v>4</v>
      </c>
      <c r="O11">
        <v>205</v>
      </c>
      <c r="P11">
        <v>221</v>
      </c>
      <c r="Q11">
        <v>107</v>
      </c>
      <c r="R11" s="9">
        <f>13.646-1.597-0.412+5.813-3.323</f>
        <v>14.126999999999999</v>
      </c>
      <c r="S11" s="263">
        <f>550+44+50+23+39</f>
        <v>706</v>
      </c>
      <c r="T11" s="203">
        <f>314.545+0.768+0+2.356+49.254</f>
        <v>366.923</v>
      </c>
      <c r="V11">
        <v>103</v>
      </c>
      <c r="W11">
        <v>93</v>
      </c>
      <c r="X11">
        <v>51</v>
      </c>
      <c r="Y11" s="9">
        <f>11.723</f>
        <v>11.723000000000001</v>
      </c>
      <c r="Z11" s="263">
        <f>365</f>
        <v>365</v>
      </c>
      <c r="AA11" s="203">
        <f>263.272</f>
        <v>263.27199999999999</v>
      </c>
      <c r="AC11">
        <f t="shared" si="0"/>
        <v>230.75</v>
      </c>
      <c r="AD11">
        <f t="shared" si="1"/>
        <v>244.25</v>
      </c>
      <c r="AE11">
        <f t="shared" si="2"/>
        <v>119.75</v>
      </c>
      <c r="AF11">
        <f t="shared" si="3"/>
        <v>17.057749999999999</v>
      </c>
      <c r="AG11">
        <f t="shared" si="4"/>
        <v>797.25</v>
      </c>
      <c r="AH11">
        <f t="shared" si="5"/>
        <v>432.74099999999999</v>
      </c>
      <c r="AI11" s="73">
        <f t="shared" si="6"/>
        <v>14.5</v>
      </c>
      <c r="AJ11" s="73">
        <f t="shared" si="7"/>
        <v>15.913793103448276</v>
      </c>
      <c r="AK11" s="73">
        <f t="shared" si="8"/>
        <v>16.844827586206897</v>
      </c>
      <c r="AL11" s="73">
        <f t="shared" si="9"/>
        <v>-0.931034482758621</v>
      </c>
      <c r="AM11" s="73">
        <f t="shared" si="10"/>
        <v>1.9269311064718162</v>
      </c>
      <c r="AN11" s="227">
        <f t="shared" si="11"/>
        <v>1.1763965517241379</v>
      </c>
      <c r="AO11" s="227">
        <f t="shared" si="12"/>
        <v>0.97637179645527317</v>
      </c>
      <c r="AP11" s="227">
        <f t="shared" si="13"/>
        <v>-2.0074186568483263</v>
      </c>
      <c r="AQ11" s="89">
        <f t="shared" si="14"/>
        <v>3.0475672181403488</v>
      </c>
      <c r="AR11" s="73">
        <f t="shared" si="15"/>
        <v>54.982758620689658</v>
      </c>
      <c r="AS11" s="89">
        <f t="shared" si="16"/>
        <v>29.844206896551722</v>
      </c>
      <c r="AT11" s="89">
        <f t="shared" si="17"/>
        <v>5.4629851634936477</v>
      </c>
      <c r="AU11" s="9">
        <v>28</v>
      </c>
      <c r="AV11" s="9">
        <v>6</v>
      </c>
      <c r="AX11" s="54">
        <f t="shared" si="18"/>
        <v>34</v>
      </c>
      <c r="AZ11" s="49">
        <v>73</v>
      </c>
      <c r="BA11" s="48">
        <f t="shared" si="19"/>
        <v>73</v>
      </c>
      <c r="BB11" s="245">
        <f t="shared" si="20"/>
        <v>0</v>
      </c>
      <c r="BC11" s="36">
        <f t="shared" si="21"/>
        <v>0.43053883512372021</v>
      </c>
      <c r="BD11" s="205">
        <f t="shared" si="22"/>
        <v>0.41025641025641024</v>
      </c>
      <c r="BE11" s="205">
        <f t="shared" si="23"/>
        <v>0.33333333333333331</v>
      </c>
      <c r="BF11" s="205">
        <f t="shared" si="24"/>
        <v>0.28681498994208654</v>
      </c>
      <c r="BG11" s="205">
        <f t="shared" si="25"/>
        <v>0.59124472797405847</v>
      </c>
      <c r="BH11" s="205">
        <f t="shared" si="26"/>
        <v>0.28476536836557437</v>
      </c>
      <c r="BI11" s="205">
        <f t="shared" si="27"/>
        <v>0.55367454736836996</v>
      </c>
      <c r="BJ11" s="205">
        <f t="shared" si="28"/>
        <v>0.33732273052749456</v>
      </c>
      <c r="BK11" s="205">
        <f t="shared" si="29"/>
        <v>0.43478343629872829</v>
      </c>
      <c r="BL11" s="205">
        <f t="shared" si="30"/>
        <v>0.49370686033953926</v>
      </c>
      <c r="BM11" s="205">
        <f t="shared" si="31"/>
        <v>0.26984126984126983</v>
      </c>
      <c r="BN11" s="48">
        <v>5</v>
      </c>
      <c r="BO11" s="220">
        <f t="shared" si="32"/>
        <v>39</v>
      </c>
      <c r="BP11" s="220">
        <v>20</v>
      </c>
      <c r="BQ11" s="220">
        <f t="shared" si="33"/>
        <v>59</v>
      </c>
      <c r="BR11" s="205">
        <v>-0.66666666666666663</v>
      </c>
      <c r="BS11" s="35">
        <v>0.43053883512372021</v>
      </c>
      <c r="BT11">
        <v>3</v>
      </c>
      <c r="BU11" s="205">
        <v>5.4629851634936477</v>
      </c>
      <c r="BV11" s="34">
        <v>0.28681498994208654</v>
      </c>
      <c r="BW11" s="34">
        <v>0.59124472797405847</v>
      </c>
      <c r="BX11" s="34">
        <f>IF(A11&lt;17, SoC!O$3, IF(A11&lt;33, SoC!O$4, IF(A11&lt;49, SoC!O$5, IF(A11&lt;65, SoC!O$6, IF(A11&lt;81, SoC!O$7, IF(A11&lt;97, SoC!O$8, SoC!O$9))))))</f>
        <v>1.0968295917365127</v>
      </c>
      <c r="BY11" s="205">
        <f t="shared" si="34"/>
        <v>0.65615458172881813</v>
      </c>
      <c r="BZ11" s="205" t="str">
        <f t="shared" si="35"/>
        <v>D</v>
      </c>
      <c r="CA11" s="35">
        <f t="shared" si="36"/>
        <v>-2.2902612177644444</v>
      </c>
      <c r="CB11" s="245">
        <f t="shared" si="37"/>
        <v>0</v>
      </c>
      <c r="CC11" s="48">
        <v>64</v>
      </c>
      <c r="CD11" s="15" t="s">
        <v>82</v>
      </c>
      <c r="CE11">
        <v>73</v>
      </c>
      <c r="CF11">
        <v>73</v>
      </c>
      <c r="CG11">
        <v>73</v>
      </c>
      <c r="CH11">
        <v>73</v>
      </c>
      <c r="CI11">
        <v>73</v>
      </c>
      <c r="CJ11">
        <v>73</v>
      </c>
      <c r="CK11">
        <v>73</v>
      </c>
      <c r="CL11">
        <v>73</v>
      </c>
      <c r="CM11">
        <v>73</v>
      </c>
      <c r="CN11">
        <v>73</v>
      </c>
      <c r="CO11">
        <v>73</v>
      </c>
      <c r="CP11">
        <v>80</v>
      </c>
      <c r="CQ11">
        <v>80</v>
      </c>
      <c r="CR11">
        <v>73</v>
      </c>
      <c r="CS11">
        <v>72</v>
      </c>
      <c r="CT11">
        <v>69</v>
      </c>
      <c r="CU11">
        <v>68</v>
      </c>
      <c r="CV11">
        <v>65</v>
      </c>
      <c r="CW11">
        <v>65</v>
      </c>
      <c r="CX11">
        <v>58</v>
      </c>
      <c r="CY11">
        <v>52</v>
      </c>
      <c r="CZ11">
        <v>33</v>
      </c>
      <c r="DA11">
        <v>49</v>
      </c>
      <c r="DB11">
        <v>27</v>
      </c>
      <c r="DC11">
        <v>27</v>
      </c>
      <c r="DD11">
        <v>34</v>
      </c>
      <c r="DE11" s="154">
        <v>55</v>
      </c>
      <c r="DF11">
        <v>28</v>
      </c>
      <c r="DG11">
        <v>49</v>
      </c>
    </row>
    <row r="12" spans="1:111" x14ac:dyDescent="0.35">
      <c r="A12">
        <v>11</v>
      </c>
      <c r="B12" s="15" t="s">
        <v>143</v>
      </c>
      <c r="C12" s="15" t="s">
        <v>1083</v>
      </c>
      <c r="D12" s="15" t="s">
        <v>86</v>
      </c>
      <c r="F12" s="6">
        <v>6</v>
      </c>
      <c r="G12" s="6">
        <v>7</v>
      </c>
      <c r="H12" s="6"/>
      <c r="I12" s="6">
        <v>2</v>
      </c>
      <c r="J12" s="6">
        <v>7</v>
      </c>
      <c r="L12" s="1">
        <v>4</v>
      </c>
      <c r="M12" s="1">
        <v>6</v>
      </c>
      <c r="O12">
        <v>224</v>
      </c>
      <c r="P12">
        <v>243</v>
      </c>
      <c r="Q12">
        <v>122</v>
      </c>
      <c r="R12" s="9">
        <f>-8.417-3.814+0.14-1.197+3.323</f>
        <v>-9.9649999999999999</v>
      </c>
      <c r="S12" s="263">
        <f>378+38+41+55+39</f>
        <v>551</v>
      </c>
      <c r="T12" s="203">
        <f>292.991+16.826+32.922+64.184+4.981</f>
        <v>411.904</v>
      </c>
      <c r="V12">
        <f>144+28</f>
        <v>172</v>
      </c>
      <c r="W12">
        <f>170+15</f>
        <v>185</v>
      </c>
      <c r="X12">
        <f>80+13</f>
        <v>93</v>
      </c>
      <c r="Y12" s="9">
        <f>-43.744+2.946+0.064</f>
        <v>-40.734000000000002</v>
      </c>
      <c r="Z12" s="263">
        <f>562+32+34</f>
        <v>628</v>
      </c>
      <c r="AA12" s="203">
        <f>191.201+43.982+(161.919-30.9595)</f>
        <v>366.14250000000004</v>
      </c>
      <c r="AC12">
        <f t="shared" si="0"/>
        <v>267</v>
      </c>
      <c r="AD12">
        <f t="shared" si="1"/>
        <v>289.25</v>
      </c>
      <c r="AE12">
        <f t="shared" si="2"/>
        <v>145.25</v>
      </c>
      <c r="AF12">
        <f t="shared" si="3"/>
        <v>-20.148499999999999</v>
      </c>
      <c r="AG12">
        <f t="shared" si="4"/>
        <v>708</v>
      </c>
      <c r="AH12">
        <f t="shared" si="5"/>
        <v>503.43962499999998</v>
      </c>
      <c r="AI12" s="73">
        <f t="shared" si="6"/>
        <v>15.5</v>
      </c>
      <c r="AJ12" s="73">
        <f t="shared" si="7"/>
        <v>17.225806451612904</v>
      </c>
      <c r="AK12" s="73">
        <f t="shared" si="8"/>
        <v>18.661290322580644</v>
      </c>
      <c r="AL12" s="73">
        <f t="shared" si="9"/>
        <v>-1.4354838709677402</v>
      </c>
      <c r="AM12" s="73">
        <f t="shared" si="10"/>
        <v>1.8382099827882961</v>
      </c>
      <c r="AN12" s="227">
        <f t="shared" si="11"/>
        <v>-0.64995161290322578</v>
      </c>
      <c r="AO12" s="227">
        <f t="shared" si="12"/>
        <v>-0.76155409459729206</v>
      </c>
      <c r="AP12" s="227">
        <f t="shared" si="13"/>
        <v>-2.397816346722248E-2</v>
      </c>
      <c r="AQ12" s="89">
        <f t="shared" si="14"/>
        <v>2.4125985820884313</v>
      </c>
      <c r="AR12" s="73">
        <f t="shared" si="15"/>
        <v>45.677419354838712</v>
      </c>
      <c r="AS12" s="89">
        <f t="shared" si="16"/>
        <v>32.479975806451613</v>
      </c>
      <c r="AT12" s="89">
        <f t="shared" si="17"/>
        <v>5.6991206169418467</v>
      </c>
      <c r="AU12" s="9">
        <v>21</v>
      </c>
      <c r="AV12" s="9">
        <v>12</v>
      </c>
      <c r="AW12" s="9">
        <v>14</v>
      </c>
      <c r="AX12" s="54">
        <f t="shared" si="18"/>
        <v>47</v>
      </c>
      <c r="AZ12" s="49">
        <v>66</v>
      </c>
      <c r="BA12" s="48">
        <f t="shared" si="19"/>
        <v>66</v>
      </c>
      <c r="BB12" s="245">
        <f t="shared" si="20"/>
        <v>0</v>
      </c>
      <c r="BC12" s="36">
        <f t="shared" si="21"/>
        <v>0.46971808031624623</v>
      </c>
      <c r="BD12" s="205">
        <f t="shared" si="22"/>
        <v>0.51282051282051289</v>
      </c>
      <c r="BE12" s="205">
        <f t="shared" si="23"/>
        <v>0.22222222222222221</v>
      </c>
      <c r="BF12" s="205">
        <f t="shared" si="24"/>
        <v>0.39913961367860107</v>
      </c>
      <c r="BG12" s="205">
        <f t="shared" si="25"/>
        <v>0.42176774986616983</v>
      </c>
      <c r="BH12" s="205">
        <f t="shared" si="26"/>
        <v>0.18670910662315218</v>
      </c>
      <c r="BI12" s="205">
        <f t="shared" si="27"/>
        <v>0.75097568253507685</v>
      </c>
      <c r="BJ12" s="205">
        <f t="shared" si="28"/>
        <v>0.54431455075979995</v>
      </c>
      <c r="BK12" s="205">
        <f t="shared" si="29"/>
        <v>0.37156929487699136</v>
      </c>
      <c r="BL12" s="205">
        <f t="shared" si="30"/>
        <v>0.5295817706845215</v>
      </c>
      <c r="BM12" s="205">
        <f t="shared" si="31"/>
        <v>0.37301587301587302</v>
      </c>
      <c r="BN12" s="48">
        <v>5</v>
      </c>
      <c r="BO12" s="220">
        <f t="shared" si="32"/>
        <v>52</v>
      </c>
      <c r="BP12" s="220">
        <v>25</v>
      </c>
      <c r="BQ12" s="220">
        <f t="shared" si="33"/>
        <v>77</v>
      </c>
      <c r="BR12" s="205">
        <v>0</v>
      </c>
      <c r="BS12" s="35">
        <v>0.46971808031624623</v>
      </c>
      <c r="BT12">
        <v>3</v>
      </c>
      <c r="BU12" s="205">
        <v>5.6991206169418467</v>
      </c>
      <c r="BV12" s="34">
        <v>0.39913961367860107</v>
      </c>
      <c r="BW12" s="34">
        <v>0.42176774986616983</v>
      </c>
      <c r="BX12" s="34">
        <f>IF(A12&lt;17, SoC!O$3, IF(A12&lt;33, SoC!O$4, IF(A12&lt;49, SoC!O$5, IF(A12&lt;65, SoC!O$6, IF(A12&lt;81, SoC!O$7, IF(A12&lt;97, SoC!O$8, SoC!O$9))))))</f>
        <v>1.0968295917365127</v>
      </c>
      <c r="BY12" s="205">
        <f t="shared" si="34"/>
        <v>0.68535981813660929</v>
      </c>
      <c r="BZ12" s="205" t="str">
        <f t="shared" si="35"/>
        <v>D+</v>
      </c>
      <c r="CA12" s="35">
        <f t="shared" si="36"/>
        <v>-1.3886085871898242</v>
      </c>
      <c r="CB12" s="245">
        <f t="shared" si="37"/>
        <v>0</v>
      </c>
      <c r="CC12" s="48">
        <v>73</v>
      </c>
      <c r="CD12" s="15" t="s">
        <v>86</v>
      </c>
      <c r="CE12">
        <v>66</v>
      </c>
      <c r="CF12">
        <v>66</v>
      </c>
      <c r="CG12">
        <v>66</v>
      </c>
      <c r="CH12">
        <v>66</v>
      </c>
      <c r="CI12">
        <v>66</v>
      </c>
      <c r="CJ12">
        <v>66</v>
      </c>
      <c r="CK12">
        <v>66</v>
      </c>
      <c r="CL12">
        <v>66</v>
      </c>
      <c r="CM12">
        <v>66</v>
      </c>
      <c r="CN12">
        <v>66</v>
      </c>
      <c r="CO12">
        <v>67</v>
      </c>
      <c r="CP12">
        <v>64</v>
      </c>
      <c r="CQ12">
        <v>64</v>
      </c>
      <c r="CR12">
        <v>69</v>
      </c>
      <c r="CS12">
        <v>68</v>
      </c>
      <c r="CT12">
        <v>70</v>
      </c>
      <c r="CU12">
        <v>75</v>
      </c>
      <c r="CV12">
        <v>74</v>
      </c>
      <c r="CW12">
        <v>74</v>
      </c>
      <c r="CX12">
        <v>78</v>
      </c>
      <c r="CY12">
        <v>72</v>
      </c>
      <c r="CZ12">
        <v>66</v>
      </c>
      <c r="DA12">
        <v>67</v>
      </c>
      <c r="DB12">
        <v>67</v>
      </c>
      <c r="DC12">
        <v>90</v>
      </c>
      <c r="DD12">
        <v>83</v>
      </c>
      <c r="DE12" s="154">
        <v>93</v>
      </c>
      <c r="DF12">
        <v>84</v>
      </c>
      <c r="DG12">
        <v>40</v>
      </c>
    </row>
    <row r="13" spans="1:111" x14ac:dyDescent="0.35">
      <c r="A13">
        <v>12</v>
      </c>
      <c r="B13" s="15" t="s">
        <v>143</v>
      </c>
      <c r="C13" s="15" t="s">
        <v>1083</v>
      </c>
      <c r="D13" s="15" t="s">
        <v>83</v>
      </c>
      <c r="F13" s="6">
        <v>10</v>
      </c>
      <c r="G13" s="6">
        <v>3</v>
      </c>
      <c r="H13" s="6"/>
      <c r="I13" s="6">
        <v>6</v>
      </c>
      <c r="J13" s="6">
        <v>3</v>
      </c>
      <c r="L13" s="1">
        <v>7</v>
      </c>
      <c r="M13" s="1">
        <v>5</v>
      </c>
      <c r="O13">
        <f>223+26</f>
        <v>249</v>
      </c>
      <c r="P13">
        <f>172+16</f>
        <v>188</v>
      </c>
      <c r="Q13">
        <v>112</v>
      </c>
      <c r="R13" s="9">
        <f>10.894+5.3+8.48+0.856+6.101</f>
        <v>31.631</v>
      </c>
      <c r="S13" s="263">
        <f>638+64+61+92+62</f>
        <v>917</v>
      </c>
      <c r="T13" s="203">
        <f>393.394+(201.522-51.0147)+40.203+12.007+64.311</f>
        <v>660.42229999999995</v>
      </c>
      <c r="V13">
        <v>205</v>
      </c>
      <c r="W13">
        <f>151+16</f>
        <v>167</v>
      </c>
      <c r="X13">
        <v>115</v>
      </c>
      <c r="Y13" s="9">
        <f>0.658-3.482-1.065-5.216-1.614</f>
        <v>-10.719000000000001</v>
      </c>
      <c r="Z13" s="263">
        <f>590+96+93+89+92</f>
        <v>960</v>
      </c>
      <c r="AA13" s="203">
        <f>371.783+(106.528-3.264)+11.891+26.89+2.749</f>
        <v>516.57700000000011</v>
      </c>
      <c r="AC13">
        <f t="shared" si="0"/>
        <v>300.25</v>
      </c>
      <c r="AD13">
        <f t="shared" si="1"/>
        <v>229.75</v>
      </c>
      <c r="AE13">
        <f t="shared" si="2"/>
        <v>140.75</v>
      </c>
      <c r="AF13">
        <f t="shared" si="3"/>
        <v>28.951250000000002</v>
      </c>
      <c r="AG13">
        <f t="shared" si="4"/>
        <v>1157</v>
      </c>
      <c r="AH13">
        <f t="shared" si="5"/>
        <v>789.56655000000001</v>
      </c>
      <c r="AI13" s="73">
        <f t="shared" si="6"/>
        <v>16</v>
      </c>
      <c r="AJ13" s="73">
        <f t="shared" si="7"/>
        <v>18.765625</v>
      </c>
      <c r="AK13" s="73">
        <f t="shared" si="8"/>
        <v>14.359375</v>
      </c>
      <c r="AL13" s="73">
        <f t="shared" si="9"/>
        <v>4.40625</v>
      </c>
      <c r="AM13" s="73">
        <f t="shared" si="10"/>
        <v>2.133214920071048</v>
      </c>
      <c r="AN13" s="227">
        <f t="shared" si="11"/>
        <v>1.8094531250000001</v>
      </c>
      <c r="AO13" s="227">
        <f t="shared" si="12"/>
        <v>1.5787790649629265</v>
      </c>
      <c r="AP13" s="227">
        <f t="shared" si="13"/>
        <v>2.7121339050185367</v>
      </c>
      <c r="AQ13" s="89">
        <f t="shared" si="14"/>
        <v>6.1390409473781364</v>
      </c>
      <c r="AR13" s="73">
        <f t="shared" si="15"/>
        <v>72.3125</v>
      </c>
      <c r="AS13" s="89">
        <f t="shared" si="16"/>
        <v>49.347909375</v>
      </c>
      <c r="AT13" s="89">
        <f t="shared" si="17"/>
        <v>7.0248067144228248</v>
      </c>
      <c r="AU13" s="9">
        <v>42</v>
      </c>
      <c r="AV13" s="9">
        <v>12</v>
      </c>
      <c r="AX13" s="54">
        <f t="shared" si="18"/>
        <v>54</v>
      </c>
      <c r="AZ13" s="49">
        <v>16</v>
      </c>
      <c r="BA13" s="48">
        <f t="shared" si="19"/>
        <v>16</v>
      </c>
      <c r="BB13" s="245">
        <f t="shared" si="20"/>
        <v>0</v>
      </c>
      <c r="BC13" s="36">
        <f t="shared" si="21"/>
        <v>0.73636681226654122</v>
      </c>
      <c r="BD13" s="205">
        <f t="shared" si="22"/>
        <v>0.85897435897435892</v>
      </c>
      <c r="BE13" s="205">
        <f t="shared" si="23"/>
        <v>0.66666666666666663</v>
      </c>
      <c r="BF13" s="205">
        <f t="shared" si="24"/>
        <v>0.53096718945139265</v>
      </c>
      <c r="BG13" s="205">
        <f t="shared" si="25"/>
        <v>0.82313882913337433</v>
      </c>
      <c r="BH13" s="205">
        <f t="shared" si="26"/>
        <v>0.51275413563666028</v>
      </c>
      <c r="BI13" s="205">
        <f t="shared" si="27"/>
        <v>0.48528518823565625</v>
      </c>
      <c r="BJ13" s="205">
        <f t="shared" si="28"/>
        <v>0.82985516531587522</v>
      </c>
      <c r="BK13" s="205">
        <f t="shared" si="29"/>
        <v>0.7097668955877231</v>
      </c>
      <c r="BL13" s="205">
        <f t="shared" si="30"/>
        <v>0.73098680833657603</v>
      </c>
      <c r="BM13" s="205">
        <f t="shared" si="31"/>
        <v>0.42857142857142855</v>
      </c>
      <c r="BN13" s="48">
        <v>10</v>
      </c>
      <c r="BO13" s="220">
        <f t="shared" si="32"/>
        <v>64</v>
      </c>
      <c r="BP13" s="220">
        <v>82</v>
      </c>
      <c r="BQ13" s="220">
        <f t="shared" si="33"/>
        <v>146</v>
      </c>
      <c r="BR13" s="205">
        <v>1</v>
      </c>
      <c r="BS13" s="35">
        <v>0.73636681226654122</v>
      </c>
      <c r="BT13">
        <v>2</v>
      </c>
      <c r="BU13" s="205">
        <v>7.0248067144228248</v>
      </c>
      <c r="BV13" s="34">
        <v>0.53096718945139265</v>
      </c>
      <c r="BW13" s="34">
        <v>0.82313882913337433</v>
      </c>
      <c r="BX13" s="34">
        <f>IF(A13&lt;17, SoC!O$3, IF(A13&lt;33, SoC!O$4, IF(A13&lt;49, SoC!O$5, IF(A13&lt;65, SoC!O$6, IF(A13&lt;81, SoC!O$7, IF(A13&lt;97, SoC!O$8, SoC!O$9))))))</f>
        <v>1.0968295917365127</v>
      </c>
      <c r="BY13" s="205">
        <f t="shared" si="34"/>
        <v>0.85811818082740865</v>
      </c>
      <c r="BZ13" s="205" t="str">
        <f t="shared" si="35"/>
        <v>B</v>
      </c>
      <c r="CA13" s="35">
        <f t="shared" si="36"/>
        <v>4.607209100556565</v>
      </c>
      <c r="CB13" s="245">
        <f t="shared" si="37"/>
        <v>0</v>
      </c>
      <c r="CC13" s="48">
        <v>46</v>
      </c>
      <c r="CD13" s="15" t="s">
        <v>83</v>
      </c>
      <c r="CE13">
        <v>16</v>
      </c>
      <c r="CF13">
        <v>16</v>
      </c>
      <c r="CG13">
        <v>16</v>
      </c>
      <c r="CH13">
        <v>16</v>
      </c>
      <c r="CI13">
        <v>16</v>
      </c>
      <c r="CJ13">
        <v>16</v>
      </c>
      <c r="CK13">
        <v>16</v>
      </c>
      <c r="CL13">
        <v>16</v>
      </c>
      <c r="CM13">
        <v>18</v>
      </c>
      <c r="CN13">
        <v>17</v>
      </c>
      <c r="CO13">
        <v>17</v>
      </c>
      <c r="CP13">
        <v>18</v>
      </c>
      <c r="CQ13">
        <v>18</v>
      </c>
      <c r="CR13">
        <v>14</v>
      </c>
      <c r="CS13">
        <v>14</v>
      </c>
      <c r="CT13">
        <v>16</v>
      </c>
      <c r="CU13">
        <v>15</v>
      </c>
      <c r="CV13">
        <v>19</v>
      </c>
      <c r="CW13">
        <v>15</v>
      </c>
      <c r="CX13">
        <v>22</v>
      </c>
      <c r="CY13">
        <v>20</v>
      </c>
      <c r="CZ13">
        <v>19</v>
      </c>
      <c r="DA13">
        <v>24</v>
      </c>
      <c r="DB13">
        <v>43</v>
      </c>
      <c r="DC13">
        <v>39</v>
      </c>
      <c r="DD13">
        <v>14</v>
      </c>
      <c r="DE13" s="154">
        <v>22</v>
      </c>
      <c r="DF13">
        <v>21</v>
      </c>
      <c r="DG13">
        <v>67</v>
      </c>
    </row>
    <row r="14" spans="1:111" x14ac:dyDescent="0.35">
      <c r="A14">
        <v>13</v>
      </c>
      <c r="B14" s="15" t="s">
        <v>143</v>
      </c>
      <c r="C14" s="15" t="s">
        <v>1082</v>
      </c>
      <c r="D14" s="15" t="s">
        <v>87</v>
      </c>
      <c r="F14" s="6">
        <v>13</v>
      </c>
      <c r="G14" s="6">
        <v>1</v>
      </c>
      <c r="H14" s="15">
        <v>1</v>
      </c>
      <c r="I14" s="6">
        <v>9</v>
      </c>
      <c r="J14" s="6">
        <v>0</v>
      </c>
      <c r="L14" s="1">
        <v>19</v>
      </c>
      <c r="M14" s="1">
        <v>11</v>
      </c>
      <c r="O14">
        <f>316+27</f>
        <v>343</v>
      </c>
      <c r="P14">
        <f>163+13</f>
        <v>176</v>
      </c>
      <c r="Q14">
        <f>127+10</f>
        <v>137</v>
      </c>
      <c r="R14" s="9">
        <f>53.252+6.25+9.978+7.128+5.025+6.875</f>
        <v>88.50800000000001</v>
      </c>
      <c r="S14" s="263">
        <f>697+84+75+77+90+93</f>
        <v>1116</v>
      </c>
      <c r="T14" s="203">
        <f>665.0815+56.756+74.17+(158.779-29.3895)+(157.548-28.774)+(159.499-29.7495)</f>
        <v>1183.9204999999997</v>
      </c>
      <c r="V14">
        <f>688+25</f>
        <v>713</v>
      </c>
      <c r="W14">
        <f>505+27</f>
        <v>532</v>
      </c>
      <c r="X14">
        <f>249+13</f>
        <v>262</v>
      </c>
      <c r="Y14" s="9">
        <f>60.741+6.822+9.252-1.955+1.371+2.826+6.707+5.174+2.074+6.669+2.588+15.975+10.104+2.948+7.936+4.674+8.937+2.503+7.228+7.203+12.558+5.164+0.404</f>
        <v>187.90299999999999</v>
      </c>
      <c r="Z14" s="263">
        <f>758+81+80+102+100+94+101+93+95+94+97+80+97+96+93+95+92+100+103+92+105+102+99</f>
        <v>2849</v>
      </c>
      <c r="AA14" s="203">
        <f>594.5697+(127.781-13.8905)+37.214+48.692+13.438+(140.739-20.3695)+0+(187.682-43.841)+29.495+(129.949-14.9745)+24.993+50.201+0+42.486+71.686+(138.27-19.135)+(446.909-229.1939)+15.793+7.065+(109.232-4.616)+4.336+4.046+38.796</f>
        <v>1917.3522999999998</v>
      </c>
      <c r="AC14">
        <f t="shared" si="0"/>
        <v>521.25</v>
      </c>
      <c r="AD14">
        <f t="shared" si="1"/>
        <v>309</v>
      </c>
      <c r="AE14">
        <f t="shared" si="2"/>
        <v>202.5</v>
      </c>
      <c r="AF14">
        <f t="shared" si="3"/>
        <v>135.48375000000001</v>
      </c>
      <c r="AG14">
        <f t="shared" si="4"/>
        <v>1828.25</v>
      </c>
      <c r="AH14">
        <f t="shared" si="5"/>
        <v>1663.2585749999996</v>
      </c>
      <c r="AI14" s="73">
        <f t="shared" si="6"/>
        <v>21.5</v>
      </c>
      <c r="AJ14" s="73">
        <f t="shared" si="7"/>
        <v>24.244186046511629</v>
      </c>
      <c r="AK14" s="73">
        <f t="shared" si="8"/>
        <v>14.372093023255815</v>
      </c>
      <c r="AL14" s="73">
        <f t="shared" si="9"/>
        <v>9.8720930232558146</v>
      </c>
      <c r="AM14" s="73">
        <f t="shared" si="10"/>
        <v>2.574074074074074</v>
      </c>
      <c r="AN14" s="227">
        <f t="shared" si="11"/>
        <v>6.3015697674418609</v>
      </c>
      <c r="AO14" s="227">
        <f t="shared" si="12"/>
        <v>5.8534107971445684</v>
      </c>
      <c r="AP14" s="227">
        <f t="shared" si="13"/>
        <v>3.7946027409626</v>
      </c>
      <c r="AQ14" s="89">
        <f t="shared" si="14"/>
        <v>9.7844332352669667</v>
      </c>
      <c r="AR14" s="73">
        <f t="shared" si="15"/>
        <v>85.034883720930239</v>
      </c>
      <c r="AS14" s="89">
        <f t="shared" si="16"/>
        <v>77.360863953488348</v>
      </c>
      <c r="AT14" s="89">
        <f t="shared" si="17"/>
        <v>8.7955024844228404</v>
      </c>
      <c r="AU14" s="21">
        <v>70</v>
      </c>
      <c r="AV14" s="9">
        <v>30</v>
      </c>
      <c r="AW14" s="20">
        <v>26</v>
      </c>
      <c r="AX14" s="54">
        <f t="shared" si="18"/>
        <v>126</v>
      </c>
      <c r="AZ14" s="49">
        <v>1</v>
      </c>
      <c r="BA14" s="48">
        <f t="shared" si="19"/>
        <v>1</v>
      </c>
      <c r="BB14" s="245">
        <f t="shared" si="20"/>
        <v>0</v>
      </c>
      <c r="BC14" s="36">
        <f t="shared" si="21"/>
        <v>0.99815418573712111</v>
      </c>
      <c r="BD14" s="205">
        <f t="shared" si="22"/>
        <v>1.1547619047619049</v>
      </c>
      <c r="BE14" s="205">
        <f t="shared" si="23"/>
        <v>1</v>
      </c>
      <c r="BF14" s="205">
        <f t="shared" si="24"/>
        <v>1</v>
      </c>
      <c r="BG14" s="205">
        <f t="shared" si="25"/>
        <v>0.82195223052843724</v>
      </c>
      <c r="BH14" s="205">
        <f t="shared" si="26"/>
        <v>1</v>
      </c>
      <c r="BI14" s="205">
        <f t="shared" si="27"/>
        <v>0</v>
      </c>
      <c r="BJ14" s="205">
        <f t="shared" si="28"/>
        <v>0.94282159684962663</v>
      </c>
      <c r="BK14" s="205">
        <f t="shared" si="29"/>
        <v>1</v>
      </c>
      <c r="BL14" s="205">
        <f t="shared" si="30"/>
        <v>1</v>
      </c>
      <c r="BM14" s="205">
        <f t="shared" si="31"/>
        <v>1</v>
      </c>
      <c r="BN14" s="48">
        <f>50+76</f>
        <v>126</v>
      </c>
      <c r="BO14" s="220">
        <f t="shared" si="32"/>
        <v>252</v>
      </c>
      <c r="BP14" s="220">
        <v>128</v>
      </c>
      <c r="BQ14" s="220">
        <f t="shared" si="33"/>
        <v>380</v>
      </c>
      <c r="BR14" s="205">
        <v>1.6666666666666665</v>
      </c>
      <c r="BS14" s="35">
        <v>0.99815418573712111</v>
      </c>
      <c r="BT14">
        <v>5</v>
      </c>
      <c r="BU14" s="205">
        <v>8.7955024844228404</v>
      </c>
      <c r="BV14" s="34">
        <v>1</v>
      </c>
      <c r="BW14" s="34">
        <v>0.82195223052843724</v>
      </c>
      <c r="BX14" s="34">
        <f>IF(A14&lt;17, SoC!O$3, IF(A14&lt;33, SoC!O$4, IF(A14&lt;49, SoC!O$5, IF(A14&lt;65, SoC!O$6, IF(A14&lt;81, SoC!O$7, IF(A14&lt;97, SoC!O$8, SoC!O$9))))))</f>
        <v>1.0968295917365127</v>
      </c>
      <c r="BY14" s="35">
        <f t="shared" si="34"/>
        <v>0.99907666659627337</v>
      </c>
      <c r="BZ14" s="205" t="str">
        <f t="shared" si="35"/>
        <v>A+</v>
      </c>
      <c r="CA14" s="35">
        <f t="shared" si="36"/>
        <v>10.728304454968171</v>
      </c>
      <c r="CB14" s="245">
        <f t="shared" si="37"/>
        <v>0</v>
      </c>
      <c r="CC14" s="48">
        <v>105</v>
      </c>
      <c r="CD14" s="15" t="s">
        <v>87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2</v>
      </c>
      <c r="CR14">
        <v>3</v>
      </c>
      <c r="CS14">
        <v>2</v>
      </c>
      <c r="CT14">
        <v>1</v>
      </c>
      <c r="CU14">
        <v>1</v>
      </c>
      <c r="CV14">
        <v>1</v>
      </c>
      <c r="CW14">
        <v>3</v>
      </c>
      <c r="CX14">
        <v>2</v>
      </c>
      <c r="CY14">
        <v>2</v>
      </c>
      <c r="CZ14">
        <v>3</v>
      </c>
      <c r="DA14">
        <v>1</v>
      </c>
      <c r="DB14">
        <v>1</v>
      </c>
      <c r="DC14">
        <v>1</v>
      </c>
      <c r="DD14">
        <v>1</v>
      </c>
      <c r="DE14" s="154">
        <v>3</v>
      </c>
      <c r="DF14">
        <v>3</v>
      </c>
      <c r="DG14">
        <v>8</v>
      </c>
    </row>
    <row r="15" spans="1:111" x14ac:dyDescent="0.35">
      <c r="A15">
        <v>14</v>
      </c>
      <c r="B15" s="15" t="s">
        <v>143</v>
      </c>
      <c r="C15" s="15" t="s">
        <v>1082</v>
      </c>
      <c r="D15" s="15" t="s">
        <v>85</v>
      </c>
      <c r="F15" s="6">
        <v>8</v>
      </c>
      <c r="G15" s="6">
        <v>5</v>
      </c>
      <c r="H15" s="6"/>
      <c r="I15" s="6">
        <v>7</v>
      </c>
      <c r="J15" s="6">
        <v>2</v>
      </c>
      <c r="L15" s="1">
        <v>8</v>
      </c>
      <c r="M15" s="1">
        <v>4</v>
      </c>
      <c r="O15">
        <v>231</v>
      </c>
      <c r="P15">
        <f>178+25</f>
        <v>203</v>
      </c>
      <c r="Q15">
        <v>105</v>
      </c>
      <c r="R15" s="9">
        <f>12.58+9.814+3.979+5.995-5.025</f>
        <v>27.342999999999996</v>
      </c>
      <c r="S15" s="263">
        <f>520+47+86+68+90</f>
        <v>811</v>
      </c>
      <c r="T15" s="203">
        <f>409.474+(129.977-14.9885)+8.482+50.477+2.253</f>
        <v>585.67449999999997</v>
      </c>
      <c r="V15">
        <f>208+25</f>
        <v>233</v>
      </c>
      <c r="W15">
        <f>167+24</f>
        <v>191</v>
      </c>
      <c r="X15">
        <v>112</v>
      </c>
      <c r="Y15" s="9">
        <f>16.914+2.385+5.045-8.07-5.445</f>
        <v>10.829000000000001</v>
      </c>
      <c r="Z15" s="263">
        <f>487+80+85+89+97</f>
        <v>838</v>
      </c>
      <c r="AA15" s="203">
        <f>538.054+90.206+13.72+0.586+46.922</f>
        <v>689.48800000000006</v>
      </c>
      <c r="AC15">
        <f t="shared" si="0"/>
        <v>289.25</v>
      </c>
      <c r="AD15">
        <f t="shared" si="1"/>
        <v>250.75</v>
      </c>
      <c r="AE15">
        <f t="shared" si="2"/>
        <v>133</v>
      </c>
      <c r="AF15">
        <f t="shared" si="3"/>
        <v>30.050249999999998</v>
      </c>
      <c r="AG15">
        <f t="shared" si="4"/>
        <v>1020.5</v>
      </c>
      <c r="AH15">
        <f t="shared" si="5"/>
        <v>758.04649999999992</v>
      </c>
      <c r="AI15" s="73">
        <f t="shared" si="6"/>
        <v>16</v>
      </c>
      <c r="AJ15" s="73">
        <f t="shared" si="7"/>
        <v>18.078125</v>
      </c>
      <c r="AK15" s="73">
        <f t="shared" si="8"/>
        <v>15.671875</v>
      </c>
      <c r="AL15" s="73">
        <f t="shared" si="9"/>
        <v>2.40625</v>
      </c>
      <c r="AM15" s="73">
        <f t="shared" si="10"/>
        <v>2.1748120300751879</v>
      </c>
      <c r="AN15" s="227">
        <f t="shared" si="11"/>
        <v>1.8781406249999999</v>
      </c>
      <c r="AO15" s="227">
        <f t="shared" si="12"/>
        <v>1.644141073671725</v>
      </c>
      <c r="AP15" s="227">
        <f t="shared" si="13"/>
        <v>0.64510915066413754</v>
      </c>
      <c r="AQ15" s="89">
        <f t="shared" si="14"/>
        <v>4.7138262241400755</v>
      </c>
      <c r="AR15" s="73">
        <f t="shared" si="15"/>
        <v>63.78125</v>
      </c>
      <c r="AS15" s="89">
        <f t="shared" si="16"/>
        <v>47.377906249999995</v>
      </c>
      <c r="AT15" s="89">
        <f t="shared" si="17"/>
        <v>6.8831610652373953</v>
      </c>
      <c r="AU15" s="9">
        <v>42</v>
      </c>
      <c r="AV15" s="9">
        <v>6</v>
      </c>
      <c r="AX15" s="54">
        <f t="shared" si="18"/>
        <v>48</v>
      </c>
      <c r="AZ15" s="49">
        <v>30</v>
      </c>
      <c r="BA15" s="48">
        <f t="shared" si="19"/>
        <v>30</v>
      </c>
      <c r="BB15" s="245">
        <f t="shared" si="20"/>
        <v>0</v>
      </c>
      <c r="BC15" s="36">
        <f t="shared" si="21"/>
        <v>0.67139385289565034</v>
      </c>
      <c r="BD15" s="205">
        <f t="shared" si="22"/>
        <v>0.71794871794871795</v>
      </c>
      <c r="BE15" s="205">
        <f t="shared" si="23"/>
        <v>0.77777777777777779</v>
      </c>
      <c r="BF15" s="205">
        <f t="shared" si="24"/>
        <v>0.4721086580752592</v>
      </c>
      <c r="BG15" s="205">
        <f t="shared" si="25"/>
        <v>0.70068185310387221</v>
      </c>
      <c r="BH15" s="205">
        <f t="shared" si="26"/>
        <v>0.55872804733827597</v>
      </c>
      <c r="BI15" s="205">
        <f t="shared" si="27"/>
        <v>0.47786484966919884</v>
      </c>
      <c r="BJ15" s="205">
        <f t="shared" si="28"/>
        <v>0.61414049285817163</v>
      </c>
      <c r="BK15" s="205">
        <f t="shared" si="29"/>
        <v>0.58793149383355214</v>
      </c>
      <c r="BL15" s="205">
        <f t="shared" si="30"/>
        <v>0.70946727414092492</v>
      </c>
      <c r="BM15" s="205">
        <f t="shared" si="31"/>
        <v>0.38095238095238093</v>
      </c>
      <c r="BN15" s="48">
        <v>10</v>
      </c>
      <c r="BO15" s="220">
        <f t="shared" si="32"/>
        <v>58</v>
      </c>
      <c r="BP15" s="220">
        <v>64</v>
      </c>
      <c r="BQ15" s="220">
        <f t="shared" si="33"/>
        <v>122</v>
      </c>
      <c r="BR15" s="205">
        <v>1</v>
      </c>
      <c r="BS15" s="35">
        <v>0.67139385289565034</v>
      </c>
      <c r="BT15">
        <v>1</v>
      </c>
      <c r="BU15" s="205">
        <v>6.8831610652373953</v>
      </c>
      <c r="BV15" s="34">
        <v>0.4721086580752592</v>
      </c>
      <c r="BW15" s="34">
        <v>0.70068185310387221</v>
      </c>
      <c r="BX15" s="34">
        <f>IF(A15&lt;17, SoC!O$3, IF(A15&lt;33, SoC!O$4, IF(A15&lt;49, SoC!O$5, IF(A15&lt;65, SoC!O$6, IF(A15&lt;81, SoC!O$7, IF(A15&lt;97, SoC!O$8, SoC!O$9))))))</f>
        <v>1.0968295917365127</v>
      </c>
      <c r="BY15" s="205">
        <f t="shared" si="34"/>
        <v>0.81938626599159592</v>
      </c>
      <c r="BZ15" s="205" t="str">
        <f t="shared" si="35"/>
        <v>B-</v>
      </c>
      <c r="CA15" s="35">
        <f t="shared" si="36"/>
        <v>3.2369270885460324</v>
      </c>
      <c r="CB15" s="245">
        <f t="shared" si="37"/>
        <v>0</v>
      </c>
      <c r="CC15" s="48">
        <v>26</v>
      </c>
      <c r="CD15" s="15" t="s">
        <v>85</v>
      </c>
      <c r="CE15">
        <v>30</v>
      </c>
      <c r="CF15">
        <v>30</v>
      </c>
      <c r="CG15">
        <v>30</v>
      </c>
      <c r="CH15">
        <v>30</v>
      </c>
      <c r="CI15">
        <v>30</v>
      </c>
      <c r="CJ15">
        <v>30</v>
      </c>
      <c r="CK15">
        <v>30</v>
      </c>
      <c r="CL15">
        <v>30</v>
      </c>
      <c r="CM15">
        <v>30</v>
      </c>
      <c r="CN15">
        <v>30</v>
      </c>
      <c r="CO15">
        <v>29</v>
      </c>
      <c r="CP15">
        <v>19</v>
      </c>
      <c r="CQ15">
        <v>19</v>
      </c>
      <c r="CR15">
        <v>21</v>
      </c>
      <c r="CS15">
        <v>21</v>
      </c>
      <c r="CT15">
        <v>18</v>
      </c>
      <c r="CU15">
        <v>17</v>
      </c>
      <c r="CV15">
        <v>20</v>
      </c>
      <c r="CW15">
        <v>21</v>
      </c>
      <c r="CX15">
        <v>23</v>
      </c>
      <c r="CY15">
        <v>35</v>
      </c>
      <c r="CZ15">
        <v>44</v>
      </c>
      <c r="DA15">
        <v>38</v>
      </c>
      <c r="DB15">
        <v>42</v>
      </c>
      <c r="DC15">
        <v>40</v>
      </c>
      <c r="DD15">
        <v>54</v>
      </c>
      <c r="DE15" s="154">
        <v>35</v>
      </c>
      <c r="DF15">
        <v>50</v>
      </c>
      <c r="DG15">
        <v>87</v>
      </c>
    </row>
    <row r="16" spans="1:111" x14ac:dyDescent="0.35">
      <c r="A16">
        <v>15</v>
      </c>
      <c r="B16" s="15" t="s">
        <v>143</v>
      </c>
      <c r="C16" s="15" t="s">
        <v>1082</v>
      </c>
      <c r="D16" s="15" t="s">
        <v>81</v>
      </c>
      <c r="F16" s="6">
        <v>3</v>
      </c>
      <c r="G16" s="6">
        <v>10</v>
      </c>
      <c r="H16" s="6"/>
      <c r="I16" s="6">
        <v>2</v>
      </c>
      <c r="J16" s="6">
        <v>7</v>
      </c>
      <c r="L16" s="1">
        <v>0</v>
      </c>
      <c r="M16" s="1">
        <v>2</v>
      </c>
      <c r="O16">
        <f>171+25</f>
        <v>196</v>
      </c>
      <c r="P16">
        <v>265</v>
      </c>
      <c r="Q16">
        <v>111</v>
      </c>
      <c r="R16" s="9">
        <f>-38.357-8.638-5.141-7.475+3.187</f>
        <v>-56.423999999999999</v>
      </c>
      <c r="S16" s="263">
        <f>456+58+47+52+14</f>
        <v>627</v>
      </c>
      <c r="T16" s="203">
        <f>218.559+25.151+8.754+23.645+15.902</f>
        <v>292.01099999999997</v>
      </c>
      <c r="V16">
        <v>17</v>
      </c>
      <c r="W16">
        <v>50</v>
      </c>
      <c r="X16">
        <v>12</v>
      </c>
      <c r="Y16" s="9">
        <f>-9.663</f>
        <v>-9.6630000000000003</v>
      </c>
      <c r="Z16" s="263">
        <f>130</f>
        <v>130</v>
      </c>
      <c r="AA16" s="203">
        <f>2.771</f>
        <v>2.7709999999999999</v>
      </c>
      <c r="AC16">
        <f t="shared" si="0"/>
        <v>200.25</v>
      </c>
      <c r="AD16">
        <f t="shared" si="1"/>
        <v>277.5</v>
      </c>
      <c r="AE16">
        <f t="shared" si="2"/>
        <v>114</v>
      </c>
      <c r="AF16">
        <f t="shared" si="3"/>
        <v>-58.839750000000002</v>
      </c>
      <c r="AG16">
        <f t="shared" si="4"/>
        <v>659.5</v>
      </c>
      <c r="AH16">
        <f t="shared" si="5"/>
        <v>292.70374999999996</v>
      </c>
      <c r="AI16" s="73">
        <f t="shared" si="6"/>
        <v>13.5</v>
      </c>
      <c r="AJ16" s="73">
        <f t="shared" si="7"/>
        <v>14.833333333333334</v>
      </c>
      <c r="AK16" s="73">
        <f t="shared" si="8"/>
        <v>20.555555555555557</v>
      </c>
      <c r="AL16" s="73">
        <f t="shared" si="9"/>
        <v>-5.7222222222222232</v>
      </c>
      <c r="AM16" s="73">
        <f t="shared" si="10"/>
        <v>1.756578947368421</v>
      </c>
      <c r="AN16" s="227">
        <f t="shared" si="11"/>
        <v>-2.1792500000000001</v>
      </c>
      <c r="AO16" s="227">
        <f t="shared" si="12"/>
        <v>-2.2168118124611222</v>
      </c>
      <c r="AP16" s="227">
        <f t="shared" si="13"/>
        <v>-1.3261604097611013</v>
      </c>
      <c r="AQ16" s="89">
        <f t="shared" si="14"/>
        <v>1.3964945760812479</v>
      </c>
      <c r="AR16" s="73">
        <f t="shared" si="15"/>
        <v>48.851851851851855</v>
      </c>
      <c r="AS16" s="89">
        <f t="shared" si="16"/>
        <v>21.681759259259255</v>
      </c>
      <c r="AT16" s="89">
        <f t="shared" si="17"/>
        <v>4.6563676035359638</v>
      </c>
      <c r="AU16" s="9">
        <v>14</v>
      </c>
      <c r="AV16" s="9">
        <v>0</v>
      </c>
      <c r="AX16" s="54">
        <f t="shared" si="18"/>
        <v>14</v>
      </c>
      <c r="AZ16" s="49">
        <v>100</v>
      </c>
      <c r="BA16" s="48">
        <f t="shared" si="19"/>
        <v>100</v>
      </c>
      <c r="BB16" s="245">
        <f t="shared" si="20"/>
        <v>0</v>
      </c>
      <c r="BC16" s="36">
        <f t="shared" si="21"/>
        <v>0.32478033074263302</v>
      </c>
      <c r="BD16" s="205">
        <f t="shared" si="22"/>
        <v>0.23076923076923078</v>
      </c>
      <c r="BE16" s="205">
        <f t="shared" si="23"/>
        <v>0.22222222222222221</v>
      </c>
      <c r="BF16" s="205">
        <f t="shared" si="24"/>
        <v>0.19431422589850794</v>
      </c>
      <c r="BG16" s="205">
        <f t="shared" si="25"/>
        <v>0.24503175578774838</v>
      </c>
      <c r="BH16" s="205">
        <f t="shared" si="26"/>
        <v>9.6488944353915487E-2</v>
      </c>
      <c r="BI16" s="205">
        <f t="shared" si="27"/>
        <v>0.91618640939797547</v>
      </c>
      <c r="BJ16" s="205">
        <f t="shared" si="28"/>
        <v>0.40841883100715709</v>
      </c>
      <c r="BK16" s="205">
        <f t="shared" si="29"/>
        <v>0.26025865874561677</v>
      </c>
      <c r="BL16" s="205">
        <f t="shared" si="30"/>
        <v>0.371161379668979</v>
      </c>
      <c r="BM16" s="205">
        <f t="shared" si="31"/>
        <v>0.1111111111111111</v>
      </c>
      <c r="BN16" s="48">
        <v>5</v>
      </c>
      <c r="BO16" s="220">
        <f t="shared" si="32"/>
        <v>19</v>
      </c>
      <c r="BP16" s="220">
        <v>5</v>
      </c>
      <c r="BQ16" s="220">
        <f t="shared" si="33"/>
        <v>24</v>
      </c>
      <c r="BR16" s="205">
        <v>-0.66666666666666663</v>
      </c>
      <c r="BS16" s="35">
        <v>0.32478033074263302</v>
      </c>
      <c r="BT16">
        <v>2</v>
      </c>
      <c r="BU16" s="205">
        <v>4.6563676035359638</v>
      </c>
      <c r="BV16" s="34">
        <v>0.19431422589850794</v>
      </c>
      <c r="BW16" s="34">
        <v>0.24503175578774838</v>
      </c>
      <c r="BX16" s="34">
        <f>IF(A16&lt;17, SoC!O$3, IF(A16&lt;33, SoC!O$4, IF(A16&lt;49, SoC!O$5, IF(A16&lt;65, SoC!O$6, IF(A16&lt;81, SoC!O$7, IF(A16&lt;97, SoC!O$8, SoC!O$9))))))</f>
        <v>1.0968295917365127</v>
      </c>
      <c r="BY16" s="205">
        <f t="shared" si="34"/>
        <v>0.56989501729935577</v>
      </c>
      <c r="BZ16" s="205" t="str">
        <f t="shared" si="35"/>
        <v>F+</v>
      </c>
      <c r="CA16" s="35">
        <f t="shared" si="36"/>
        <v>-4.8087400853650299</v>
      </c>
      <c r="CB16" s="245">
        <f t="shared" si="37"/>
        <v>0</v>
      </c>
      <c r="CC16" s="48">
        <v>41</v>
      </c>
      <c r="CD16" s="15" t="s">
        <v>81</v>
      </c>
      <c r="CE16">
        <v>100</v>
      </c>
      <c r="CF16">
        <v>100</v>
      </c>
      <c r="CG16">
        <v>100</v>
      </c>
      <c r="CH16">
        <v>100</v>
      </c>
      <c r="CI16">
        <v>100</v>
      </c>
      <c r="CJ16">
        <v>100</v>
      </c>
      <c r="CK16">
        <v>100</v>
      </c>
      <c r="CL16">
        <v>100</v>
      </c>
      <c r="CM16">
        <v>100</v>
      </c>
      <c r="CN16">
        <v>100</v>
      </c>
      <c r="CO16">
        <v>100</v>
      </c>
      <c r="CP16">
        <v>98</v>
      </c>
      <c r="CQ16">
        <v>98</v>
      </c>
      <c r="CR16">
        <v>95</v>
      </c>
      <c r="CS16">
        <v>96</v>
      </c>
      <c r="CT16">
        <v>92</v>
      </c>
      <c r="CU16">
        <v>92</v>
      </c>
      <c r="CV16">
        <v>86</v>
      </c>
      <c r="CW16">
        <v>95</v>
      </c>
      <c r="CX16">
        <v>89</v>
      </c>
      <c r="CY16">
        <v>91</v>
      </c>
      <c r="CZ16">
        <v>89</v>
      </c>
      <c r="DA16">
        <v>102</v>
      </c>
      <c r="DB16">
        <v>81</v>
      </c>
      <c r="DC16">
        <v>61</v>
      </c>
      <c r="DD16">
        <v>82</v>
      </c>
      <c r="DE16" s="154">
        <v>61</v>
      </c>
      <c r="DF16">
        <v>81</v>
      </c>
      <c r="DG16">
        <v>72</v>
      </c>
    </row>
    <row r="17" spans="1:111" x14ac:dyDescent="0.35">
      <c r="A17">
        <v>16</v>
      </c>
      <c r="B17" s="15" t="s">
        <v>143</v>
      </c>
      <c r="C17" s="15" t="s">
        <v>1082</v>
      </c>
      <c r="D17" s="15" t="s">
        <v>88</v>
      </c>
      <c r="F17" s="6">
        <v>1</v>
      </c>
      <c r="G17" s="6">
        <v>12</v>
      </c>
      <c r="H17" s="6"/>
      <c r="I17" s="6">
        <v>1</v>
      </c>
      <c r="J17" s="6">
        <v>8</v>
      </c>
      <c r="L17" s="1">
        <v>6</v>
      </c>
      <c r="M17" s="1">
        <v>9</v>
      </c>
      <c r="O17">
        <f>152+28</f>
        <v>180</v>
      </c>
      <c r="P17">
        <f>266+25</f>
        <v>291</v>
      </c>
      <c r="Q17">
        <v>96</v>
      </c>
      <c r="R17" s="9">
        <f>-29.812-10.264-8.099-1.094-3.187</f>
        <v>-52.455999999999996</v>
      </c>
      <c r="S17" s="263">
        <f>411+54+39+16+14</f>
        <v>534</v>
      </c>
      <c r="T17" s="203">
        <f>80.96+18.288+11.058+0+48.481</f>
        <v>158.78699999999998</v>
      </c>
      <c r="V17">
        <v>278</v>
      </c>
      <c r="W17">
        <f>278+32</f>
        <v>310</v>
      </c>
      <c r="X17">
        <v>154</v>
      </c>
      <c r="Y17" s="9">
        <f>-33.46+3.557-16.731-13.337-15.841-18.955</f>
        <v>-94.766999999999996</v>
      </c>
      <c r="Z17" s="263">
        <f>366+19+3+52+54+55+53</f>
        <v>602</v>
      </c>
      <c r="AA17" s="203">
        <f>381.936+4.002+5.9844+8.13+41.393+11.4+10.884</f>
        <v>463.72939999999994</v>
      </c>
      <c r="AC17">
        <f t="shared" si="0"/>
        <v>249.5</v>
      </c>
      <c r="AD17">
        <f t="shared" si="1"/>
        <v>368.5</v>
      </c>
      <c r="AE17">
        <f t="shared" si="2"/>
        <v>134.5</v>
      </c>
      <c r="AF17">
        <f t="shared" si="3"/>
        <v>-76.147750000000002</v>
      </c>
      <c r="AG17">
        <f t="shared" si="4"/>
        <v>684.5</v>
      </c>
      <c r="AH17">
        <f t="shared" si="5"/>
        <v>274.71934999999996</v>
      </c>
      <c r="AI17" s="73">
        <f t="shared" si="6"/>
        <v>16.75</v>
      </c>
      <c r="AJ17" s="73">
        <f t="shared" si="7"/>
        <v>14.895522388059701</v>
      </c>
      <c r="AK17" s="73">
        <f t="shared" si="8"/>
        <v>22</v>
      </c>
      <c r="AL17" s="73">
        <f t="shared" si="9"/>
        <v>-7.1044776119402986</v>
      </c>
      <c r="AM17" s="73">
        <f t="shared" si="10"/>
        <v>1.8550185873605949</v>
      </c>
      <c r="AN17" s="227">
        <f t="shared" si="11"/>
        <v>-2.2730671641791047</v>
      </c>
      <c r="AO17" s="227">
        <f t="shared" si="12"/>
        <v>-2.3060868377875567</v>
      </c>
      <c r="AP17" s="227">
        <f t="shared" si="13"/>
        <v>-2.5253236099736371</v>
      </c>
      <c r="AQ17" s="89">
        <f t="shared" si="14"/>
        <v>0.85318415438440176</v>
      </c>
      <c r="AR17" s="73">
        <f t="shared" si="15"/>
        <v>40.865671641791046</v>
      </c>
      <c r="AS17" s="89">
        <f t="shared" si="16"/>
        <v>16.401155223880593</v>
      </c>
      <c r="AT17" s="89">
        <f t="shared" si="17"/>
        <v>4.0498339748538577</v>
      </c>
      <c r="AU17" s="9">
        <v>42</v>
      </c>
      <c r="AV17" s="9">
        <v>18</v>
      </c>
      <c r="AW17" s="20">
        <v>23</v>
      </c>
      <c r="AX17" s="54">
        <f t="shared" si="18"/>
        <v>83</v>
      </c>
      <c r="AZ17" s="49">
        <v>105</v>
      </c>
      <c r="BA17" s="48">
        <f t="shared" si="19"/>
        <v>105</v>
      </c>
      <c r="BB17" s="245">
        <f t="shared" si="20"/>
        <v>0</v>
      </c>
      <c r="BC17" s="36">
        <f t="shared" si="21"/>
        <v>0.30188794477545711</v>
      </c>
      <c r="BD17" s="205">
        <f t="shared" si="22"/>
        <v>0.15384615384615385</v>
      </c>
      <c r="BE17" s="205">
        <f t="shared" si="23"/>
        <v>0.1111111111111111</v>
      </c>
      <c r="BF17" s="205">
        <f t="shared" si="24"/>
        <v>0.19963838070412829</v>
      </c>
      <c r="BG17" s="205">
        <f t="shared" si="25"/>
        <v>0.11026429010448691</v>
      </c>
      <c r="BH17" s="205">
        <f t="shared" si="26"/>
        <v>0.20528629389306902</v>
      </c>
      <c r="BI17" s="205">
        <f t="shared" si="27"/>
        <v>0.92632151580822297</v>
      </c>
      <c r="BJ17" s="205">
        <f t="shared" si="28"/>
        <v>0.2832741773631941</v>
      </c>
      <c r="BK17" s="205">
        <f t="shared" si="29"/>
        <v>0.19124569498219302</v>
      </c>
      <c r="BL17" s="205">
        <f t="shared" si="30"/>
        <v>0.27901367701593088</v>
      </c>
      <c r="BM17" s="205">
        <f t="shared" si="31"/>
        <v>0.65873015873015872</v>
      </c>
      <c r="BN17" s="48">
        <v>5</v>
      </c>
      <c r="BO17" s="220">
        <f t="shared" si="32"/>
        <v>88</v>
      </c>
      <c r="BP17" s="220">
        <v>3</v>
      </c>
      <c r="BQ17" s="220">
        <f t="shared" si="33"/>
        <v>91</v>
      </c>
      <c r="BR17" s="205">
        <v>0.33333333333333331</v>
      </c>
      <c r="BS17" s="35">
        <v>0.30188794477545711</v>
      </c>
      <c r="BT17">
        <v>5</v>
      </c>
      <c r="BU17" s="205">
        <v>4.0498339748538577</v>
      </c>
      <c r="BV17" s="34">
        <v>0.19963838070412829</v>
      </c>
      <c r="BW17" s="34">
        <v>0.11026429010448691</v>
      </c>
      <c r="BX17" s="34">
        <f>IF(A17&lt;17, SoC!O$3, IF(A17&lt;33, SoC!O$4, IF(A17&lt;49, SoC!O$5, IF(A17&lt;65, SoC!O$6, IF(A17&lt;81, SoC!O$7, IF(A17&lt;97, SoC!O$8, SoC!O$9))))))</f>
        <v>1.0968295917365127</v>
      </c>
      <c r="BY17" s="205">
        <f t="shared" si="34"/>
        <v>0.54944330442317446</v>
      </c>
      <c r="BZ17" s="205" t="str">
        <f t="shared" si="35"/>
        <v>F+</v>
      </c>
      <c r="CA17" s="35">
        <f t="shared" si="36"/>
        <v>-5.5698546190496012</v>
      </c>
      <c r="CB17" s="245">
        <f t="shared" si="37"/>
        <v>0</v>
      </c>
      <c r="CC17" s="48">
        <v>125</v>
      </c>
      <c r="CD17" s="15" t="s">
        <v>88</v>
      </c>
      <c r="CE17">
        <v>105</v>
      </c>
      <c r="CF17">
        <v>105</v>
      </c>
      <c r="CG17">
        <v>105</v>
      </c>
      <c r="CH17">
        <v>105</v>
      </c>
      <c r="CI17">
        <v>105</v>
      </c>
      <c r="CJ17">
        <v>105</v>
      </c>
      <c r="CK17">
        <v>105</v>
      </c>
      <c r="CL17">
        <v>105</v>
      </c>
      <c r="CM17">
        <v>105</v>
      </c>
      <c r="CN17">
        <v>105</v>
      </c>
      <c r="CO17">
        <v>105</v>
      </c>
      <c r="CP17">
        <v>107</v>
      </c>
      <c r="CQ17">
        <v>107</v>
      </c>
      <c r="CR17">
        <v>103</v>
      </c>
      <c r="CS17">
        <v>103</v>
      </c>
      <c r="CT17">
        <v>101</v>
      </c>
      <c r="CU17">
        <v>98</v>
      </c>
      <c r="CV17">
        <v>95</v>
      </c>
      <c r="CW17">
        <v>99</v>
      </c>
      <c r="CX17">
        <v>96</v>
      </c>
      <c r="CY17">
        <v>85</v>
      </c>
      <c r="CZ17">
        <v>90</v>
      </c>
      <c r="DA17">
        <v>99</v>
      </c>
      <c r="DB17">
        <v>90</v>
      </c>
      <c r="DC17">
        <v>85</v>
      </c>
      <c r="DD17">
        <v>90</v>
      </c>
      <c r="DE17" s="154">
        <v>78</v>
      </c>
      <c r="DF17">
        <v>57</v>
      </c>
      <c r="DG17">
        <v>10</v>
      </c>
    </row>
    <row r="18" spans="1:111" x14ac:dyDescent="0.35">
      <c r="A18">
        <v>17</v>
      </c>
      <c r="B18" s="16" t="s">
        <v>144</v>
      </c>
      <c r="C18" s="16" t="s">
        <v>1086</v>
      </c>
      <c r="D18" s="16" t="s">
        <v>59</v>
      </c>
      <c r="F18" s="6">
        <v>9</v>
      </c>
      <c r="G18" s="6">
        <v>4</v>
      </c>
      <c r="H18" s="8">
        <v>13</v>
      </c>
      <c r="I18" s="6">
        <v>6</v>
      </c>
      <c r="J18" s="6">
        <v>3</v>
      </c>
      <c r="L18" s="1">
        <v>15</v>
      </c>
      <c r="M18" s="1">
        <v>9</v>
      </c>
      <c r="O18">
        <f>212+25</f>
        <v>237</v>
      </c>
      <c r="P18">
        <v>164</v>
      </c>
      <c r="Q18">
        <v>99</v>
      </c>
      <c r="R18" s="9">
        <f>36.483+2.915+11.44-0.779+8.39</f>
        <v>58.448999999999991</v>
      </c>
      <c r="S18" s="263">
        <f>739+89+48+90+54</f>
        <v>1020</v>
      </c>
      <c r="T18" s="203">
        <f>623.6523+51.398+15.7+0.546+(334.927-142.8619)</f>
        <v>883.36140000000012</v>
      </c>
      <c r="V18">
        <f>442+24</f>
        <v>466</v>
      </c>
      <c r="W18">
        <f>384+12</f>
        <v>396</v>
      </c>
      <c r="X18">
        <f>177+13</f>
        <v>190</v>
      </c>
      <c r="Y18" s="9">
        <f>64.933+4.402+7.226+16.731+13.337+3.963-0.451-0.826-4.068-1.102+2.023+1.876-1.524</f>
        <v>106.52000000000001</v>
      </c>
      <c r="Z18" s="263">
        <f>942+83+85+52+54+93+90+96+92+92+91+94+94</f>
        <v>1958</v>
      </c>
      <c r="AA18" s="203">
        <f>770.3985+16.302+0.353+71.289+26.473+11.926+0+46.501+2.847+11.338+47.115+0.815+(102.54-1.27)</f>
        <v>1106.6275000000001</v>
      </c>
      <c r="AC18">
        <f t="shared" si="0"/>
        <v>353.5</v>
      </c>
      <c r="AD18">
        <f t="shared" si="1"/>
        <v>263</v>
      </c>
      <c r="AE18">
        <f t="shared" si="2"/>
        <v>146.5</v>
      </c>
      <c r="AF18">
        <f t="shared" si="3"/>
        <v>85.078999999999994</v>
      </c>
      <c r="AG18">
        <f t="shared" si="4"/>
        <v>1509.5</v>
      </c>
      <c r="AH18">
        <f t="shared" si="5"/>
        <v>1160.0182750000001</v>
      </c>
      <c r="AI18" s="73">
        <f t="shared" si="6"/>
        <v>19</v>
      </c>
      <c r="AJ18" s="73">
        <f t="shared" si="7"/>
        <v>18.605263157894736</v>
      </c>
      <c r="AK18" s="73">
        <f t="shared" si="8"/>
        <v>13.842105263157896</v>
      </c>
      <c r="AL18" s="73">
        <f t="shared" si="9"/>
        <v>4.7631578947368407</v>
      </c>
      <c r="AM18" s="73">
        <f t="shared" si="10"/>
        <v>2.4129692832764507</v>
      </c>
      <c r="AN18" s="227">
        <f t="shared" si="11"/>
        <v>4.4778421052631572</v>
      </c>
      <c r="AO18" s="227">
        <f t="shared" si="12"/>
        <v>3.9272317610183292</v>
      </c>
      <c r="AP18" s="227">
        <f t="shared" si="13"/>
        <v>0.56062096159609709</v>
      </c>
      <c r="AQ18" s="89">
        <f t="shared" si="14"/>
        <v>7.2159448322776845</v>
      </c>
      <c r="AR18" s="73">
        <f t="shared" si="15"/>
        <v>79.44736842105263</v>
      </c>
      <c r="AS18" s="89">
        <f t="shared" si="16"/>
        <v>61.053593421052639</v>
      </c>
      <c r="AT18" s="89">
        <f t="shared" si="17"/>
        <v>7.8136798898504054</v>
      </c>
      <c r="AU18" s="9">
        <v>35</v>
      </c>
      <c r="AV18" s="9">
        <v>24</v>
      </c>
      <c r="AW18" s="20">
        <v>32</v>
      </c>
      <c r="AX18" s="54">
        <f t="shared" si="18"/>
        <v>91</v>
      </c>
      <c r="AZ18" s="49">
        <v>13</v>
      </c>
      <c r="BA18" s="48">
        <f t="shared" si="19"/>
        <v>13</v>
      </c>
      <c r="BB18" s="245">
        <f t="shared" si="20"/>
        <v>0</v>
      </c>
      <c r="BC18" s="36">
        <f t="shared" si="21"/>
        <v>0.76555796084976657</v>
      </c>
      <c r="BD18" s="205">
        <f t="shared" si="22"/>
        <v>0.88461538461538458</v>
      </c>
      <c r="BE18" s="205">
        <f t="shared" si="23"/>
        <v>0.66666666666666663</v>
      </c>
      <c r="BF18" s="205">
        <f t="shared" si="24"/>
        <v>0.51723822579308398</v>
      </c>
      <c r="BG18" s="205">
        <f t="shared" si="25"/>
        <v>0.87140038171642997</v>
      </c>
      <c r="BH18" s="205">
        <f t="shared" si="26"/>
        <v>0.82194394211280419</v>
      </c>
      <c r="BI18" s="205">
        <f t="shared" si="27"/>
        <v>0.21867290908006032</v>
      </c>
      <c r="BJ18" s="205">
        <f t="shared" si="28"/>
        <v>0.60532330671032142</v>
      </c>
      <c r="BK18" s="205">
        <f t="shared" si="29"/>
        <v>0.79813306284775309</v>
      </c>
      <c r="BL18" s="205">
        <f t="shared" si="30"/>
        <v>0.85083647101433346</v>
      </c>
      <c r="BM18" s="205">
        <f t="shared" si="31"/>
        <v>0.72222222222222221</v>
      </c>
      <c r="BN18" s="48">
        <f>10+46</f>
        <v>56</v>
      </c>
      <c r="BO18" s="220">
        <f t="shared" si="32"/>
        <v>147</v>
      </c>
      <c r="BP18" s="220">
        <v>88</v>
      </c>
      <c r="BQ18" s="220">
        <f t="shared" si="33"/>
        <v>235</v>
      </c>
      <c r="BR18" s="205">
        <v>1.6666666666666665</v>
      </c>
      <c r="BS18" s="35">
        <v>0.76555796084976657</v>
      </c>
      <c r="BT18">
        <v>4</v>
      </c>
      <c r="BU18" s="205">
        <v>7.8136798898504054</v>
      </c>
      <c r="BV18" s="34">
        <v>0.51723822579308398</v>
      </c>
      <c r="BW18" s="34">
        <v>0.87140038171642997</v>
      </c>
      <c r="BX18" s="34">
        <f>IF(A18&lt;17, SoC!O$3, IF(A18&lt;33, SoC!O$4, IF(A18&lt;49, SoC!O$5, IF(A18&lt;65, SoC!O$6, IF(A18&lt;81, SoC!O$7, IF(A18&lt;97, SoC!O$8, SoC!O$9))))))</f>
        <v>1.148154410748077</v>
      </c>
      <c r="BY18" s="205">
        <f t="shared" si="34"/>
        <v>0.87496169107553878</v>
      </c>
      <c r="BZ18" s="205" t="str">
        <f t="shared" si="35"/>
        <v>B+</v>
      </c>
      <c r="CA18" s="35">
        <f t="shared" si="36"/>
        <v>5.585468659934862</v>
      </c>
      <c r="CB18" s="245">
        <f t="shared" si="37"/>
        <v>0</v>
      </c>
      <c r="CC18" s="48">
        <v>88</v>
      </c>
      <c r="CD18" s="16" t="s">
        <v>59</v>
      </c>
      <c r="CE18">
        <v>13</v>
      </c>
      <c r="CF18">
        <v>13</v>
      </c>
      <c r="CG18">
        <v>13</v>
      </c>
      <c r="CH18">
        <v>13</v>
      </c>
      <c r="CI18">
        <v>13</v>
      </c>
      <c r="CJ18">
        <v>13</v>
      </c>
      <c r="CK18">
        <v>13</v>
      </c>
      <c r="CL18">
        <v>13</v>
      </c>
      <c r="CM18">
        <v>14</v>
      </c>
      <c r="CN18">
        <v>14</v>
      </c>
      <c r="CO18">
        <v>13</v>
      </c>
      <c r="CP18">
        <v>17</v>
      </c>
      <c r="CQ18">
        <v>17</v>
      </c>
      <c r="CR18">
        <v>13</v>
      </c>
      <c r="CS18">
        <v>13</v>
      </c>
      <c r="CT18">
        <v>15</v>
      </c>
      <c r="CU18">
        <v>9</v>
      </c>
      <c r="CV18">
        <v>12</v>
      </c>
      <c r="CW18">
        <v>12</v>
      </c>
      <c r="CX18">
        <v>7</v>
      </c>
      <c r="CY18">
        <v>8</v>
      </c>
      <c r="CZ18">
        <v>12</v>
      </c>
      <c r="DA18">
        <v>10</v>
      </c>
      <c r="DB18">
        <v>8</v>
      </c>
      <c r="DC18">
        <v>2</v>
      </c>
      <c r="DD18">
        <v>2</v>
      </c>
      <c r="DE18" s="154">
        <v>2</v>
      </c>
      <c r="DF18">
        <v>4</v>
      </c>
      <c r="DG18">
        <v>25</v>
      </c>
    </row>
    <row r="19" spans="1:111" x14ac:dyDescent="0.35">
      <c r="A19">
        <v>18</v>
      </c>
      <c r="B19" s="16" t="s">
        <v>144</v>
      </c>
      <c r="C19" s="16" t="s">
        <v>1086</v>
      </c>
      <c r="D19" s="16" t="s">
        <v>72</v>
      </c>
      <c r="F19" s="6">
        <v>9</v>
      </c>
      <c r="G19" s="6">
        <v>4</v>
      </c>
      <c r="H19" s="6"/>
      <c r="I19" s="6">
        <v>5</v>
      </c>
      <c r="J19" s="6">
        <v>4</v>
      </c>
      <c r="L19" s="1">
        <v>2</v>
      </c>
      <c r="M19" s="1">
        <v>2</v>
      </c>
      <c r="O19">
        <v>273</v>
      </c>
      <c r="P19">
        <v>196</v>
      </c>
      <c r="Q19">
        <f>117+16</f>
        <v>133</v>
      </c>
      <c r="R19" s="9">
        <f>7.519+9.12+4.285+0.463+3.648</f>
        <v>25.035</v>
      </c>
      <c r="S19" s="263">
        <f>447+40+54+73+60</f>
        <v>674</v>
      </c>
      <c r="T19" s="203">
        <f>489.621+27.663+65.722+9.638+(396.021-188.6824)</f>
        <v>799.98260000000005</v>
      </c>
      <c r="V19">
        <v>73</v>
      </c>
      <c r="W19">
        <v>57</v>
      </c>
      <c r="X19">
        <v>36</v>
      </c>
      <c r="Y19" s="9">
        <f>3.276</f>
        <v>3.2759999999999998</v>
      </c>
      <c r="Z19" s="263">
        <f>248</f>
        <v>248</v>
      </c>
      <c r="AA19" s="203">
        <f>239.523</f>
        <v>239.523</v>
      </c>
      <c r="AC19">
        <f t="shared" si="0"/>
        <v>291.25</v>
      </c>
      <c r="AD19">
        <f t="shared" si="1"/>
        <v>210.25</v>
      </c>
      <c r="AE19">
        <f t="shared" si="2"/>
        <v>142</v>
      </c>
      <c r="AF19">
        <f t="shared" si="3"/>
        <v>25.853999999999999</v>
      </c>
      <c r="AG19">
        <f t="shared" si="4"/>
        <v>736</v>
      </c>
      <c r="AH19">
        <f t="shared" si="5"/>
        <v>859.86335000000008</v>
      </c>
      <c r="AI19" s="73">
        <f t="shared" si="6"/>
        <v>14</v>
      </c>
      <c r="AJ19" s="73">
        <f t="shared" si="7"/>
        <v>20.803571428571427</v>
      </c>
      <c r="AK19" s="73">
        <f t="shared" si="8"/>
        <v>15.017857142857142</v>
      </c>
      <c r="AL19" s="73">
        <f t="shared" si="9"/>
        <v>5.7857142857142847</v>
      </c>
      <c r="AM19" s="73">
        <f t="shared" si="10"/>
        <v>2.051056338028169</v>
      </c>
      <c r="AN19" s="227">
        <f t="shared" si="11"/>
        <v>1.8467142857142858</v>
      </c>
      <c r="AO19" s="227">
        <f t="shared" si="12"/>
        <v>1.4910105373235254</v>
      </c>
      <c r="AP19" s="227">
        <f t="shared" si="13"/>
        <v>4.1168518741953797</v>
      </c>
      <c r="AQ19" s="89">
        <f t="shared" si="14"/>
        <v>5.1192903986440648</v>
      </c>
      <c r="AR19" s="73">
        <f t="shared" si="15"/>
        <v>52.571428571428569</v>
      </c>
      <c r="AS19" s="89">
        <f t="shared" si="16"/>
        <v>61.418810714285719</v>
      </c>
      <c r="AT19" s="89">
        <f t="shared" si="17"/>
        <v>7.8370154213377505</v>
      </c>
      <c r="AU19" s="9">
        <v>14</v>
      </c>
      <c r="AV19" s="9">
        <v>6</v>
      </c>
      <c r="AX19" s="54">
        <f t="shared" si="18"/>
        <v>20</v>
      </c>
      <c r="AZ19" s="49">
        <v>26</v>
      </c>
      <c r="BA19" s="48">
        <f t="shared" si="19"/>
        <v>26</v>
      </c>
      <c r="BB19" s="245">
        <f t="shared" si="20"/>
        <v>0</v>
      </c>
      <c r="BC19" s="36">
        <f t="shared" si="21"/>
        <v>0.69497469361360509</v>
      </c>
      <c r="BD19" s="205">
        <f t="shared" si="22"/>
        <v>0.71794871794871795</v>
      </c>
      <c r="BE19" s="205">
        <f t="shared" si="23"/>
        <v>0.55555555555555558</v>
      </c>
      <c r="BF19" s="205">
        <f t="shared" si="24"/>
        <v>0.70544069317350255</v>
      </c>
      <c r="BG19" s="205">
        <f t="shared" si="25"/>
        <v>0.76170208095530789</v>
      </c>
      <c r="BH19" s="205">
        <f t="shared" si="26"/>
        <v>0.42195091887488667</v>
      </c>
      <c r="BI19" s="205">
        <f t="shared" si="27"/>
        <v>0.49524926681018999</v>
      </c>
      <c r="BJ19" s="205">
        <f t="shared" si="28"/>
        <v>0.97645151157544197</v>
      </c>
      <c r="BK19" s="205">
        <f t="shared" si="29"/>
        <v>0.62326930225902943</v>
      </c>
      <c r="BL19" s="205">
        <f t="shared" si="30"/>
        <v>0.8543817247563541</v>
      </c>
      <c r="BM19" s="205">
        <f t="shared" si="31"/>
        <v>0.15873015873015872</v>
      </c>
      <c r="BN19" s="48">
        <v>10</v>
      </c>
      <c r="BO19" s="220">
        <f t="shared" si="32"/>
        <v>30</v>
      </c>
      <c r="BP19" s="220">
        <v>69</v>
      </c>
      <c r="BQ19" s="220">
        <f t="shared" si="33"/>
        <v>99</v>
      </c>
      <c r="BR19" s="205">
        <v>0.33333333333333331</v>
      </c>
      <c r="BS19" s="35">
        <v>0.69497469361360509</v>
      </c>
      <c r="BT19">
        <v>1</v>
      </c>
      <c r="BU19" s="205">
        <v>7.8370154213377505</v>
      </c>
      <c r="BV19" s="34">
        <v>0.70544069317350255</v>
      </c>
      <c r="BW19" s="34">
        <v>0.76170208095530789</v>
      </c>
      <c r="BX19" s="34">
        <f>IF(A19&lt;17, SoC!O$3, IF(A19&lt;33, SoC!O$4, IF(A19&lt;49, SoC!O$5, IF(A19&lt;65, SoC!O$6, IF(A19&lt;81, SoC!O$7, IF(A19&lt;97, SoC!O$8, SoC!O$9))))))</f>
        <v>1.148154410748077</v>
      </c>
      <c r="BY19" s="205">
        <f t="shared" si="34"/>
        <v>0.83365142212654153</v>
      </c>
      <c r="BZ19" s="205" t="str">
        <f t="shared" si="35"/>
        <v>B</v>
      </c>
      <c r="CA19" s="35">
        <f t="shared" si="36"/>
        <v>4.1854710809553053</v>
      </c>
      <c r="CB19" s="245">
        <f t="shared" si="37"/>
        <v>0</v>
      </c>
      <c r="CC19" s="48">
        <v>3</v>
      </c>
      <c r="CD19" s="16" t="s">
        <v>72</v>
      </c>
      <c r="CE19">
        <v>26</v>
      </c>
      <c r="CF19">
        <v>26</v>
      </c>
      <c r="CG19">
        <v>26</v>
      </c>
      <c r="CH19">
        <v>26</v>
      </c>
      <c r="CI19">
        <v>26</v>
      </c>
      <c r="CJ19">
        <v>26</v>
      </c>
      <c r="CK19">
        <v>26</v>
      </c>
      <c r="CL19">
        <v>26</v>
      </c>
      <c r="CM19">
        <v>27</v>
      </c>
      <c r="CN19">
        <v>27</v>
      </c>
      <c r="CO19">
        <v>26</v>
      </c>
      <c r="CP19">
        <v>37</v>
      </c>
      <c r="CQ19">
        <v>36</v>
      </c>
      <c r="CR19">
        <v>31</v>
      </c>
      <c r="CS19">
        <v>31</v>
      </c>
      <c r="CT19">
        <v>35</v>
      </c>
      <c r="CU19">
        <v>33</v>
      </c>
      <c r="CV19">
        <v>35</v>
      </c>
      <c r="CW19">
        <v>34</v>
      </c>
      <c r="CX19">
        <v>45</v>
      </c>
      <c r="CY19">
        <v>50</v>
      </c>
      <c r="CZ19">
        <v>40</v>
      </c>
      <c r="DA19">
        <v>48</v>
      </c>
      <c r="DB19">
        <v>37</v>
      </c>
      <c r="DC19">
        <v>45</v>
      </c>
      <c r="DD19">
        <v>62</v>
      </c>
      <c r="DE19" s="154">
        <v>69</v>
      </c>
      <c r="DF19">
        <v>104</v>
      </c>
      <c r="DG19">
        <v>110</v>
      </c>
    </row>
    <row r="20" spans="1:111" x14ac:dyDescent="0.35">
      <c r="A20">
        <v>19</v>
      </c>
      <c r="B20" s="16" t="s">
        <v>144</v>
      </c>
      <c r="C20" s="16" t="s">
        <v>1086</v>
      </c>
      <c r="D20" s="16" t="s">
        <v>114</v>
      </c>
      <c r="F20" s="6">
        <v>6</v>
      </c>
      <c r="G20" s="6">
        <v>7</v>
      </c>
      <c r="H20" s="6"/>
      <c r="I20" s="6">
        <v>4</v>
      </c>
      <c r="J20" s="6">
        <v>5</v>
      </c>
      <c r="L20" s="1">
        <v>6</v>
      </c>
      <c r="M20" s="1">
        <v>8</v>
      </c>
      <c r="O20">
        <v>200</v>
      </c>
      <c r="P20">
        <v>255</v>
      </c>
      <c r="Q20">
        <v>111</v>
      </c>
      <c r="R20" s="9">
        <f>0.774+6.803-8.232-3.202-3.648</f>
        <v>-7.504999999999999</v>
      </c>
      <c r="S20" s="263">
        <f>412+33+76+68+60</f>
        <v>649</v>
      </c>
      <c r="T20" s="203">
        <f>305.356+69.588+17.253+3.737+0.586</f>
        <v>396.52</v>
      </c>
      <c r="V20">
        <f>228+11</f>
        <v>239</v>
      </c>
      <c r="W20">
        <f>232+25</f>
        <v>257</v>
      </c>
      <c r="X20">
        <v>125</v>
      </c>
      <c r="Y20" s="9">
        <f>-9.184-6.822-9.252+1.26-1.337</f>
        <v>-25.335000000000001</v>
      </c>
      <c r="Z20" s="263">
        <f>609+81+80+70+70</f>
        <v>910</v>
      </c>
      <c r="AA20" s="203">
        <f>541.538+17.495+38.769+48.906+0</f>
        <v>646.70799999999997</v>
      </c>
      <c r="AC20">
        <f t="shared" si="0"/>
        <v>259.75</v>
      </c>
      <c r="AD20">
        <f t="shared" si="1"/>
        <v>319.25</v>
      </c>
      <c r="AE20">
        <f t="shared" si="2"/>
        <v>142.25</v>
      </c>
      <c r="AF20">
        <f t="shared" si="3"/>
        <v>-13.838749999999999</v>
      </c>
      <c r="AG20">
        <f t="shared" si="4"/>
        <v>876.5</v>
      </c>
      <c r="AH20">
        <f t="shared" si="5"/>
        <v>558.197</v>
      </c>
      <c r="AI20" s="73">
        <f t="shared" si="6"/>
        <v>16.5</v>
      </c>
      <c r="AJ20" s="73">
        <f t="shared" si="7"/>
        <v>15.742424242424242</v>
      </c>
      <c r="AK20" s="73">
        <f t="shared" si="8"/>
        <v>19.348484848484848</v>
      </c>
      <c r="AL20" s="73">
        <f t="shared" si="9"/>
        <v>-3.6060606060606055</v>
      </c>
      <c r="AM20" s="73">
        <f t="shared" si="10"/>
        <v>1.8260105448154658</v>
      </c>
      <c r="AN20" s="227">
        <f t="shared" si="11"/>
        <v>-0.41935606060606057</v>
      </c>
      <c r="AO20" s="227">
        <f t="shared" si="12"/>
        <v>-0.6071956505604299</v>
      </c>
      <c r="AP20" s="227">
        <f t="shared" si="13"/>
        <v>-2.5795088948941149</v>
      </c>
      <c r="AQ20" s="89">
        <f t="shared" si="14"/>
        <v>2.2491910900937024</v>
      </c>
      <c r="AR20" s="73">
        <f t="shared" si="15"/>
        <v>53.121212121212125</v>
      </c>
      <c r="AS20" s="89">
        <f t="shared" si="16"/>
        <v>33.830121212121213</v>
      </c>
      <c r="AT20" s="89">
        <f t="shared" si="17"/>
        <v>5.8163666676131429</v>
      </c>
      <c r="AU20" s="9">
        <v>35</v>
      </c>
      <c r="AV20" s="9">
        <v>12</v>
      </c>
      <c r="AW20" s="9">
        <v>11</v>
      </c>
      <c r="AX20" s="54">
        <f t="shared" si="18"/>
        <v>58</v>
      </c>
      <c r="AZ20" s="49">
        <v>68</v>
      </c>
      <c r="BA20" s="48">
        <f t="shared" si="19"/>
        <v>68</v>
      </c>
      <c r="BB20" s="245">
        <f t="shared" si="20"/>
        <v>0</v>
      </c>
      <c r="BC20" s="36">
        <f t="shared" si="21"/>
        <v>0.4674066408932116</v>
      </c>
      <c r="BD20" s="205">
        <f t="shared" si="22"/>
        <v>0.53846153846153844</v>
      </c>
      <c r="BE20" s="205">
        <f t="shared" si="23"/>
        <v>0.44444444444444442</v>
      </c>
      <c r="BF20" s="205">
        <f t="shared" si="24"/>
        <v>0.27214368887521334</v>
      </c>
      <c r="BG20" s="205">
        <f t="shared" si="25"/>
        <v>0.35765212046711758</v>
      </c>
      <c r="BH20" s="205">
        <f t="shared" si="26"/>
        <v>0.17322605734120883</v>
      </c>
      <c r="BI20" s="205">
        <f t="shared" si="27"/>
        <v>0.7334518649846089</v>
      </c>
      <c r="BJ20" s="205">
        <f t="shared" si="28"/>
        <v>0.27761940183908629</v>
      </c>
      <c r="BK20" s="205">
        <f t="shared" si="29"/>
        <v>0.35466333240727393</v>
      </c>
      <c r="BL20" s="205">
        <f t="shared" si="30"/>
        <v>0.54739439261280265</v>
      </c>
      <c r="BM20" s="205">
        <f t="shared" si="31"/>
        <v>0.46031746031746029</v>
      </c>
      <c r="BN20" s="48">
        <v>5</v>
      </c>
      <c r="BO20" s="220">
        <f t="shared" si="32"/>
        <v>63</v>
      </c>
      <c r="BP20" s="220">
        <v>24</v>
      </c>
      <c r="BQ20" s="220">
        <f t="shared" si="33"/>
        <v>87</v>
      </c>
      <c r="BR20" s="205">
        <v>0.33333333333333331</v>
      </c>
      <c r="BS20" s="35">
        <v>0.4674066408932116</v>
      </c>
      <c r="BT20">
        <v>3</v>
      </c>
      <c r="BU20" s="205">
        <v>5.8163666676131429</v>
      </c>
      <c r="BV20" s="34">
        <v>0.27214368887521334</v>
      </c>
      <c r="BW20" s="34">
        <v>0.35765212046711758</v>
      </c>
      <c r="BX20" s="34">
        <f>IF(A20&lt;17, SoC!O$3, IF(A20&lt;33, SoC!O$4, IF(A20&lt;49, SoC!O$5, IF(A20&lt;65, SoC!O$6, IF(A20&lt;81, SoC!O$7, IF(A20&lt;97, SoC!O$8, SoC!O$9))))))</f>
        <v>1.148154410748077</v>
      </c>
      <c r="BY20" s="205">
        <f t="shared" si="34"/>
        <v>0.68367144220978804</v>
      </c>
      <c r="BZ20" s="205" t="str">
        <f t="shared" si="35"/>
        <v>D+</v>
      </c>
      <c r="CA20" s="35">
        <f t="shared" si="36"/>
        <v>-1.3762143503148687</v>
      </c>
      <c r="CB20" s="245">
        <f t="shared" si="37"/>
        <v>0</v>
      </c>
      <c r="CC20" s="48">
        <v>68</v>
      </c>
      <c r="CD20" s="16" t="s">
        <v>114</v>
      </c>
      <c r="CE20">
        <v>68</v>
      </c>
      <c r="CF20">
        <v>68</v>
      </c>
      <c r="CG20">
        <v>68</v>
      </c>
      <c r="CH20">
        <v>68</v>
      </c>
      <c r="CI20">
        <v>68</v>
      </c>
      <c r="CJ20">
        <v>68</v>
      </c>
      <c r="CK20">
        <v>68</v>
      </c>
      <c r="CL20">
        <v>68</v>
      </c>
      <c r="CM20">
        <v>68</v>
      </c>
      <c r="CN20">
        <v>67</v>
      </c>
      <c r="CO20">
        <v>66</v>
      </c>
      <c r="CP20">
        <v>55</v>
      </c>
      <c r="CQ20">
        <v>54</v>
      </c>
      <c r="CR20">
        <v>48</v>
      </c>
      <c r="CS20">
        <v>49</v>
      </c>
      <c r="CT20">
        <v>46</v>
      </c>
      <c r="CU20">
        <v>43</v>
      </c>
      <c r="CV20">
        <v>50</v>
      </c>
      <c r="CW20">
        <v>54</v>
      </c>
      <c r="CX20">
        <v>57</v>
      </c>
      <c r="CY20">
        <v>61</v>
      </c>
      <c r="CZ20">
        <v>47</v>
      </c>
      <c r="DA20">
        <v>55</v>
      </c>
      <c r="DB20">
        <v>76</v>
      </c>
      <c r="DC20">
        <v>58</v>
      </c>
      <c r="DD20">
        <v>87</v>
      </c>
      <c r="DE20" s="154">
        <v>64</v>
      </c>
      <c r="DF20">
        <v>90</v>
      </c>
      <c r="DG20">
        <v>45</v>
      </c>
    </row>
    <row r="21" spans="1:111" x14ac:dyDescent="0.35">
      <c r="A21">
        <v>20</v>
      </c>
      <c r="B21" s="16" t="s">
        <v>144</v>
      </c>
      <c r="C21" s="16" t="s">
        <v>1086</v>
      </c>
      <c r="D21" s="16" t="s">
        <v>61</v>
      </c>
      <c r="F21" s="6">
        <v>5</v>
      </c>
      <c r="G21" s="6">
        <v>8</v>
      </c>
      <c r="H21" s="6"/>
      <c r="I21" s="6">
        <v>2</v>
      </c>
      <c r="J21" s="6">
        <v>7</v>
      </c>
      <c r="L21" s="1">
        <v>1</v>
      </c>
      <c r="M21" s="1">
        <v>2</v>
      </c>
      <c r="O21">
        <v>169</v>
      </c>
      <c r="P21">
        <f>222+25</f>
        <v>247</v>
      </c>
      <c r="Q21">
        <v>101</v>
      </c>
      <c r="R21" s="9">
        <f>-7.357-2.724-0.718-4.601-8.39</f>
        <v>-23.79</v>
      </c>
      <c r="S21" s="263">
        <f>335+35+21+40+54</f>
        <v>485</v>
      </c>
      <c r="T21" s="203">
        <f>222.22+40.986+0+9.597+0.78</f>
        <v>273.58299999999997</v>
      </c>
      <c r="V21">
        <v>46</v>
      </c>
      <c r="W21">
        <v>57</v>
      </c>
      <c r="X21">
        <v>24</v>
      </c>
      <c r="Y21" s="9">
        <f>-1.832</f>
        <v>-1.8320000000000001</v>
      </c>
      <c r="Z21" s="263">
        <f>120</f>
        <v>120</v>
      </c>
      <c r="AA21" s="203">
        <f>90.54</f>
        <v>90.54</v>
      </c>
      <c r="AC21">
        <f t="shared" si="0"/>
        <v>180.5</v>
      </c>
      <c r="AD21">
        <f t="shared" si="1"/>
        <v>261.25</v>
      </c>
      <c r="AE21">
        <f t="shared" si="2"/>
        <v>107</v>
      </c>
      <c r="AF21">
        <f t="shared" si="3"/>
        <v>-24.247999999999998</v>
      </c>
      <c r="AG21">
        <f t="shared" si="4"/>
        <v>515</v>
      </c>
      <c r="AH21">
        <f t="shared" si="5"/>
        <v>296.21799999999996</v>
      </c>
      <c r="AI21" s="73">
        <f t="shared" si="6"/>
        <v>13.75</v>
      </c>
      <c r="AJ21" s="73">
        <f t="shared" si="7"/>
        <v>13.127272727272727</v>
      </c>
      <c r="AK21" s="73">
        <f t="shared" si="8"/>
        <v>19</v>
      </c>
      <c r="AL21" s="73">
        <f t="shared" si="9"/>
        <v>-5.872727272727273</v>
      </c>
      <c r="AM21" s="73">
        <f t="shared" si="10"/>
        <v>1.6869158878504673</v>
      </c>
      <c r="AN21" s="227">
        <f t="shared" si="11"/>
        <v>-0.8817454545454545</v>
      </c>
      <c r="AO21" s="227">
        <f t="shared" si="12"/>
        <v>-1.0353325304021979</v>
      </c>
      <c r="AP21" s="227">
        <f t="shared" si="13"/>
        <v>-3.9556492877796208</v>
      </c>
      <c r="AQ21" s="89">
        <f t="shared" si="14"/>
        <v>1.096893427696954</v>
      </c>
      <c r="AR21" s="73">
        <f t="shared" si="15"/>
        <v>37.454545454545453</v>
      </c>
      <c r="AS21" s="89">
        <f t="shared" si="16"/>
        <v>21.543127272727268</v>
      </c>
      <c r="AT21" s="89">
        <f t="shared" si="17"/>
        <v>4.6414574513537525</v>
      </c>
      <c r="AU21" s="9">
        <v>14</v>
      </c>
      <c r="AV21" s="9">
        <v>0</v>
      </c>
      <c r="AX21" s="54">
        <f t="shared" si="18"/>
        <v>14</v>
      </c>
      <c r="AZ21" s="49">
        <v>102</v>
      </c>
      <c r="BA21" s="48">
        <f t="shared" si="19"/>
        <v>102</v>
      </c>
      <c r="BB21" s="245">
        <f t="shared" si="20"/>
        <v>0</v>
      </c>
      <c r="BC21" s="36">
        <f t="shared" si="21"/>
        <v>0.3129284336313497</v>
      </c>
      <c r="BD21" s="205">
        <f t="shared" si="22"/>
        <v>0.39743589743589747</v>
      </c>
      <c r="BE21" s="205">
        <f t="shared" si="23"/>
        <v>0.22222222222222221</v>
      </c>
      <c r="BF21" s="205">
        <f t="shared" si="24"/>
        <v>4.8254267045557298E-2</v>
      </c>
      <c r="BG21" s="205">
        <f t="shared" si="25"/>
        <v>0.39016594960049178</v>
      </c>
      <c r="BH21" s="205">
        <f t="shared" si="26"/>
        <v>1.9496015113781913E-2</v>
      </c>
      <c r="BI21" s="205">
        <f t="shared" si="27"/>
        <v>0.78205686755370751</v>
      </c>
      <c r="BJ21" s="205">
        <f t="shared" si="28"/>
        <v>0.13400541101398372</v>
      </c>
      <c r="BK21" s="205">
        <f t="shared" si="29"/>
        <v>0.2234641393134047</v>
      </c>
      <c r="BL21" s="205">
        <f t="shared" si="30"/>
        <v>0.36889615280466903</v>
      </c>
      <c r="BM21" s="205">
        <f t="shared" si="31"/>
        <v>0.1111111111111111</v>
      </c>
      <c r="BN21" s="48">
        <v>5</v>
      </c>
      <c r="BO21" s="220">
        <f t="shared" si="32"/>
        <v>19</v>
      </c>
      <c r="BP21" s="220">
        <v>4</v>
      </c>
      <c r="BQ21" s="220">
        <f t="shared" si="33"/>
        <v>23</v>
      </c>
      <c r="BR21" s="205">
        <v>0.33333333333333331</v>
      </c>
      <c r="BS21" s="35">
        <v>0.3129284336313497</v>
      </c>
      <c r="BT21">
        <v>1</v>
      </c>
      <c r="BU21" s="205">
        <v>4.6414574513537525</v>
      </c>
      <c r="BV21" s="34">
        <v>4.8254267045557298E-2</v>
      </c>
      <c r="BW21" s="34">
        <v>0.39016594960049178</v>
      </c>
      <c r="BX21" s="34">
        <f>IF(A21&lt;17, SoC!O$3, IF(A21&lt;33, SoC!O$4, IF(A21&lt;49, SoC!O$5, IF(A21&lt;65, SoC!O$6, IF(A21&lt;81, SoC!O$7, IF(A21&lt;97, SoC!O$8, SoC!O$9))))))</f>
        <v>1.148154410748077</v>
      </c>
      <c r="BY21" s="205">
        <f t="shared" si="34"/>
        <v>0.55940006581278634</v>
      </c>
      <c r="BZ21" s="205" t="str">
        <f t="shared" si="35"/>
        <v>F+</v>
      </c>
      <c r="CA21" s="35">
        <f t="shared" si="36"/>
        <v>-5.0532331036818015</v>
      </c>
      <c r="CB21" s="245">
        <f t="shared" si="37"/>
        <v>0</v>
      </c>
      <c r="CC21" s="48">
        <v>20</v>
      </c>
      <c r="CD21" s="16" t="s">
        <v>61</v>
      </c>
      <c r="CE21">
        <v>102</v>
      </c>
      <c r="CF21">
        <v>102</v>
      </c>
      <c r="CG21">
        <v>102</v>
      </c>
      <c r="CH21">
        <v>102</v>
      </c>
      <c r="CI21">
        <v>102</v>
      </c>
      <c r="CJ21">
        <v>102</v>
      </c>
      <c r="CK21">
        <v>102</v>
      </c>
      <c r="CL21">
        <v>102</v>
      </c>
      <c r="CM21">
        <v>102</v>
      </c>
      <c r="CN21">
        <v>102</v>
      </c>
      <c r="CO21">
        <v>102</v>
      </c>
      <c r="CP21">
        <v>96</v>
      </c>
      <c r="CQ21">
        <v>96</v>
      </c>
      <c r="CR21">
        <v>90</v>
      </c>
      <c r="CS21">
        <v>90</v>
      </c>
      <c r="CT21">
        <v>84</v>
      </c>
      <c r="CU21">
        <v>81</v>
      </c>
      <c r="CV21">
        <v>89</v>
      </c>
      <c r="CW21">
        <v>90</v>
      </c>
      <c r="CX21">
        <v>90</v>
      </c>
      <c r="CY21">
        <v>94</v>
      </c>
      <c r="CZ21">
        <v>81</v>
      </c>
      <c r="DA21">
        <v>89</v>
      </c>
      <c r="DB21">
        <v>89</v>
      </c>
      <c r="DC21">
        <v>77</v>
      </c>
      <c r="DD21">
        <v>58</v>
      </c>
      <c r="DE21" s="154">
        <v>77</v>
      </c>
      <c r="DF21">
        <v>54</v>
      </c>
      <c r="DG21">
        <v>93</v>
      </c>
    </row>
    <row r="22" spans="1:111" x14ac:dyDescent="0.35">
      <c r="A22">
        <v>21</v>
      </c>
      <c r="B22" s="16" t="s">
        <v>144</v>
      </c>
      <c r="C22" s="16" t="s">
        <v>1087</v>
      </c>
      <c r="D22" s="16" t="s">
        <v>67</v>
      </c>
      <c r="F22" s="6">
        <v>10</v>
      </c>
      <c r="G22" s="6">
        <v>4</v>
      </c>
      <c r="H22" s="6"/>
      <c r="I22" s="6">
        <v>7</v>
      </c>
      <c r="J22" s="6">
        <v>2</v>
      </c>
      <c r="L22" s="1">
        <v>11</v>
      </c>
      <c r="M22" s="1">
        <v>9</v>
      </c>
      <c r="O22">
        <f>255+18</f>
        <v>273</v>
      </c>
      <c r="P22">
        <f>212+22</f>
        <v>234</v>
      </c>
      <c r="Q22">
        <v>142</v>
      </c>
      <c r="R22" s="9">
        <f>7.236-1.873+1.885-1.021+7.217-3.455</f>
        <v>9.988999999999999</v>
      </c>
      <c r="S22" s="263">
        <f>566+94+75+87+53+90</f>
        <v>965</v>
      </c>
      <c r="T22" s="203">
        <f>417.499+50.25+50.935+7.118+(160.849-80.4245)+20.671</f>
        <v>626.89750000000004</v>
      </c>
      <c r="V22">
        <v>336</v>
      </c>
      <c r="W22">
        <f>297+22</f>
        <v>319</v>
      </c>
      <c r="X22">
        <f>138+11</f>
        <v>149</v>
      </c>
      <c r="Y22" s="9">
        <f>47.288-2.258+0.479+0.049-2.671+8.247+11.57-4.67-8.881</f>
        <v>49.152999999999992</v>
      </c>
      <c r="Z22" s="263">
        <f>754+90+91+91+93+66+53+89+87</f>
        <v>1414</v>
      </c>
      <c r="AA22" s="203">
        <f>389.899+1.909+22.893+16.462+(142.213-21.1065)+7.573+59.285+8.092+25.453</f>
        <v>652.6724999999999</v>
      </c>
      <c r="AC22">
        <f t="shared" si="0"/>
        <v>357</v>
      </c>
      <c r="AD22">
        <f t="shared" si="1"/>
        <v>313.75</v>
      </c>
      <c r="AE22">
        <f t="shared" si="2"/>
        <v>179.25</v>
      </c>
      <c r="AF22">
        <f t="shared" si="3"/>
        <v>22.277249999999995</v>
      </c>
      <c r="AG22">
        <f t="shared" si="4"/>
        <v>1318.5</v>
      </c>
      <c r="AH22">
        <f t="shared" si="5"/>
        <v>790.06562499999995</v>
      </c>
      <c r="AI22" s="73">
        <f t="shared" si="6"/>
        <v>19</v>
      </c>
      <c r="AJ22" s="73">
        <f t="shared" si="7"/>
        <v>18.789473684210527</v>
      </c>
      <c r="AK22" s="73">
        <f t="shared" si="8"/>
        <v>16.513157894736842</v>
      </c>
      <c r="AL22" s="73">
        <f t="shared" si="9"/>
        <v>2.276315789473685</v>
      </c>
      <c r="AM22" s="73">
        <f t="shared" si="10"/>
        <v>1.99163179916318</v>
      </c>
      <c r="AN22" s="227">
        <f t="shared" si="11"/>
        <v>1.172486842105263</v>
      </c>
      <c r="AO22" s="227">
        <f t="shared" si="12"/>
        <v>0.86672797852354133</v>
      </c>
      <c r="AP22" s="227">
        <f t="shared" si="13"/>
        <v>1.2567083791592828</v>
      </c>
      <c r="AQ22" s="89">
        <f t="shared" si="14"/>
        <v>5.3086276736451543</v>
      </c>
      <c r="AR22" s="73">
        <f t="shared" si="15"/>
        <v>69.39473684210526</v>
      </c>
      <c r="AS22" s="89">
        <f t="shared" si="16"/>
        <v>41.582401315789468</v>
      </c>
      <c r="AT22" s="89">
        <f t="shared" si="17"/>
        <v>6.4484417742420117</v>
      </c>
      <c r="AU22" s="9">
        <v>35</v>
      </c>
      <c r="AV22" s="9">
        <v>18</v>
      </c>
      <c r="AW22" s="9">
        <v>17</v>
      </c>
      <c r="AX22" s="54">
        <f t="shared" si="18"/>
        <v>70</v>
      </c>
      <c r="AZ22" s="49">
        <v>21</v>
      </c>
      <c r="BA22" s="48">
        <f t="shared" si="19"/>
        <v>21</v>
      </c>
      <c r="BB22" s="245">
        <f t="shared" si="20"/>
        <v>0</v>
      </c>
      <c r="BC22" s="36">
        <f t="shared" si="21"/>
        <v>0.71016637264996019</v>
      </c>
      <c r="BD22" s="205">
        <f t="shared" si="22"/>
        <v>0.84523809523809523</v>
      </c>
      <c r="BE22" s="205">
        <f t="shared" si="23"/>
        <v>0.77777777777777779</v>
      </c>
      <c r="BF22" s="205">
        <f t="shared" si="24"/>
        <v>0.53300893276467975</v>
      </c>
      <c r="BG22" s="205">
        <f t="shared" si="25"/>
        <v>0.62218969365639054</v>
      </c>
      <c r="BH22" s="205">
        <f t="shared" si="26"/>
        <v>0.35627379605514437</v>
      </c>
      <c r="BI22" s="205">
        <f t="shared" si="27"/>
        <v>0.56612205727274256</v>
      </c>
      <c r="BJ22" s="205">
        <f t="shared" si="28"/>
        <v>0.67796697919912541</v>
      </c>
      <c r="BK22" s="205">
        <f t="shared" si="29"/>
        <v>0.63957212403001562</v>
      </c>
      <c r="BL22" s="205">
        <f t="shared" si="30"/>
        <v>0.64342248771873356</v>
      </c>
      <c r="BM22" s="205">
        <f t="shared" si="31"/>
        <v>0.55555555555555558</v>
      </c>
      <c r="BN22" s="48">
        <v>30</v>
      </c>
      <c r="BO22" s="220">
        <f t="shared" si="32"/>
        <v>100</v>
      </c>
      <c r="BP22" s="220">
        <v>75</v>
      </c>
      <c r="BQ22" s="220">
        <f t="shared" si="33"/>
        <v>175</v>
      </c>
      <c r="BR22" s="205">
        <v>-1.6666666666666665</v>
      </c>
      <c r="BS22" s="35">
        <v>0.71016637264996019</v>
      </c>
      <c r="BT22">
        <v>3</v>
      </c>
      <c r="BU22" s="205">
        <v>6.4484417742420117</v>
      </c>
      <c r="BV22" s="34">
        <v>0.53300893276467975</v>
      </c>
      <c r="BW22" s="34">
        <v>0.62218969365639054</v>
      </c>
      <c r="BX22" s="34">
        <f>IF(A22&lt;17, SoC!O$3, IF(A22&lt;33, SoC!O$4, IF(A22&lt;49, SoC!O$5, IF(A22&lt;65, SoC!O$6, IF(A22&lt;81, SoC!O$7, IF(A22&lt;97, SoC!O$8, SoC!O$9))))))</f>
        <v>1.148154410748077</v>
      </c>
      <c r="BY22" s="205">
        <f t="shared" si="34"/>
        <v>0.84271369553957065</v>
      </c>
      <c r="BZ22" s="205" t="str">
        <f t="shared" si="35"/>
        <v>B</v>
      </c>
      <c r="CA22" s="35">
        <f t="shared" si="36"/>
        <v>3.7950178381345374</v>
      </c>
      <c r="CB22" s="245">
        <f t="shared" si="37"/>
        <v>0</v>
      </c>
      <c r="CC22" s="48">
        <v>63</v>
      </c>
      <c r="CD22" s="16" t="s">
        <v>67</v>
      </c>
      <c r="CE22">
        <v>21</v>
      </c>
      <c r="CF22">
        <v>21</v>
      </c>
      <c r="CG22">
        <v>21</v>
      </c>
      <c r="CH22">
        <v>21</v>
      </c>
      <c r="CI22">
        <v>21</v>
      </c>
      <c r="CJ22">
        <v>21</v>
      </c>
      <c r="CK22">
        <v>21</v>
      </c>
      <c r="CL22">
        <v>21</v>
      </c>
      <c r="CM22">
        <v>16</v>
      </c>
      <c r="CN22">
        <v>16</v>
      </c>
      <c r="CO22">
        <v>20</v>
      </c>
      <c r="CP22">
        <v>24</v>
      </c>
      <c r="CQ22">
        <v>21</v>
      </c>
      <c r="CR22">
        <v>18</v>
      </c>
      <c r="CS22">
        <v>19</v>
      </c>
      <c r="CT22">
        <v>20</v>
      </c>
      <c r="CU22">
        <v>18</v>
      </c>
      <c r="CV22">
        <v>16</v>
      </c>
      <c r="CW22">
        <v>16</v>
      </c>
      <c r="CX22">
        <v>16</v>
      </c>
      <c r="CY22">
        <v>19</v>
      </c>
      <c r="CZ22">
        <v>36</v>
      </c>
      <c r="DA22">
        <v>37</v>
      </c>
      <c r="DB22">
        <v>49</v>
      </c>
      <c r="DC22">
        <v>48</v>
      </c>
      <c r="DD22">
        <v>71</v>
      </c>
      <c r="DE22" s="154">
        <v>57</v>
      </c>
      <c r="DF22">
        <v>16</v>
      </c>
      <c r="DG22">
        <v>50</v>
      </c>
    </row>
    <row r="23" spans="1:111" x14ac:dyDescent="0.35">
      <c r="A23">
        <v>22</v>
      </c>
      <c r="B23" s="16" t="s">
        <v>144</v>
      </c>
      <c r="C23" s="16" t="s">
        <v>1087</v>
      </c>
      <c r="D23" s="16" t="s">
        <v>68</v>
      </c>
      <c r="F23" s="6">
        <v>3</v>
      </c>
      <c r="G23" s="6">
        <v>10</v>
      </c>
      <c r="H23" s="6"/>
      <c r="I23" s="6">
        <v>2</v>
      </c>
      <c r="J23" s="6">
        <v>7</v>
      </c>
      <c r="L23" s="1">
        <v>0</v>
      </c>
      <c r="M23" s="1">
        <v>2</v>
      </c>
      <c r="O23">
        <v>207</v>
      </c>
      <c r="P23">
        <v>279</v>
      </c>
      <c r="Q23">
        <v>109</v>
      </c>
      <c r="R23" s="9">
        <f>-35.022-3.868-2.66-3.261-7.217</f>
        <v>-52.027999999999999</v>
      </c>
      <c r="S23" s="263">
        <f>417+37+20+29+53</f>
        <v>556</v>
      </c>
      <c r="T23" s="203">
        <f>164.675+24.665+(112.489-6.2445)+7.103+4.761</f>
        <v>307.44850000000002</v>
      </c>
      <c r="V23">
        <v>33</v>
      </c>
      <c r="W23">
        <v>47</v>
      </c>
      <c r="X23">
        <v>19</v>
      </c>
      <c r="Y23" s="9">
        <f>-6.338</f>
        <v>-6.3380000000000001</v>
      </c>
      <c r="Z23" s="263">
        <f>82</f>
        <v>82</v>
      </c>
      <c r="AA23" s="203">
        <f>20.326</f>
        <v>20.326000000000001</v>
      </c>
      <c r="AC23">
        <f t="shared" si="0"/>
        <v>215.25</v>
      </c>
      <c r="AD23">
        <f t="shared" si="1"/>
        <v>290.75</v>
      </c>
      <c r="AE23">
        <f t="shared" si="2"/>
        <v>113.75</v>
      </c>
      <c r="AF23">
        <f t="shared" si="3"/>
        <v>-53.612499999999997</v>
      </c>
      <c r="AG23">
        <f t="shared" si="4"/>
        <v>576.5</v>
      </c>
      <c r="AH23">
        <f t="shared" si="5"/>
        <v>312.53000000000003</v>
      </c>
      <c r="AI23" s="73">
        <f t="shared" si="6"/>
        <v>13.5</v>
      </c>
      <c r="AJ23" s="73">
        <f t="shared" si="7"/>
        <v>15.944444444444445</v>
      </c>
      <c r="AK23" s="73">
        <f t="shared" si="8"/>
        <v>21.537037037037038</v>
      </c>
      <c r="AL23" s="73">
        <f t="shared" si="9"/>
        <v>-5.5925925925925934</v>
      </c>
      <c r="AM23" s="73">
        <f t="shared" si="10"/>
        <v>1.8923076923076922</v>
      </c>
      <c r="AN23" s="227">
        <f t="shared" si="11"/>
        <v>-1.9856481481481481</v>
      </c>
      <c r="AO23" s="227">
        <f t="shared" si="12"/>
        <v>-2.05746119745793</v>
      </c>
      <c r="AP23" s="227">
        <f t="shared" si="13"/>
        <v>-1.5494832469865152</v>
      </c>
      <c r="AQ23" s="89">
        <f t="shared" si="14"/>
        <v>1.3161345106418523</v>
      </c>
      <c r="AR23" s="73">
        <f t="shared" si="15"/>
        <v>42.703703703703702</v>
      </c>
      <c r="AS23" s="89">
        <f t="shared" si="16"/>
        <v>23.150370370370371</v>
      </c>
      <c r="AT23" s="89">
        <f t="shared" si="17"/>
        <v>4.8114831778122609</v>
      </c>
      <c r="AU23" s="9">
        <v>7</v>
      </c>
      <c r="AV23" s="9">
        <v>0</v>
      </c>
      <c r="AX23" s="54">
        <f t="shared" si="18"/>
        <v>7</v>
      </c>
      <c r="AZ23" s="49">
        <v>98</v>
      </c>
      <c r="BA23" s="48">
        <f t="shared" si="19"/>
        <v>98</v>
      </c>
      <c r="BB23" s="245">
        <f t="shared" si="20"/>
        <v>0</v>
      </c>
      <c r="BC23" s="36">
        <f t="shared" si="21"/>
        <v>0.32957119466446161</v>
      </c>
      <c r="BD23" s="205">
        <f t="shared" si="22"/>
        <v>0.23076923076923078</v>
      </c>
      <c r="BE23" s="205">
        <f t="shared" si="23"/>
        <v>0.22222222222222221</v>
      </c>
      <c r="BF23" s="205">
        <f t="shared" si="24"/>
        <v>0.289439125092259</v>
      </c>
      <c r="BG23" s="205">
        <f t="shared" si="25"/>
        <v>0.15345899064399371</v>
      </c>
      <c r="BH23" s="205">
        <f t="shared" si="26"/>
        <v>0.24649891703202062</v>
      </c>
      <c r="BI23" s="205">
        <f t="shared" si="27"/>
        <v>0.89809584673848186</v>
      </c>
      <c r="BJ23" s="205">
        <f t="shared" si="28"/>
        <v>0.38511286305349723</v>
      </c>
      <c r="BK23" s="205">
        <f t="shared" si="29"/>
        <v>0.25063669574505926</v>
      </c>
      <c r="BL23" s="205">
        <f t="shared" si="30"/>
        <v>0.394727334035477</v>
      </c>
      <c r="BM23" s="205">
        <f t="shared" si="31"/>
        <v>5.5555555555555552E-2</v>
      </c>
      <c r="BN23" s="48">
        <v>5</v>
      </c>
      <c r="BO23" s="220">
        <f t="shared" si="32"/>
        <v>12</v>
      </c>
      <c r="BP23" s="220">
        <v>6</v>
      </c>
      <c r="BQ23" s="220">
        <f t="shared" si="33"/>
        <v>18</v>
      </c>
      <c r="BR23" s="205">
        <v>-0.33333333333333331</v>
      </c>
      <c r="BS23" s="35">
        <v>0.32957119466446161</v>
      </c>
      <c r="BT23">
        <v>1</v>
      </c>
      <c r="BU23" s="205">
        <v>4.8114831778122609</v>
      </c>
      <c r="BV23" s="34">
        <v>0.289439125092259</v>
      </c>
      <c r="BW23" s="34">
        <v>0.15345899064399371</v>
      </c>
      <c r="BX23" s="34">
        <f>IF(A23&lt;17, SoC!O$3, IF(A23&lt;33, SoC!O$4, IF(A23&lt;49, SoC!O$5, IF(A23&lt;65, SoC!O$6, IF(A23&lt;81, SoC!O$7, IF(A23&lt;97, SoC!O$8, SoC!O$9))))))</f>
        <v>1.148154410748077</v>
      </c>
      <c r="BY23" s="205">
        <f t="shared" si="34"/>
        <v>0.57408291619282803</v>
      </c>
      <c r="BZ23" s="205" t="str">
        <f t="shared" si="35"/>
        <v>F+</v>
      </c>
      <c r="CA23" s="35">
        <f t="shared" si="36"/>
        <v>-4.63536501979031</v>
      </c>
      <c r="CB23" s="245">
        <f t="shared" si="37"/>
        <v>0</v>
      </c>
      <c r="CC23" s="48">
        <v>13</v>
      </c>
      <c r="CD23" s="16" t="s">
        <v>68</v>
      </c>
      <c r="CE23">
        <v>98</v>
      </c>
      <c r="CF23">
        <v>98</v>
      </c>
      <c r="CG23">
        <v>98</v>
      </c>
      <c r="CH23">
        <v>98</v>
      </c>
      <c r="CI23">
        <v>98</v>
      </c>
      <c r="CJ23">
        <v>98</v>
      </c>
      <c r="CK23">
        <v>98</v>
      </c>
      <c r="CL23">
        <v>98</v>
      </c>
      <c r="CM23">
        <v>98</v>
      </c>
      <c r="CN23">
        <v>98</v>
      </c>
      <c r="CO23">
        <v>98</v>
      </c>
      <c r="CP23">
        <v>93</v>
      </c>
      <c r="CQ23">
        <v>93</v>
      </c>
      <c r="CR23">
        <v>86</v>
      </c>
      <c r="CS23">
        <v>86</v>
      </c>
      <c r="CT23">
        <v>98</v>
      </c>
      <c r="CU23">
        <v>99</v>
      </c>
      <c r="CV23">
        <v>99</v>
      </c>
      <c r="CW23">
        <v>97</v>
      </c>
      <c r="CX23">
        <v>95</v>
      </c>
      <c r="CY23">
        <v>99</v>
      </c>
      <c r="CZ23">
        <v>95</v>
      </c>
      <c r="DA23">
        <v>91</v>
      </c>
      <c r="DB23">
        <v>88</v>
      </c>
      <c r="DC23">
        <v>96</v>
      </c>
      <c r="DD23">
        <v>80</v>
      </c>
      <c r="DE23" s="154">
        <v>67</v>
      </c>
      <c r="DF23">
        <v>109</v>
      </c>
      <c r="DG23">
        <v>100</v>
      </c>
    </row>
    <row r="24" spans="1:111" x14ac:dyDescent="0.35">
      <c r="A24">
        <v>23</v>
      </c>
      <c r="B24" s="16" t="s">
        <v>144</v>
      </c>
      <c r="C24" s="16" t="s">
        <v>1087</v>
      </c>
      <c r="D24" s="16" t="s">
        <v>69</v>
      </c>
      <c r="F24" s="6">
        <v>7</v>
      </c>
      <c r="G24" s="6">
        <v>6</v>
      </c>
      <c r="H24" s="6"/>
      <c r="I24" s="6">
        <v>5</v>
      </c>
      <c r="J24" s="6">
        <v>4</v>
      </c>
      <c r="L24" s="1">
        <v>12</v>
      </c>
      <c r="M24" s="1">
        <v>5</v>
      </c>
      <c r="O24">
        <f>237+28</f>
        <v>265</v>
      </c>
      <c r="P24">
        <f>194+17</f>
        <v>211</v>
      </c>
      <c r="Q24">
        <v>127</v>
      </c>
      <c r="R24" s="9">
        <f>9.337+1.42+7.107+5.689+8.483</f>
        <v>32.036000000000001</v>
      </c>
      <c r="S24" s="263">
        <f>602+76+50+66+49</f>
        <v>843</v>
      </c>
      <c r="T24" s="203">
        <f>371.561+(175.074-37.537)+(154.599-27.2995)+8.159+52.293</f>
        <v>696.84949999999992</v>
      </c>
      <c r="V24">
        <v>298</v>
      </c>
      <c r="W24">
        <v>260</v>
      </c>
      <c r="X24">
        <v>157</v>
      </c>
      <c r="Y24" s="9">
        <f>0.421-2.511-5.023+0.31-3.508-3.963+0.451-0.529-4.167</f>
        <v>-18.518999999999998</v>
      </c>
      <c r="Z24" s="263">
        <f>636+95+90+91+89+93+90+90+88</f>
        <v>1362</v>
      </c>
      <c r="AA24" s="203">
        <f>589.271+71.822+7.546+98.032+19.333+63.199+(100.044-0.022)+0+1.119</f>
        <v>950.34399999999994</v>
      </c>
      <c r="AC24">
        <f t="shared" si="0"/>
        <v>339.5</v>
      </c>
      <c r="AD24">
        <f t="shared" si="1"/>
        <v>276</v>
      </c>
      <c r="AE24">
        <f t="shared" si="2"/>
        <v>166.25</v>
      </c>
      <c r="AF24">
        <f t="shared" si="3"/>
        <v>27.40625</v>
      </c>
      <c r="AG24">
        <f t="shared" si="4"/>
        <v>1183.5</v>
      </c>
      <c r="AH24">
        <f t="shared" si="5"/>
        <v>934.43549999999993</v>
      </c>
      <c r="AI24" s="73">
        <f t="shared" si="6"/>
        <v>17.25</v>
      </c>
      <c r="AJ24" s="73">
        <f t="shared" si="7"/>
        <v>19.681159420289855</v>
      </c>
      <c r="AK24" s="73">
        <f t="shared" si="8"/>
        <v>16</v>
      </c>
      <c r="AL24" s="73">
        <f t="shared" si="9"/>
        <v>3.6811594202898554</v>
      </c>
      <c r="AM24" s="73">
        <f t="shared" si="10"/>
        <v>2.0421052631578949</v>
      </c>
      <c r="AN24" s="227">
        <f t="shared" si="11"/>
        <v>1.588768115942029</v>
      </c>
      <c r="AO24" s="227">
        <f t="shared" si="12"/>
        <v>1.2521722989449353</v>
      </c>
      <c r="AP24" s="227">
        <f t="shared" si="13"/>
        <v>2.2606892128463731</v>
      </c>
      <c r="AQ24" s="89">
        <f t="shared" si="14"/>
        <v>5.8118486377499288</v>
      </c>
      <c r="AR24" s="73">
        <f t="shared" si="15"/>
        <v>68.608695652173907</v>
      </c>
      <c r="AS24" s="89">
        <f t="shared" si="16"/>
        <v>54.170173913043477</v>
      </c>
      <c r="AT24" s="89">
        <f t="shared" si="17"/>
        <v>7.3600389885545772</v>
      </c>
      <c r="AU24" s="9">
        <v>35</v>
      </c>
      <c r="AV24" s="9">
        <v>30</v>
      </c>
      <c r="AW24" s="20">
        <v>32</v>
      </c>
      <c r="AX24" s="54">
        <f t="shared" si="18"/>
        <v>97</v>
      </c>
      <c r="AZ24" s="49">
        <v>25</v>
      </c>
      <c r="BA24" s="48">
        <f t="shared" si="19"/>
        <v>25</v>
      </c>
      <c r="BB24" s="245">
        <f t="shared" si="20"/>
        <v>0</v>
      </c>
      <c r="BC24" s="36">
        <f t="shared" si="21"/>
        <v>0.69601783397460404</v>
      </c>
      <c r="BD24" s="205">
        <f t="shared" si="22"/>
        <v>0.69230769230769229</v>
      </c>
      <c r="BE24" s="205">
        <f t="shared" si="23"/>
        <v>0.55555555555555558</v>
      </c>
      <c r="BF24" s="205">
        <f t="shared" si="24"/>
        <v>0.60934829694602632</v>
      </c>
      <c r="BG24" s="205">
        <f t="shared" si="25"/>
        <v>0.67006760909649676</v>
      </c>
      <c r="BH24" s="205">
        <f t="shared" si="26"/>
        <v>0.41205802185200269</v>
      </c>
      <c r="BI24" s="205">
        <f t="shared" si="27"/>
        <v>0.52236380362439938</v>
      </c>
      <c r="BJ24" s="205">
        <f t="shared" si="28"/>
        <v>0.7827424039909131</v>
      </c>
      <c r="BK24" s="205">
        <f t="shared" si="29"/>
        <v>0.68234815564655316</v>
      </c>
      <c r="BL24" s="205">
        <f t="shared" si="30"/>
        <v>0.78191701641674205</v>
      </c>
      <c r="BM24" s="205">
        <f t="shared" si="31"/>
        <v>0.76984126984126988</v>
      </c>
      <c r="BN24" s="48">
        <v>10</v>
      </c>
      <c r="BO24" s="220">
        <f t="shared" si="32"/>
        <v>107</v>
      </c>
      <c r="BP24" s="220">
        <v>70</v>
      </c>
      <c r="BQ24" s="220">
        <f t="shared" si="33"/>
        <v>177</v>
      </c>
      <c r="BR24" s="205">
        <v>0</v>
      </c>
      <c r="BS24" s="35">
        <v>0.69601783397460404</v>
      </c>
      <c r="BT24">
        <v>5</v>
      </c>
      <c r="BU24" s="205">
        <v>7.3600389885545772</v>
      </c>
      <c r="BV24" s="34">
        <v>0.60934829694602632</v>
      </c>
      <c r="BW24" s="34">
        <v>0.67006760909649676</v>
      </c>
      <c r="BX24" s="34">
        <f>IF(A24&lt;17, SoC!O$3, IF(A24&lt;33, SoC!O$4, IF(A24&lt;49, SoC!O$5, IF(A24&lt;65, SoC!O$6, IF(A24&lt;81, SoC!O$7, IF(A24&lt;97, SoC!O$8, SoC!O$9))))))</f>
        <v>1.148154410748077</v>
      </c>
      <c r="BY24" s="205">
        <f t="shared" si="34"/>
        <v>0.83427683293652832</v>
      </c>
      <c r="BZ24" s="205" t="str">
        <f t="shared" si="35"/>
        <v>B</v>
      </c>
      <c r="CA24" s="35">
        <f t="shared" si="36"/>
        <v>3.9678456717836972</v>
      </c>
      <c r="CB24" s="245">
        <f t="shared" si="37"/>
        <v>0</v>
      </c>
      <c r="CC24" s="48">
        <v>135</v>
      </c>
      <c r="CD24" s="16" t="s">
        <v>69</v>
      </c>
      <c r="CE24">
        <v>25</v>
      </c>
      <c r="CF24">
        <v>25</v>
      </c>
      <c r="CG24">
        <v>25</v>
      </c>
      <c r="CH24">
        <v>25</v>
      </c>
      <c r="CI24">
        <v>25</v>
      </c>
      <c r="CJ24">
        <v>25</v>
      </c>
      <c r="CK24">
        <v>25</v>
      </c>
      <c r="CL24">
        <v>25</v>
      </c>
      <c r="CM24">
        <v>25</v>
      </c>
      <c r="CN24">
        <v>24</v>
      </c>
      <c r="CO24">
        <v>22</v>
      </c>
      <c r="CP24">
        <v>25</v>
      </c>
      <c r="CQ24">
        <v>23</v>
      </c>
      <c r="CR24">
        <v>19</v>
      </c>
      <c r="CS24">
        <v>20</v>
      </c>
      <c r="CT24">
        <v>23</v>
      </c>
      <c r="CU24">
        <v>21</v>
      </c>
      <c r="CV24">
        <v>28</v>
      </c>
      <c r="CW24">
        <v>38</v>
      </c>
      <c r="CX24">
        <v>34</v>
      </c>
      <c r="CY24">
        <v>25</v>
      </c>
      <c r="CZ24">
        <v>38</v>
      </c>
      <c r="DA24">
        <v>26</v>
      </c>
      <c r="DB24">
        <v>33</v>
      </c>
      <c r="DC24">
        <v>49</v>
      </c>
      <c r="DD24">
        <v>52</v>
      </c>
      <c r="DE24" s="154">
        <v>34</v>
      </c>
      <c r="DF24">
        <v>6</v>
      </c>
      <c r="DG24">
        <v>6</v>
      </c>
    </row>
    <row r="25" spans="1:111" x14ac:dyDescent="0.35">
      <c r="A25">
        <v>24</v>
      </c>
      <c r="B25" s="16" t="s">
        <v>144</v>
      </c>
      <c r="C25" s="16" t="s">
        <v>1087</v>
      </c>
      <c r="D25" s="16" t="s">
        <v>70</v>
      </c>
      <c r="F25" s="6">
        <v>2</v>
      </c>
      <c r="G25" s="6">
        <v>11</v>
      </c>
      <c r="H25" s="6"/>
      <c r="I25" s="6">
        <v>2</v>
      </c>
      <c r="J25" s="6">
        <v>7</v>
      </c>
      <c r="L25" s="1">
        <v>0</v>
      </c>
      <c r="M25" s="1">
        <v>9</v>
      </c>
      <c r="O25">
        <f>197+17</f>
        <v>214</v>
      </c>
      <c r="P25">
        <v>278</v>
      </c>
      <c r="Q25">
        <v>107</v>
      </c>
      <c r="R25" s="9">
        <f>-20.511-4.939-5.141+0.588-8.483</f>
        <v>-38.486000000000004</v>
      </c>
      <c r="S25" s="263">
        <f>356+47+29+12+49</f>
        <v>493</v>
      </c>
      <c r="T25" s="203">
        <f>162.686+22.974+24.936+7.866+8.476</f>
        <v>226.93799999999999</v>
      </c>
      <c r="V25">
        <v>140</v>
      </c>
      <c r="W25">
        <v>255</v>
      </c>
      <c r="X25">
        <v>85</v>
      </c>
      <c r="Y25" s="9">
        <f>-79.265</f>
        <v>-79.265000000000001</v>
      </c>
      <c r="Z25" s="263">
        <f>506</f>
        <v>506</v>
      </c>
      <c r="AA25" s="203">
        <f>108.003</f>
        <v>108.003</v>
      </c>
      <c r="AC25">
        <f t="shared" si="0"/>
        <v>249</v>
      </c>
      <c r="AD25">
        <f t="shared" si="1"/>
        <v>341.75</v>
      </c>
      <c r="AE25">
        <f t="shared" si="2"/>
        <v>128.25</v>
      </c>
      <c r="AF25">
        <f t="shared" si="3"/>
        <v>-58.302250000000001</v>
      </c>
      <c r="AG25">
        <f t="shared" si="4"/>
        <v>619.5</v>
      </c>
      <c r="AH25">
        <f t="shared" si="5"/>
        <v>253.93875</v>
      </c>
      <c r="AI25" s="73">
        <f t="shared" si="6"/>
        <v>15.25</v>
      </c>
      <c r="AJ25" s="73">
        <f t="shared" si="7"/>
        <v>16.327868852459016</v>
      </c>
      <c r="AK25" s="73">
        <f t="shared" si="8"/>
        <v>22.409836065573771</v>
      </c>
      <c r="AL25" s="73">
        <f t="shared" si="9"/>
        <v>-6.0819672131147549</v>
      </c>
      <c r="AM25" s="73">
        <f t="shared" si="10"/>
        <v>1.9415204678362572</v>
      </c>
      <c r="AN25" s="227">
        <f t="shared" si="11"/>
        <v>-1.9115491803278688</v>
      </c>
      <c r="AO25" s="227">
        <f t="shared" si="12"/>
        <v>-1.9888512740948781</v>
      </c>
      <c r="AP25" s="227">
        <f t="shared" si="13"/>
        <v>-2.181566758692008</v>
      </c>
      <c r="AQ25" s="89">
        <f t="shared" si="14"/>
        <v>1.1358071258687563</v>
      </c>
      <c r="AR25" s="73">
        <f t="shared" si="15"/>
        <v>40.622950819672134</v>
      </c>
      <c r="AS25" s="89">
        <f t="shared" si="16"/>
        <v>16.651721311475409</v>
      </c>
      <c r="AT25" s="89">
        <f t="shared" si="17"/>
        <v>4.0806520693971704</v>
      </c>
      <c r="AU25" s="9">
        <v>28</v>
      </c>
      <c r="AV25" s="9">
        <v>12</v>
      </c>
      <c r="AW25" s="20">
        <v>11</v>
      </c>
      <c r="AX25" s="54">
        <f t="shared" si="18"/>
        <v>51</v>
      </c>
      <c r="AZ25" s="49">
        <v>101</v>
      </c>
      <c r="BA25" s="48">
        <f t="shared" si="19"/>
        <v>101</v>
      </c>
      <c r="BB25" s="245">
        <f t="shared" si="20"/>
        <v>0</v>
      </c>
      <c r="BC25" s="36">
        <f t="shared" si="21"/>
        <v>0.31787693400456279</v>
      </c>
      <c r="BD25" s="205">
        <f t="shared" si="22"/>
        <v>0.15384615384615385</v>
      </c>
      <c r="BE25" s="205">
        <f t="shared" si="23"/>
        <v>0.22222222222222221</v>
      </c>
      <c r="BF25" s="205">
        <f t="shared" si="24"/>
        <v>0.32226501243698785</v>
      </c>
      <c r="BG25" s="205">
        <f t="shared" si="25"/>
        <v>7.2026358479349573E-2</v>
      </c>
      <c r="BH25" s="205">
        <f t="shared" si="26"/>
        <v>0.30088980612302962</v>
      </c>
      <c r="BI25" s="205">
        <f t="shared" si="27"/>
        <v>0.89030678287049814</v>
      </c>
      <c r="BJ25" s="205">
        <f t="shared" si="28"/>
        <v>0.31914863722299813</v>
      </c>
      <c r="BK25" s="205">
        <f t="shared" si="29"/>
        <v>0.22839637302492843</v>
      </c>
      <c r="BL25" s="205">
        <f t="shared" si="30"/>
        <v>0.28369572015091937</v>
      </c>
      <c r="BM25" s="205">
        <f t="shared" si="31"/>
        <v>0.40476190476190477</v>
      </c>
      <c r="BN25" s="48">
        <v>5</v>
      </c>
      <c r="BO25" s="220">
        <f t="shared" si="32"/>
        <v>56</v>
      </c>
      <c r="BP25" s="220">
        <v>4</v>
      </c>
      <c r="BQ25" s="220">
        <f t="shared" si="33"/>
        <v>60</v>
      </c>
      <c r="BR25" s="205">
        <v>-0.33333333333333331</v>
      </c>
      <c r="BS25" s="35">
        <v>0.31787693400456279</v>
      </c>
      <c r="BT25">
        <v>4</v>
      </c>
      <c r="BU25" s="205">
        <v>4.0806520693971704</v>
      </c>
      <c r="BV25" s="34">
        <v>0.32226501243698785</v>
      </c>
      <c r="BW25" s="34">
        <v>7.2026358479349573E-2</v>
      </c>
      <c r="BX25" s="34">
        <f>IF(A25&lt;17, SoC!O$3, IF(A25&lt;33, SoC!O$4, IF(A25&lt;49, SoC!O$5, IF(A25&lt;65, SoC!O$6, IF(A25&lt;81, SoC!O$7, IF(A25&lt;97, SoC!O$8, SoC!O$9))))))</f>
        <v>1.148154410748077</v>
      </c>
      <c r="BY25" s="205">
        <f t="shared" si="34"/>
        <v>0.56380575910907715</v>
      </c>
      <c r="BZ25" s="205" t="str">
        <f t="shared" si="35"/>
        <v>F+</v>
      </c>
      <c r="CA25" s="35">
        <f t="shared" si="36"/>
        <v>-5.2346657871958318</v>
      </c>
      <c r="CB25" s="245">
        <f t="shared" si="37"/>
        <v>0</v>
      </c>
      <c r="CC25" s="48">
        <v>99</v>
      </c>
      <c r="CD25" s="16" t="s">
        <v>70</v>
      </c>
      <c r="CE25">
        <v>101</v>
      </c>
      <c r="CF25">
        <v>101</v>
      </c>
      <c r="CG25">
        <v>101</v>
      </c>
      <c r="CH25">
        <v>101</v>
      </c>
      <c r="CI25">
        <v>101</v>
      </c>
      <c r="CJ25">
        <v>101</v>
      </c>
      <c r="CK25">
        <v>101</v>
      </c>
      <c r="CL25">
        <v>101</v>
      </c>
      <c r="CM25">
        <v>101</v>
      </c>
      <c r="CN25">
        <v>101</v>
      </c>
      <c r="CO25">
        <v>101</v>
      </c>
      <c r="CP25">
        <v>100</v>
      </c>
      <c r="CQ25">
        <v>99</v>
      </c>
      <c r="CR25">
        <v>93</v>
      </c>
      <c r="CS25">
        <v>93</v>
      </c>
      <c r="CT25">
        <v>93</v>
      </c>
      <c r="CU25">
        <v>94</v>
      </c>
      <c r="CV25">
        <v>88</v>
      </c>
      <c r="CW25">
        <v>86</v>
      </c>
      <c r="CX25">
        <v>97</v>
      </c>
      <c r="CY25">
        <v>92</v>
      </c>
      <c r="CZ25">
        <v>104</v>
      </c>
      <c r="DA25">
        <v>96</v>
      </c>
      <c r="DB25">
        <v>86</v>
      </c>
      <c r="DC25">
        <v>87</v>
      </c>
      <c r="DD25">
        <v>92</v>
      </c>
      <c r="DE25" s="154">
        <v>81</v>
      </c>
      <c r="DF25">
        <v>63</v>
      </c>
      <c r="DG25">
        <v>14</v>
      </c>
    </row>
    <row r="26" spans="1:111" x14ac:dyDescent="0.35">
      <c r="A26">
        <v>25</v>
      </c>
      <c r="B26" s="16" t="s">
        <v>144</v>
      </c>
      <c r="C26" s="16" t="s">
        <v>1366</v>
      </c>
      <c r="D26" s="16" t="s">
        <v>115</v>
      </c>
      <c r="F26" s="6">
        <v>12</v>
      </c>
      <c r="G26" s="6">
        <v>2</v>
      </c>
      <c r="H26" s="15">
        <v>9</v>
      </c>
      <c r="I26" s="6">
        <v>7</v>
      </c>
      <c r="J26" s="6">
        <v>2</v>
      </c>
      <c r="L26" s="1">
        <v>8</v>
      </c>
      <c r="M26" s="1">
        <v>8</v>
      </c>
      <c r="O26">
        <f>268+22</f>
        <v>290</v>
      </c>
      <c r="P26">
        <f>189+18</f>
        <v>207</v>
      </c>
      <c r="Q26">
        <v>128</v>
      </c>
      <c r="R26" s="9">
        <f>27.06-2.915+0.961+1.021+4.532+3.455</f>
        <v>34.113999999999997</v>
      </c>
      <c r="S26" s="263">
        <f>521+89+84+87+68+90</f>
        <v>939</v>
      </c>
      <c r="T26" s="203">
        <f>409.618+20.019+58.223+71.932+(196.274-48.137)+47.437</f>
        <v>755.3660000000001</v>
      </c>
      <c r="V26">
        <v>276</v>
      </c>
      <c r="W26">
        <f>251+24</f>
        <v>275</v>
      </c>
      <c r="X26">
        <v>134</v>
      </c>
      <c r="Y26" s="9">
        <f>15.243+0.558-2.88-3.301+0.179-1.758+1.982-7.203-12.558</f>
        <v>-9.7379999999999995</v>
      </c>
      <c r="Z26" s="263">
        <f>551+95+93+93+95+3+93+92+92+105</f>
        <v>1312</v>
      </c>
      <c r="AA26" s="203">
        <f>250.198+24.985+14.867+16.249+65.664+3.7944+2.267+(116.251-8.1255)+4.001+62.683</f>
        <v>552.83389999999997</v>
      </c>
      <c r="AC26">
        <f t="shared" si="0"/>
        <v>359</v>
      </c>
      <c r="AD26">
        <f t="shared" si="1"/>
        <v>275.75</v>
      </c>
      <c r="AE26">
        <f t="shared" si="2"/>
        <v>161.5</v>
      </c>
      <c r="AF26">
        <f t="shared" si="3"/>
        <v>31.679499999999997</v>
      </c>
      <c r="AG26">
        <f t="shared" si="4"/>
        <v>1267</v>
      </c>
      <c r="AH26">
        <f t="shared" si="5"/>
        <v>893.57447500000012</v>
      </c>
      <c r="AI26" s="73">
        <f t="shared" si="6"/>
        <v>18</v>
      </c>
      <c r="AJ26" s="73">
        <f t="shared" si="7"/>
        <v>19.944444444444443</v>
      </c>
      <c r="AK26" s="73">
        <f t="shared" si="8"/>
        <v>15.319444444444445</v>
      </c>
      <c r="AL26" s="73">
        <f t="shared" si="9"/>
        <v>4.6249999999999982</v>
      </c>
      <c r="AM26" s="73">
        <f t="shared" si="10"/>
        <v>2.2229102167182662</v>
      </c>
      <c r="AN26" s="227">
        <f t="shared" si="11"/>
        <v>1.759972222222222</v>
      </c>
      <c r="AO26" s="227">
        <f t="shared" si="12"/>
        <v>1.4106940834833317</v>
      </c>
      <c r="AP26" s="227">
        <f t="shared" si="13"/>
        <v>3.0396668471472212</v>
      </c>
      <c r="AQ26" s="89">
        <f t="shared" si="14"/>
        <v>6.3476092988829791</v>
      </c>
      <c r="AR26" s="73">
        <f t="shared" si="15"/>
        <v>70.388888888888886</v>
      </c>
      <c r="AS26" s="89">
        <f t="shared" si="16"/>
        <v>49.643026388888899</v>
      </c>
      <c r="AT26" s="89">
        <f t="shared" si="17"/>
        <v>7.0457807508386816</v>
      </c>
      <c r="AU26" s="9">
        <v>28</v>
      </c>
      <c r="AV26" s="9">
        <v>6</v>
      </c>
      <c r="AX26" s="54">
        <f t="shared" si="18"/>
        <v>34</v>
      </c>
      <c r="AZ26" s="49">
        <v>11</v>
      </c>
      <c r="BA26" s="48">
        <f t="shared" si="19"/>
        <v>11</v>
      </c>
      <c r="BB26" s="245">
        <f t="shared" si="20"/>
        <v>0</v>
      </c>
      <c r="BC26" s="36">
        <f t="shared" si="21"/>
        <v>0.79043743499788444</v>
      </c>
      <c r="BD26" s="205">
        <f t="shared" si="22"/>
        <v>0.95238095238095244</v>
      </c>
      <c r="BE26" s="205">
        <f t="shared" si="23"/>
        <v>0.77777777777777779</v>
      </c>
      <c r="BF26" s="205">
        <f t="shared" si="24"/>
        <v>0.63188876218976286</v>
      </c>
      <c r="BG26" s="205">
        <f t="shared" si="25"/>
        <v>0.73356381888957189</v>
      </c>
      <c r="BH26" s="205">
        <f t="shared" si="26"/>
        <v>0.61188707173964985</v>
      </c>
      <c r="BI26" s="205">
        <f t="shared" si="27"/>
        <v>0.50436733542106571</v>
      </c>
      <c r="BJ26" s="205">
        <f t="shared" si="28"/>
        <v>0.86403649825906237</v>
      </c>
      <c r="BK26" s="205">
        <f t="shared" si="29"/>
        <v>0.72709663340249797</v>
      </c>
      <c r="BL26" s="205">
        <f t="shared" si="30"/>
        <v>0.73417329162404354</v>
      </c>
      <c r="BM26" s="205">
        <f t="shared" si="31"/>
        <v>0.26984126984126983</v>
      </c>
      <c r="BN26" s="48">
        <f>50+68</f>
        <v>118</v>
      </c>
      <c r="BO26" s="220">
        <f t="shared" si="32"/>
        <v>152</v>
      </c>
      <c r="BP26" s="220">
        <v>92</v>
      </c>
      <c r="BQ26" s="220">
        <f t="shared" si="33"/>
        <v>244</v>
      </c>
      <c r="BR26" s="205">
        <v>0.33333333333333331</v>
      </c>
      <c r="BS26" s="35">
        <v>0.79043743499788444</v>
      </c>
      <c r="BT26">
        <v>1</v>
      </c>
      <c r="BU26" s="205">
        <v>7.0457807508386816</v>
      </c>
      <c r="BV26" s="34">
        <v>0.63188876218976286</v>
      </c>
      <c r="BW26" s="34">
        <v>0.73356381888957189</v>
      </c>
      <c r="BX26" s="34">
        <f>IF(A26&lt;17, SoC!O$3, IF(A26&lt;33, SoC!O$4, IF(A26&lt;49, SoC!O$5, IF(A26&lt;65, SoC!O$6, IF(A26&lt;81, SoC!O$7, IF(A26&lt;97, SoC!O$8, SoC!O$9))))))</f>
        <v>1.148154410748077</v>
      </c>
      <c r="BY26" s="205">
        <f t="shared" si="34"/>
        <v>0.88906548408870556</v>
      </c>
      <c r="BZ26" s="205" t="str">
        <f t="shared" si="35"/>
        <v>B+</v>
      </c>
      <c r="CA26" s="35">
        <f t="shared" si="36"/>
        <v>5.6991085733913582</v>
      </c>
      <c r="CB26" s="245">
        <f t="shared" si="37"/>
        <v>0</v>
      </c>
      <c r="CC26" s="48">
        <v>10</v>
      </c>
      <c r="CD26" s="16" t="s">
        <v>115</v>
      </c>
      <c r="CE26">
        <v>11</v>
      </c>
      <c r="CF26">
        <v>11</v>
      </c>
      <c r="CG26">
        <v>12</v>
      </c>
      <c r="CH26">
        <v>11</v>
      </c>
      <c r="CI26">
        <v>11</v>
      </c>
      <c r="CJ26">
        <v>11</v>
      </c>
      <c r="CK26">
        <v>11</v>
      </c>
      <c r="CL26">
        <v>12</v>
      </c>
      <c r="CM26">
        <v>12</v>
      </c>
      <c r="CN26">
        <v>12</v>
      </c>
      <c r="CO26">
        <v>12</v>
      </c>
      <c r="CP26">
        <v>16</v>
      </c>
      <c r="CQ26">
        <v>16</v>
      </c>
      <c r="CR26">
        <v>22</v>
      </c>
      <c r="CS26">
        <v>22</v>
      </c>
      <c r="CT26">
        <v>24</v>
      </c>
      <c r="CU26">
        <v>25</v>
      </c>
      <c r="CV26">
        <v>17</v>
      </c>
      <c r="CW26">
        <v>20</v>
      </c>
      <c r="CX26">
        <v>21</v>
      </c>
      <c r="CY26">
        <v>21</v>
      </c>
      <c r="CZ26">
        <v>23</v>
      </c>
      <c r="DA26">
        <v>25</v>
      </c>
      <c r="DB26">
        <v>31</v>
      </c>
      <c r="DC26">
        <v>25</v>
      </c>
      <c r="DD26">
        <v>15</v>
      </c>
      <c r="DE26" s="154">
        <v>36</v>
      </c>
      <c r="DF26">
        <v>55</v>
      </c>
      <c r="DG26">
        <v>103</v>
      </c>
    </row>
    <row r="27" spans="1:111" x14ac:dyDescent="0.35">
      <c r="A27">
        <v>26</v>
      </c>
      <c r="B27" s="16" t="s">
        <v>144</v>
      </c>
      <c r="C27" s="16" t="s">
        <v>1366</v>
      </c>
      <c r="D27" s="16" t="s">
        <v>63</v>
      </c>
      <c r="F27" s="6">
        <v>4</v>
      </c>
      <c r="G27" s="6">
        <v>9</v>
      </c>
      <c r="H27" s="6"/>
      <c r="I27" s="6">
        <v>2</v>
      </c>
      <c r="J27" s="6">
        <v>7</v>
      </c>
      <c r="L27" s="1">
        <v>2</v>
      </c>
      <c r="M27" s="1">
        <v>2</v>
      </c>
      <c r="O27">
        <v>181</v>
      </c>
      <c r="P27">
        <v>260</v>
      </c>
      <c r="Q27">
        <v>100</v>
      </c>
      <c r="R27" s="9">
        <f>-31.86-6.803-3.645-0.588-1.528</f>
        <v>-44.423999999999999</v>
      </c>
      <c r="S27" s="263">
        <f>271+33+19+12+22</f>
        <v>357</v>
      </c>
      <c r="T27" s="203">
        <f>107.382+5.904+37.391+43.996+25.442</f>
        <v>220.11500000000001</v>
      </c>
      <c r="V27">
        <v>64</v>
      </c>
      <c r="W27">
        <v>52</v>
      </c>
      <c r="X27">
        <v>36</v>
      </c>
      <c r="Y27" s="9">
        <f>-15.247</f>
        <v>-15.247</v>
      </c>
      <c r="Z27" s="263">
        <f>157</f>
        <v>157</v>
      </c>
      <c r="AA27" s="203">
        <f>145.602</f>
        <v>145.602</v>
      </c>
      <c r="AC27">
        <f t="shared" si="0"/>
        <v>197</v>
      </c>
      <c r="AD27">
        <f t="shared" si="1"/>
        <v>273</v>
      </c>
      <c r="AE27">
        <f t="shared" si="2"/>
        <v>109</v>
      </c>
      <c r="AF27">
        <f t="shared" si="3"/>
        <v>-48.235749999999996</v>
      </c>
      <c r="AG27">
        <f t="shared" si="4"/>
        <v>396.25</v>
      </c>
      <c r="AH27">
        <f t="shared" si="5"/>
        <v>256.51550000000003</v>
      </c>
      <c r="AI27" s="73">
        <f t="shared" si="6"/>
        <v>14</v>
      </c>
      <c r="AJ27" s="73">
        <f t="shared" si="7"/>
        <v>14.071428571428571</v>
      </c>
      <c r="AK27" s="73">
        <f t="shared" si="8"/>
        <v>19.5</v>
      </c>
      <c r="AL27" s="73">
        <f t="shared" si="9"/>
        <v>-5.4285714285714288</v>
      </c>
      <c r="AM27" s="73">
        <f t="shared" si="10"/>
        <v>1.8073394495412844</v>
      </c>
      <c r="AN27" s="227">
        <f t="shared" si="11"/>
        <v>-1.722705357142857</v>
      </c>
      <c r="AO27" s="227">
        <f t="shared" si="12"/>
        <v>-1.813996473583561</v>
      </c>
      <c r="AP27" s="227">
        <f t="shared" si="13"/>
        <v>-1.8918695978450106</v>
      </c>
      <c r="AQ27" s="89">
        <f t="shared" si="14"/>
        <v>0.91280629526304746</v>
      </c>
      <c r="AR27" s="73">
        <f t="shared" si="15"/>
        <v>28.303571428571427</v>
      </c>
      <c r="AS27" s="89">
        <f t="shared" si="16"/>
        <v>18.322535714285717</v>
      </c>
      <c r="AT27" s="89">
        <f t="shared" si="17"/>
        <v>4.2804831169256721</v>
      </c>
      <c r="AU27" s="9">
        <v>14</v>
      </c>
      <c r="AV27" s="9">
        <v>6</v>
      </c>
      <c r="AX27" s="54">
        <f t="shared" si="18"/>
        <v>20</v>
      </c>
      <c r="AZ27" s="49">
        <v>97</v>
      </c>
      <c r="BA27" s="48">
        <f t="shared" si="19"/>
        <v>97</v>
      </c>
      <c r="BB27" s="245">
        <f t="shared" si="20"/>
        <v>0</v>
      </c>
      <c r="BC27" s="36">
        <f t="shared" si="21"/>
        <v>0.33781627417816246</v>
      </c>
      <c r="BD27" s="205">
        <f t="shared" si="22"/>
        <v>0.33333333333333331</v>
      </c>
      <c r="BE27" s="205">
        <f t="shared" si="23"/>
        <v>0.22222222222222221</v>
      </c>
      <c r="BF27" s="205">
        <f t="shared" si="24"/>
        <v>0.12908572359422141</v>
      </c>
      <c r="BG27" s="205">
        <f t="shared" si="25"/>
        <v>0.34351567301782437</v>
      </c>
      <c r="BH27" s="205">
        <f t="shared" si="26"/>
        <v>0.15259041016710867</v>
      </c>
      <c r="BI27" s="205">
        <f t="shared" si="27"/>
        <v>0.87045607991023732</v>
      </c>
      <c r="BJ27" s="205">
        <f t="shared" si="28"/>
        <v>0.34938142859735932</v>
      </c>
      <c r="BK27" s="205">
        <f t="shared" si="29"/>
        <v>0.19936428462819145</v>
      </c>
      <c r="BL27" s="205">
        <f t="shared" si="30"/>
        <v>0.31405507877133731</v>
      </c>
      <c r="BM27" s="205">
        <f t="shared" si="31"/>
        <v>0.15873015873015872</v>
      </c>
      <c r="BN27" s="48">
        <v>5</v>
      </c>
      <c r="BO27" s="220">
        <f t="shared" si="32"/>
        <v>25</v>
      </c>
      <c r="BP27" s="220">
        <v>6</v>
      </c>
      <c r="BQ27" s="220">
        <f t="shared" si="33"/>
        <v>31</v>
      </c>
      <c r="BR27" s="205">
        <v>0.33333333333333331</v>
      </c>
      <c r="BS27" s="35">
        <v>0.33781627417816246</v>
      </c>
      <c r="BT27">
        <v>1</v>
      </c>
      <c r="BU27" s="205">
        <v>4.2804831169256721</v>
      </c>
      <c r="BV27" s="34">
        <v>0.12908572359422141</v>
      </c>
      <c r="BW27" s="34">
        <v>0.34351567301782437</v>
      </c>
      <c r="BX27" s="34">
        <f>IF(A27&lt;17, SoC!O$3, IF(A27&lt;33, SoC!O$4, IF(A27&lt;49, SoC!O$5, IF(A27&lt;65, SoC!O$6, IF(A27&lt;81, SoC!O$7, IF(A27&lt;97, SoC!O$8, SoC!O$9))))))</f>
        <v>1.148154410748077</v>
      </c>
      <c r="BY27" s="205">
        <f t="shared" si="34"/>
        <v>0.58121964366163881</v>
      </c>
      <c r="BZ27" s="205" t="str">
        <f t="shared" si="35"/>
        <v>F+</v>
      </c>
      <c r="CA27" s="35">
        <f t="shared" si="36"/>
        <v>-4.7359634599595868</v>
      </c>
      <c r="CB27" s="245">
        <f t="shared" si="37"/>
        <v>0</v>
      </c>
      <c r="CC27" s="48">
        <v>7</v>
      </c>
      <c r="CD27" s="16" t="s">
        <v>63</v>
      </c>
      <c r="CE27">
        <v>97</v>
      </c>
      <c r="CF27">
        <v>97</v>
      </c>
      <c r="CG27">
        <v>97</v>
      </c>
      <c r="CH27">
        <v>97</v>
      </c>
      <c r="CI27">
        <v>97</v>
      </c>
      <c r="CJ27">
        <v>97</v>
      </c>
      <c r="CK27">
        <v>97</v>
      </c>
      <c r="CL27">
        <v>97</v>
      </c>
      <c r="CM27">
        <v>97</v>
      </c>
      <c r="CN27">
        <v>97</v>
      </c>
      <c r="CO27">
        <v>97</v>
      </c>
      <c r="CP27">
        <v>102</v>
      </c>
      <c r="CQ27">
        <v>102</v>
      </c>
      <c r="CR27">
        <v>106</v>
      </c>
      <c r="CS27">
        <v>106</v>
      </c>
      <c r="CT27">
        <v>109</v>
      </c>
      <c r="CU27">
        <v>107</v>
      </c>
      <c r="CV27">
        <v>105</v>
      </c>
      <c r="CW27">
        <v>101</v>
      </c>
      <c r="CX27">
        <v>103</v>
      </c>
      <c r="CY27">
        <v>106</v>
      </c>
      <c r="CZ27">
        <v>101</v>
      </c>
      <c r="DA27">
        <v>105</v>
      </c>
      <c r="DB27">
        <v>92</v>
      </c>
      <c r="DC27">
        <v>100</v>
      </c>
      <c r="DD27">
        <v>86</v>
      </c>
      <c r="DE27" s="154">
        <v>109</v>
      </c>
      <c r="DF27">
        <v>99</v>
      </c>
      <c r="DG27">
        <v>106</v>
      </c>
    </row>
    <row r="28" spans="1:111" x14ac:dyDescent="0.35">
      <c r="A28">
        <v>27</v>
      </c>
      <c r="B28" s="16" t="s">
        <v>144</v>
      </c>
      <c r="C28" s="16" t="s">
        <v>1366</v>
      </c>
      <c r="D28" s="16" t="s">
        <v>65</v>
      </c>
      <c r="F28" s="6">
        <v>4</v>
      </c>
      <c r="G28" s="6">
        <v>9</v>
      </c>
      <c r="H28" s="6"/>
      <c r="I28" s="6">
        <v>3</v>
      </c>
      <c r="J28" s="6">
        <v>6</v>
      </c>
      <c r="L28" s="1">
        <v>1</v>
      </c>
      <c r="M28" s="1">
        <v>2</v>
      </c>
      <c r="O28">
        <v>198</v>
      </c>
      <c r="P28">
        <v>253</v>
      </c>
      <c r="Q28">
        <v>109</v>
      </c>
      <c r="R28" s="9">
        <f>-36.066-9.12-4.163-5.689+1.528</f>
        <v>-53.510000000000005</v>
      </c>
      <c r="S28" s="263">
        <f>260+40+33+66+22</f>
        <v>421</v>
      </c>
      <c r="T28" s="203">
        <f>132.774+34.836+75.303+57.285+6.185</f>
        <v>306.38299999999998</v>
      </c>
      <c r="V28">
        <v>61</v>
      </c>
      <c r="W28">
        <v>62</v>
      </c>
      <c r="X28">
        <v>32</v>
      </c>
      <c r="Y28" s="9">
        <f>-7.558</f>
        <v>-7.5579999999999998</v>
      </c>
      <c r="Z28" s="263">
        <f>52</f>
        <v>52</v>
      </c>
      <c r="AA28" s="203">
        <f>101.494</f>
        <v>101.494</v>
      </c>
      <c r="AC28">
        <f t="shared" si="0"/>
        <v>213.25</v>
      </c>
      <c r="AD28">
        <f t="shared" si="1"/>
        <v>268.5</v>
      </c>
      <c r="AE28">
        <f t="shared" si="2"/>
        <v>117</v>
      </c>
      <c r="AF28">
        <f t="shared" si="3"/>
        <v>-55.399500000000003</v>
      </c>
      <c r="AG28">
        <f t="shared" si="4"/>
        <v>434</v>
      </c>
      <c r="AH28">
        <f t="shared" si="5"/>
        <v>331.75649999999996</v>
      </c>
      <c r="AI28" s="73">
        <f t="shared" si="6"/>
        <v>13.75</v>
      </c>
      <c r="AJ28" s="73">
        <f t="shared" si="7"/>
        <v>15.50909090909091</v>
      </c>
      <c r="AK28" s="73">
        <f t="shared" si="8"/>
        <v>19.527272727272727</v>
      </c>
      <c r="AL28" s="73">
        <f t="shared" si="9"/>
        <v>-4.0181818181818176</v>
      </c>
      <c r="AM28" s="73">
        <f t="shared" si="10"/>
        <v>1.8226495726495726</v>
      </c>
      <c r="AN28" s="227">
        <f t="shared" si="11"/>
        <v>-2.0145272727272729</v>
      </c>
      <c r="AO28" s="227">
        <f t="shared" si="12"/>
        <v>-2.0842010371945849</v>
      </c>
      <c r="AP28" s="227">
        <f t="shared" si="13"/>
        <v>8.0546491740040693E-2</v>
      </c>
      <c r="AQ28" s="89">
        <f t="shared" si="14"/>
        <v>1.278775889908321</v>
      </c>
      <c r="AR28" s="73">
        <f t="shared" si="15"/>
        <v>31.563636363636363</v>
      </c>
      <c r="AS28" s="89">
        <f t="shared" si="16"/>
        <v>24.127745454545451</v>
      </c>
      <c r="AT28" s="89">
        <f t="shared" si="17"/>
        <v>4.9120001480604056</v>
      </c>
      <c r="AU28" s="9">
        <v>14</v>
      </c>
      <c r="AV28" s="9">
        <v>0</v>
      </c>
      <c r="AX28" s="54">
        <f t="shared" si="18"/>
        <v>14</v>
      </c>
      <c r="AZ28" s="49">
        <v>78</v>
      </c>
      <c r="BA28" s="48">
        <f t="shared" si="19"/>
        <v>78</v>
      </c>
      <c r="BB28" s="245">
        <f t="shared" si="20"/>
        <v>0</v>
      </c>
      <c r="BC28" s="36">
        <f t="shared" si="21"/>
        <v>0.39634547100842576</v>
      </c>
      <c r="BD28" s="205">
        <f t="shared" si="22"/>
        <v>0.32051282051282054</v>
      </c>
      <c r="BE28" s="205">
        <f t="shared" si="23"/>
        <v>0.33333333333333331</v>
      </c>
      <c r="BF28" s="205">
        <f t="shared" si="24"/>
        <v>0.25216746004452567</v>
      </c>
      <c r="BG28" s="205">
        <f t="shared" si="25"/>
        <v>0.34097111247695155</v>
      </c>
      <c r="BH28" s="205">
        <f t="shared" si="26"/>
        <v>0.16951144741828436</v>
      </c>
      <c r="BI28" s="205">
        <f t="shared" si="27"/>
        <v>0.90113153471653629</v>
      </c>
      <c r="BJ28" s="205">
        <f t="shared" si="28"/>
        <v>0.55522274221434864</v>
      </c>
      <c r="BK28" s="205">
        <f t="shared" si="29"/>
        <v>0.24610624271156967</v>
      </c>
      <c r="BL28" s="205">
        <f t="shared" si="30"/>
        <v>0.40999838818318679</v>
      </c>
      <c r="BM28" s="205">
        <f t="shared" si="31"/>
        <v>0.1111111111111111</v>
      </c>
      <c r="BN28" s="48">
        <v>5</v>
      </c>
      <c r="BO28" s="220">
        <f t="shared" si="32"/>
        <v>19</v>
      </c>
      <c r="BP28" s="220">
        <v>16</v>
      </c>
      <c r="BQ28" s="220">
        <f t="shared" si="33"/>
        <v>35</v>
      </c>
      <c r="BR28" s="205">
        <v>1.3333333333333333</v>
      </c>
      <c r="BS28" s="35">
        <v>0.39634547100842576</v>
      </c>
      <c r="BT28">
        <v>1</v>
      </c>
      <c r="BU28" s="205">
        <v>4.9120001480604056</v>
      </c>
      <c r="BV28" s="34">
        <v>0.25216746004452567</v>
      </c>
      <c r="BW28" s="34">
        <v>0.34097111247695155</v>
      </c>
      <c r="BX28" s="34">
        <f>IF(A28&lt;17, SoC!O$3, IF(A28&lt;33, SoC!O$4, IF(A28&lt;49, SoC!O$5, IF(A28&lt;65, SoC!O$6, IF(A28&lt;81, SoC!O$7, IF(A28&lt;97, SoC!O$8, SoC!O$9))))))</f>
        <v>1.148154410748077</v>
      </c>
      <c r="BY28" s="205">
        <f t="shared" si="34"/>
        <v>0.62955974379595281</v>
      </c>
      <c r="BZ28" s="205" t="str">
        <f t="shared" si="35"/>
        <v>D-</v>
      </c>
      <c r="CA28" s="35">
        <f t="shared" si="36"/>
        <v>-3.2496210077869541</v>
      </c>
      <c r="CB28" s="245">
        <f t="shared" si="37"/>
        <v>0</v>
      </c>
      <c r="CC28" s="48">
        <v>24</v>
      </c>
      <c r="CD28" s="16" t="s">
        <v>65</v>
      </c>
      <c r="CE28">
        <v>78</v>
      </c>
      <c r="CF28">
        <v>78</v>
      </c>
      <c r="CG28">
        <v>79</v>
      </c>
      <c r="CH28">
        <v>78</v>
      </c>
      <c r="CI28">
        <v>78</v>
      </c>
      <c r="CJ28">
        <v>78</v>
      </c>
      <c r="CK28">
        <v>78</v>
      </c>
      <c r="CL28">
        <v>78</v>
      </c>
      <c r="CM28">
        <v>79</v>
      </c>
      <c r="CN28">
        <v>80</v>
      </c>
      <c r="CO28">
        <v>81</v>
      </c>
      <c r="CP28">
        <v>76</v>
      </c>
      <c r="CQ28">
        <v>76</v>
      </c>
      <c r="CR28">
        <v>88</v>
      </c>
      <c r="CS28">
        <v>88</v>
      </c>
      <c r="CT28">
        <v>97</v>
      </c>
      <c r="CU28">
        <v>96</v>
      </c>
      <c r="CV28">
        <v>98</v>
      </c>
      <c r="CW28">
        <v>96</v>
      </c>
      <c r="CX28">
        <v>93</v>
      </c>
      <c r="CY28">
        <v>98</v>
      </c>
      <c r="CZ28">
        <v>109</v>
      </c>
      <c r="DA28">
        <v>108</v>
      </c>
      <c r="DB28">
        <v>95</v>
      </c>
      <c r="DC28">
        <v>111</v>
      </c>
      <c r="DD28">
        <v>112</v>
      </c>
      <c r="DE28" s="154">
        <v>104</v>
      </c>
      <c r="DF28">
        <v>106</v>
      </c>
      <c r="DG28">
        <v>89</v>
      </c>
    </row>
    <row r="29" spans="1:111" x14ac:dyDescent="0.35">
      <c r="A29">
        <v>28</v>
      </c>
      <c r="B29" s="16" t="s">
        <v>144</v>
      </c>
      <c r="C29" s="16" t="s">
        <v>1366</v>
      </c>
      <c r="D29" s="16" t="s">
        <v>64</v>
      </c>
      <c r="F29" s="6">
        <v>6</v>
      </c>
      <c r="G29" s="6">
        <v>7</v>
      </c>
      <c r="H29" s="6"/>
      <c r="I29" s="6">
        <v>4</v>
      </c>
      <c r="J29" s="6">
        <v>5</v>
      </c>
      <c r="L29" s="1">
        <v>2</v>
      </c>
      <c r="M29" s="1">
        <v>2</v>
      </c>
      <c r="O29">
        <v>196</v>
      </c>
      <c r="P29">
        <v>234</v>
      </c>
      <c r="Q29">
        <v>103</v>
      </c>
      <c r="R29" s="9">
        <f>-5.501+2.724-7.694+3.261-4.532</f>
        <v>-11.742000000000001</v>
      </c>
      <c r="S29" s="263">
        <f>481+35+71+29+68</f>
        <v>684</v>
      </c>
      <c r="T29" s="203">
        <f>272.689+19.972+5.115+48.353+4.262</f>
        <v>350.39100000000002</v>
      </c>
      <c r="V29">
        <v>62</v>
      </c>
      <c r="W29">
        <v>71</v>
      </c>
      <c r="X29">
        <v>30</v>
      </c>
      <c r="Y29" s="9">
        <f>-1.925</f>
        <v>-1.925</v>
      </c>
      <c r="Z29" s="263">
        <f>227</f>
        <v>227</v>
      </c>
      <c r="AA29" s="203">
        <f>101.607</f>
        <v>101.607</v>
      </c>
      <c r="AC29">
        <f t="shared" si="0"/>
        <v>211.5</v>
      </c>
      <c r="AD29">
        <f t="shared" si="1"/>
        <v>251.75</v>
      </c>
      <c r="AE29">
        <f t="shared" si="2"/>
        <v>110.5</v>
      </c>
      <c r="AF29">
        <f t="shared" si="3"/>
        <v>-12.22325</v>
      </c>
      <c r="AG29">
        <f t="shared" si="4"/>
        <v>740.75</v>
      </c>
      <c r="AH29">
        <f t="shared" si="5"/>
        <v>375.79275000000001</v>
      </c>
      <c r="AI29" s="73">
        <f t="shared" si="6"/>
        <v>14</v>
      </c>
      <c r="AJ29" s="73">
        <f t="shared" si="7"/>
        <v>15.107142857142858</v>
      </c>
      <c r="AK29" s="73">
        <f t="shared" si="8"/>
        <v>17.982142857142858</v>
      </c>
      <c r="AL29" s="73">
        <f t="shared" si="9"/>
        <v>-2.875</v>
      </c>
      <c r="AM29" s="73">
        <f t="shared" si="10"/>
        <v>1.9140271493212671</v>
      </c>
      <c r="AN29" s="227">
        <f t="shared" si="11"/>
        <v>-0.43654464285714284</v>
      </c>
      <c r="AO29" s="227">
        <f t="shared" si="12"/>
        <v>-0.62311095067400979</v>
      </c>
      <c r="AP29" s="227">
        <f t="shared" si="13"/>
        <v>-1.8153444064688473</v>
      </c>
      <c r="AQ29" s="89">
        <f t="shared" si="14"/>
        <v>2.4681775540327715</v>
      </c>
      <c r="AR29" s="73">
        <f t="shared" si="15"/>
        <v>52.910714285714285</v>
      </c>
      <c r="AS29" s="89">
        <f t="shared" si="16"/>
        <v>26.842339285714285</v>
      </c>
      <c r="AT29" s="89">
        <f t="shared" si="17"/>
        <v>5.180959301684803</v>
      </c>
      <c r="AU29" s="9">
        <v>7</v>
      </c>
      <c r="AV29" s="9">
        <v>12</v>
      </c>
      <c r="AX29" s="54">
        <f t="shared" si="18"/>
        <v>19</v>
      </c>
      <c r="AZ29" s="49">
        <v>71</v>
      </c>
      <c r="BA29" s="48">
        <f t="shared" si="19"/>
        <v>71</v>
      </c>
      <c r="BB29" s="245">
        <f t="shared" si="20"/>
        <v>0</v>
      </c>
      <c r="BC29" s="36">
        <f t="shared" si="21"/>
        <v>0.44803636431625543</v>
      </c>
      <c r="BD29" s="205">
        <f t="shared" si="22"/>
        <v>0.48717948717948717</v>
      </c>
      <c r="BE29" s="205">
        <f t="shared" si="23"/>
        <v>0.44444444444444442</v>
      </c>
      <c r="BF29" s="205">
        <f t="shared" si="24"/>
        <v>0.21775571891411089</v>
      </c>
      <c r="BG29" s="205">
        <f t="shared" si="25"/>
        <v>0.4851325840723506</v>
      </c>
      <c r="BH29" s="205">
        <f t="shared" si="26"/>
        <v>0.27050367118080038</v>
      </c>
      <c r="BI29" s="205">
        <f t="shared" si="27"/>
        <v>0.73525867780389798</v>
      </c>
      <c r="BJ29" s="205">
        <f t="shared" si="28"/>
        <v>0.35736759642515004</v>
      </c>
      <c r="BK29" s="205">
        <f t="shared" si="29"/>
        <v>0.3772530142756646</v>
      </c>
      <c r="BL29" s="205">
        <f t="shared" si="30"/>
        <v>0.45086004356715581</v>
      </c>
      <c r="BM29" s="205">
        <f t="shared" si="31"/>
        <v>0.15079365079365079</v>
      </c>
      <c r="BN29" s="48">
        <v>5</v>
      </c>
      <c r="BO29" s="220">
        <f t="shared" si="32"/>
        <v>24</v>
      </c>
      <c r="BP29" s="220">
        <v>22</v>
      </c>
      <c r="BQ29" s="220">
        <f t="shared" si="33"/>
        <v>46</v>
      </c>
      <c r="BR29" s="205">
        <v>1</v>
      </c>
      <c r="BS29" s="35">
        <v>0.44803636431625543</v>
      </c>
      <c r="BT29">
        <v>1</v>
      </c>
      <c r="BU29" s="205">
        <v>5.180959301684803</v>
      </c>
      <c r="BV29" s="34">
        <v>0.21775571891411089</v>
      </c>
      <c r="BW29" s="34">
        <v>0.4851325840723506</v>
      </c>
      <c r="BX29" s="34">
        <f>IF(A29&lt;17, SoC!O$3, IF(A29&lt;33, SoC!O$4, IF(A29&lt;49, SoC!O$5, IF(A29&lt;65, SoC!O$6, IF(A29&lt;81, SoC!O$7, IF(A29&lt;97, SoC!O$8, SoC!O$9))))))</f>
        <v>1.148154410748077</v>
      </c>
      <c r="BY29" s="205">
        <f t="shared" si="34"/>
        <v>0.66935518547050599</v>
      </c>
      <c r="BZ29" s="205" t="str">
        <f t="shared" si="35"/>
        <v>D+</v>
      </c>
      <c r="CA29" s="35">
        <f t="shared" si="36"/>
        <v>-2.0813235648181623</v>
      </c>
      <c r="CB29" s="245">
        <f t="shared" si="37"/>
        <v>0</v>
      </c>
      <c r="CC29" s="48">
        <v>4</v>
      </c>
      <c r="CD29" s="16" t="s">
        <v>64</v>
      </c>
      <c r="CE29">
        <v>71</v>
      </c>
      <c r="CF29">
        <v>71</v>
      </c>
      <c r="CG29">
        <v>71</v>
      </c>
      <c r="CH29">
        <v>71</v>
      </c>
      <c r="CI29">
        <v>71</v>
      </c>
      <c r="CJ29">
        <v>71</v>
      </c>
      <c r="CK29">
        <v>71</v>
      </c>
      <c r="CL29">
        <v>71</v>
      </c>
      <c r="CM29">
        <v>71</v>
      </c>
      <c r="CN29">
        <v>71</v>
      </c>
      <c r="CO29">
        <v>71</v>
      </c>
      <c r="CP29">
        <v>65</v>
      </c>
      <c r="CQ29">
        <v>65</v>
      </c>
      <c r="CR29">
        <v>68</v>
      </c>
      <c r="CS29">
        <v>69</v>
      </c>
      <c r="CT29">
        <v>63</v>
      </c>
      <c r="CU29">
        <v>62</v>
      </c>
      <c r="CV29">
        <v>61</v>
      </c>
      <c r="CW29">
        <v>61</v>
      </c>
      <c r="CX29">
        <v>65</v>
      </c>
      <c r="CY29">
        <v>66</v>
      </c>
      <c r="CZ29">
        <v>59</v>
      </c>
      <c r="DA29">
        <v>60</v>
      </c>
      <c r="DB29">
        <v>62</v>
      </c>
      <c r="DC29">
        <v>57</v>
      </c>
      <c r="DD29">
        <v>22</v>
      </c>
      <c r="DE29" s="154">
        <v>40</v>
      </c>
      <c r="DF29">
        <v>53</v>
      </c>
      <c r="DG29">
        <v>109</v>
      </c>
    </row>
    <row r="30" spans="1:111" x14ac:dyDescent="0.35">
      <c r="A30">
        <v>29</v>
      </c>
      <c r="B30" s="16" t="s">
        <v>144</v>
      </c>
      <c r="C30" s="16" t="s">
        <v>1369</v>
      </c>
      <c r="D30" s="16" t="s">
        <v>66</v>
      </c>
      <c r="F30" s="6">
        <v>9</v>
      </c>
      <c r="G30" s="6">
        <v>4</v>
      </c>
      <c r="H30" s="6"/>
      <c r="I30" s="6">
        <v>7</v>
      </c>
      <c r="J30" s="6">
        <v>2</v>
      </c>
      <c r="L30" s="1">
        <v>7</v>
      </c>
      <c r="M30" s="1">
        <v>8</v>
      </c>
      <c r="O30">
        <v>230</v>
      </c>
      <c r="P30">
        <v>183</v>
      </c>
      <c r="Q30">
        <v>104</v>
      </c>
      <c r="R30" s="9">
        <f>13.535+4.939+5.333+3.202+2.145</f>
        <v>29.154</v>
      </c>
      <c r="S30" s="263">
        <f>570+47+55+68+74</f>
        <v>814</v>
      </c>
      <c r="T30" s="203">
        <f>338.123+97.036+28.737+73.714+49.77</f>
        <v>587.38</v>
      </c>
      <c r="V30">
        <v>247</v>
      </c>
      <c r="W30">
        <v>247</v>
      </c>
      <c r="X30">
        <v>126</v>
      </c>
      <c r="Y30" s="9">
        <f>-18.367+3.499+0.756+4.139+7.361+0.993+4.407</f>
        <v>2.7880000000000007</v>
      </c>
      <c r="Z30" s="263">
        <f>727+77+76+54+52+71+68</f>
        <v>1125</v>
      </c>
      <c r="AA30" s="203">
        <f>279.061+24.926+9.56+16.66+82.527+9.362+34.771</f>
        <v>456.86700000000002</v>
      </c>
      <c r="AC30">
        <f t="shared" si="0"/>
        <v>291.75</v>
      </c>
      <c r="AD30">
        <f t="shared" si="1"/>
        <v>244.75</v>
      </c>
      <c r="AE30">
        <f t="shared" si="2"/>
        <v>135.5</v>
      </c>
      <c r="AF30">
        <f t="shared" si="3"/>
        <v>29.850999999999999</v>
      </c>
      <c r="AG30">
        <f t="shared" si="4"/>
        <v>1095.25</v>
      </c>
      <c r="AH30">
        <f t="shared" si="5"/>
        <v>701.59675000000004</v>
      </c>
      <c r="AI30" s="73">
        <f t="shared" si="6"/>
        <v>16.75</v>
      </c>
      <c r="AJ30" s="73">
        <f t="shared" si="7"/>
        <v>17.417910447761194</v>
      </c>
      <c r="AK30" s="73">
        <f t="shared" si="8"/>
        <v>14.611940298507463</v>
      </c>
      <c r="AL30" s="73">
        <f t="shared" si="9"/>
        <v>2.8059701492537314</v>
      </c>
      <c r="AM30" s="73">
        <f t="shared" si="10"/>
        <v>2.1531365313653135</v>
      </c>
      <c r="AN30" s="227">
        <f t="shared" si="11"/>
        <v>1.7821492537313433</v>
      </c>
      <c r="AO30" s="227">
        <f t="shared" si="12"/>
        <v>1.4312283024747643</v>
      </c>
      <c r="AP30" s="227">
        <f t="shared" si="13"/>
        <v>1.1992813711506778</v>
      </c>
      <c r="AQ30" s="89">
        <f t="shared" si="14"/>
        <v>5.2092143924683629</v>
      </c>
      <c r="AR30" s="73">
        <f t="shared" si="15"/>
        <v>65.388059701492537</v>
      </c>
      <c r="AS30" s="89">
        <f t="shared" si="16"/>
        <v>41.886373134328359</v>
      </c>
      <c r="AT30" s="89">
        <f t="shared" si="17"/>
        <v>6.4719682581366511</v>
      </c>
      <c r="AU30" s="9">
        <v>35</v>
      </c>
      <c r="AV30" s="9">
        <v>6</v>
      </c>
      <c r="AW30" s="9">
        <v>14</v>
      </c>
      <c r="AX30" s="54">
        <f t="shared" si="18"/>
        <v>55</v>
      </c>
      <c r="AZ30" s="49">
        <v>23</v>
      </c>
      <c r="BA30" s="48">
        <f t="shared" si="19"/>
        <v>23</v>
      </c>
      <c r="BB30" s="245">
        <f t="shared" si="20"/>
        <v>0</v>
      </c>
      <c r="BC30" s="36">
        <f t="shared" si="21"/>
        <v>0.69749316023812946</v>
      </c>
      <c r="BD30" s="205">
        <f t="shared" si="22"/>
        <v>0.78205128205128205</v>
      </c>
      <c r="BE30" s="205">
        <f t="shared" si="23"/>
        <v>0.77777777777777779</v>
      </c>
      <c r="BF30" s="205">
        <f t="shared" si="24"/>
        <v>0.41558609962009169</v>
      </c>
      <c r="BG30" s="205">
        <f t="shared" si="25"/>
        <v>0.79957434707226016</v>
      </c>
      <c r="BH30" s="205">
        <f t="shared" si="26"/>
        <v>0.53477187673707138</v>
      </c>
      <c r="BI30" s="205">
        <f t="shared" si="27"/>
        <v>0.50203615160153148</v>
      </c>
      <c r="BJ30" s="205">
        <f t="shared" si="28"/>
        <v>0.67197389750201175</v>
      </c>
      <c r="BK30" s="205">
        <f t="shared" si="29"/>
        <v>0.63102718868034957</v>
      </c>
      <c r="BL30" s="205">
        <f t="shared" si="30"/>
        <v>0.64699675193076978</v>
      </c>
      <c r="BM30" s="205">
        <f t="shared" si="31"/>
        <v>0.43650793650793651</v>
      </c>
      <c r="BN30" s="48">
        <v>15</v>
      </c>
      <c r="BO30" s="220">
        <f t="shared" si="32"/>
        <v>70</v>
      </c>
      <c r="BP30" s="220">
        <v>72</v>
      </c>
      <c r="BQ30" s="220">
        <f t="shared" si="33"/>
        <v>142</v>
      </c>
      <c r="BR30" s="205">
        <v>-1.6666666666666665</v>
      </c>
      <c r="BS30" s="35">
        <v>0.69749316023812946</v>
      </c>
      <c r="BT30">
        <v>3</v>
      </c>
      <c r="BU30" s="205">
        <v>6.4719682581366511</v>
      </c>
      <c r="BV30" s="34">
        <v>0.41558609962009169</v>
      </c>
      <c r="BW30" s="34">
        <v>0.79957434707226016</v>
      </c>
      <c r="BX30" s="34">
        <f>IF(A30&lt;17, SoC!O$3, IF(A30&lt;33, SoC!O$4, IF(A30&lt;49, SoC!O$5, IF(A30&lt;65, SoC!O$6, IF(A30&lt;81, SoC!O$7, IF(A30&lt;97, SoC!O$8, SoC!O$9))))))</f>
        <v>1.148154410748077</v>
      </c>
      <c r="BY30" s="205">
        <f t="shared" si="34"/>
        <v>0.83516055955614277</v>
      </c>
      <c r="BZ30" s="205" t="str">
        <f t="shared" si="35"/>
        <v>B</v>
      </c>
      <c r="CA30" s="35">
        <f t="shared" si="36"/>
        <v>3.5533168318452426</v>
      </c>
      <c r="CB30" s="245">
        <f t="shared" si="37"/>
        <v>0</v>
      </c>
      <c r="CC30" s="48">
        <v>74</v>
      </c>
      <c r="CD30" s="16" t="s">
        <v>66</v>
      </c>
      <c r="CE30">
        <v>23</v>
      </c>
      <c r="CF30">
        <v>23</v>
      </c>
      <c r="CG30">
        <v>24</v>
      </c>
      <c r="CH30">
        <v>24</v>
      </c>
      <c r="CI30">
        <v>23</v>
      </c>
      <c r="CJ30">
        <v>23</v>
      </c>
      <c r="CK30">
        <v>23</v>
      </c>
      <c r="CL30">
        <v>23</v>
      </c>
      <c r="CM30">
        <v>22</v>
      </c>
      <c r="CN30">
        <v>22</v>
      </c>
      <c r="CO30">
        <v>25</v>
      </c>
      <c r="CP30">
        <v>27</v>
      </c>
      <c r="CQ30">
        <v>26</v>
      </c>
      <c r="CR30">
        <v>27</v>
      </c>
      <c r="CS30">
        <v>28</v>
      </c>
      <c r="CT30">
        <v>28</v>
      </c>
      <c r="CU30">
        <v>27</v>
      </c>
      <c r="CV30">
        <v>36</v>
      </c>
      <c r="CW30">
        <v>37</v>
      </c>
      <c r="CX30">
        <v>49</v>
      </c>
      <c r="CY30">
        <v>49</v>
      </c>
      <c r="CZ30">
        <v>34</v>
      </c>
      <c r="DA30">
        <v>29</v>
      </c>
      <c r="DB30">
        <v>16</v>
      </c>
      <c r="DC30">
        <v>18</v>
      </c>
      <c r="DD30">
        <v>24</v>
      </c>
      <c r="DE30" s="154">
        <v>49</v>
      </c>
      <c r="DF30">
        <v>66</v>
      </c>
      <c r="DG30">
        <v>39</v>
      </c>
    </row>
    <row r="31" spans="1:111" x14ac:dyDescent="0.35">
      <c r="A31">
        <v>30</v>
      </c>
      <c r="B31" s="16" t="s">
        <v>144</v>
      </c>
      <c r="C31" s="16" t="s">
        <v>1369</v>
      </c>
      <c r="D31" s="16" t="s">
        <v>62</v>
      </c>
      <c r="F31" s="6">
        <v>6</v>
      </c>
      <c r="G31" s="6">
        <v>7</v>
      </c>
      <c r="H31" s="6"/>
      <c r="I31" s="6">
        <v>3</v>
      </c>
      <c r="J31" s="6">
        <v>6</v>
      </c>
      <c r="L31" s="1">
        <v>9</v>
      </c>
      <c r="M31" s="1">
        <v>12</v>
      </c>
      <c r="O31">
        <v>228</v>
      </c>
      <c r="P31">
        <f>207+24</f>
        <v>231</v>
      </c>
      <c r="Q31">
        <v>113</v>
      </c>
      <c r="R31" s="9">
        <f>-4.254+3.868+1.947+4.601-3.932</f>
        <v>2.2300000000000009</v>
      </c>
      <c r="S31" s="263">
        <f>540+37+60+40+78</f>
        <v>755</v>
      </c>
      <c r="T31" s="203">
        <f>400.085+18.373+19.332+28.029+0.753</f>
        <v>466.57199999999995</v>
      </c>
      <c r="V31">
        <v>359</v>
      </c>
      <c r="W31">
        <v>380</v>
      </c>
      <c r="X31">
        <v>180</v>
      </c>
      <c r="Y31" s="9">
        <f>-6.239-5.467-8.073-0.993-4.407-3.106-6.33-6.43-10.217</f>
        <v>-51.261999999999993</v>
      </c>
      <c r="Z31" s="263">
        <f>929+79+88+71+68+83+77+86+74</f>
        <v>1555</v>
      </c>
      <c r="AA31" s="203">
        <f>487.32+2.706+64.054+27.532+11.934+30.091+16.559+52.923+5.248</f>
        <v>698.36700000000008</v>
      </c>
      <c r="AC31">
        <f t="shared" si="0"/>
        <v>317.75</v>
      </c>
      <c r="AD31">
        <f t="shared" si="1"/>
        <v>326</v>
      </c>
      <c r="AE31">
        <f t="shared" si="2"/>
        <v>158</v>
      </c>
      <c r="AF31">
        <f t="shared" si="3"/>
        <v>-10.585499999999998</v>
      </c>
      <c r="AG31">
        <f t="shared" si="4"/>
        <v>1143.75</v>
      </c>
      <c r="AH31">
        <f t="shared" si="5"/>
        <v>641.16374999999994</v>
      </c>
      <c r="AI31" s="73">
        <f t="shared" si="6"/>
        <v>18.25</v>
      </c>
      <c r="AJ31" s="73">
        <f t="shared" si="7"/>
        <v>17.410958904109588</v>
      </c>
      <c r="AK31" s="73">
        <f t="shared" si="8"/>
        <v>17.863013698630137</v>
      </c>
      <c r="AL31" s="73">
        <f t="shared" si="9"/>
        <v>-0.45205479452054931</v>
      </c>
      <c r="AM31" s="73">
        <f t="shared" si="10"/>
        <v>2.0110759493670884</v>
      </c>
      <c r="AN31" s="227">
        <f t="shared" si="11"/>
        <v>-0.29001369863013693</v>
      </c>
      <c r="AO31" s="227">
        <f t="shared" si="12"/>
        <v>-0.48743460929615967</v>
      </c>
      <c r="AP31" s="227">
        <f t="shared" si="13"/>
        <v>0.32539351340574729</v>
      </c>
      <c r="AQ31" s="89">
        <f t="shared" si="14"/>
        <v>3.8024866181783628</v>
      </c>
      <c r="AR31" s="73">
        <f t="shared" si="15"/>
        <v>62.671232876712331</v>
      </c>
      <c r="AS31" s="89">
        <f t="shared" si="16"/>
        <v>35.132260273972598</v>
      </c>
      <c r="AT31" s="89">
        <f t="shared" si="17"/>
        <v>5.9272472762634596</v>
      </c>
      <c r="AU31" s="9">
        <v>35</v>
      </c>
      <c r="AV31" s="9">
        <v>18</v>
      </c>
      <c r="AW31" s="20">
        <v>25</v>
      </c>
      <c r="AX31" s="54">
        <f t="shared" si="18"/>
        <v>78</v>
      </c>
      <c r="AZ31" s="49">
        <v>49</v>
      </c>
      <c r="BA31" s="48">
        <f t="shared" si="19"/>
        <v>49</v>
      </c>
      <c r="BB31" s="245">
        <f t="shared" si="20"/>
        <v>0</v>
      </c>
      <c r="BC31" s="36">
        <f t="shared" si="21"/>
        <v>0.55417190518338499</v>
      </c>
      <c r="BD31" s="205">
        <f t="shared" si="22"/>
        <v>0.57692307692307687</v>
      </c>
      <c r="BE31" s="205">
        <f t="shared" si="23"/>
        <v>0.33333333333333331</v>
      </c>
      <c r="BF31" s="205">
        <f t="shared" si="24"/>
        <v>0.41499096121990164</v>
      </c>
      <c r="BG31" s="205">
        <f t="shared" si="25"/>
        <v>0.49624740045970828</v>
      </c>
      <c r="BH31" s="205">
        <f t="shared" si="26"/>
        <v>0.377763838139762</v>
      </c>
      <c r="BI31" s="205">
        <f t="shared" si="27"/>
        <v>0.71985577926436184</v>
      </c>
      <c r="BJ31" s="205">
        <f t="shared" si="28"/>
        <v>0.58077497373436193</v>
      </c>
      <c r="BK31" s="205">
        <f t="shared" si="29"/>
        <v>0.50601250955419907</v>
      </c>
      <c r="BL31" s="205">
        <f t="shared" si="30"/>
        <v>0.56423994391075627</v>
      </c>
      <c r="BM31" s="205">
        <f t="shared" si="31"/>
        <v>0.61904761904761907</v>
      </c>
      <c r="BN31" s="48">
        <v>5</v>
      </c>
      <c r="BO31" s="220">
        <f t="shared" si="32"/>
        <v>83</v>
      </c>
      <c r="BP31" s="220">
        <v>41</v>
      </c>
      <c r="BQ31" s="220">
        <f t="shared" si="33"/>
        <v>124</v>
      </c>
      <c r="BR31" s="205">
        <v>0.33333333333333331</v>
      </c>
      <c r="BS31" s="35">
        <v>0.55417190518338499</v>
      </c>
      <c r="BT31">
        <v>3</v>
      </c>
      <c r="BU31" s="205">
        <v>5.9272472762634596</v>
      </c>
      <c r="BV31" s="34">
        <v>0.41499096121990164</v>
      </c>
      <c r="BW31" s="34">
        <v>0.49624740045970828</v>
      </c>
      <c r="BX31" s="34">
        <f>IF(A31&lt;17, SoC!O$3, IF(A31&lt;33, SoC!O$4, IF(A31&lt;49, SoC!O$5, IF(A31&lt;65, SoC!O$6, IF(A31&lt;81, SoC!O$7, IF(A31&lt;97, SoC!O$8, SoC!O$9))))))</f>
        <v>1.148154410748077</v>
      </c>
      <c r="BY31" s="205">
        <f t="shared" si="34"/>
        <v>0.74442723296732305</v>
      </c>
      <c r="BZ31" s="205" t="str">
        <f t="shared" si="35"/>
        <v>C</v>
      </c>
      <c r="CA31" s="35">
        <f t="shared" si="36"/>
        <v>0.4145312398137575</v>
      </c>
      <c r="CB31" s="245">
        <f t="shared" si="37"/>
        <v>0</v>
      </c>
      <c r="CC31" s="48">
        <v>78</v>
      </c>
      <c r="CD31" s="16" t="s">
        <v>62</v>
      </c>
      <c r="CE31">
        <v>49</v>
      </c>
      <c r="CF31">
        <v>49</v>
      </c>
      <c r="CG31">
        <v>49</v>
      </c>
      <c r="CH31">
        <v>49</v>
      </c>
      <c r="CI31">
        <v>49</v>
      </c>
      <c r="CJ31">
        <v>49</v>
      </c>
      <c r="CK31">
        <v>49</v>
      </c>
      <c r="CL31">
        <v>49</v>
      </c>
      <c r="CM31">
        <v>49</v>
      </c>
      <c r="CN31">
        <v>48</v>
      </c>
      <c r="CO31">
        <v>50</v>
      </c>
      <c r="CP31">
        <v>42</v>
      </c>
      <c r="CQ31">
        <v>43</v>
      </c>
      <c r="CR31">
        <v>51</v>
      </c>
      <c r="CS31">
        <v>52</v>
      </c>
      <c r="CT31">
        <v>47</v>
      </c>
      <c r="CU31">
        <v>47</v>
      </c>
      <c r="CV31">
        <v>55</v>
      </c>
      <c r="CW31">
        <v>45</v>
      </c>
      <c r="CX31">
        <v>38</v>
      </c>
      <c r="CY31">
        <v>39</v>
      </c>
      <c r="CZ31">
        <v>31</v>
      </c>
      <c r="DA31">
        <v>36</v>
      </c>
      <c r="DB31">
        <v>41</v>
      </c>
      <c r="DC31">
        <v>73</v>
      </c>
      <c r="DD31">
        <v>67</v>
      </c>
      <c r="DE31" s="154">
        <v>80</v>
      </c>
      <c r="DF31">
        <v>72</v>
      </c>
      <c r="DG31">
        <v>35</v>
      </c>
    </row>
    <row r="32" spans="1:111" x14ac:dyDescent="0.35">
      <c r="A32">
        <v>31</v>
      </c>
      <c r="B32" s="16" t="s">
        <v>144</v>
      </c>
      <c r="C32" s="16" t="s">
        <v>1369</v>
      </c>
      <c r="D32" s="16" t="s">
        <v>71</v>
      </c>
      <c r="F32" s="6">
        <v>9</v>
      </c>
      <c r="G32" s="6">
        <v>4</v>
      </c>
      <c r="H32" s="6"/>
      <c r="I32" s="6">
        <v>6</v>
      </c>
      <c r="J32" s="6">
        <v>3</v>
      </c>
      <c r="L32" s="1">
        <v>6</v>
      </c>
      <c r="M32" s="1">
        <v>3</v>
      </c>
      <c r="O32">
        <v>206</v>
      </c>
      <c r="P32">
        <f>191+15</f>
        <v>206</v>
      </c>
      <c r="Q32">
        <v>114</v>
      </c>
      <c r="R32" s="9">
        <f>19.607-1.42+0.167-0.463-2.145</f>
        <v>15.745999999999999</v>
      </c>
      <c r="S32" s="263">
        <f>532+76+70+73+74</f>
        <v>825</v>
      </c>
      <c r="T32" s="203">
        <f>336.959+5.055+50.658+54.618+7.812</f>
        <v>455.10200000000003</v>
      </c>
      <c r="V32">
        <f>140+27</f>
        <v>167</v>
      </c>
      <c r="W32">
        <v>149</v>
      </c>
      <c r="X32">
        <f>71+14</f>
        <v>85</v>
      </c>
      <c r="Y32" s="9">
        <f>7.42-2.385-5.045</f>
        <v>-9.9999999999997868E-3</v>
      </c>
      <c r="Z32" s="263">
        <f>487+80+85</f>
        <v>652</v>
      </c>
      <c r="AA32" s="203">
        <f>328.373+11.017+70.077</f>
        <v>409.46699999999998</v>
      </c>
      <c r="AC32">
        <f t="shared" si="0"/>
        <v>247.75</v>
      </c>
      <c r="AD32">
        <f t="shared" si="1"/>
        <v>243.25</v>
      </c>
      <c r="AE32">
        <f t="shared" si="2"/>
        <v>135.25</v>
      </c>
      <c r="AF32">
        <f t="shared" si="3"/>
        <v>15.743499999999999</v>
      </c>
      <c r="AG32">
        <f t="shared" si="4"/>
        <v>988</v>
      </c>
      <c r="AH32">
        <f t="shared" si="5"/>
        <v>557.46875</v>
      </c>
      <c r="AI32" s="73">
        <f t="shared" si="6"/>
        <v>15.25</v>
      </c>
      <c r="AJ32" s="73">
        <f t="shared" si="7"/>
        <v>16.245901639344261</v>
      </c>
      <c r="AK32" s="73">
        <f t="shared" si="8"/>
        <v>15.950819672131148</v>
      </c>
      <c r="AL32" s="73">
        <f t="shared" si="9"/>
        <v>0.29508196721311286</v>
      </c>
      <c r="AM32" s="73">
        <f t="shared" si="10"/>
        <v>1.8317929759704252</v>
      </c>
      <c r="AN32" s="227">
        <f t="shared" si="11"/>
        <v>1.032360655737705</v>
      </c>
      <c r="AO32" s="227">
        <f t="shared" si="12"/>
        <v>0.73698194844181364</v>
      </c>
      <c r="AP32" s="227">
        <f t="shared" si="13"/>
        <v>-0.58958933487664644</v>
      </c>
      <c r="AQ32" s="89">
        <f t="shared" si="14"/>
        <v>4.2115826468848088</v>
      </c>
      <c r="AR32" s="73">
        <f t="shared" si="15"/>
        <v>64.786885245901644</v>
      </c>
      <c r="AS32" s="89">
        <f t="shared" si="16"/>
        <v>36.555327868852459</v>
      </c>
      <c r="AT32" s="89">
        <f t="shared" si="17"/>
        <v>6.0461002198816107</v>
      </c>
      <c r="AU32" s="9">
        <v>35</v>
      </c>
      <c r="AV32" s="9">
        <v>0</v>
      </c>
      <c r="AX32" s="54">
        <f t="shared" si="18"/>
        <v>35</v>
      </c>
      <c r="AZ32" s="49">
        <v>40</v>
      </c>
      <c r="BA32" s="48">
        <f t="shared" si="19"/>
        <v>40</v>
      </c>
      <c r="BB32" s="245">
        <f t="shared" si="20"/>
        <v>0</v>
      </c>
      <c r="BC32" s="36">
        <f t="shared" si="21"/>
        <v>0.5954301843415043</v>
      </c>
      <c r="BD32" s="205">
        <f t="shared" si="22"/>
        <v>0.76923076923076927</v>
      </c>
      <c r="BE32" s="205">
        <f t="shared" si="23"/>
        <v>0.66666666666666663</v>
      </c>
      <c r="BF32" s="205">
        <f t="shared" si="24"/>
        <v>0.31524760184072742</v>
      </c>
      <c r="BG32" s="205">
        <f t="shared" si="25"/>
        <v>0.67465616089151315</v>
      </c>
      <c r="BH32" s="205">
        <f t="shared" si="26"/>
        <v>0.17961690947762698</v>
      </c>
      <c r="BI32" s="205">
        <f t="shared" si="27"/>
        <v>0.58085170664979091</v>
      </c>
      <c r="BJ32" s="205">
        <f t="shared" si="28"/>
        <v>0.48528737736868593</v>
      </c>
      <c r="BK32" s="205">
        <f t="shared" si="29"/>
        <v>0.54325703887702836</v>
      </c>
      <c r="BL32" s="205">
        <f t="shared" si="30"/>
        <v>0.58229669326488809</v>
      </c>
      <c r="BM32" s="205">
        <f t="shared" si="31"/>
        <v>0.27777777777777779</v>
      </c>
      <c r="BN32" s="48">
        <v>10</v>
      </c>
      <c r="BO32" s="220">
        <f t="shared" si="32"/>
        <v>45</v>
      </c>
      <c r="BP32" s="220">
        <v>50</v>
      </c>
      <c r="BQ32" s="220">
        <f t="shared" si="33"/>
        <v>95</v>
      </c>
      <c r="BR32" s="205">
        <v>0</v>
      </c>
      <c r="BS32" s="35">
        <v>0.5954301843415043</v>
      </c>
      <c r="BT32">
        <v>1</v>
      </c>
      <c r="BU32" s="205">
        <v>6.0461002198816107</v>
      </c>
      <c r="BV32" s="34">
        <v>0.31524760184072742</v>
      </c>
      <c r="BW32" s="34">
        <v>0.67465616089151315</v>
      </c>
      <c r="BX32" s="34">
        <f>IF(A32&lt;17, SoC!O$3, IF(A32&lt;33, SoC!O$4, IF(A32&lt;49, SoC!O$5, IF(A32&lt;65, SoC!O$6, IF(A32&lt;81, SoC!O$7, IF(A32&lt;97, SoC!O$8, SoC!O$9))))))</f>
        <v>1.148154410748077</v>
      </c>
      <c r="BY32" s="205">
        <f t="shared" si="34"/>
        <v>0.77164122773572974</v>
      </c>
      <c r="BZ32" s="205" t="str">
        <f t="shared" si="35"/>
        <v>C+</v>
      </c>
      <c r="CA32" s="35">
        <f t="shared" si="36"/>
        <v>1.2991232947852192</v>
      </c>
      <c r="CB32" s="245">
        <f t="shared" si="37"/>
        <v>0</v>
      </c>
      <c r="CC32" s="48">
        <v>33</v>
      </c>
      <c r="CD32" s="16" t="s">
        <v>71</v>
      </c>
      <c r="CE32">
        <v>40</v>
      </c>
      <c r="CF32">
        <v>40</v>
      </c>
      <c r="CG32">
        <v>40</v>
      </c>
      <c r="CH32">
        <v>40</v>
      </c>
      <c r="CI32">
        <v>40</v>
      </c>
      <c r="CJ32">
        <v>40</v>
      </c>
      <c r="CK32">
        <v>40</v>
      </c>
      <c r="CL32">
        <v>40</v>
      </c>
      <c r="CM32">
        <v>40</v>
      </c>
      <c r="CN32">
        <v>39</v>
      </c>
      <c r="CO32">
        <v>39</v>
      </c>
      <c r="CP32">
        <v>34</v>
      </c>
      <c r="CQ32">
        <v>34</v>
      </c>
      <c r="CR32">
        <v>38</v>
      </c>
      <c r="CS32">
        <v>39</v>
      </c>
      <c r="CT32">
        <v>42</v>
      </c>
      <c r="CU32">
        <v>40</v>
      </c>
      <c r="CV32">
        <v>30</v>
      </c>
      <c r="CW32">
        <v>31</v>
      </c>
      <c r="CX32">
        <v>19</v>
      </c>
      <c r="CY32">
        <v>28</v>
      </c>
      <c r="CZ32">
        <v>27</v>
      </c>
      <c r="DA32">
        <v>43</v>
      </c>
      <c r="DB32">
        <v>35</v>
      </c>
      <c r="DC32">
        <v>31</v>
      </c>
      <c r="DD32">
        <v>21</v>
      </c>
      <c r="DE32" s="154">
        <v>30</v>
      </c>
      <c r="DF32">
        <v>34</v>
      </c>
      <c r="DG32">
        <v>80</v>
      </c>
    </row>
    <row r="33" spans="1:111" x14ac:dyDescent="0.35">
      <c r="A33">
        <v>32</v>
      </c>
      <c r="B33" s="16" t="s">
        <v>144</v>
      </c>
      <c r="C33" s="16" t="s">
        <v>1369</v>
      </c>
      <c r="D33" s="16" t="s">
        <v>60</v>
      </c>
      <c r="F33" s="6">
        <v>10</v>
      </c>
      <c r="G33" s="6">
        <v>3</v>
      </c>
      <c r="H33" s="8">
        <v>11</v>
      </c>
      <c r="I33" s="6">
        <v>7</v>
      </c>
      <c r="J33" s="6">
        <v>2</v>
      </c>
      <c r="L33" s="1">
        <v>7</v>
      </c>
      <c r="M33" s="1">
        <v>10</v>
      </c>
      <c r="O33">
        <f>237+24</f>
        <v>261</v>
      </c>
      <c r="P33">
        <v>153</v>
      </c>
      <c r="Q33">
        <v>123</v>
      </c>
      <c r="R33" s="9">
        <f>27.233+1.873+8.291+0.779+3.932</f>
        <v>42.108000000000011</v>
      </c>
      <c r="S33" s="263">
        <f>595+94+79+90+78</f>
        <v>936</v>
      </c>
      <c r="T33" s="203">
        <f>684.222+20.931+6.077+91.867+(121.23-10.615)</f>
        <v>913.71199999999999</v>
      </c>
      <c r="V33">
        <v>275</v>
      </c>
      <c r="W33">
        <v>248</v>
      </c>
      <c r="X33">
        <v>126</v>
      </c>
      <c r="Y33" s="9">
        <f>38.097-2.742-5.64-0.555+3.218+1.391-2.196-4.566-0.131</f>
        <v>26.875999999999998</v>
      </c>
      <c r="Z33" s="263">
        <f>738+93+91+94+92+95+94+93+96</f>
        <v>1486</v>
      </c>
      <c r="AA33" s="203">
        <f>500.541+12.15+5.374+88.923+(255.872-87.248)+55.21+7.009+4.928+0</f>
        <v>842.75900000000013</v>
      </c>
      <c r="AC33">
        <f t="shared" si="0"/>
        <v>329.75</v>
      </c>
      <c r="AD33">
        <f t="shared" si="1"/>
        <v>215</v>
      </c>
      <c r="AE33">
        <f t="shared" si="2"/>
        <v>154.5</v>
      </c>
      <c r="AF33">
        <f t="shared" si="3"/>
        <v>48.827000000000012</v>
      </c>
      <c r="AG33">
        <f t="shared" si="4"/>
        <v>1307.5</v>
      </c>
      <c r="AH33">
        <f t="shared" si="5"/>
        <v>1124.40175</v>
      </c>
      <c r="AI33" s="73">
        <f t="shared" si="6"/>
        <v>17.25</v>
      </c>
      <c r="AJ33" s="73">
        <f t="shared" si="7"/>
        <v>19.115942028985508</v>
      </c>
      <c r="AK33" s="73">
        <f t="shared" si="8"/>
        <v>12.463768115942029</v>
      </c>
      <c r="AL33" s="73">
        <f t="shared" si="9"/>
        <v>6.6521739130434785</v>
      </c>
      <c r="AM33" s="73">
        <f t="shared" si="10"/>
        <v>2.1343042071197411</v>
      </c>
      <c r="AN33" s="227">
        <f t="shared" si="11"/>
        <v>2.830550724637682</v>
      </c>
      <c r="AO33" s="227">
        <f t="shared" si="12"/>
        <v>2.4019671223063304</v>
      </c>
      <c r="AP33" s="227">
        <f t="shared" si="13"/>
        <v>4.0359149895714719</v>
      </c>
      <c r="AQ33" s="89">
        <f t="shared" si="14"/>
        <v>7.7226220683869515</v>
      </c>
      <c r="AR33" s="73">
        <f t="shared" si="15"/>
        <v>75.79710144927536</v>
      </c>
      <c r="AS33" s="89">
        <f t="shared" si="16"/>
        <v>65.18271014492754</v>
      </c>
      <c r="AT33" s="89">
        <f t="shared" si="17"/>
        <v>8.0735809988460225</v>
      </c>
      <c r="AU33" s="9">
        <v>21</v>
      </c>
      <c r="AV33" s="9">
        <v>12</v>
      </c>
      <c r="AW33" s="20">
        <v>23</v>
      </c>
      <c r="AX33" s="54">
        <f t="shared" si="18"/>
        <v>56</v>
      </c>
      <c r="AZ33" s="49">
        <v>10</v>
      </c>
      <c r="BA33" s="48">
        <f t="shared" si="19"/>
        <v>10</v>
      </c>
      <c r="BB33" s="245">
        <f t="shared" si="20"/>
        <v>0</v>
      </c>
      <c r="BC33" s="36">
        <f t="shared" si="21"/>
        <v>0.80994281320424599</v>
      </c>
      <c r="BD33" s="205">
        <f t="shared" si="22"/>
        <v>0.85897435897435892</v>
      </c>
      <c r="BE33" s="205">
        <f t="shared" si="23"/>
        <v>0.77777777777777779</v>
      </c>
      <c r="BF33" s="205">
        <f t="shared" si="24"/>
        <v>0.56095867431268343</v>
      </c>
      <c r="BG33" s="205">
        <f t="shared" si="25"/>
        <v>1</v>
      </c>
      <c r="BH33" s="205">
        <f t="shared" si="26"/>
        <v>0.51395803625834646</v>
      </c>
      <c r="BI33" s="205">
        <f t="shared" si="27"/>
        <v>0.39183129644101622</v>
      </c>
      <c r="BJ33" s="205">
        <f t="shared" si="28"/>
        <v>0.96800493950628153</v>
      </c>
      <c r="BK33" s="205">
        <f t="shared" si="29"/>
        <v>0.83884433213466558</v>
      </c>
      <c r="BL33" s="205">
        <f t="shared" si="30"/>
        <v>0.8903219817566862</v>
      </c>
      <c r="BM33" s="205">
        <f t="shared" si="31"/>
        <v>0.44444444444444442</v>
      </c>
      <c r="BN33" s="48">
        <f>15+48</f>
        <v>63</v>
      </c>
      <c r="BO33" s="220">
        <f t="shared" si="32"/>
        <v>119</v>
      </c>
      <c r="BP33" s="220">
        <v>96</v>
      </c>
      <c r="BQ33" s="220">
        <f t="shared" si="33"/>
        <v>215</v>
      </c>
      <c r="BR33" s="205">
        <v>2</v>
      </c>
      <c r="BS33" s="35">
        <v>0.80994281320424599</v>
      </c>
      <c r="BT33">
        <v>3</v>
      </c>
      <c r="BU33" s="205">
        <v>8.0735809988460225</v>
      </c>
      <c r="BV33" s="34">
        <v>0.56095867431268343</v>
      </c>
      <c r="BW33" s="34">
        <v>1</v>
      </c>
      <c r="BX33" s="34">
        <f>IF(A33&lt;17, SoC!O$3, IF(A33&lt;33, SoC!O$4, IF(A33&lt;49, SoC!O$5, IF(A33&lt;65, SoC!O$6, IF(A33&lt;81, SoC!O$7, IF(A33&lt;97, SoC!O$8, SoC!O$9))))))</f>
        <v>1.148154410748077</v>
      </c>
      <c r="BY33" s="205">
        <f t="shared" si="34"/>
        <v>0.89996822899713858</v>
      </c>
      <c r="BZ33" s="205" t="str">
        <f t="shared" si="35"/>
        <v>B+</v>
      </c>
      <c r="CA33" s="35">
        <f t="shared" si="36"/>
        <v>6.6031162615222589</v>
      </c>
      <c r="CB33" s="245">
        <f t="shared" si="37"/>
        <v>0</v>
      </c>
      <c r="CC33" s="48">
        <v>76</v>
      </c>
      <c r="CD33" s="16" t="s">
        <v>60</v>
      </c>
      <c r="CE33">
        <v>10</v>
      </c>
      <c r="CF33">
        <v>10</v>
      </c>
      <c r="CG33">
        <v>10</v>
      </c>
      <c r="CH33">
        <v>10</v>
      </c>
      <c r="CI33">
        <v>10</v>
      </c>
      <c r="CJ33">
        <v>10</v>
      </c>
      <c r="CK33">
        <v>10</v>
      </c>
      <c r="CL33">
        <v>10</v>
      </c>
      <c r="CM33">
        <v>11</v>
      </c>
      <c r="CN33">
        <v>11</v>
      </c>
      <c r="CO33">
        <v>10</v>
      </c>
      <c r="CP33">
        <v>13</v>
      </c>
      <c r="CQ33">
        <v>12</v>
      </c>
      <c r="CR33">
        <v>17</v>
      </c>
      <c r="CS33">
        <v>16</v>
      </c>
      <c r="CT33">
        <v>10</v>
      </c>
      <c r="CU33">
        <v>10</v>
      </c>
      <c r="CV33">
        <v>7</v>
      </c>
      <c r="CW33">
        <v>11</v>
      </c>
      <c r="CX33">
        <v>13</v>
      </c>
      <c r="CY33">
        <v>11</v>
      </c>
      <c r="CZ33">
        <v>10</v>
      </c>
      <c r="DA33">
        <v>12</v>
      </c>
      <c r="DB33">
        <v>10</v>
      </c>
      <c r="DC33">
        <v>30</v>
      </c>
      <c r="DD33">
        <v>46</v>
      </c>
      <c r="DE33" s="154">
        <v>54</v>
      </c>
      <c r="DF33">
        <v>24</v>
      </c>
      <c r="DG33">
        <v>41</v>
      </c>
    </row>
    <row r="34" spans="1:111" x14ac:dyDescent="0.35">
      <c r="A34">
        <v>33</v>
      </c>
      <c r="B34" s="17" t="s">
        <v>171</v>
      </c>
      <c r="C34" s="17" t="s">
        <v>1095</v>
      </c>
      <c r="D34" s="17" t="s">
        <v>48</v>
      </c>
      <c r="F34" s="6">
        <v>2</v>
      </c>
      <c r="G34" s="6">
        <v>11</v>
      </c>
      <c r="H34" s="6"/>
      <c r="I34" s="6">
        <v>0</v>
      </c>
      <c r="J34" s="6">
        <v>9</v>
      </c>
      <c r="L34" s="1">
        <v>1</v>
      </c>
      <c r="M34" s="1">
        <v>2</v>
      </c>
      <c r="O34">
        <v>162</v>
      </c>
      <c r="P34">
        <f>273+33</f>
        <v>306</v>
      </c>
      <c r="Q34">
        <v>94</v>
      </c>
      <c r="R34" s="9">
        <f>-48.705-1.002-6.603-9.167-5.586</f>
        <v>-71.063000000000002</v>
      </c>
      <c r="S34" s="263">
        <f>265+4+21+37+11</f>
        <v>338</v>
      </c>
      <c r="T34" s="203">
        <f>136.969+0.097+33.911+15.392+0.134</f>
        <v>186.50299999999999</v>
      </c>
      <c r="V34">
        <v>43</v>
      </c>
      <c r="W34">
        <v>51</v>
      </c>
      <c r="X34">
        <v>24</v>
      </c>
      <c r="Y34" s="9">
        <f>-11.186</f>
        <v>-11.186</v>
      </c>
      <c r="Z34" s="263">
        <f>78</f>
        <v>78</v>
      </c>
      <c r="AA34" s="203">
        <f>101.996</f>
        <v>101.996</v>
      </c>
      <c r="AC34">
        <f t="shared" ref="AC34:AC65" si="38">O34+((1/4)*V34)</f>
        <v>172.75</v>
      </c>
      <c r="AD34">
        <f t="shared" ref="AD34:AD65" si="39">P34+((1/4)*W34)</f>
        <v>318.75</v>
      </c>
      <c r="AE34">
        <f t="shared" ref="AE34:AE65" si="40">Q34+((1/4)*X34)</f>
        <v>100</v>
      </c>
      <c r="AF34">
        <f t="shared" ref="AF34:AF65" si="41">R34+((1/4)*Y34)</f>
        <v>-73.859499999999997</v>
      </c>
      <c r="AG34">
        <f t="shared" ref="AG34:AG65" si="42">S34+((1/4)*Z34)</f>
        <v>357.5</v>
      </c>
      <c r="AH34">
        <f t="shared" ref="AH34:AH65" si="43">T34+((1/4)*AA34)</f>
        <v>212.00199999999998</v>
      </c>
      <c r="AI34" s="73">
        <f t="shared" ref="AI34:AI65" si="44">F34+G34+((1/4)*(L34+M34))</f>
        <v>13.75</v>
      </c>
      <c r="AJ34" s="73">
        <f t="shared" ref="AJ34:AJ65" si="45">IFERROR(AC34/AI34, 0)</f>
        <v>12.563636363636364</v>
      </c>
      <c r="AK34" s="73">
        <f t="shared" ref="AK34:AK65" si="46">IFERROR(AD34/AI34, 0)</f>
        <v>23.181818181818183</v>
      </c>
      <c r="AL34" s="73">
        <f t="shared" ref="AL34:AL65" si="47">AJ34-AK34</f>
        <v>-10.618181818181819</v>
      </c>
      <c r="AM34" s="73">
        <f t="shared" ref="AM34:AM65" si="48">IFERROR(AC34/AE34, 0)</f>
        <v>1.7275</v>
      </c>
      <c r="AN34" s="227">
        <f t="shared" ref="AN34:AN65" si="49">IF((AF34)&lt;0, (AF34/2), AF34)/AI34</f>
        <v>-2.6858</v>
      </c>
      <c r="AO34" s="227">
        <f t="shared" ref="AO34:AO65" si="50">(AN34-(SMALL(AN:AN,1)))*(2-(1-((1-BX34)/2)))+MIN(AN:AN)</f>
        <v>-2.6926636322253659</v>
      </c>
      <c r="AP34" s="227">
        <f t="shared" ref="AP34:AP65" si="51">AL34-(IF(AVERAGE(AN34:AO34)&lt;0, AVERAGE(AN34:AO34)*2, AVERAGE(AN34:AO34)))</f>
        <v>-5.2397181859564537</v>
      </c>
      <c r="AQ34" s="89">
        <f t="shared" ref="AQ34:AQ65" si="52">(AVERAGE((AL34-MIN(AL:AL))*AR34, SQRT((AL34-MIN(AL:AL))*AR34))/100)*BX34</f>
        <v>0</v>
      </c>
      <c r="AR34" s="73">
        <f t="shared" ref="AR34:AR65" si="53">(AG34/AI34)</f>
        <v>26</v>
      </c>
      <c r="AS34" s="89">
        <f t="shared" ref="AS34:AS65" si="54">IFERROR(AH34/AI34,0)</f>
        <v>15.418327272727272</v>
      </c>
      <c r="AT34" s="89">
        <f t="shared" ref="AT34:AT65" si="55">IFERROR(IF(SQRT(AS34)&gt;10, 10, SQRT(AS34)), 0)</f>
        <v>3.9266177905071524</v>
      </c>
      <c r="AU34" s="9">
        <v>14</v>
      </c>
      <c r="AV34" s="9">
        <v>0</v>
      </c>
      <c r="AX34" s="54">
        <f t="shared" ref="AX34:AX65" si="56">SUM(AU34:AW34)</f>
        <v>14</v>
      </c>
      <c r="AZ34" s="49">
        <v>112</v>
      </c>
      <c r="BA34" s="48">
        <f t="shared" ref="BA34:BA65" si="57">_xlfn.RANK.EQ(BC34,BC:BC, 0)</f>
        <v>112</v>
      </c>
      <c r="BB34" s="245">
        <f t="shared" ref="BB34:BB65" si="58">AZ34-BA34</f>
        <v>0</v>
      </c>
      <c r="BC34" s="36">
        <f t="shared" ref="BC34:BC65" si="59">((BD34*2.25)+(BE34*1.5)+(BF34*1)+(BG34*1)+(BH34*0.75)+(BI34*1)+(BJ34*1)+(BK34*0.75)+(BL34*1)+(BM34*0.75)+(BN34/LARGE(BN:BN,1))*(3/15))/(10+(9/30))</f>
        <v>0.16929758584057075</v>
      </c>
      <c r="BD34" s="205">
        <f t="shared" ref="BD34:BD65" si="60">IFERROR(IF((F34+G34)=1, IF(F34=0, 0.333, IF(F34=1, 0.666, 0)), IF((F34+G34)=2, IF(F34=0, 0.166, IF(F34=1, 0.5, IF(F34=2, 0.833, 0))),  (F34+(L34/6))/(F34+G34))), 0)</f>
        <v>0.16666666666666666</v>
      </c>
      <c r="BE34" s="205">
        <f t="shared" ref="BE34:BE65" si="61">IFERROR(IF((I34+J34)=1, IF(I34=0, 0.333, IF(I34=1, 0.666, 0)), IF((I34+J34)=2, IF(I34=0, 0.166, IF(I34=1, 0.5, IF(I34=2, 0.833, 0))), (I34/(I34+J34)))), 0)</f>
        <v>0</v>
      </c>
      <c r="BF34" s="205">
        <f t="shared" ref="BF34:BF65" si="62">(AJ34-(SMALL(AJ:AJ, 1)))/((LARGE(AJ:AJ, 1))-(SMALL(AJ:AJ, 1)))</f>
        <v>0</v>
      </c>
      <c r="BG34" s="205">
        <f t="shared" ref="BG34:BG65" si="63">1-(AK34-SMALL(AK:AK,1))/(LARGE(AK:AK,1)-SMALL(AK:AK,1))</f>
        <v>0</v>
      </c>
      <c r="BH34" s="205">
        <f t="shared" ref="BH34:BH65" si="64">(AM34-SMALL(AM:AM,1))/(LARGE(AM:AM,1)-SMALL(AM:AM,1))</f>
        <v>6.4350342452036663E-2</v>
      </c>
      <c r="BI34" s="205">
        <f t="shared" ref="BI34:BI65" si="65">1-(AO34-SMALL(AO:AO,1))/(LARGE(AO:AO,1)-SMALL(AO:AO,1))</f>
        <v>0.97020833558826136</v>
      </c>
      <c r="BJ34" s="205">
        <f t="shared" ref="BJ34:BJ65" si="66">(AP34+ABS(MIN(AP:AP)))/(MAX(AP:AP)+ABS(MIN(AP:AP)))</f>
        <v>0</v>
      </c>
      <c r="BK34" s="205">
        <f t="shared" ref="BK34:BK65" si="67">AVERAGE(AQ34/MAX(AQ:AQ), SQRT(AQ34/MAX(AQ:AQ)))</f>
        <v>0</v>
      </c>
      <c r="BL34" s="205">
        <f t="shared" ref="BL34:BL65" si="68">AVERAGE(AT34/MAX(AT:AT), (AT34-SMALL(AT:AT,1))/(LARGE(AT:AT,1)-SMALL(AT:AT,1)))</f>
        <v>0.26029404173059012</v>
      </c>
      <c r="BM34" s="205">
        <f t="shared" ref="BM34:BM65" si="69">IFERROR(AX34/MAX(AX:AX), 0)</f>
        <v>0.1111111111111111</v>
      </c>
      <c r="BN34" s="48">
        <v>5</v>
      </c>
      <c r="BO34" s="220">
        <f t="shared" ref="BO34:BO65" si="70">BN34+AX34</f>
        <v>19</v>
      </c>
      <c r="BP34" s="220">
        <v>0</v>
      </c>
      <c r="BQ34" s="220">
        <f t="shared" ref="BQ34:BQ65" si="71">BO34+BP34</f>
        <v>19</v>
      </c>
      <c r="BR34" s="205">
        <v>0.66666666666666663</v>
      </c>
      <c r="BS34" s="35">
        <v>0.16929758584057075</v>
      </c>
      <c r="BT34">
        <v>1</v>
      </c>
      <c r="BU34" s="205">
        <v>3.9266177905071524</v>
      </c>
      <c r="BV34" s="34">
        <v>0</v>
      </c>
      <c r="BW34" s="34">
        <v>0</v>
      </c>
      <c r="BX34" s="34">
        <f>IF(A34&lt;17, SoC!O$3, IF(A34&lt;33, SoC!O$4, IF(A34&lt;49, SoC!O$5, IF(A34&lt;65, SoC!O$6, IF(A34&lt;81, SoC!O$7, IF(A34&lt;97, SoC!O$8, SoC!O$9))))))</f>
        <v>1.0509770295874163</v>
      </c>
      <c r="BY34" s="205">
        <f t="shared" ref="BY34:BY65" si="72">SQRT(BS34)</f>
        <v>0.41145787857394439</v>
      </c>
      <c r="BZ34" s="205" t="str">
        <f t="shared" ref="BZ34:BZ65" si="73">IF(BY34&lt;(15/30), "F", IF(BY34&lt;(18/30), "F+", IF(BY34&lt;(19/30), "D-", IF(BY34&lt;(20/30), "D", IF(BY34&lt;(21/30), "D+", IF(BY34&lt;(22/30), "C-", IF(BY34&lt;(23/30), "C", IF(BY34&lt;(24/30), "C+", IF(BY34&lt;(25/30), "B-", IF(BY34&lt;(26/30), "B", IF(BY34&lt;(27/30), "B+", IF(BY34&lt;(28/30), "A-", IF(BY34&lt;(29/30), "A", "A+")))))))))))))</f>
        <v>F</v>
      </c>
      <c r="CA34" s="35">
        <f t="shared" ref="CA34:CA65" si="74">(((BS34-$CA$1)/0.15)*3)+((BU34-$BZ$1)/2)</f>
        <v>-8.2832698899206818</v>
      </c>
      <c r="CB34" s="245">
        <f t="shared" ref="CB34:CB65" si="75">CF34-CE34</f>
        <v>0</v>
      </c>
      <c r="CC34" s="48">
        <v>21</v>
      </c>
      <c r="CD34" s="17" t="s">
        <v>48</v>
      </c>
      <c r="CE34">
        <v>112</v>
      </c>
      <c r="CF34">
        <v>112</v>
      </c>
      <c r="CG34">
        <v>112</v>
      </c>
      <c r="CH34">
        <v>112</v>
      </c>
      <c r="CI34">
        <v>112</v>
      </c>
      <c r="CJ34">
        <v>112</v>
      </c>
      <c r="CK34">
        <v>112</v>
      </c>
      <c r="CL34">
        <v>112</v>
      </c>
      <c r="CM34">
        <v>112</v>
      </c>
      <c r="CN34">
        <v>112</v>
      </c>
      <c r="CO34">
        <v>112</v>
      </c>
      <c r="CP34">
        <v>112</v>
      </c>
      <c r="CQ34">
        <v>112</v>
      </c>
      <c r="CR34">
        <v>112</v>
      </c>
      <c r="CS34">
        <v>112</v>
      </c>
      <c r="CT34">
        <v>111</v>
      </c>
      <c r="CU34">
        <v>110</v>
      </c>
      <c r="CV34">
        <v>111</v>
      </c>
      <c r="CW34">
        <v>110</v>
      </c>
      <c r="CX34">
        <v>112</v>
      </c>
      <c r="CY34">
        <v>111</v>
      </c>
      <c r="CZ34">
        <v>111</v>
      </c>
      <c r="DA34">
        <v>111</v>
      </c>
      <c r="DB34">
        <v>111</v>
      </c>
      <c r="DC34">
        <v>112</v>
      </c>
      <c r="DD34">
        <v>110</v>
      </c>
      <c r="DE34" s="154">
        <v>107</v>
      </c>
      <c r="DF34">
        <v>94</v>
      </c>
      <c r="DG34">
        <v>92</v>
      </c>
    </row>
    <row r="35" spans="1:111" x14ac:dyDescent="0.35">
      <c r="A35">
        <v>34</v>
      </c>
      <c r="B35" s="17" t="s">
        <v>171</v>
      </c>
      <c r="C35" s="17" t="s">
        <v>1095</v>
      </c>
      <c r="D35" s="17" t="s">
        <v>47</v>
      </c>
      <c r="F35" s="6">
        <v>5</v>
      </c>
      <c r="G35" s="6">
        <v>8</v>
      </c>
      <c r="H35" s="6"/>
      <c r="I35" s="6">
        <v>3</v>
      </c>
      <c r="J35" s="6">
        <v>6</v>
      </c>
      <c r="L35" s="1">
        <v>1</v>
      </c>
      <c r="M35" s="1">
        <v>2</v>
      </c>
      <c r="O35">
        <f>173+33</f>
        <v>206</v>
      </c>
      <c r="P35">
        <v>212</v>
      </c>
      <c r="Q35">
        <v>103</v>
      </c>
      <c r="R35" s="9">
        <f>-21.891-5.406-8.48-6.899+5.586</f>
        <v>-37.090000000000003</v>
      </c>
      <c r="S35" s="263">
        <f>373+69+61+61+11</f>
        <v>575</v>
      </c>
      <c r="T35" s="203">
        <f>250.806+0.69+18.71+7.431+(511.414-281.1783)</f>
        <v>507.87270000000001</v>
      </c>
      <c r="V35">
        <v>45</v>
      </c>
      <c r="W35">
        <v>51</v>
      </c>
      <c r="X35">
        <v>25</v>
      </c>
      <c r="Y35" s="9">
        <f>-6.567</f>
        <v>-6.5670000000000002</v>
      </c>
      <c r="Z35" s="263">
        <f>119</f>
        <v>119</v>
      </c>
      <c r="AA35" s="203">
        <f>46.784</f>
        <v>46.783999999999999</v>
      </c>
      <c r="AC35">
        <f t="shared" si="38"/>
        <v>217.25</v>
      </c>
      <c r="AD35">
        <f t="shared" si="39"/>
        <v>224.75</v>
      </c>
      <c r="AE35">
        <f t="shared" si="40"/>
        <v>109.25</v>
      </c>
      <c r="AF35">
        <f t="shared" si="41"/>
        <v>-38.731750000000005</v>
      </c>
      <c r="AG35">
        <f t="shared" si="42"/>
        <v>604.75</v>
      </c>
      <c r="AH35">
        <f t="shared" si="43"/>
        <v>519.56870000000004</v>
      </c>
      <c r="AI35" s="73">
        <f t="shared" si="44"/>
        <v>13.75</v>
      </c>
      <c r="AJ35" s="73">
        <f t="shared" si="45"/>
        <v>15.8</v>
      </c>
      <c r="AK35" s="73">
        <f t="shared" si="46"/>
        <v>16.345454545454544</v>
      </c>
      <c r="AL35" s="73">
        <f t="shared" si="47"/>
        <v>-0.54545454545454319</v>
      </c>
      <c r="AM35" s="73">
        <f t="shared" si="48"/>
        <v>1.9885583524027459</v>
      </c>
      <c r="AN35" s="227">
        <f t="shared" si="49"/>
        <v>-1.4084272727272729</v>
      </c>
      <c r="AO35" s="227">
        <f t="shared" si="50"/>
        <v>-1.4478492386088091</v>
      </c>
      <c r="AP35" s="227">
        <f t="shared" si="51"/>
        <v>2.310821965881539</v>
      </c>
      <c r="AQ35" s="89">
        <f t="shared" si="52"/>
        <v>2.4386073575697846</v>
      </c>
      <c r="AR35" s="73">
        <f t="shared" si="53"/>
        <v>43.981818181818184</v>
      </c>
      <c r="AS35" s="89">
        <f t="shared" si="54"/>
        <v>37.786814545454547</v>
      </c>
      <c r="AT35" s="89">
        <f t="shared" si="55"/>
        <v>6.14709805887742</v>
      </c>
      <c r="AU35" s="9">
        <v>7</v>
      </c>
      <c r="AV35" s="9">
        <v>6</v>
      </c>
      <c r="AX35" s="54">
        <f t="shared" si="56"/>
        <v>13</v>
      </c>
      <c r="AZ35" s="49">
        <v>63</v>
      </c>
      <c r="BA35" s="48">
        <f t="shared" si="57"/>
        <v>63</v>
      </c>
      <c r="BB35" s="245">
        <f t="shared" si="58"/>
        <v>0</v>
      </c>
      <c r="BC35" s="36">
        <f t="shared" si="59"/>
        <v>0.50029358694625026</v>
      </c>
      <c r="BD35" s="205">
        <f t="shared" si="60"/>
        <v>0.39743589743589747</v>
      </c>
      <c r="BE35" s="205">
        <f t="shared" si="61"/>
        <v>0.33333333333333331</v>
      </c>
      <c r="BF35" s="205">
        <f t="shared" si="62"/>
        <v>0.27707288819707143</v>
      </c>
      <c r="BG35" s="205">
        <f t="shared" si="63"/>
        <v>0.63783650891210841</v>
      </c>
      <c r="BH35" s="205">
        <f t="shared" si="64"/>
        <v>0.35287696464138146</v>
      </c>
      <c r="BI35" s="205">
        <f t="shared" si="65"/>
        <v>0.82888856229018681</v>
      </c>
      <c r="BJ35" s="205">
        <f t="shared" si="66"/>
        <v>0.78797425734806437</v>
      </c>
      <c r="BK35" s="205">
        <f t="shared" si="67"/>
        <v>0.37423308477083461</v>
      </c>
      <c r="BL35" s="205">
        <f t="shared" si="68"/>
        <v>0.59764080346139636</v>
      </c>
      <c r="BM35" s="205">
        <f t="shared" si="69"/>
        <v>0.10317460317460317</v>
      </c>
      <c r="BN35" s="48">
        <v>5</v>
      </c>
      <c r="BO35" s="220">
        <f t="shared" si="70"/>
        <v>18</v>
      </c>
      <c r="BP35" s="220">
        <v>29</v>
      </c>
      <c r="BQ35" s="220">
        <f t="shared" si="71"/>
        <v>47</v>
      </c>
      <c r="BR35" s="205">
        <v>0</v>
      </c>
      <c r="BS35" s="35">
        <v>0.50029358694625026</v>
      </c>
      <c r="BT35">
        <v>1</v>
      </c>
      <c r="BU35" s="205">
        <v>6.14709805887742</v>
      </c>
      <c r="BV35" s="34">
        <v>0.27707288819707143</v>
      </c>
      <c r="BW35" s="34">
        <v>0.63783650891210841</v>
      </c>
      <c r="BX35" s="34">
        <f>IF(A35&lt;17, SoC!O$3, IF(A35&lt;33, SoC!O$4, IF(A35&lt;49, SoC!O$5, IF(A35&lt;65, SoC!O$6, IF(A35&lt;81, SoC!O$7, IF(A35&lt;97, SoC!O$8, SoC!O$9))))))</f>
        <v>1.0509770295874163</v>
      </c>
      <c r="BY35" s="205">
        <f t="shared" si="72"/>
        <v>0.70731434804212068</v>
      </c>
      <c r="BZ35" s="205" t="str">
        <f t="shared" si="73"/>
        <v>C-</v>
      </c>
      <c r="CA35" s="35">
        <f t="shared" si="74"/>
        <v>-0.55310973362195703</v>
      </c>
      <c r="CB35" s="245">
        <f t="shared" si="75"/>
        <v>0</v>
      </c>
      <c r="CC35" s="48">
        <v>40</v>
      </c>
      <c r="CD35" s="17" t="s">
        <v>47</v>
      </c>
      <c r="CE35">
        <v>63</v>
      </c>
      <c r="CF35">
        <v>63</v>
      </c>
      <c r="CG35">
        <v>63</v>
      </c>
      <c r="CH35">
        <v>63</v>
      </c>
      <c r="CI35">
        <v>63</v>
      </c>
      <c r="CJ35">
        <v>63</v>
      </c>
      <c r="CK35">
        <v>63</v>
      </c>
      <c r="CL35">
        <v>63</v>
      </c>
      <c r="CM35">
        <v>63</v>
      </c>
      <c r="CN35">
        <v>63</v>
      </c>
      <c r="CO35">
        <v>63</v>
      </c>
      <c r="CP35">
        <v>78</v>
      </c>
      <c r="CQ35">
        <v>78</v>
      </c>
      <c r="CR35">
        <v>72</v>
      </c>
      <c r="CS35">
        <v>73</v>
      </c>
      <c r="CT35">
        <v>77</v>
      </c>
      <c r="CU35">
        <v>76</v>
      </c>
      <c r="CV35">
        <v>68</v>
      </c>
      <c r="CW35">
        <v>69</v>
      </c>
      <c r="CX35">
        <v>74</v>
      </c>
      <c r="CY35">
        <v>73</v>
      </c>
      <c r="CZ35">
        <v>73</v>
      </c>
      <c r="DA35">
        <v>84</v>
      </c>
      <c r="DB35">
        <v>91</v>
      </c>
      <c r="DC35">
        <v>88</v>
      </c>
      <c r="DD35">
        <v>108</v>
      </c>
      <c r="DE35" s="154">
        <v>95</v>
      </c>
      <c r="DF35">
        <v>77</v>
      </c>
      <c r="DG35">
        <v>73</v>
      </c>
    </row>
    <row r="36" spans="1:111" x14ac:dyDescent="0.35">
      <c r="A36">
        <v>35</v>
      </c>
      <c r="B36" s="17" t="s">
        <v>171</v>
      </c>
      <c r="C36" s="17" t="s">
        <v>1095</v>
      </c>
      <c r="D36" s="17" t="s">
        <v>57</v>
      </c>
      <c r="F36" s="6">
        <v>7</v>
      </c>
      <c r="G36" s="6">
        <v>6</v>
      </c>
      <c r="H36" s="6"/>
      <c r="I36" s="6">
        <v>5</v>
      </c>
      <c r="J36" s="6">
        <v>4</v>
      </c>
      <c r="L36" s="1">
        <v>2</v>
      </c>
      <c r="M36" s="1">
        <v>7</v>
      </c>
      <c r="O36">
        <v>202</v>
      </c>
      <c r="P36">
        <f>189+17</f>
        <v>206</v>
      </c>
      <c r="Q36">
        <v>100</v>
      </c>
      <c r="R36" s="9">
        <f>20.332+5.2-0.14+2.646-1.393</f>
        <v>26.645</v>
      </c>
      <c r="S36" s="263">
        <f>557+42+41+24+57</f>
        <v>721</v>
      </c>
      <c r="T36" s="203">
        <f>297.387+6.76+6.926+(120.687-10.3435)+2.162</f>
        <v>423.57849999999996</v>
      </c>
      <c r="V36">
        <v>85</v>
      </c>
      <c r="W36">
        <v>140</v>
      </c>
      <c r="X36">
        <v>52</v>
      </c>
      <c r="Y36" s="9">
        <f>-19.947</f>
        <v>-19.946999999999999</v>
      </c>
      <c r="Z36" s="263">
        <f>578</f>
        <v>578</v>
      </c>
      <c r="AA36" s="203">
        <f>134.959</f>
        <v>134.959</v>
      </c>
      <c r="AC36">
        <f t="shared" si="38"/>
        <v>223.25</v>
      </c>
      <c r="AD36">
        <f t="shared" si="39"/>
        <v>241</v>
      </c>
      <c r="AE36">
        <f t="shared" si="40"/>
        <v>113</v>
      </c>
      <c r="AF36">
        <f t="shared" si="41"/>
        <v>21.658249999999999</v>
      </c>
      <c r="AG36">
        <f t="shared" si="42"/>
        <v>865.5</v>
      </c>
      <c r="AH36">
        <f t="shared" si="43"/>
        <v>457.31824999999998</v>
      </c>
      <c r="AI36" s="73">
        <f t="shared" si="44"/>
        <v>15.25</v>
      </c>
      <c r="AJ36" s="73">
        <f t="shared" si="45"/>
        <v>14.639344262295081</v>
      </c>
      <c r="AK36" s="73">
        <f t="shared" si="46"/>
        <v>15.803278688524591</v>
      </c>
      <c r="AL36" s="73">
        <f t="shared" si="47"/>
        <v>-1.1639344262295097</v>
      </c>
      <c r="AM36" s="73">
        <f t="shared" si="48"/>
        <v>1.9756637168141593</v>
      </c>
      <c r="AN36" s="227">
        <f t="shared" si="49"/>
        <v>1.4202131147540984</v>
      </c>
      <c r="AO36" s="227">
        <f t="shared" si="50"/>
        <v>1.308693306510162</v>
      </c>
      <c r="AP36" s="227">
        <f t="shared" si="51"/>
        <v>-2.5283876368616398</v>
      </c>
      <c r="AQ36" s="89">
        <f t="shared" si="52"/>
        <v>2.9413232143566694</v>
      </c>
      <c r="AR36" s="73">
        <f t="shared" si="53"/>
        <v>56.754098360655739</v>
      </c>
      <c r="AS36" s="89">
        <f t="shared" si="54"/>
        <v>29.988081967213112</v>
      </c>
      <c r="AT36" s="89">
        <f t="shared" si="55"/>
        <v>5.4761375044106693</v>
      </c>
      <c r="AU36" s="9">
        <v>28</v>
      </c>
      <c r="AV36" s="9">
        <v>12</v>
      </c>
      <c r="AW36" s="20">
        <v>17</v>
      </c>
      <c r="AX36" s="54">
        <f t="shared" si="56"/>
        <v>57</v>
      </c>
      <c r="AZ36" s="49">
        <v>61</v>
      </c>
      <c r="BA36" s="48">
        <f t="shared" si="57"/>
        <v>61</v>
      </c>
      <c r="BB36" s="245">
        <f t="shared" si="58"/>
        <v>0</v>
      </c>
      <c r="BC36" s="36">
        <f t="shared" si="59"/>
        <v>0.50371090636952831</v>
      </c>
      <c r="BD36" s="205">
        <f t="shared" si="60"/>
        <v>0.5641025641025641</v>
      </c>
      <c r="BE36" s="205">
        <f t="shared" si="61"/>
        <v>0.55555555555555558</v>
      </c>
      <c r="BF36" s="205">
        <f t="shared" si="62"/>
        <v>0.17770635415402505</v>
      </c>
      <c r="BG36" s="205">
        <f t="shared" si="63"/>
        <v>0.68842181627656251</v>
      </c>
      <c r="BH36" s="205">
        <f t="shared" si="64"/>
        <v>0.33862556982296277</v>
      </c>
      <c r="BI36" s="205">
        <f t="shared" si="65"/>
        <v>0.51594715547455716</v>
      </c>
      <c r="BJ36" s="205">
        <f t="shared" si="66"/>
        <v>0.28295441556297629</v>
      </c>
      <c r="BK36" s="205">
        <f t="shared" si="67"/>
        <v>0.424446980127128</v>
      </c>
      <c r="BL36" s="205">
        <f t="shared" si="68"/>
        <v>0.49570503149230216</v>
      </c>
      <c r="BM36" s="205">
        <f t="shared" si="69"/>
        <v>0.45238095238095238</v>
      </c>
      <c r="BN36" s="48">
        <v>10</v>
      </c>
      <c r="BO36" s="220">
        <f t="shared" si="70"/>
        <v>67</v>
      </c>
      <c r="BP36" s="220">
        <v>30</v>
      </c>
      <c r="BQ36" s="220">
        <f t="shared" si="71"/>
        <v>97</v>
      </c>
      <c r="BR36" s="205">
        <v>1</v>
      </c>
      <c r="BS36" s="35">
        <v>0.50371090636952831</v>
      </c>
      <c r="BT36">
        <v>4</v>
      </c>
      <c r="BU36" s="205">
        <v>5.4761375044106693</v>
      </c>
      <c r="BV36" s="34">
        <v>0.17770635415402505</v>
      </c>
      <c r="BW36" s="34">
        <v>0.68842181627656251</v>
      </c>
      <c r="BX36" s="34">
        <f>IF(A36&lt;17, SoC!O$3, IF(A36&lt;33, SoC!O$4, IF(A36&lt;49, SoC!O$5, IF(A36&lt;65, SoC!O$6, IF(A36&lt;81, SoC!O$7, IF(A36&lt;97, SoC!O$8, SoC!O$9))))))</f>
        <v>1.0509770295874163</v>
      </c>
      <c r="BY36" s="205">
        <f t="shared" si="72"/>
        <v>0.70972593750653379</v>
      </c>
      <c r="BZ36" s="205" t="str">
        <f t="shared" si="73"/>
        <v>C-</v>
      </c>
      <c r="CA36" s="35">
        <f t="shared" si="74"/>
        <v>-0.82024362238977133</v>
      </c>
      <c r="CB36" s="245">
        <f t="shared" si="75"/>
        <v>0</v>
      </c>
      <c r="CC36" s="48">
        <v>97</v>
      </c>
      <c r="CD36" s="17" t="s">
        <v>57</v>
      </c>
      <c r="CE36">
        <v>61</v>
      </c>
      <c r="CF36">
        <v>61</v>
      </c>
      <c r="CG36">
        <v>60</v>
      </c>
      <c r="CH36">
        <v>60</v>
      </c>
      <c r="CI36">
        <v>60</v>
      </c>
      <c r="CJ36">
        <v>60</v>
      </c>
      <c r="CK36">
        <v>60</v>
      </c>
      <c r="CL36">
        <v>60</v>
      </c>
      <c r="CM36">
        <v>60</v>
      </c>
      <c r="CN36">
        <v>60</v>
      </c>
      <c r="CO36">
        <v>60</v>
      </c>
      <c r="CP36">
        <v>54</v>
      </c>
      <c r="CQ36">
        <v>53</v>
      </c>
      <c r="CR36">
        <v>65</v>
      </c>
      <c r="CS36">
        <v>64</v>
      </c>
      <c r="CT36">
        <v>61</v>
      </c>
      <c r="CU36">
        <v>61</v>
      </c>
      <c r="CV36">
        <v>53</v>
      </c>
      <c r="CW36">
        <v>50</v>
      </c>
      <c r="CX36">
        <v>59</v>
      </c>
      <c r="CY36">
        <v>51</v>
      </c>
      <c r="CZ36">
        <v>28</v>
      </c>
      <c r="DA36">
        <v>32</v>
      </c>
      <c r="DB36">
        <v>39</v>
      </c>
      <c r="DC36">
        <v>43</v>
      </c>
      <c r="DD36">
        <v>40</v>
      </c>
      <c r="DE36" s="154">
        <v>16</v>
      </c>
      <c r="DF36">
        <v>32</v>
      </c>
      <c r="DG36">
        <v>16</v>
      </c>
    </row>
    <row r="37" spans="1:111" x14ac:dyDescent="0.35">
      <c r="A37">
        <v>36</v>
      </c>
      <c r="B37" s="17" t="s">
        <v>171</v>
      </c>
      <c r="C37" s="17" t="s">
        <v>1095</v>
      </c>
      <c r="D37" s="17" t="s">
        <v>58</v>
      </c>
      <c r="F37" s="6">
        <v>6</v>
      </c>
      <c r="G37" s="6">
        <v>7</v>
      </c>
      <c r="H37" s="6"/>
      <c r="I37" s="6">
        <v>5</v>
      </c>
      <c r="J37" s="6">
        <v>4</v>
      </c>
      <c r="L37" s="1">
        <v>4</v>
      </c>
      <c r="M37" s="1">
        <v>9</v>
      </c>
      <c r="O37">
        <v>237</v>
      </c>
      <c r="P37">
        <v>195</v>
      </c>
      <c r="Q37">
        <v>115</v>
      </c>
      <c r="R37" s="9">
        <f>18.827-4.153+0.412+5.79+1.393</f>
        <v>22.269000000000005</v>
      </c>
      <c r="S37" s="263">
        <f>579+75+50+45+57</f>
        <v>806</v>
      </c>
      <c r="T37" s="203">
        <f>336.291+24.74+(146.572-23.286)+24.047+58.628</f>
        <v>566.99200000000008</v>
      </c>
      <c r="V37">
        <v>175</v>
      </c>
      <c r="W37">
        <f>218+21</f>
        <v>239</v>
      </c>
      <c r="X37">
        <v>89</v>
      </c>
      <c r="Y37" s="9">
        <f>-13.545-0.244-3.126-0.279-4.148</f>
        <v>-21.341999999999999</v>
      </c>
      <c r="Z37" s="263">
        <f>673+71+68+68+65</f>
        <v>945</v>
      </c>
      <c r="AA37" s="203">
        <f>129.408+66.508+39.316+36.807+1.44</f>
        <v>273.47899999999998</v>
      </c>
      <c r="AC37">
        <f t="shared" si="38"/>
        <v>280.75</v>
      </c>
      <c r="AD37">
        <f t="shared" si="39"/>
        <v>254.75</v>
      </c>
      <c r="AE37">
        <f t="shared" si="40"/>
        <v>137.25</v>
      </c>
      <c r="AF37">
        <f t="shared" si="41"/>
        <v>16.933500000000006</v>
      </c>
      <c r="AG37">
        <f t="shared" si="42"/>
        <v>1042.25</v>
      </c>
      <c r="AH37">
        <f t="shared" si="43"/>
        <v>635.36175000000003</v>
      </c>
      <c r="AI37" s="73">
        <f t="shared" si="44"/>
        <v>16.25</v>
      </c>
      <c r="AJ37" s="73">
        <f t="shared" si="45"/>
        <v>17.276923076923076</v>
      </c>
      <c r="AK37" s="73">
        <f t="shared" si="46"/>
        <v>15.676923076923076</v>
      </c>
      <c r="AL37" s="73">
        <f t="shared" si="47"/>
        <v>1.5999999999999996</v>
      </c>
      <c r="AM37" s="73">
        <f t="shared" si="48"/>
        <v>2.0455373406193078</v>
      </c>
      <c r="AN37" s="227">
        <f t="shared" si="49"/>
        <v>1.0420615384615388</v>
      </c>
      <c r="AO37" s="227">
        <f t="shared" si="50"/>
        <v>0.94018025226419999</v>
      </c>
      <c r="AP37" s="227">
        <f t="shared" si="51"/>
        <v>0.60887910463713024</v>
      </c>
      <c r="AQ37" s="89">
        <f t="shared" si="52"/>
        <v>4.2651234845494077</v>
      </c>
      <c r="AR37" s="73">
        <f t="shared" si="53"/>
        <v>64.138461538461542</v>
      </c>
      <c r="AS37" s="89">
        <f t="shared" si="54"/>
        <v>39.099184615384615</v>
      </c>
      <c r="AT37" s="89">
        <f t="shared" si="55"/>
        <v>6.2529340805244873</v>
      </c>
      <c r="AU37" s="9">
        <v>28</v>
      </c>
      <c r="AV37" s="9">
        <v>12</v>
      </c>
      <c r="AW37" s="20">
        <v>20</v>
      </c>
      <c r="AX37" s="54">
        <f t="shared" si="56"/>
        <v>60</v>
      </c>
      <c r="AZ37" s="49">
        <v>44</v>
      </c>
      <c r="BA37" s="48">
        <f t="shared" si="57"/>
        <v>44</v>
      </c>
      <c r="BB37" s="245">
        <f t="shared" si="58"/>
        <v>0</v>
      </c>
      <c r="BC37" s="36">
        <f t="shared" si="59"/>
        <v>0.57924147911036106</v>
      </c>
      <c r="BD37" s="205">
        <f t="shared" si="60"/>
        <v>0.51282051282051289</v>
      </c>
      <c r="BE37" s="205">
        <f t="shared" si="61"/>
        <v>0.55555555555555558</v>
      </c>
      <c r="BF37" s="205">
        <f t="shared" si="62"/>
        <v>0.40351583112538048</v>
      </c>
      <c r="BG37" s="205">
        <f t="shared" si="63"/>
        <v>0.70021086473452798</v>
      </c>
      <c r="BH37" s="205">
        <f t="shared" si="64"/>
        <v>0.41585121869063885</v>
      </c>
      <c r="BI37" s="205">
        <f t="shared" si="65"/>
        <v>0.55778325694516906</v>
      </c>
      <c r="BJ37" s="205">
        <f t="shared" si="66"/>
        <v>0.61035952579651465</v>
      </c>
      <c r="BK37" s="205">
        <f t="shared" si="67"/>
        <v>0.54807161247631087</v>
      </c>
      <c r="BL37" s="205">
        <f t="shared" si="68"/>
        <v>0.61371995520423728</v>
      </c>
      <c r="BM37" s="205">
        <f t="shared" si="69"/>
        <v>0.47619047619047616</v>
      </c>
      <c r="BN37" s="48">
        <v>10</v>
      </c>
      <c r="BO37" s="220">
        <f t="shared" si="70"/>
        <v>70</v>
      </c>
      <c r="BP37" s="220">
        <v>46</v>
      </c>
      <c r="BQ37" s="220">
        <f t="shared" si="71"/>
        <v>116</v>
      </c>
      <c r="BR37" s="205">
        <v>0.33333333333333331</v>
      </c>
      <c r="BS37" s="35">
        <v>0.57924147911036106</v>
      </c>
      <c r="BT37">
        <v>4</v>
      </c>
      <c r="BU37" s="205">
        <v>6.2529340805244873</v>
      </c>
      <c r="BV37" s="34">
        <v>0.40351583112538048</v>
      </c>
      <c r="BW37" s="34">
        <v>0.70021086473452798</v>
      </c>
      <c r="BX37" s="34">
        <f>IF(A37&lt;17, SoC!O$3, IF(A37&lt;33, SoC!O$4, IF(A37&lt;49, SoC!O$5, IF(A37&lt;65, SoC!O$6, IF(A37&lt;81, SoC!O$7, IF(A37&lt;97, SoC!O$8, SoC!O$9))))))</f>
        <v>1.0509770295874163</v>
      </c>
      <c r="BY37" s="205">
        <f t="shared" si="72"/>
        <v>0.76107915430023509</v>
      </c>
      <c r="BZ37" s="205" t="str">
        <f t="shared" si="73"/>
        <v>C</v>
      </c>
      <c r="CA37" s="35">
        <f t="shared" si="74"/>
        <v>1.0787661204837926</v>
      </c>
      <c r="CB37" s="245">
        <f t="shared" si="75"/>
        <v>0</v>
      </c>
      <c r="CC37" s="48">
        <v>98</v>
      </c>
      <c r="CD37" s="17" t="s">
        <v>58</v>
      </c>
      <c r="CE37">
        <v>44</v>
      </c>
      <c r="CF37">
        <v>44</v>
      </c>
      <c r="CG37">
        <v>44</v>
      </c>
      <c r="CH37">
        <v>44</v>
      </c>
      <c r="CI37">
        <v>44</v>
      </c>
      <c r="CJ37">
        <v>44</v>
      </c>
      <c r="CK37">
        <v>44</v>
      </c>
      <c r="CL37">
        <v>44</v>
      </c>
      <c r="CM37">
        <v>44</v>
      </c>
      <c r="CN37">
        <v>44</v>
      </c>
      <c r="CO37">
        <v>44</v>
      </c>
      <c r="CP37">
        <v>51</v>
      </c>
      <c r="CQ37">
        <v>49</v>
      </c>
      <c r="CR37">
        <v>42</v>
      </c>
      <c r="CS37">
        <v>45</v>
      </c>
      <c r="CT37">
        <v>55</v>
      </c>
      <c r="CU37">
        <v>56</v>
      </c>
      <c r="CV37">
        <v>52</v>
      </c>
      <c r="CW37">
        <v>53</v>
      </c>
      <c r="CX37">
        <v>48</v>
      </c>
      <c r="CY37">
        <v>41</v>
      </c>
      <c r="CZ37">
        <v>39</v>
      </c>
      <c r="DA37">
        <v>20</v>
      </c>
      <c r="DB37">
        <v>15</v>
      </c>
      <c r="DC37">
        <v>26</v>
      </c>
      <c r="DD37">
        <v>55</v>
      </c>
      <c r="DE37" s="154">
        <v>42</v>
      </c>
      <c r="DF37">
        <v>20</v>
      </c>
      <c r="DG37">
        <v>15</v>
      </c>
    </row>
    <row r="38" spans="1:111" x14ac:dyDescent="0.35">
      <c r="A38">
        <v>37</v>
      </c>
      <c r="B38" s="17" t="s">
        <v>171</v>
      </c>
      <c r="C38" s="17" t="s">
        <v>1096</v>
      </c>
      <c r="D38" s="17" t="s">
        <v>52</v>
      </c>
      <c r="F38" s="6">
        <v>8</v>
      </c>
      <c r="G38" s="6">
        <v>5</v>
      </c>
      <c r="H38" s="6"/>
      <c r="I38" s="6">
        <v>5</v>
      </c>
      <c r="J38" s="6">
        <v>4</v>
      </c>
      <c r="L38" s="1">
        <v>1</v>
      </c>
      <c r="M38" s="1">
        <v>2</v>
      </c>
      <c r="O38">
        <v>222</v>
      </c>
      <c r="P38">
        <v>179</v>
      </c>
      <c r="Q38">
        <v>110</v>
      </c>
      <c r="R38" s="9">
        <f>15.357-0.593+8.099-6.675-0.298</f>
        <v>15.889999999999999</v>
      </c>
      <c r="S38" s="263">
        <f>363+80+39+82+74</f>
        <v>638</v>
      </c>
      <c r="T38" s="203">
        <f>420.108+34.814+54.295+17.064+7.143</f>
        <v>533.42400000000009</v>
      </c>
      <c r="V38">
        <v>31</v>
      </c>
      <c r="W38">
        <v>50</v>
      </c>
      <c r="X38">
        <v>17</v>
      </c>
      <c r="Y38" s="9">
        <f>0.649</f>
        <v>0.64900000000000002</v>
      </c>
      <c r="Z38" s="263">
        <f>161</f>
        <v>161</v>
      </c>
      <c r="AA38" s="203">
        <f>68.558</f>
        <v>68.558000000000007</v>
      </c>
      <c r="AC38">
        <f t="shared" si="38"/>
        <v>229.75</v>
      </c>
      <c r="AD38">
        <f t="shared" si="39"/>
        <v>191.5</v>
      </c>
      <c r="AE38">
        <f t="shared" si="40"/>
        <v>114.25</v>
      </c>
      <c r="AF38">
        <f t="shared" si="41"/>
        <v>16.052249999999997</v>
      </c>
      <c r="AG38">
        <f t="shared" si="42"/>
        <v>678.25</v>
      </c>
      <c r="AH38">
        <f t="shared" si="43"/>
        <v>550.56350000000009</v>
      </c>
      <c r="AI38" s="73">
        <f t="shared" si="44"/>
        <v>13.75</v>
      </c>
      <c r="AJ38" s="73">
        <f t="shared" si="45"/>
        <v>16.709090909090911</v>
      </c>
      <c r="AK38" s="73">
        <f t="shared" si="46"/>
        <v>13.927272727272728</v>
      </c>
      <c r="AL38" s="73">
        <f t="shared" si="47"/>
        <v>2.7818181818181831</v>
      </c>
      <c r="AM38" s="73">
        <f t="shared" si="48"/>
        <v>2.010940919037199</v>
      </c>
      <c r="AN38" s="227">
        <f t="shared" si="49"/>
        <v>1.1674363636363634</v>
      </c>
      <c r="AO38" s="227">
        <f t="shared" si="50"/>
        <v>1.0623594593527974</v>
      </c>
      <c r="AP38" s="227">
        <f t="shared" si="51"/>
        <v>1.6669202703236028</v>
      </c>
      <c r="AQ38" s="89">
        <f t="shared" si="52"/>
        <v>3.6085038397545315</v>
      </c>
      <c r="AR38" s="73">
        <f t="shared" si="53"/>
        <v>49.327272727272728</v>
      </c>
      <c r="AS38" s="89">
        <f t="shared" si="54"/>
        <v>40.040981818181827</v>
      </c>
      <c r="AT38" s="89">
        <f t="shared" si="55"/>
        <v>6.3277943881088481</v>
      </c>
      <c r="AU38" s="9">
        <v>7</v>
      </c>
      <c r="AV38" s="9">
        <v>6</v>
      </c>
      <c r="AX38" s="54">
        <f t="shared" si="56"/>
        <v>13</v>
      </c>
      <c r="AZ38" s="49">
        <v>41</v>
      </c>
      <c r="BA38" s="48">
        <f t="shared" si="57"/>
        <v>41</v>
      </c>
      <c r="BB38" s="245">
        <f t="shared" si="58"/>
        <v>0</v>
      </c>
      <c r="BC38" s="36">
        <f t="shared" si="59"/>
        <v>0.59173717025370376</v>
      </c>
      <c r="BD38" s="205">
        <f t="shared" si="60"/>
        <v>0.62820512820512819</v>
      </c>
      <c r="BE38" s="205">
        <f t="shared" si="61"/>
        <v>0.55555555555555558</v>
      </c>
      <c r="BF38" s="205">
        <f t="shared" si="62"/>
        <v>0.35490235117377694</v>
      </c>
      <c r="BG38" s="205">
        <f t="shared" si="63"/>
        <v>0.86345421020282731</v>
      </c>
      <c r="BH38" s="205">
        <f t="shared" si="64"/>
        <v>0.37761460006858927</v>
      </c>
      <c r="BI38" s="205">
        <f t="shared" si="65"/>
        <v>0.54391264463859434</v>
      </c>
      <c r="BJ38" s="205">
        <f t="shared" si="66"/>
        <v>0.72077668602743306</v>
      </c>
      <c r="BK38" s="205">
        <f t="shared" si="67"/>
        <v>0.48804498208585612</v>
      </c>
      <c r="BL38" s="205">
        <f t="shared" si="68"/>
        <v>0.62509311744552631</v>
      </c>
      <c r="BM38" s="205">
        <f t="shared" si="69"/>
        <v>0.10317460317460317</v>
      </c>
      <c r="BN38" s="48">
        <v>10</v>
      </c>
      <c r="BO38" s="220">
        <f t="shared" si="70"/>
        <v>23</v>
      </c>
      <c r="BP38" s="220">
        <v>49</v>
      </c>
      <c r="BQ38" s="220">
        <f t="shared" si="71"/>
        <v>72</v>
      </c>
      <c r="BR38" s="205">
        <v>-1</v>
      </c>
      <c r="BS38" s="35">
        <v>0.59173717025370376</v>
      </c>
      <c r="BT38">
        <v>1</v>
      </c>
      <c r="BU38" s="205">
        <v>6.3277943881088481</v>
      </c>
      <c r="BV38" s="34">
        <v>0.35490235117377694</v>
      </c>
      <c r="BW38" s="34">
        <v>0.86345421020282731</v>
      </c>
      <c r="BX38" s="34">
        <f>IF(A38&lt;17, SoC!O$3, IF(A38&lt;33, SoC!O$4, IF(A38&lt;49, SoC!O$5, IF(A38&lt;65, SoC!O$6, IF(A38&lt;81, SoC!O$7, IF(A38&lt;97, SoC!O$8, SoC!O$9))))))</f>
        <v>1.0509770295874163</v>
      </c>
      <c r="BY38" s="205">
        <f t="shared" si="72"/>
        <v>0.76924454515693752</v>
      </c>
      <c r="BZ38" s="205" t="str">
        <f t="shared" si="73"/>
        <v>C+</v>
      </c>
      <c r="CA38" s="35">
        <f t="shared" si="74"/>
        <v>1.3661100971428271</v>
      </c>
      <c r="CB38" s="245">
        <f t="shared" si="75"/>
        <v>0</v>
      </c>
      <c r="CC38" s="48">
        <v>12</v>
      </c>
      <c r="CD38" s="17" t="s">
        <v>52</v>
      </c>
      <c r="CE38">
        <v>41</v>
      </c>
      <c r="CF38">
        <v>41</v>
      </c>
      <c r="CG38">
        <v>41</v>
      </c>
      <c r="CH38">
        <v>41</v>
      </c>
      <c r="CI38">
        <v>41</v>
      </c>
      <c r="CJ38">
        <v>41</v>
      </c>
      <c r="CK38">
        <v>41</v>
      </c>
      <c r="CL38">
        <v>41</v>
      </c>
      <c r="CM38">
        <v>41</v>
      </c>
      <c r="CN38">
        <v>41</v>
      </c>
      <c r="CO38">
        <v>41</v>
      </c>
      <c r="CP38">
        <v>38</v>
      </c>
      <c r="CQ38">
        <v>39</v>
      </c>
      <c r="CR38">
        <v>32</v>
      </c>
      <c r="CS38">
        <v>32</v>
      </c>
      <c r="CT38">
        <v>37</v>
      </c>
      <c r="CU38">
        <v>38</v>
      </c>
      <c r="CV38">
        <v>33</v>
      </c>
      <c r="CW38">
        <v>33</v>
      </c>
      <c r="CX38">
        <v>37</v>
      </c>
      <c r="CY38">
        <v>44</v>
      </c>
      <c r="CZ38">
        <v>60</v>
      </c>
      <c r="DA38">
        <v>62</v>
      </c>
      <c r="DB38">
        <v>50</v>
      </c>
      <c r="DC38">
        <v>52</v>
      </c>
      <c r="DD38">
        <v>63</v>
      </c>
      <c r="DE38" s="154">
        <v>73</v>
      </c>
      <c r="DF38">
        <v>108</v>
      </c>
      <c r="DG38">
        <v>101</v>
      </c>
    </row>
    <row r="39" spans="1:111" x14ac:dyDescent="0.35">
      <c r="A39">
        <v>38</v>
      </c>
      <c r="B39" s="17" t="s">
        <v>171</v>
      </c>
      <c r="C39" s="17" t="s">
        <v>1096</v>
      </c>
      <c r="D39" s="17" t="s">
        <v>50</v>
      </c>
      <c r="F39" s="6">
        <v>8</v>
      </c>
      <c r="G39" s="6">
        <v>5</v>
      </c>
      <c r="H39" s="6"/>
      <c r="I39" s="6">
        <v>7</v>
      </c>
      <c r="J39" s="6">
        <v>2</v>
      </c>
      <c r="L39" s="1">
        <v>4</v>
      </c>
      <c r="M39" s="1">
        <v>7</v>
      </c>
      <c r="O39">
        <v>234</v>
      </c>
      <c r="P39">
        <v>191</v>
      </c>
      <c r="Q39">
        <v>109</v>
      </c>
      <c r="R39" s="9">
        <f>10.699+6.021-3.979-3.858+3.62</f>
        <v>12.503</v>
      </c>
      <c r="S39" s="263">
        <f>570+41+86+85+66</f>
        <v>848</v>
      </c>
      <c r="T39" s="203">
        <f>346.274+68.057+84.587+13.216+69.649</f>
        <v>581.78300000000002</v>
      </c>
      <c r="V39">
        <v>144</v>
      </c>
      <c r="W39">
        <v>180</v>
      </c>
      <c r="X39">
        <v>76</v>
      </c>
      <c r="Y39" s="9">
        <f>9.587-3.814-1.189</f>
        <v>4.5839999999999996</v>
      </c>
      <c r="Z39" s="263">
        <f>624+84+81</f>
        <v>789</v>
      </c>
      <c r="AA39" s="203">
        <f>164.521+87.675+0</f>
        <v>252.19599999999997</v>
      </c>
      <c r="AC39">
        <f t="shared" si="38"/>
        <v>270</v>
      </c>
      <c r="AD39">
        <f t="shared" si="39"/>
        <v>236</v>
      </c>
      <c r="AE39">
        <f t="shared" si="40"/>
        <v>128</v>
      </c>
      <c r="AF39">
        <f t="shared" si="41"/>
        <v>13.649000000000001</v>
      </c>
      <c r="AG39">
        <f t="shared" si="42"/>
        <v>1045.25</v>
      </c>
      <c r="AH39">
        <f t="shared" si="43"/>
        <v>644.83199999999999</v>
      </c>
      <c r="AI39" s="73">
        <f t="shared" si="44"/>
        <v>15.75</v>
      </c>
      <c r="AJ39" s="73">
        <f t="shared" si="45"/>
        <v>17.142857142857142</v>
      </c>
      <c r="AK39" s="73">
        <f t="shared" si="46"/>
        <v>14.984126984126984</v>
      </c>
      <c r="AL39" s="73">
        <f t="shared" si="47"/>
        <v>2.1587301587301582</v>
      </c>
      <c r="AM39" s="73">
        <f t="shared" si="48"/>
        <v>2.109375</v>
      </c>
      <c r="AN39" s="227">
        <f t="shared" si="49"/>
        <v>0.86660317460317471</v>
      </c>
      <c r="AO39" s="227">
        <f t="shared" si="50"/>
        <v>0.76919406150871961</v>
      </c>
      <c r="AP39" s="227">
        <f t="shared" si="51"/>
        <v>1.3408315406742111</v>
      </c>
      <c r="AQ39" s="89">
        <f t="shared" si="52"/>
        <v>4.608850619201653</v>
      </c>
      <c r="AR39" s="73">
        <f t="shared" si="53"/>
        <v>66.365079365079367</v>
      </c>
      <c r="AS39" s="89">
        <f t="shared" si="54"/>
        <v>40.941714285714284</v>
      </c>
      <c r="AT39" s="89">
        <f t="shared" si="55"/>
        <v>6.3985712690970535</v>
      </c>
      <c r="AU39" s="9">
        <v>28</v>
      </c>
      <c r="AV39" s="9">
        <v>6</v>
      </c>
      <c r="AW39" s="9">
        <v>14</v>
      </c>
      <c r="AX39" s="54">
        <f t="shared" si="56"/>
        <v>48</v>
      </c>
      <c r="AZ39" s="49">
        <v>31</v>
      </c>
      <c r="BA39" s="48">
        <f t="shared" si="57"/>
        <v>31</v>
      </c>
      <c r="BB39" s="245">
        <f t="shared" si="58"/>
        <v>0</v>
      </c>
      <c r="BC39" s="36">
        <f t="shared" si="59"/>
        <v>0.66225275484624224</v>
      </c>
      <c r="BD39" s="205">
        <f t="shared" si="60"/>
        <v>0.66666666666666663</v>
      </c>
      <c r="BE39" s="205">
        <f t="shared" si="61"/>
        <v>0.77777777777777779</v>
      </c>
      <c r="BF39" s="205">
        <f t="shared" si="62"/>
        <v>0.39203812350837625</v>
      </c>
      <c r="BG39" s="205">
        <f t="shared" si="63"/>
        <v>0.76484912342318623</v>
      </c>
      <c r="BH39" s="205">
        <f t="shared" si="64"/>
        <v>0.4864058056634758</v>
      </c>
      <c r="BI39" s="205">
        <f t="shared" si="65"/>
        <v>0.57719476908591716</v>
      </c>
      <c r="BJ39" s="205">
        <f t="shared" si="66"/>
        <v>0.68674607107699071</v>
      </c>
      <c r="BK39" s="205">
        <f t="shared" si="67"/>
        <v>0.57868099107311788</v>
      </c>
      <c r="BL39" s="205">
        <f t="shared" si="68"/>
        <v>0.6358459045550926</v>
      </c>
      <c r="BM39" s="205">
        <f t="shared" si="69"/>
        <v>0.38095238095238093</v>
      </c>
      <c r="BN39" s="48">
        <v>10</v>
      </c>
      <c r="BO39" s="220">
        <f t="shared" si="70"/>
        <v>58</v>
      </c>
      <c r="BP39" s="220">
        <v>62</v>
      </c>
      <c r="BQ39" s="220">
        <f t="shared" si="71"/>
        <v>120</v>
      </c>
      <c r="BR39" s="205">
        <v>-0.33333333333333331</v>
      </c>
      <c r="BS39" s="35">
        <v>0.66225275484624224</v>
      </c>
      <c r="BT39">
        <v>3</v>
      </c>
      <c r="BU39" s="205">
        <v>6.3985712690970535</v>
      </c>
      <c r="BV39" s="34">
        <v>0.39203812350837625</v>
      </c>
      <c r="BW39" s="34">
        <v>0.76484912342318623</v>
      </c>
      <c r="BX39" s="34">
        <f>IF(A39&lt;17, SoC!O$3, IF(A39&lt;33, SoC!O$4, IF(A39&lt;49, SoC!O$5, IF(A39&lt;65, SoC!O$6, IF(A39&lt;81, SoC!O$7, IF(A39&lt;97, SoC!O$8, SoC!O$9))))))</f>
        <v>1.0509770295874163</v>
      </c>
      <c r="BY39" s="205">
        <f t="shared" si="72"/>
        <v>0.81378913414117438</v>
      </c>
      <c r="BZ39" s="205" t="str">
        <f t="shared" si="73"/>
        <v>B-</v>
      </c>
      <c r="CA39" s="35">
        <f t="shared" si="74"/>
        <v>2.8118102294876994</v>
      </c>
      <c r="CB39" s="245">
        <f t="shared" si="75"/>
        <v>0</v>
      </c>
      <c r="CC39" s="48">
        <v>70</v>
      </c>
      <c r="CD39" s="17" t="s">
        <v>50</v>
      </c>
      <c r="CE39">
        <v>31</v>
      </c>
      <c r="CF39">
        <v>31</v>
      </c>
      <c r="CG39">
        <v>31</v>
      </c>
      <c r="CH39">
        <v>31</v>
      </c>
      <c r="CI39">
        <v>31</v>
      </c>
      <c r="CJ39">
        <v>31</v>
      </c>
      <c r="CK39">
        <v>31</v>
      </c>
      <c r="CL39">
        <v>31</v>
      </c>
      <c r="CM39">
        <v>31</v>
      </c>
      <c r="CN39">
        <v>31</v>
      </c>
      <c r="CO39">
        <v>32</v>
      </c>
      <c r="CP39">
        <v>32</v>
      </c>
      <c r="CQ39">
        <v>32</v>
      </c>
      <c r="CR39">
        <v>26</v>
      </c>
      <c r="CS39">
        <v>27</v>
      </c>
      <c r="CT39">
        <v>30</v>
      </c>
      <c r="CU39">
        <v>35</v>
      </c>
      <c r="CV39">
        <v>40</v>
      </c>
      <c r="CW39">
        <v>43</v>
      </c>
      <c r="CX39">
        <v>44</v>
      </c>
      <c r="CY39">
        <v>40</v>
      </c>
      <c r="CZ39">
        <v>46</v>
      </c>
      <c r="DA39">
        <v>34</v>
      </c>
      <c r="DB39">
        <v>19</v>
      </c>
      <c r="DC39">
        <v>24</v>
      </c>
      <c r="DD39">
        <v>31</v>
      </c>
      <c r="DE39" s="154">
        <v>19</v>
      </c>
      <c r="DF39">
        <v>42</v>
      </c>
      <c r="DG39">
        <v>43</v>
      </c>
    </row>
    <row r="40" spans="1:111" x14ac:dyDescent="0.35">
      <c r="A40">
        <v>39</v>
      </c>
      <c r="B40" s="17" t="s">
        <v>171</v>
      </c>
      <c r="C40" s="17" t="s">
        <v>1096</v>
      </c>
      <c r="D40" s="17" t="s">
        <v>49</v>
      </c>
      <c r="F40" s="6">
        <v>5</v>
      </c>
      <c r="G40" s="6">
        <v>8</v>
      </c>
      <c r="H40" s="6"/>
      <c r="I40" s="6">
        <v>3</v>
      </c>
      <c r="J40" s="6">
        <v>6</v>
      </c>
      <c r="L40" s="1">
        <v>9</v>
      </c>
      <c r="M40" s="1">
        <v>12</v>
      </c>
      <c r="O40">
        <v>208</v>
      </c>
      <c r="P40">
        <f>193+19</f>
        <v>212</v>
      </c>
      <c r="Q40">
        <v>105</v>
      </c>
      <c r="R40" s="9">
        <f>15.817+5.658-9.978+2.122-3.62</f>
        <v>9.9990000000000023</v>
      </c>
      <c r="S40" s="263">
        <f>642+22+75+48+66</f>
        <v>853</v>
      </c>
      <c r="T40" s="203">
        <f>235.787+74.677+13.431+18.114+4.277</f>
        <v>346.28599999999994</v>
      </c>
      <c r="V40">
        <v>339</v>
      </c>
      <c r="W40">
        <v>369</v>
      </c>
      <c r="X40">
        <v>174</v>
      </c>
      <c r="Y40" s="9">
        <f>-10.008-4.402-7.226+1.111-2.063+0.003-3.809+0.817-2.83-8.732-3.033-13.46-6.919</f>
        <v>-60.550999999999995</v>
      </c>
      <c r="Z40" s="263">
        <f>646+83+85+66+66+69+71+61+59+74+67+71+65</f>
        <v>1483</v>
      </c>
      <c r="AA40" s="203">
        <f>289.132+26.889+76.554+8.087+56.092+(188.72-44.36)+52.358+75.157+28.368+19.015+12.246+8.572+18.545</f>
        <v>815.375</v>
      </c>
      <c r="AC40">
        <f t="shared" si="38"/>
        <v>292.75</v>
      </c>
      <c r="AD40">
        <f t="shared" si="39"/>
        <v>304.25</v>
      </c>
      <c r="AE40">
        <f t="shared" si="40"/>
        <v>148.5</v>
      </c>
      <c r="AF40">
        <f t="shared" si="41"/>
        <v>-5.1387499999999964</v>
      </c>
      <c r="AG40">
        <f t="shared" si="42"/>
        <v>1223.75</v>
      </c>
      <c r="AH40">
        <f t="shared" si="43"/>
        <v>550.12974999999994</v>
      </c>
      <c r="AI40" s="73">
        <f t="shared" si="44"/>
        <v>18.25</v>
      </c>
      <c r="AJ40" s="73">
        <f t="shared" si="45"/>
        <v>16.041095890410958</v>
      </c>
      <c r="AK40" s="73">
        <f t="shared" si="46"/>
        <v>16.671232876712327</v>
      </c>
      <c r="AL40" s="73">
        <f t="shared" si="47"/>
        <v>-0.63013698630136972</v>
      </c>
      <c r="AM40" s="73">
        <f t="shared" si="48"/>
        <v>1.9713804713804715</v>
      </c>
      <c r="AN40" s="227">
        <f t="shared" si="49"/>
        <v>-0.14078767123287661</v>
      </c>
      <c r="AO40" s="227">
        <f t="shared" si="50"/>
        <v>-0.21251988785019327</v>
      </c>
      <c r="AP40" s="227">
        <f t="shared" si="51"/>
        <v>-0.27682942721829984</v>
      </c>
      <c r="AQ40" s="89">
        <f t="shared" si="52"/>
        <v>3.6554334266603208</v>
      </c>
      <c r="AR40" s="73">
        <f t="shared" si="53"/>
        <v>67.054794520547944</v>
      </c>
      <c r="AS40" s="89">
        <f t="shared" si="54"/>
        <v>30.144095890410956</v>
      </c>
      <c r="AT40" s="89">
        <f t="shared" si="55"/>
        <v>5.4903639123842201</v>
      </c>
      <c r="AU40" s="9">
        <v>49</v>
      </c>
      <c r="AV40" s="9">
        <v>18</v>
      </c>
      <c r="AW40" s="20">
        <v>25</v>
      </c>
      <c r="AX40" s="54">
        <f t="shared" si="56"/>
        <v>92</v>
      </c>
      <c r="AZ40" s="49">
        <v>56</v>
      </c>
      <c r="BA40" s="48">
        <f t="shared" si="57"/>
        <v>56</v>
      </c>
      <c r="BB40" s="245">
        <f t="shared" si="58"/>
        <v>0</v>
      </c>
      <c r="BC40" s="36">
        <f t="shared" si="59"/>
        <v>0.52510745374936874</v>
      </c>
      <c r="BD40" s="205">
        <f t="shared" si="60"/>
        <v>0.5</v>
      </c>
      <c r="BE40" s="205">
        <f t="shared" si="61"/>
        <v>0.33333333333333331</v>
      </c>
      <c r="BF40" s="205">
        <f t="shared" si="62"/>
        <v>0.2977136882413044</v>
      </c>
      <c r="BG40" s="205">
        <f t="shared" si="63"/>
        <v>0.60744121039647747</v>
      </c>
      <c r="BH40" s="205">
        <f t="shared" si="64"/>
        <v>0.33389164606371324</v>
      </c>
      <c r="BI40" s="205">
        <f t="shared" si="65"/>
        <v>0.68864559539255277</v>
      </c>
      <c r="BJ40" s="205">
        <f t="shared" si="66"/>
        <v>0.51792699665543895</v>
      </c>
      <c r="BK40" s="205">
        <f t="shared" si="67"/>
        <v>0.49241127156394149</v>
      </c>
      <c r="BL40" s="205">
        <f t="shared" si="68"/>
        <v>0.49786638042626996</v>
      </c>
      <c r="BM40" s="205">
        <f t="shared" si="69"/>
        <v>0.73015873015873012</v>
      </c>
      <c r="BN40" s="48">
        <v>5</v>
      </c>
      <c r="BO40" s="220">
        <f t="shared" si="70"/>
        <v>97</v>
      </c>
      <c r="BP40" s="220">
        <v>35</v>
      </c>
      <c r="BQ40" s="220">
        <f t="shared" si="71"/>
        <v>132</v>
      </c>
      <c r="BR40" s="205">
        <v>-0.66666666666666663</v>
      </c>
      <c r="BS40" s="35">
        <v>0.52510745374936874</v>
      </c>
      <c r="BT40">
        <v>5</v>
      </c>
      <c r="BU40" s="205">
        <v>5.4903639123842201</v>
      </c>
      <c r="BV40" s="34">
        <v>0.2977136882413044</v>
      </c>
      <c r="BW40" s="34">
        <v>0.60744121039647747</v>
      </c>
      <c r="BX40" s="34">
        <f>IF(A40&lt;17, SoC!O$3, IF(A40&lt;33, SoC!O$4, IF(A40&lt;49, SoC!O$5, IF(A40&lt;65, SoC!O$6, IF(A40&lt;81, SoC!O$7, IF(A40&lt;97, SoC!O$8, SoC!O$9))))))</f>
        <v>1.0509770295874163</v>
      </c>
      <c r="BY40" s="205">
        <f t="shared" si="72"/>
        <v>0.72464298364737423</v>
      </c>
      <c r="BZ40" s="205" t="str">
        <f t="shared" si="73"/>
        <v>C-</v>
      </c>
      <c r="CA40" s="35">
        <f t="shared" si="74"/>
        <v>-0.38519947080618744</v>
      </c>
      <c r="CB40" s="245">
        <f t="shared" si="75"/>
        <v>0</v>
      </c>
      <c r="CC40" s="48">
        <v>125</v>
      </c>
      <c r="CD40" s="17" t="s">
        <v>49</v>
      </c>
      <c r="CE40">
        <v>56</v>
      </c>
      <c r="CF40">
        <v>56</v>
      </c>
      <c r="CG40">
        <v>56</v>
      </c>
      <c r="CH40">
        <v>56</v>
      </c>
      <c r="CI40">
        <v>56</v>
      </c>
      <c r="CJ40">
        <v>56</v>
      </c>
      <c r="CK40">
        <v>56</v>
      </c>
      <c r="CL40">
        <v>56</v>
      </c>
      <c r="CM40">
        <v>56</v>
      </c>
      <c r="CN40">
        <v>56</v>
      </c>
      <c r="CO40">
        <v>55</v>
      </c>
      <c r="CP40">
        <v>47</v>
      </c>
      <c r="CQ40">
        <v>55</v>
      </c>
      <c r="CR40">
        <v>49</v>
      </c>
      <c r="CS40">
        <v>51</v>
      </c>
      <c r="CT40">
        <v>49</v>
      </c>
      <c r="CU40">
        <v>54</v>
      </c>
      <c r="CV40">
        <v>62</v>
      </c>
      <c r="CW40">
        <v>52</v>
      </c>
      <c r="CX40">
        <v>47</v>
      </c>
      <c r="CY40">
        <v>37</v>
      </c>
      <c r="CZ40">
        <v>43</v>
      </c>
      <c r="DA40">
        <v>21</v>
      </c>
      <c r="DB40">
        <v>23</v>
      </c>
      <c r="DC40">
        <v>11</v>
      </c>
      <c r="DD40">
        <v>19</v>
      </c>
      <c r="DE40" s="154">
        <v>39</v>
      </c>
      <c r="DF40">
        <v>15</v>
      </c>
      <c r="DG40">
        <v>4</v>
      </c>
    </row>
    <row r="41" spans="1:111" x14ac:dyDescent="0.35">
      <c r="A41">
        <v>40</v>
      </c>
      <c r="B41" s="17" t="s">
        <v>171</v>
      </c>
      <c r="C41" s="17" t="s">
        <v>1096</v>
      </c>
      <c r="D41" s="17" t="s">
        <v>51</v>
      </c>
      <c r="F41" s="6">
        <v>9</v>
      </c>
      <c r="G41" s="6">
        <v>4</v>
      </c>
      <c r="H41" s="6"/>
      <c r="I41" s="6">
        <v>6</v>
      </c>
      <c r="J41" s="6">
        <v>3</v>
      </c>
      <c r="L41" s="1">
        <v>7</v>
      </c>
      <c r="M41" s="1">
        <v>4</v>
      </c>
      <c r="O41">
        <v>231</v>
      </c>
      <c r="P41">
        <v>185</v>
      </c>
      <c r="Q41">
        <v>110</v>
      </c>
      <c r="R41" s="9">
        <f>-6.973+1.812+5.141+5.493+0.298</f>
        <v>5.7710000000000008</v>
      </c>
      <c r="S41" s="263">
        <f>514+87+47+55+74</f>
        <v>777</v>
      </c>
      <c r="T41" s="203">
        <f>408.737+13.361+89.439+30.276+45.832</f>
        <v>587.64499999999998</v>
      </c>
      <c r="V41">
        <f>184+15</f>
        <v>199</v>
      </c>
      <c r="W41">
        <f>158+30</f>
        <v>188</v>
      </c>
      <c r="X41">
        <v>102</v>
      </c>
      <c r="Y41" s="9">
        <f>13.606-9.252-6.066</f>
        <v>-1.7120000000000006</v>
      </c>
      <c r="Z41" s="263">
        <f>524+84+86</f>
        <v>694</v>
      </c>
      <c r="AA41" s="203">
        <f>451.828+20.178+23.188</f>
        <v>495.19399999999996</v>
      </c>
      <c r="AC41">
        <f t="shared" si="38"/>
        <v>280.75</v>
      </c>
      <c r="AD41">
        <f t="shared" si="39"/>
        <v>232</v>
      </c>
      <c r="AE41">
        <f t="shared" si="40"/>
        <v>135.5</v>
      </c>
      <c r="AF41">
        <f t="shared" si="41"/>
        <v>5.3430000000000009</v>
      </c>
      <c r="AG41">
        <f t="shared" si="42"/>
        <v>950.5</v>
      </c>
      <c r="AH41">
        <f t="shared" si="43"/>
        <v>711.44349999999997</v>
      </c>
      <c r="AI41" s="73">
        <f t="shared" si="44"/>
        <v>15.75</v>
      </c>
      <c r="AJ41" s="73">
        <f t="shared" si="45"/>
        <v>17.825396825396826</v>
      </c>
      <c r="AK41" s="73">
        <f t="shared" si="46"/>
        <v>14.730158730158729</v>
      </c>
      <c r="AL41" s="73">
        <f t="shared" si="47"/>
        <v>3.0952380952380967</v>
      </c>
      <c r="AM41" s="73">
        <f t="shared" si="48"/>
        <v>2.0719557195571956</v>
      </c>
      <c r="AN41" s="227">
        <f t="shared" si="49"/>
        <v>0.33923809523809528</v>
      </c>
      <c r="AO41" s="227">
        <f t="shared" si="50"/>
        <v>0.25527073477072193</v>
      </c>
      <c r="AP41" s="227">
        <f t="shared" si="51"/>
        <v>2.7979836802336879</v>
      </c>
      <c r="AQ41" s="89">
        <f t="shared" si="52"/>
        <v>4.5000836491519483</v>
      </c>
      <c r="AR41" s="73">
        <f t="shared" si="53"/>
        <v>60.349206349206348</v>
      </c>
      <c r="AS41" s="89">
        <f t="shared" si="54"/>
        <v>45.171015873015868</v>
      </c>
      <c r="AT41" s="89">
        <f t="shared" si="55"/>
        <v>6.7209386154774444</v>
      </c>
      <c r="AU41" s="9">
        <v>35</v>
      </c>
      <c r="AV41" s="9">
        <v>12</v>
      </c>
      <c r="AX41" s="54">
        <f t="shared" si="56"/>
        <v>47</v>
      </c>
      <c r="AZ41" s="49">
        <v>22</v>
      </c>
      <c r="BA41" s="48">
        <f t="shared" si="57"/>
        <v>22</v>
      </c>
      <c r="BB41" s="245">
        <f t="shared" si="58"/>
        <v>0</v>
      </c>
      <c r="BC41" s="36">
        <f t="shared" si="59"/>
        <v>0.70014330527397661</v>
      </c>
      <c r="BD41" s="205">
        <f t="shared" si="60"/>
        <v>0.78205128205128205</v>
      </c>
      <c r="BE41" s="205">
        <f t="shared" si="61"/>
        <v>0.66666666666666663</v>
      </c>
      <c r="BF41" s="205">
        <f t="shared" si="62"/>
        <v>0.45047199015596628</v>
      </c>
      <c r="BG41" s="205">
        <f t="shared" si="63"/>
        <v>0.78854450200485859</v>
      </c>
      <c r="BH41" s="205">
        <f t="shared" si="64"/>
        <v>0.44504931010779253</v>
      </c>
      <c r="BI41" s="205">
        <f t="shared" si="65"/>
        <v>0.63553883097951513</v>
      </c>
      <c r="BJ41" s="205">
        <f t="shared" si="66"/>
        <v>0.8388144465736791</v>
      </c>
      <c r="BK41" s="205">
        <f t="shared" si="67"/>
        <v>0.56904941673379683</v>
      </c>
      <c r="BL41" s="205">
        <f t="shared" si="68"/>
        <v>0.68482160676612602</v>
      </c>
      <c r="BM41" s="205">
        <f t="shared" si="69"/>
        <v>0.37301587301587302</v>
      </c>
      <c r="BN41" s="48">
        <v>10</v>
      </c>
      <c r="BO41" s="220">
        <f t="shared" si="70"/>
        <v>57</v>
      </c>
      <c r="BP41" s="220">
        <v>73</v>
      </c>
      <c r="BQ41" s="220">
        <f t="shared" si="71"/>
        <v>130</v>
      </c>
      <c r="BR41" s="205">
        <v>-2</v>
      </c>
      <c r="BS41" s="35">
        <v>0.70014330527397661</v>
      </c>
      <c r="BT41">
        <v>1</v>
      </c>
      <c r="BU41" s="205">
        <v>6.7209386154774444</v>
      </c>
      <c r="BV41" s="34">
        <v>0.45047199015596628</v>
      </c>
      <c r="BW41" s="34">
        <v>0.78854450200485859</v>
      </c>
      <c r="BX41" s="34">
        <f>IF(A41&lt;17, SoC!O$3, IF(A41&lt;33, SoC!O$4, IF(A41&lt;49, SoC!O$5, IF(A41&lt;65, SoC!O$6, IF(A41&lt;81, SoC!O$7, IF(A41&lt;97, SoC!O$8, SoC!O$9))))))</f>
        <v>1.0509770295874163</v>
      </c>
      <c r="BY41" s="205">
        <f t="shared" si="72"/>
        <v>0.83674566343302703</v>
      </c>
      <c r="BZ41" s="205" t="str">
        <f t="shared" si="73"/>
        <v>B</v>
      </c>
      <c r="CA41" s="35">
        <f t="shared" si="74"/>
        <v>3.7308049112325823</v>
      </c>
      <c r="CB41" s="245">
        <f t="shared" si="75"/>
        <v>0</v>
      </c>
      <c r="CC41" s="48">
        <v>5</v>
      </c>
      <c r="CD41" s="17" t="s">
        <v>51</v>
      </c>
      <c r="CE41">
        <v>22</v>
      </c>
      <c r="CF41">
        <v>22</v>
      </c>
      <c r="CG41">
        <v>22</v>
      </c>
      <c r="CH41">
        <v>22</v>
      </c>
      <c r="CI41">
        <v>22</v>
      </c>
      <c r="CJ41">
        <v>22</v>
      </c>
      <c r="CK41">
        <v>22</v>
      </c>
      <c r="CL41">
        <v>22</v>
      </c>
      <c r="CM41">
        <v>23</v>
      </c>
      <c r="CN41">
        <v>23</v>
      </c>
      <c r="CO41">
        <v>24</v>
      </c>
      <c r="CP41">
        <v>26</v>
      </c>
      <c r="CQ41">
        <v>27</v>
      </c>
      <c r="CR41">
        <v>25</v>
      </c>
      <c r="CS41">
        <v>26</v>
      </c>
      <c r="CT41">
        <v>31</v>
      </c>
      <c r="CU41">
        <v>28</v>
      </c>
      <c r="CV41">
        <v>23</v>
      </c>
      <c r="CW41">
        <v>23</v>
      </c>
      <c r="CX41">
        <v>27</v>
      </c>
      <c r="CY41">
        <v>38</v>
      </c>
      <c r="CZ41">
        <v>29</v>
      </c>
      <c r="DA41">
        <v>47</v>
      </c>
      <c r="DB41">
        <v>44</v>
      </c>
      <c r="DC41">
        <v>46</v>
      </c>
      <c r="DD41">
        <v>60</v>
      </c>
      <c r="DE41" s="154">
        <v>70</v>
      </c>
      <c r="DF41">
        <v>100</v>
      </c>
      <c r="DG41">
        <v>108</v>
      </c>
    </row>
    <row r="42" spans="1:111" x14ac:dyDescent="0.35">
      <c r="A42">
        <v>41</v>
      </c>
      <c r="B42" s="17" t="s">
        <v>171</v>
      </c>
      <c r="C42" s="17" t="s">
        <v>1098</v>
      </c>
      <c r="D42" s="17" t="s">
        <v>117</v>
      </c>
      <c r="F42" s="6">
        <v>3</v>
      </c>
      <c r="G42" s="6">
        <v>10</v>
      </c>
      <c r="H42" s="6"/>
      <c r="I42" s="6">
        <v>3</v>
      </c>
      <c r="J42" s="6">
        <v>6</v>
      </c>
      <c r="L42" s="1">
        <v>0</v>
      </c>
      <c r="M42" s="1">
        <v>2</v>
      </c>
      <c r="O42">
        <v>190</v>
      </c>
      <c r="P42">
        <f>222+17</f>
        <v>239</v>
      </c>
      <c r="Q42">
        <v>105</v>
      </c>
      <c r="R42" s="9">
        <f>-15.266+1.002-5.529-5.493-11.085</f>
        <v>-36.371000000000002</v>
      </c>
      <c r="S42" s="263">
        <f>269+4+49+55+56</f>
        <v>433</v>
      </c>
      <c r="T42" s="203">
        <f>202.968+99.598+5.03+21.582+18.666</f>
        <v>347.84399999999994</v>
      </c>
      <c r="V42">
        <v>18</v>
      </c>
      <c r="W42">
        <v>37</v>
      </c>
      <c r="X42">
        <v>14</v>
      </c>
      <c r="Y42" s="9">
        <f>-0.394</f>
        <v>-0.39400000000000002</v>
      </c>
      <c r="Z42" s="263">
        <f>43</f>
        <v>43</v>
      </c>
      <c r="AA42" s="203">
        <f>1.724</f>
        <v>1.724</v>
      </c>
      <c r="AC42">
        <f t="shared" si="38"/>
        <v>194.5</v>
      </c>
      <c r="AD42">
        <f t="shared" si="39"/>
        <v>248.25</v>
      </c>
      <c r="AE42">
        <f t="shared" si="40"/>
        <v>108.5</v>
      </c>
      <c r="AF42">
        <f t="shared" si="41"/>
        <v>-36.469500000000004</v>
      </c>
      <c r="AG42">
        <f t="shared" si="42"/>
        <v>443.75</v>
      </c>
      <c r="AH42">
        <f t="shared" si="43"/>
        <v>348.27499999999992</v>
      </c>
      <c r="AI42" s="73">
        <f t="shared" si="44"/>
        <v>13.5</v>
      </c>
      <c r="AJ42" s="73">
        <f t="shared" si="45"/>
        <v>14.407407407407407</v>
      </c>
      <c r="AK42" s="73">
        <f t="shared" si="46"/>
        <v>18.388888888888889</v>
      </c>
      <c r="AL42" s="73">
        <f t="shared" si="47"/>
        <v>-3.9814814814814827</v>
      </c>
      <c r="AM42" s="73">
        <f t="shared" si="48"/>
        <v>1.792626728110599</v>
      </c>
      <c r="AN42" s="227">
        <f t="shared" si="49"/>
        <v>-1.3507222222222224</v>
      </c>
      <c r="AO42" s="227">
        <f t="shared" si="50"/>
        <v>-1.3916150041372282</v>
      </c>
      <c r="AP42" s="227">
        <f t="shared" si="51"/>
        <v>-1.2391442551220324</v>
      </c>
      <c r="AQ42" s="89">
        <f t="shared" si="52"/>
        <v>1.2239716686968722</v>
      </c>
      <c r="AR42" s="73">
        <f t="shared" si="53"/>
        <v>32.870370370370374</v>
      </c>
      <c r="AS42" s="89">
        <f t="shared" si="54"/>
        <v>25.798148148148144</v>
      </c>
      <c r="AT42" s="89">
        <f t="shared" si="55"/>
        <v>5.0791877449202589</v>
      </c>
      <c r="AU42" s="9">
        <v>7</v>
      </c>
      <c r="AV42" s="9">
        <v>0</v>
      </c>
      <c r="AX42" s="54">
        <f t="shared" si="56"/>
        <v>7</v>
      </c>
      <c r="AZ42" s="49">
        <v>93</v>
      </c>
      <c r="BA42" s="48">
        <f t="shared" si="57"/>
        <v>93</v>
      </c>
      <c r="BB42" s="245">
        <f t="shared" si="58"/>
        <v>0</v>
      </c>
      <c r="BC42" s="36">
        <f t="shared" si="59"/>
        <v>0.3524067050866142</v>
      </c>
      <c r="BD42" s="205">
        <f t="shared" si="60"/>
        <v>0.23076923076923078</v>
      </c>
      <c r="BE42" s="205">
        <f t="shared" si="61"/>
        <v>0.33333333333333331</v>
      </c>
      <c r="BF42" s="205">
        <f t="shared" si="62"/>
        <v>0.1578496812075699</v>
      </c>
      <c r="BG42" s="205">
        <f t="shared" si="63"/>
        <v>0.44718295431264088</v>
      </c>
      <c r="BH42" s="205">
        <f t="shared" si="64"/>
        <v>0.13632963253429994</v>
      </c>
      <c r="BI42" s="205">
        <f t="shared" si="65"/>
        <v>0.82250447056706166</v>
      </c>
      <c r="BJ42" s="205">
        <f t="shared" si="66"/>
        <v>0.4174998356042009</v>
      </c>
      <c r="BK42" s="205">
        <f t="shared" si="67"/>
        <v>0.23938987672089068</v>
      </c>
      <c r="BL42" s="205">
        <f t="shared" si="68"/>
        <v>0.43539838619515842</v>
      </c>
      <c r="BM42" s="205">
        <f t="shared" si="69"/>
        <v>5.5555555555555552E-2</v>
      </c>
      <c r="BN42" s="48">
        <v>5</v>
      </c>
      <c r="BO42" s="220">
        <f t="shared" si="70"/>
        <v>12</v>
      </c>
      <c r="BP42" s="220">
        <v>8</v>
      </c>
      <c r="BQ42" s="220">
        <f t="shared" si="71"/>
        <v>20</v>
      </c>
      <c r="BR42" s="205">
        <v>0.33333333333333331</v>
      </c>
      <c r="BS42" s="35">
        <v>0.3524067050866142</v>
      </c>
      <c r="BT42">
        <v>1</v>
      </c>
      <c r="BU42" s="205">
        <v>5.0791877449202589</v>
      </c>
      <c r="BV42" s="34">
        <v>0.1578496812075699</v>
      </c>
      <c r="BW42" s="34">
        <v>0.44718295431264088</v>
      </c>
      <c r="BX42" s="34">
        <f>IF(A42&lt;17, SoC!O$3, IF(A42&lt;33, SoC!O$4, IF(A42&lt;49, SoC!O$5, IF(A42&lt;65, SoC!O$6, IF(A42&lt;81, SoC!O$7, IF(A42&lt;97, SoC!O$8, SoC!O$9))))))</f>
        <v>1.0509770295874163</v>
      </c>
      <c r="BY42" s="205">
        <f t="shared" si="72"/>
        <v>0.59363853066206396</v>
      </c>
      <c r="BZ42" s="205" t="str">
        <f t="shared" si="73"/>
        <v>F+</v>
      </c>
      <c r="CA42" s="35">
        <f t="shared" si="74"/>
        <v>-4.0448025277932587</v>
      </c>
      <c r="CB42" s="245">
        <f t="shared" si="75"/>
        <v>0</v>
      </c>
      <c r="CC42" s="48">
        <v>18</v>
      </c>
      <c r="CD42" s="17" t="s">
        <v>117</v>
      </c>
      <c r="CE42">
        <v>93</v>
      </c>
      <c r="CF42">
        <v>93</v>
      </c>
      <c r="CG42">
        <v>93</v>
      </c>
      <c r="CH42">
        <v>93</v>
      </c>
      <c r="CI42">
        <v>93</v>
      </c>
      <c r="CJ42">
        <v>93</v>
      </c>
      <c r="CK42">
        <v>93</v>
      </c>
      <c r="CL42">
        <v>93</v>
      </c>
      <c r="CM42">
        <v>93</v>
      </c>
      <c r="CN42">
        <v>94</v>
      </c>
      <c r="CO42">
        <v>94</v>
      </c>
      <c r="CP42">
        <v>95</v>
      </c>
      <c r="CQ42">
        <v>95</v>
      </c>
      <c r="CR42">
        <v>89</v>
      </c>
      <c r="CS42">
        <v>89</v>
      </c>
      <c r="CT42">
        <v>88</v>
      </c>
      <c r="CU42">
        <v>89</v>
      </c>
      <c r="CV42">
        <v>102</v>
      </c>
      <c r="CW42">
        <v>103</v>
      </c>
      <c r="CX42">
        <v>105</v>
      </c>
      <c r="CY42">
        <v>107</v>
      </c>
      <c r="CZ42">
        <v>106</v>
      </c>
      <c r="DA42">
        <v>109</v>
      </c>
      <c r="DB42">
        <v>109</v>
      </c>
      <c r="DC42">
        <v>94</v>
      </c>
      <c r="DD42">
        <v>81</v>
      </c>
      <c r="DE42" s="154">
        <v>63</v>
      </c>
      <c r="DF42">
        <v>96</v>
      </c>
      <c r="DG42">
        <v>95</v>
      </c>
    </row>
    <row r="43" spans="1:111" x14ac:dyDescent="0.35">
      <c r="A43">
        <v>42</v>
      </c>
      <c r="B43" s="17" t="s">
        <v>171</v>
      </c>
      <c r="C43" s="17" t="s">
        <v>1098</v>
      </c>
      <c r="D43" s="17" t="s">
        <v>118</v>
      </c>
      <c r="F43" s="6">
        <v>13</v>
      </c>
      <c r="G43" s="6">
        <v>1</v>
      </c>
      <c r="H43" s="20">
        <v>2</v>
      </c>
      <c r="I43" s="6">
        <v>8</v>
      </c>
      <c r="J43" s="6">
        <v>1</v>
      </c>
      <c r="L43" s="1">
        <v>25</v>
      </c>
      <c r="M43" s="1">
        <v>10</v>
      </c>
      <c r="O43">
        <f>299+24</f>
        <v>323</v>
      </c>
      <c r="P43">
        <f>172+11</f>
        <v>183</v>
      </c>
      <c r="Q43">
        <f>113+10</f>
        <v>123</v>
      </c>
      <c r="R43" s="9">
        <f>40.057+5.406+10.645+6.675+11.085+3.931</f>
        <v>77.798999999999992</v>
      </c>
      <c r="S43" s="263">
        <f>692+69+64+82+56+95</f>
        <v>1058</v>
      </c>
      <c r="T43" s="203">
        <f>553.562+(161.564-30.782)+(577.168-335.9733)+56.025+24.476+(128.024-14.012)</f>
        <v>1120.0517</v>
      </c>
      <c r="V43">
        <f>715+17</f>
        <v>732</v>
      </c>
      <c r="W43">
        <f>528+15</f>
        <v>543</v>
      </c>
      <c r="X43">
        <v>311</v>
      </c>
      <c r="Y43" s="9">
        <f>47.565+10.108+7.64+4.67+8.881+7.849+4.041+6.611+11.376+5.274+10.261+2.569+7.106-1.928+2.475+4.741-0.787-2.326+2.695+4.225-1.539-1.009+5.024+4.889</f>
        <v>150.41100000000006</v>
      </c>
      <c r="Z43" s="263">
        <f>1032+68+80+89+87+89+91+85+82+93+89+95+101+98+97+101+99+97+97+3+95+99+97+95+95</f>
        <v>3154</v>
      </c>
      <c r="AA43" s="203">
        <f>502.002+(156.048-28.024)+4.81+(149.67-24.835)+44.345+(120.472-10.236)+59.415+62.123+(160.402-30.201)+95.999+25.932+59.089+6.984+16.865+(245.967-80.6447)+12.758+16.942+16.648+36.358+4.5264+61.946+27.163+0+(124.881-12.4405)+23.507</f>
        <v>1848.4711999999997</v>
      </c>
      <c r="AC43">
        <f t="shared" si="38"/>
        <v>506</v>
      </c>
      <c r="AD43">
        <f t="shared" si="39"/>
        <v>318.75</v>
      </c>
      <c r="AE43">
        <f t="shared" si="40"/>
        <v>200.75</v>
      </c>
      <c r="AF43">
        <f t="shared" si="41"/>
        <v>115.40175000000001</v>
      </c>
      <c r="AG43">
        <f t="shared" si="42"/>
        <v>1846.5</v>
      </c>
      <c r="AH43">
        <f t="shared" si="43"/>
        <v>1582.1695</v>
      </c>
      <c r="AI43" s="73">
        <f t="shared" si="44"/>
        <v>22.75</v>
      </c>
      <c r="AJ43" s="73">
        <f t="shared" si="45"/>
        <v>22.241758241758241</v>
      </c>
      <c r="AK43" s="73">
        <f t="shared" si="46"/>
        <v>14.010989010989011</v>
      </c>
      <c r="AL43" s="73">
        <f t="shared" si="47"/>
        <v>8.2307692307692299</v>
      </c>
      <c r="AM43" s="73">
        <f t="shared" si="48"/>
        <v>2.5205479452054793</v>
      </c>
      <c r="AN43" s="227">
        <f t="shared" si="49"/>
        <v>5.0726043956043956</v>
      </c>
      <c r="AO43" s="227">
        <f t="shared" si="50"/>
        <v>4.8679905581660954</v>
      </c>
      <c r="AP43" s="227">
        <f t="shared" si="51"/>
        <v>3.2604717538839845</v>
      </c>
      <c r="AQ43" s="89">
        <f t="shared" si="52"/>
        <v>8.244839038411758</v>
      </c>
      <c r="AR43" s="73">
        <f t="shared" si="53"/>
        <v>81.164835164835168</v>
      </c>
      <c r="AS43" s="89">
        <f t="shared" si="54"/>
        <v>69.545912087912086</v>
      </c>
      <c r="AT43" s="89">
        <f t="shared" si="55"/>
        <v>8.3394191696971376</v>
      </c>
      <c r="AU43" s="9">
        <v>28</v>
      </c>
      <c r="AV43" s="9">
        <v>18</v>
      </c>
      <c r="AW43" s="350">
        <v>40</v>
      </c>
      <c r="AX43" s="54">
        <f t="shared" si="56"/>
        <v>86</v>
      </c>
      <c r="AZ43" s="49">
        <v>3</v>
      </c>
      <c r="BA43" s="48">
        <f t="shared" si="57"/>
        <v>3</v>
      </c>
      <c r="BB43" s="245">
        <f t="shared" si="58"/>
        <v>0</v>
      </c>
      <c r="BC43" s="36">
        <f t="shared" si="59"/>
        <v>0.94989295732327617</v>
      </c>
      <c r="BD43" s="205">
        <f t="shared" si="60"/>
        <v>1.2261904761904763</v>
      </c>
      <c r="BE43" s="205">
        <f t="shared" si="61"/>
        <v>0.88888888888888884</v>
      </c>
      <c r="BF43" s="205">
        <f t="shared" si="62"/>
        <v>0.82856733123706261</v>
      </c>
      <c r="BG43" s="205">
        <f t="shared" si="63"/>
        <v>0.85564343462315195</v>
      </c>
      <c r="BH43" s="205">
        <f t="shared" si="64"/>
        <v>0.94084191132294626</v>
      </c>
      <c r="BI43" s="205">
        <f t="shared" si="65"/>
        <v>0.11187158944329223</v>
      </c>
      <c r="BJ43" s="205">
        <f t="shared" si="66"/>
        <v>0.88707969502457551</v>
      </c>
      <c r="BK43" s="205">
        <f t="shared" si="67"/>
        <v>0.88030377136979987</v>
      </c>
      <c r="BL43" s="205">
        <f t="shared" si="68"/>
        <v>0.93070948141543586</v>
      </c>
      <c r="BM43" s="205">
        <f t="shared" si="69"/>
        <v>0.68253968253968256</v>
      </c>
      <c r="BN43" s="48">
        <f>50+100</f>
        <v>150</v>
      </c>
      <c r="BO43" s="220">
        <f t="shared" si="70"/>
        <v>236</v>
      </c>
      <c r="BP43" s="220">
        <v>120</v>
      </c>
      <c r="BQ43" s="220">
        <f t="shared" si="71"/>
        <v>356</v>
      </c>
      <c r="BR43" s="205">
        <v>0.66666666666666663</v>
      </c>
      <c r="BS43" s="35">
        <v>0.94989295732327617</v>
      </c>
      <c r="BT43">
        <v>3</v>
      </c>
      <c r="BU43" s="205">
        <v>8.3394191696971376</v>
      </c>
      <c r="BV43" s="34">
        <v>0.82856733123706261</v>
      </c>
      <c r="BW43" s="34">
        <v>0.85564343462315195</v>
      </c>
      <c r="BX43" s="34">
        <f>IF(A43&lt;17, SoC!O$3, IF(A43&lt;33, SoC!O$4, IF(A43&lt;49, SoC!O$5, IF(A43&lt;65, SoC!O$6, IF(A43&lt;81, SoC!O$7, IF(A43&lt;97, SoC!O$8, SoC!O$9))))))</f>
        <v>1.0509770295874163</v>
      </c>
      <c r="BY43" s="205">
        <f t="shared" si="72"/>
        <v>0.97462452119945975</v>
      </c>
      <c r="BZ43" s="205" t="str">
        <f t="shared" si="73"/>
        <v>A+</v>
      </c>
      <c r="CA43" s="35">
        <f t="shared" si="74"/>
        <v>9.5350382293284213</v>
      </c>
      <c r="CB43" s="245">
        <f t="shared" si="75"/>
        <v>-1</v>
      </c>
      <c r="CC43" s="48">
        <v>67</v>
      </c>
      <c r="CD43" s="17" t="s">
        <v>118</v>
      </c>
      <c r="CE43">
        <v>3</v>
      </c>
      <c r="CF43">
        <v>2</v>
      </c>
      <c r="CG43">
        <v>3</v>
      </c>
      <c r="CH43">
        <v>3</v>
      </c>
      <c r="CI43">
        <v>2</v>
      </c>
      <c r="CJ43">
        <v>2</v>
      </c>
      <c r="CK43">
        <v>2</v>
      </c>
      <c r="CL43">
        <v>3</v>
      </c>
      <c r="CM43">
        <v>3</v>
      </c>
      <c r="CN43">
        <v>3</v>
      </c>
      <c r="CO43">
        <v>3</v>
      </c>
      <c r="CP43">
        <v>5</v>
      </c>
      <c r="CQ43">
        <v>5</v>
      </c>
      <c r="CR43">
        <v>5</v>
      </c>
      <c r="CS43">
        <v>4</v>
      </c>
      <c r="CT43">
        <v>5</v>
      </c>
      <c r="CU43">
        <v>5</v>
      </c>
      <c r="CV43">
        <v>8</v>
      </c>
      <c r="CW43">
        <v>6</v>
      </c>
      <c r="CX43">
        <v>8</v>
      </c>
      <c r="CY43">
        <v>6</v>
      </c>
      <c r="CZ43">
        <v>2</v>
      </c>
      <c r="DA43">
        <v>3</v>
      </c>
      <c r="DB43">
        <v>4</v>
      </c>
      <c r="DC43">
        <v>5</v>
      </c>
      <c r="DD43">
        <v>3</v>
      </c>
      <c r="DE43" s="154">
        <v>6</v>
      </c>
      <c r="DF43">
        <v>14</v>
      </c>
      <c r="DG43">
        <v>46</v>
      </c>
    </row>
    <row r="44" spans="1:111" x14ac:dyDescent="0.35">
      <c r="A44">
        <v>43</v>
      </c>
      <c r="B44" s="17" t="s">
        <v>171</v>
      </c>
      <c r="C44" s="17" t="s">
        <v>1098</v>
      </c>
      <c r="D44" s="17" t="s">
        <v>56</v>
      </c>
      <c r="F44" s="6">
        <v>4</v>
      </c>
      <c r="G44" s="6">
        <v>9</v>
      </c>
      <c r="H44" s="6"/>
      <c r="I44" s="6">
        <v>3</v>
      </c>
      <c r="J44" s="6">
        <v>6</v>
      </c>
      <c r="L44" s="1">
        <v>1</v>
      </c>
      <c r="M44" s="1">
        <v>2</v>
      </c>
      <c r="O44">
        <v>192</v>
      </c>
      <c r="P44">
        <v>226</v>
      </c>
      <c r="Q44">
        <v>113</v>
      </c>
      <c r="R44" s="9">
        <f>-18.833-5.2-2.881-2.122-6.174</f>
        <v>-35.21</v>
      </c>
      <c r="S44" s="263">
        <f>254+42+42+48+67</f>
        <v>453</v>
      </c>
      <c r="T44" s="203">
        <f>217.752+82.38+16.472+34.931+9.189</f>
        <v>360.72399999999999</v>
      </c>
      <c r="V44">
        <v>39</v>
      </c>
      <c r="W44">
        <v>55</v>
      </c>
      <c r="X44">
        <v>23</v>
      </c>
      <c r="Y44" s="9">
        <f>-7.479</f>
        <v>-7.4790000000000001</v>
      </c>
      <c r="Z44" s="263">
        <f>82</f>
        <v>82</v>
      </c>
      <c r="AA44" s="203">
        <f>52.581</f>
        <v>52.581000000000003</v>
      </c>
      <c r="AC44">
        <f t="shared" si="38"/>
        <v>201.75</v>
      </c>
      <c r="AD44">
        <f t="shared" si="39"/>
        <v>239.75</v>
      </c>
      <c r="AE44">
        <f t="shared" si="40"/>
        <v>118.75</v>
      </c>
      <c r="AF44">
        <f t="shared" si="41"/>
        <v>-37.079750000000004</v>
      </c>
      <c r="AG44">
        <f t="shared" si="42"/>
        <v>473.5</v>
      </c>
      <c r="AH44">
        <f t="shared" si="43"/>
        <v>373.86924999999997</v>
      </c>
      <c r="AI44" s="73">
        <f t="shared" si="44"/>
        <v>13.75</v>
      </c>
      <c r="AJ44" s="73">
        <f t="shared" si="45"/>
        <v>14.672727272727272</v>
      </c>
      <c r="AK44" s="73">
        <f t="shared" si="46"/>
        <v>17.436363636363637</v>
      </c>
      <c r="AL44" s="73">
        <f t="shared" si="47"/>
        <v>-2.7636363636363654</v>
      </c>
      <c r="AM44" s="73">
        <f t="shared" si="48"/>
        <v>1.6989473684210525</v>
      </c>
      <c r="AN44" s="227">
        <f t="shared" si="49"/>
        <v>-1.3483545454545456</v>
      </c>
      <c r="AO44" s="227">
        <f t="shared" si="50"/>
        <v>-1.3893076759338709</v>
      </c>
      <c r="AP44" s="227">
        <f t="shared" si="51"/>
        <v>-2.5974142247949139E-2</v>
      </c>
      <c r="AQ44" s="89">
        <f t="shared" si="52"/>
        <v>1.5077753670107052</v>
      </c>
      <c r="AR44" s="73">
        <f t="shared" si="53"/>
        <v>34.436363636363637</v>
      </c>
      <c r="AS44" s="89">
        <f t="shared" si="54"/>
        <v>27.190490909090908</v>
      </c>
      <c r="AT44" s="89">
        <f t="shared" si="55"/>
        <v>5.2144502019954997</v>
      </c>
      <c r="AU44" s="9">
        <v>14</v>
      </c>
      <c r="AV44" s="9">
        <v>0</v>
      </c>
      <c r="AX44" s="54">
        <f t="shared" si="56"/>
        <v>14</v>
      </c>
      <c r="AZ44" s="49">
        <v>79</v>
      </c>
      <c r="BA44" s="48">
        <f t="shared" si="57"/>
        <v>79</v>
      </c>
      <c r="BB44" s="245">
        <f t="shared" si="58"/>
        <v>0</v>
      </c>
      <c r="BC44" s="36">
        <f t="shared" si="59"/>
        <v>0.39608346479125217</v>
      </c>
      <c r="BD44" s="205">
        <f t="shared" si="60"/>
        <v>0.32051282051282054</v>
      </c>
      <c r="BE44" s="205">
        <f t="shared" si="61"/>
        <v>0.33333333333333331</v>
      </c>
      <c r="BF44" s="205">
        <f t="shared" si="62"/>
        <v>0.18056435410595653</v>
      </c>
      <c r="BG44" s="205">
        <f t="shared" si="63"/>
        <v>0.53605408727719728</v>
      </c>
      <c r="BH44" s="205">
        <f t="shared" si="64"/>
        <v>3.2793434702227814E-2</v>
      </c>
      <c r="BI44" s="205">
        <f t="shared" si="65"/>
        <v>0.8222425270192566</v>
      </c>
      <c r="BJ44" s="205">
        <f t="shared" si="66"/>
        <v>0.54410625044408778</v>
      </c>
      <c r="BK44" s="205">
        <f t="shared" si="67"/>
        <v>0.27332719099610198</v>
      </c>
      <c r="BL44" s="205">
        <f t="shared" si="68"/>
        <v>0.45594815307580505</v>
      </c>
      <c r="BM44" s="205">
        <f t="shared" si="69"/>
        <v>0.1111111111111111</v>
      </c>
      <c r="BN44" s="48">
        <v>5</v>
      </c>
      <c r="BO44" s="220">
        <f t="shared" si="70"/>
        <v>19</v>
      </c>
      <c r="BP44" s="220">
        <v>15</v>
      </c>
      <c r="BQ44" s="220">
        <f t="shared" si="71"/>
        <v>34</v>
      </c>
      <c r="BR44" s="205">
        <v>1</v>
      </c>
      <c r="BS44" s="35">
        <v>0.39608346479125217</v>
      </c>
      <c r="BT44">
        <v>1</v>
      </c>
      <c r="BU44" s="205">
        <v>5.2144502019954997</v>
      </c>
      <c r="BV44" s="34">
        <v>0.18056435410595653</v>
      </c>
      <c r="BW44" s="34">
        <v>0.53605408727719728</v>
      </c>
      <c r="BX44" s="34">
        <f>IF(A44&lt;17, SoC!O$3, IF(A44&lt;33, SoC!O$4, IF(A44&lt;49, SoC!O$5, IF(A44&lt;65, SoC!O$6, IF(A44&lt;81, SoC!O$7, IF(A44&lt;97, SoC!O$8, SoC!O$9))))))</f>
        <v>1.0509770295874163</v>
      </c>
      <c r="BY44" s="205">
        <f t="shared" si="72"/>
        <v>0.6293516225380309</v>
      </c>
      <c r="BZ44" s="205" t="str">
        <f t="shared" si="73"/>
        <v>D-</v>
      </c>
      <c r="CA44" s="35">
        <f t="shared" si="74"/>
        <v>-3.1036361051628791</v>
      </c>
      <c r="CB44" s="245">
        <f t="shared" si="75"/>
        <v>0</v>
      </c>
      <c r="CC44" s="48">
        <v>17</v>
      </c>
      <c r="CD44" s="17" t="s">
        <v>56</v>
      </c>
      <c r="CE44">
        <v>79</v>
      </c>
      <c r="CF44">
        <v>79</v>
      </c>
      <c r="CG44">
        <v>78</v>
      </c>
      <c r="CH44">
        <v>79</v>
      </c>
      <c r="CI44">
        <v>79</v>
      </c>
      <c r="CJ44">
        <v>79</v>
      </c>
      <c r="CK44">
        <v>79</v>
      </c>
      <c r="CL44">
        <v>79</v>
      </c>
      <c r="CM44">
        <v>78</v>
      </c>
      <c r="CN44">
        <v>79</v>
      </c>
      <c r="CO44">
        <v>79</v>
      </c>
      <c r="CP44">
        <v>74</v>
      </c>
      <c r="CQ44">
        <v>74</v>
      </c>
      <c r="CR44">
        <v>85</v>
      </c>
      <c r="CS44">
        <v>85</v>
      </c>
      <c r="CT44">
        <v>87</v>
      </c>
      <c r="CU44">
        <v>88</v>
      </c>
      <c r="CV44">
        <v>100</v>
      </c>
      <c r="CW44">
        <v>98</v>
      </c>
      <c r="CX44">
        <v>100</v>
      </c>
      <c r="CY44">
        <v>103</v>
      </c>
      <c r="CZ44">
        <v>102</v>
      </c>
      <c r="DA44">
        <v>104</v>
      </c>
      <c r="DB44">
        <v>105</v>
      </c>
      <c r="DC44">
        <v>99</v>
      </c>
      <c r="DD44">
        <v>85</v>
      </c>
      <c r="DE44" s="154">
        <v>71</v>
      </c>
      <c r="DF44">
        <v>110</v>
      </c>
      <c r="DG44">
        <v>96</v>
      </c>
    </row>
    <row r="45" spans="1:111" x14ac:dyDescent="0.35">
      <c r="A45">
        <v>44</v>
      </c>
      <c r="B45" s="17" t="s">
        <v>171</v>
      </c>
      <c r="C45" s="17" t="s">
        <v>1098</v>
      </c>
      <c r="D45" s="17" t="s">
        <v>145</v>
      </c>
      <c r="F45" s="6">
        <v>11</v>
      </c>
      <c r="G45" s="6">
        <v>3</v>
      </c>
      <c r="H45" s="8">
        <v>10</v>
      </c>
      <c r="I45" s="6">
        <v>8</v>
      </c>
      <c r="J45" s="6">
        <v>1</v>
      </c>
      <c r="L45" s="1">
        <v>23</v>
      </c>
      <c r="M45" s="1">
        <v>9</v>
      </c>
      <c r="O45">
        <v>253</v>
      </c>
      <c r="P45">
        <f>184+24</f>
        <v>208</v>
      </c>
      <c r="Q45">
        <v>122</v>
      </c>
      <c r="R45" s="9">
        <f>13.322+4.153+5.724+3.858+6.174-3.931</f>
        <v>29.3</v>
      </c>
      <c r="S45" s="263">
        <f>618+75+74+85+67+95</f>
        <v>1014</v>
      </c>
      <c r="T45" s="203">
        <f>425.664+32.659+97.761+75.313+(112.933-6.4665)+1.567</f>
        <v>739.43049999999994</v>
      </c>
      <c r="V45">
        <v>659</v>
      </c>
      <c r="W45">
        <v>467</v>
      </c>
      <c r="X45">
        <v>287</v>
      </c>
      <c r="Y45" s="9">
        <f>61.522+0.89+3.462-0.049+2.671+2.476+6.788+3.816-0.407+7.563+10.161+8.732+13.46+0.142+5.051+1.181-2.221-2.569-7.106+3.301-0.179</f>
        <v>118.685</v>
      </c>
      <c r="Z45" s="263">
        <f>844+86+84+91+93+89+86+97+94+70+68+74+71+95+99+96+97+95+101+93+95+3</f>
        <v>2621</v>
      </c>
      <c r="AA45" s="203">
        <f>740.679+66.153+54.622+46.77+0.896+(570.828-330.69)+(107.435-3.7175)+25.786+7.239+35.503+92.448+70.674+(198.558-49.279)+2.247+26.738+22.812+50.785+13.122+62.375+33.894+0</f>
        <v>1845.8775000000001</v>
      </c>
      <c r="AC45">
        <f t="shared" si="38"/>
        <v>417.75</v>
      </c>
      <c r="AD45">
        <f t="shared" si="39"/>
        <v>324.75</v>
      </c>
      <c r="AE45">
        <f t="shared" si="40"/>
        <v>193.75</v>
      </c>
      <c r="AF45">
        <f t="shared" si="41"/>
        <v>58.971249999999998</v>
      </c>
      <c r="AG45">
        <f t="shared" si="42"/>
        <v>1669.25</v>
      </c>
      <c r="AH45">
        <f t="shared" si="43"/>
        <v>1200.8998750000001</v>
      </c>
      <c r="AI45" s="73">
        <f t="shared" si="44"/>
        <v>22</v>
      </c>
      <c r="AJ45" s="73">
        <f t="shared" si="45"/>
        <v>18.988636363636363</v>
      </c>
      <c r="AK45" s="73">
        <f t="shared" si="46"/>
        <v>14.761363636363637</v>
      </c>
      <c r="AL45" s="73">
        <f t="shared" si="47"/>
        <v>4.2272727272727266</v>
      </c>
      <c r="AM45" s="73">
        <f t="shared" si="48"/>
        <v>2.1561290322580646</v>
      </c>
      <c r="AN45" s="227">
        <f t="shared" si="49"/>
        <v>2.6805113636363633</v>
      </c>
      <c r="AO45" s="227">
        <f t="shared" si="50"/>
        <v>2.536868424831308</v>
      </c>
      <c r="AP45" s="227">
        <f t="shared" si="51"/>
        <v>1.6185828330388912</v>
      </c>
      <c r="AQ45" s="89">
        <f t="shared" si="52"/>
        <v>6.09546041147075</v>
      </c>
      <c r="AR45" s="73">
        <f t="shared" si="53"/>
        <v>75.875</v>
      </c>
      <c r="AS45" s="89">
        <f t="shared" si="54"/>
        <v>54.586357954545456</v>
      </c>
      <c r="AT45" s="89">
        <f t="shared" si="55"/>
        <v>7.3882581136926619</v>
      </c>
      <c r="AU45" s="9">
        <v>42</v>
      </c>
      <c r="AV45" s="9">
        <v>30</v>
      </c>
      <c r="AW45" s="9">
        <v>31</v>
      </c>
      <c r="AX45" s="54">
        <f t="shared" si="56"/>
        <v>103</v>
      </c>
      <c r="AZ45" s="49">
        <v>7</v>
      </c>
      <c r="BA45" s="48">
        <f t="shared" si="57"/>
        <v>7</v>
      </c>
      <c r="BB45" s="245">
        <f t="shared" si="58"/>
        <v>0</v>
      </c>
      <c r="BC45" s="36">
        <f t="shared" si="59"/>
        <v>0.83368875582956181</v>
      </c>
      <c r="BD45" s="205">
        <f t="shared" si="60"/>
        <v>1.0595238095238095</v>
      </c>
      <c r="BE45" s="205">
        <f t="shared" si="61"/>
        <v>0.88888888888888884</v>
      </c>
      <c r="BF45" s="205">
        <f t="shared" si="62"/>
        <v>0.55005972958786575</v>
      </c>
      <c r="BG45" s="205">
        <f t="shared" si="63"/>
        <v>0.78563306699446833</v>
      </c>
      <c r="BH45" s="205">
        <f t="shared" si="64"/>
        <v>0.53807924524888995</v>
      </c>
      <c r="BI45" s="205">
        <f t="shared" si="65"/>
        <v>0.37651638556899647</v>
      </c>
      <c r="BJ45" s="205">
        <f t="shared" si="66"/>
        <v>0.71573219179515513</v>
      </c>
      <c r="BK45" s="205">
        <f t="shared" si="67"/>
        <v>0.70613158692478972</v>
      </c>
      <c r="BL45" s="205">
        <f t="shared" si="68"/>
        <v>0.78620421077726488</v>
      </c>
      <c r="BM45" s="205">
        <f t="shared" si="69"/>
        <v>0.81746031746031744</v>
      </c>
      <c r="BN45" s="48">
        <f>30+52</f>
        <v>82</v>
      </c>
      <c r="BO45" s="220">
        <f t="shared" si="70"/>
        <v>185</v>
      </c>
      <c r="BP45" s="220">
        <v>102</v>
      </c>
      <c r="BQ45" s="220">
        <f t="shared" si="71"/>
        <v>287</v>
      </c>
      <c r="BR45" s="205">
        <v>-0.33333333333333331</v>
      </c>
      <c r="BS45" s="35">
        <v>0.83368875582956181</v>
      </c>
      <c r="BT45">
        <v>3</v>
      </c>
      <c r="BU45" s="205">
        <v>7.3882581136926619</v>
      </c>
      <c r="BV45" s="34">
        <v>0.55005972958786575</v>
      </c>
      <c r="BW45" s="34">
        <v>0.78563306699446833</v>
      </c>
      <c r="BX45" s="34">
        <f>IF(A45&lt;17, SoC!O$3, IF(A45&lt;33, SoC!O$4, IF(A45&lt;49, SoC!O$5, IF(A45&lt;65, SoC!O$6, IF(A45&lt;81, SoC!O$7, IF(A45&lt;97, SoC!O$8, SoC!O$9))))))</f>
        <v>1.0509770295874163</v>
      </c>
      <c r="BY45" s="205">
        <f t="shared" si="72"/>
        <v>0.91306558134099103</v>
      </c>
      <c r="BZ45" s="205" t="str">
        <f t="shared" si="73"/>
        <v>A-</v>
      </c>
      <c r="CA45" s="35">
        <f t="shared" si="74"/>
        <v>6.7353736714518959</v>
      </c>
      <c r="CB45" s="245">
        <f t="shared" si="75"/>
        <v>0</v>
      </c>
      <c r="CC45" s="48">
        <v>71</v>
      </c>
      <c r="CD45" s="17" t="s">
        <v>145</v>
      </c>
      <c r="CE45">
        <v>7</v>
      </c>
      <c r="CF45">
        <v>7</v>
      </c>
      <c r="CG45">
        <v>7</v>
      </c>
      <c r="CH45">
        <v>8</v>
      </c>
      <c r="CI45">
        <v>9</v>
      </c>
      <c r="CJ45">
        <v>9</v>
      </c>
      <c r="CK45">
        <v>9</v>
      </c>
      <c r="CL45">
        <v>9</v>
      </c>
      <c r="CM45">
        <v>7</v>
      </c>
      <c r="CN45">
        <v>6</v>
      </c>
      <c r="CO45">
        <v>7</v>
      </c>
      <c r="CP45">
        <v>7</v>
      </c>
      <c r="CQ45">
        <v>7</v>
      </c>
      <c r="CR45">
        <v>8</v>
      </c>
      <c r="CS45">
        <v>9</v>
      </c>
      <c r="CT45">
        <v>11</v>
      </c>
      <c r="CU45">
        <v>12</v>
      </c>
      <c r="CV45">
        <v>11</v>
      </c>
      <c r="CW45">
        <v>8</v>
      </c>
      <c r="CX45">
        <v>11</v>
      </c>
      <c r="CY45">
        <v>15</v>
      </c>
      <c r="CZ45">
        <v>15</v>
      </c>
      <c r="DA45">
        <v>14</v>
      </c>
      <c r="DB45">
        <v>24</v>
      </c>
      <c r="DC45">
        <v>23</v>
      </c>
      <c r="DD45">
        <v>39</v>
      </c>
      <c r="DE45" s="154">
        <v>28</v>
      </c>
      <c r="DF45">
        <v>46</v>
      </c>
      <c r="DG45">
        <v>42</v>
      </c>
    </row>
    <row r="46" spans="1:111" x14ac:dyDescent="0.35">
      <c r="A46">
        <v>45</v>
      </c>
      <c r="B46" s="17" t="s">
        <v>171</v>
      </c>
      <c r="C46" s="17" t="s">
        <v>1097</v>
      </c>
      <c r="D46" s="17" t="s">
        <v>53</v>
      </c>
      <c r="F46" s="6">
        <v>10</v>
      </c>
      <c r="G46" s="6">
        <v>3</v>
      </c>
      <c r="H46" s="6"/>
      <c r="I46" s="6">
        <v>7</v>
      </c>
      <c r="J46" s="6">
        <v>2</v>
      </c>
      <c r="L46" s="1">
        <v>8</v>
      </c>
      <c r="M46" s="1">
        <v>5</v>
      </c>
      <c r="O46">
        <f>197+15</f>
        <v>212</v>
      </c>
      <c r="P46">
        <v>183</v>
      </c>
      <c r="Q46">
        <v>106</v>
      </c>
      <c r="R46" s="9">
        <f>7.641-1.812-1.012+9.167+0.118</f>
        <v>14.102</v>
      </c>
      <c r="S46" s="263">
        <f>525+87+88+37+82</f>
        <v>819</v>
      </c>
      <c r="T46" s="203">
        <f>238.005+37.512+4.899+59.11+87.083</f>
        <v>426.60900000000004</v>
      </c>
      <c r="V46">
        <f>211+16</f>
        <v>227</v>
      </c>
      <c r="W46">
        <f>197+31</f>
        <v>228</v>
      </c>
      <c r="X46">
        <v>109</v>
      </c>
      <c r="Y46" s="9">
        <f>-2.823+5.069+2.077-2.476-6.788</f>
        <v>-4.9409999999999998</v>
      </c>
      <c r="Z46" s="263">
        <f>740+77+72+89+86</f>
        <v>1064</v>
      </c>
      <c r="AA46" s="203">
        <f>501.2805+17.176+59.589+0+16.847</f>
        <v>594.89249999999993</v>
      </c>
      <c r="AC46">
        <f t="shared" si="38"/>
        <v>268.75</v>
      </c>
      <c r="AD46">
        <f t="shared" si="39"/>
        <v>240</v>
      </c>
      <c r="AE46">
        <f t="shared" si="40"/>
        <v>133.25</v>
      </c>
      <c r="AF46">
        <f t="shared" si="41"/>
        <v>12.86675</v>
      </c>
      <c r="AG46">
        <f t="shared" si="42"/>
        <v>1085</v>
      </c>
      <c r="AH46">
        <f t="shared" si="43"/>
        <v>575.33212500000002</v>
      </c>
      <c r="AI46" s="73">
        <f t="shared" si="44"/>
        <v>16.25</v>
      </c>
      <c r="AJ46" s="73">
        <f t="shared" si="45"/>
        <v>16.53846153846154</v>
      </c>
      <c r="AK46" s="73">
        <f t="shared" si="46"/>
        <v>14.76923076923077</v>
      </c>
      <c r="AL46" s="73">
        <f t="shared" si="47"/>
        <v>1.7692307692307701</v>
      </c>
      <c r="AM46" s="73">
        <f t="shared" si="48"/>
        <v>2.0168855534709191</v>
      </c>
      <c r="AN46" s="227">
        <f t="shared" si="49"/>
        <v>0.79179999999999995</v>
      </c>
      <c r="AO46" s="227">
        <f t="shared" si="50"/>
        <v>0.69629750872803431</v>
      </c>
      <c r="AP46" s="227">
        <f t="shared" si="51"/>
        <v>1.025182014866753</v>
      </c>
      <c r="AQ46" s="89">
        <f t="shared" si="52"/>
        <v>4.4974319269073151</v>
      </c>
      <c r="AR46" s="73">
        <f t="shared" si="53"/>
        <v>66.769230769230774</v>
      </c>
      <c r="AS46" s="89">
        <f t="shared" si="54"/>
        <v>35.405053846153848</v>
      </c>
      <c r="AT46" s="89">
        <f t="shared" si="55"/>
        <v>5.950214605050296</v>
      </c>
      <c r="AU46" s="9">
        <v>28</v>
      </c>
      <c r="AV46" s="9">
        <v>24</v>
      </c>
      <c r="AW46" s="9">
        <v>14</v>
      </c>
      <c r="AX46" s="54">
        <f t="shared" si="56"/>
        <v>66</v>
      </c>
      <c r="AZ46" s="49">
        <v>24</v>
      </c>
      <c r="BA46" s="48">
        <f t="shared" si="57"/>
        <v>24</v>
      </c>
      <c r="BB46" s="245">
        <f t="shared" si="58"/>
        <v>0</v>
      </c>
      <c r="BC46" s="36">
        <f t="shared" si="59"/>
        <v>0.69721773657694242</v>
      </c>
      <c r="BD46" s="205">
        <f t="shared" si="60"/>
        <v>0.87179487179487181</v>
      </c>
      <c r="BE46" s="205">
        <f t="shared" si="61"/>
        <v>0.77777777777777779</v>
      </c>
      <c r="BF46" s="205">
        <f t="shared" si="62"/>
        <v>0.34029435966122606</v>
      </c>
      <c r="BG46" s="205">
        <f t="shared" si="63"/>
        <v>0.78489905914613967</v>
      </c>
      <c r="BH46" s="205">
        <f t="shared" si="64"/>
        <v>0.38418472233254064</v>
      </c>
      <c r="BI46" s="205">
        <f t="shared" si="65"/>
        <v>0.58547048020076686</v>
      </c>
      <c r="BJ46" s="205">
        <f t="shared" si="66"/>
        <v>0.6538048912834028</v>
      </c>
      <c r="BK46" s="205">
        <f t="shared" si="67"/>
        <v>0.56881398919693349</v>
      </c>
      <c r="BL46" s="205">
        <f t="shared" si="68"/>
        <v>0.56772925840826027</v>
      </c>
      <c r="BM46" s="205">
        <f t="shared" si="69"/>
        <v>0.52380952380952384</v>
      </c>
      <c r="BN46" s="48">
        <v>10</v>
      </c>
      <c r="BO46" s="220">
        <f t="shared" si="70"/>
        <v>76</v>
      </c>
      <c r="BP46" s="220">
        <v>71</v>
      </c>
      <c r="BQ46" s="220">
        <f t="shared" si="71"/>
        <v>147</v>
      </c>
      <c r="BR46" s="205">
        <v>-1.3333333333333333</v>
      </c>
      <c r="BS46" s="35">
        <v>0.69721773657694242</v>
      </c>
      <c r="BT46">
        <v>4</v>
      </c>
      <c r="BU46" s="205">
        <v>5.950214605050296</v>
      </c>
      <c r="BV46" s="34">
        <v>0.34029435966122606</v>
      </c>
      <c r="BW46" s="34">
        <v>0.78489905914613967</v>
      </c>
      <c r="BX46" s="34">
        <f>IF(A46&lt;17, SoC!O$3, IF(A46&lt;33, SoC!O$4, IF(A46&lt;49, SoC!O$5, IF(A46&lt;65, SoC!O$6, IF(A46&lt;81, SoC!O$7, IF(A46&lt;97, SoC!O$8, SoC!O$9))))))</f>
        <v>1.0509770295874163</v>
      </c>
      <c r="BY46" s="205">
        <f t="shared" si="72"/>
        <v>0.83499565063354819</v>
      </c>
      <c r="BZ46" s="205" t="str">
        <f t="shared" si="73"/>
        <v>B</v>
      </c>
      <c r="CA46" s="35">
        <f t="shared" si="74"/>
        <v>3.2869315320783246</v>
      </c>
      <c r="CB46" s="245">
        <f t="shared" si="75"/>
        <v>0</v>
      </c>
      <c r="CC46" s="48">
        <v>82</v>
      </c>
      <c r="CD46" s="17" t="s">
        <v>53</v>
      </c>
      <c r="CE46">
        <v>24</v>
      </c>
      <c r="CF46">
        <v>24</v>
      </c>
      <c r="CG46">
        <v>23</v>
      </c>
      <c r="CH46">
        <v>23</v>
      </c>
      <c r="CI46">
        <v>24</v>
      </c>
      <c r="CJ46">
        <v>24</v>
      </c>
      <c r="CK46">
        <v>24</v>
      </c>
      <c r="CL46">
        <v>24</v>
      </c>
      <c r="CM46">
        <v>26</v>
      </c>
      <c r="CN46">
        <v>25</v>
      </c>
      <c r="CO46">
        <v>23</v>
      </c>
      <c r="CP46">
        <v>28</v>
      </c>
      <c r="CQ46">
        <v>28</v>
      </c>
      <c r="CR46">
        <v>29</v>
      </c>
      <c r="CS46">
        <v>25</v>
      </c>
      <c r="CT46">
        <v>22</v>
      </c>
      <c r="CU46">
        <v>22</v>
      </c>
      <c r="CV46">
        <v>24</v>
      </c>
      <c r="CW46">
        <v>27</v>
      </c>
      <c r="CX46">
        <v>29</v>
      </c>
      <c r="CY46">
        <v>27</v>
      </c>
      <c r="CZ46">
        <v>42</v>
      </c>
      <c r="DA46">
        <v>45</v>
      </c>
      <c r="DB46">
        <v>53</v>
      </c>
      <c r="DC46">
        <v>54</v>
      </c>
      <c r="DD46">
        <v>41</v>
      </c>
      <c r="DE46" s="154">
        <v>56</v>
      </c>
      <c r="DF46">
        <v>31</v>
      </c>
      <c r="DG46">
        <v>31</v>
      </c>
    </row>
    <row r="47" spans="1:111" x14ac:dyDescent="0.35">
      <c r="A47">
        <v>46</v>
      </c>
      <c r="B47" s="17" t="s">
        <v>171</v>
      </c>
      <c r="C47" s="17" t="s">
        <v>1097</v>
      </c>
      <c r="D47" s="17" t="s">
        <v>54</v>
      </c>
      <c r="F47" s="6">
        <v>4</v>
      </c>
      <c r="G47" s="6">
        <v>9</v>
      </c>
      <c r="H47" s="6"/>
      <c r="I47" s="6">
        <v>1</v>
      </c>
      <c r="J47" s="6">
        <v>8</v>
      </c>
      <c r="L47" s="1">
        <v>0</v>
      </c>
      <c r="M47" s="1">
        <v>2</v>
      </c>
      <c r="O47">
        <v>200</v>
      </c>
      <c r="P47">
        <v>269</v>
      </c>
      <c r="Q47">
        <v>109</v>
      </c>
      <c r="R47" s="9">
        <f>-38.573-5.658-6.433-2.646+0.524</f>
        <v>-52.786000000000001</v>
      </c>
      <c r="S47" s="263">
        <f>322+22+46+24+8</f>
        <v>422</v>
      </c>
      <c r="T47" s="203">
        <f>169.667+8.081+71.969+0.914+40.274</f>
        <v>290.90499999999997</v>
      </c>
      <c r="V47">
        <v>28</v>
      </c>
      <c r="W47">
        <v>45</v>
      </c>
      <c r="X47">
        <v>16</v>
      </c>
      <c r="Y47" s="9">
        <f>-9.01</f>
        <v>-9.01</v>
      </c>
      <c r="Z47" s="263">
        <f>95</f>
        <v>95</v>
      </c>
      <c r="AA47" s="203">
        <f>17.704</f>
        <v>17.704000000000001</v>
      </c>
      <c r="AC47">
        <f t="shared" si="38"/>
        <v>207</v>
      </c>
      <c r="AD47">
        <f t="shared" si="39"/>
        <v>280.25</v>
      </c>
      <c r="AE47">
        <f t="shared" si="40"/>
        <v>113</v>
      </c>
      <c r="AF47">
        <f t="shared" si="41"/>
        <v>-55.038499999999999</v>
      </c>
      <c r="AG47">
        <f t="shared" si="42"/>
        <v>445.75</v>
      </c>
      <c r="AH47">
        <f t="shared" si="43"/>
        <v>295.33099999999996</v>
      </c>
      <c r="AI47" s="73">
        <f t="shared" si="44"/>
        <v>13.5</v>
      </c>
      <c r="AJ47" s="73">
        <f t="shared" si="45"/>
        <v>15.333333333333334</v>
      </c>
      <c r="AK47" s="73">
        <f t="shared" si="46"/>
        <v>20.75925925925926</v>
      </c>
      <c r="AL47" s="73">
        <f t="shared" si="47"/>
        <v>-5.4259259259259256</v>
      </c>
      <c r="AM47" s="73">
        <f t="shared" si="48"/>
        <v>1.831858407079646</v>
      </c>
      <c r="AN47" s="227">
        <f t="shared" si="49"/>
        <v>-2.0384629629629631</v>
      </c>
      <c r="AO47" s="227">
        <f t="shared" si="50"/>
        <v>-2.0618262548333628</v>
      </c>
      <c r="AP47" s="227">
        <f t="shared" si="51"/>
        <v>-1.3256367081295997</v>
      </c>
      <c r="AQ47" s="89">
        <f t="shared" si="52"/>
        <v>0.96970565894141891</v>
      </c>
      <c r="AR47" s="73">
        <f t="shared" si="53"/>
        <v>33.018518518518519</v>
      </c>
      <c r="AS47" s="89">
        <f t="shared" si="54"/>
        <v>21.876370370370367</v>
      </c>
      <c r="AT47" s="89">
        <f t="shared" si="55"/>
        <v>4.6772182299279521</v>
      </c>
      <c r="AU47" s="9">
        <v>14</v>
      </c>
      <c r="AV47" s="9">
        <v>0</v>
      </c>
      <c r="AX47" s="54">
        <f t="shared" si="56"/>
        <v>14</v>
      </c>
      <c r="AZ47" s="49">
        <v>99</v>
      </c>
      <c r="BA47" s="48">
        <f t="shared" si="57"/>
        <v>99</v>
      </c>
      <c r="BB47" s="245">
        <f t="shared" si="58"/>
        <v>0</v>
      </c>
      <c r="BC47" s="36">
        <f t="shared" si="59"/>
        <v>0.32849530500459767</v>
      </c>
      <c r="BD47" s="205">
        <f t="shared" si="60"/>
        <v>0.30769230769230771</v>
      </c>
      <c r="BE47" s="205">
        <f t="shared" si="61"/>
        <v>0.1111111111111111</v>
      </c>
      <c r="BF47" s="205">
        <f t="shared" si="62"/>
        <v>0.23712043053569595</v>
      </c>
      <c r="BG47" s="205">
        <f t="shared" si="63"/>
        <v>0.22602608755036546</v>
      </c>
      <c r="BH47" s="205">
        <f t="shared" si="64"/>
        <v>0.1796892251754616</v>
      </c>
      <c r="BI47" s="205">
        <f t="shared" si="65"/>
        <v>0.89859139765907892</v>
      </c>
      <c r="BJ47" s="205">
        <f t="shared" si="66"/>
        <v>0.40847348450159005</v>
      </c>
      <c r="BK47" s="205">
        <f t="shared" si="67"/>
        <v>0.2069597994301397</v>
      </c>
      <c r="BL47" s="205">
        <f t="shared" si="68"/>
        <v>0.37432911387206591</v>
      </c>
      <c r="BM47" s="205">
        <f t="shared" si="69"/>
        <v>0.1111111111111111</v>
      </c>
      <c r="BN47" s="48">
        <v>5</v>
      </c>
      <c r="BO47" s="220">
        <f t="shared" si="70"/>
        <v>19</v>
      </c>
      <c r="BP47" s="220">
        <v>5</v>
      </c>
      <c r="BQ47" s="220">
        <f t="shared" si="71"/>
        <v>24</v>
      </c>
      <c r="BR47" s="205">
        <v>-0.66666666666666663</v>
      </c>
      <c r="BS47" s="35">
        <v>0.32849530500459767</v>
      </c>
      <c r="BT47">
        <v>2</v>
      </c>
      <c r="BU47" s="205">
        <v>4.6772182299279521</v>
      </c>
      <c r="BV47" s="34">
        <v>0.23712043053569595</v>
      </c>
      <c r="BW47" s="34">
        <v>0.22602608755036546</v>
      </c>
      <c r="BX47" s="34">
        <f>IF(A47&lt;17, SoC!O$3, IF(A47&lt;33, SoC!O$4, IF(A47&lt;49, SoC!O$5, IF(A47&lt;65, SoC!O$6, IF(A47&lt;81, SoC!O$7, IF(A47&lt;97, SoC!O$8, SoC!O$9))))))</f>
        <v>1.0509770295874163</v>
      </c>
      <c r="BY47" s="205">
        <f t="shared" si="72"/>
        <v>0.57314509943346603</v>
      </c>
      <c r="BZ47" s="205" t="str">
        <f t="shared" si="73"/>
        <v>F+</v>
      </c>
      <c r="CA47" s="35">
        <f t="shared" si="74"/>
        <v>-4.7240152869297427</v>
      </c>
      <c r="CB47" s="245">
        <f t="shared" si="75"/>
        <v>0</v>
      </c>
      <c r="CC47" s="48">
        <v>55</v>
      </c>
      <c r="CD47" s="17" t="s">
        <v>54</v>
      </c>
      <c r="CE47">
        <v>99</v>
      </c>
      <c r="CF47">
        <v>99</v>
      </c>
      <c r="CG47">
        <v>99</v>
      </c>
      <c r="CH47">
        <v>99</v>
      </c>
      <c r="CI47">
        <v>99</v>
      </c>
      <c r="CJ47">
        <v>99</v>
      </c>
      <c r="CK47">
        <v>99</v>
      </c>
      <c r="CL47">
        <v>99</v>
      </c>
      <c r="CM47">
        <v>99</v>
      </c>
      <c r="CN47">
        <v>99</v>
      </c>
      <c r="CO47">
        <v>99</v>
      </c>
      <c r="CP47">
        <v>106</v>
      </c>
      <c r="CQ47">
        <v>106</v>
      </c>
      <c r="CR47">
        <v>102</v>
      </c>
      <c r="CS47">
        <v>102</v>
      </c>
      <c r="CT47">
        <v>105</v>
      </c>
      <c r="CU47">
        <v>105</v>
      </c>
      <c r="CV47">
        <v>104</v>
      </c>
      <c r="CW47">
        <v>104</v>
      </c>
      <c r="CX47">
        <v>104</v>
      </c>
      <c r="CY47">
        <v>102</v>
      </c>
      <c r="CZ47">
        <v>105</v>
      </c>
      <c r="DA47">
        <v>107</v>
      </c>
      <c r="DB47">
        <v>108</v>
      </c>
      <c r="DC47">
        <v>95</v>
      </c>
      <c r="DD47">
        <v>89</v>
      </c>
      <c r="DE47" s="154">
        <v>110</v>
      </c>
      <c r="DF47">
        <v>102</v>
      </c>
      <c r="DG47">
        <v>58</v>
      </c>
    </row>
    <row r="48" spans="1:111" x14ac:dyDescent="0.35">
      <c r="A48">
        <v>47</v>
      </c>
      <c r="B48" s="17" t="s">
        <v>171</v>
      </c>
      <c r="C48" s="17" t="s">
        <v>1097</v>
      </c>
      <c r="D48" s="17" t="s">
        <v>55</v>
      </c>
      <c r="F48" s="6">
        <v>2</v>
      </c>
      <c r="G48" s="6">
        <v>11</v>
      </c>
      <c r="H48" s="6"/>
      <c r="I48" s="6">
        <v>2</v>
      </c>
      <c r="J48" s="6">
        <v>7</v>
      </c>
      <c r="L48" s="1">
        <v>2</v>
      </c>
      <c r="M48" s="1">
        <v>3</v>
      </c>
      <c r="O48">
        <v>190</v>
      </c>
      <c r="P48">
        <f>235+19</f>
        <v>254</v>
      </c>
      <c r="Q48">
        <v>100</v>
      </c>
      <c r="R48" s="9">
        <f>-22.365-6.021+3.623-5.79-0.524</f>
        <v>-31.076999999999998</v>
      </c>
      <c r="S48" s="263">
        <f>303+41+7+45+8</f>
        <v>404</v>
      </c>
      <c r="T48" s="203">
        <f>130.397+3.049+10.499+31.18+13.694</f>
        <v>188.81899999999999</v>
      </c>
      <c r="V48">
        <v>70</v>
      </c>
      <c r="W48">
        <v>77</v>
      </c>
      <c r="X48">
        <v>38</v>
      </c>
      <c r="Y48" s="9">
        <f>-19.373</f>
        <v>-19.373000000000001</v>
      </c>
      <c r="Z48" s="263">
        <f>213</f>
        <v>213</v>
      </c>
      <c r="AA48" s="203">
        <f>161.518</f>
        <v>161.518</v>
      </c>
      <c r="AC48">
        <f t="shared" si="38"/>
        <v>207.5</v>
      </c>
      <c r="AD48">
        <f t="shared" si="39"/>
        <v>273.25</v>
      </c>
      <c r="AE48">
        <f t="shared" si="40"/>
        <v>109.5</v>
      </c>
      <c r="AF48">
        <f t="shared" si="41"/>
        <v>-35.920249999999996</v>
      </c>
      <c r="AG48">
        <f t="shared" si="42"/>
        <v>457.25</v>
      </c>
      <c r="AH48">
        <f t="shared" si="43"/>
        <v>229.1985</v>
      </c>
      <c r="AI48" s="73">
        <f t="shared" si="44"/>
        <v>14.25</v>
      </c>
      <c r="AJ48" s="73">
        <f t="shared" si="45"/>
        <v>14.56140350877193</v>
      </c>
      <c r="AK48" s="73">
        <f t="shared" si="46"/>
        <v>19.17543859649123</v>
      </c>
      <c r="AL48" s="73">
        <f t="shared" si="47"/>
        <v>-4.6140350877192997</v>
      </c>
      <c r="AM48" s="73">
        <f t="shared" si="48"/>
        <v>1.8949771689497716</v>
      </c>
      <c r="AN48" s="227">
        <f t="shared" si="49"/>
        <v>-1.2603596491228068</v>
      </c>
      <c r="AO48" s="227">
        <f t="shared" si="50"/>
        <v>-1.3035556388190546</v>
      </c>
      <c r="AP48" s="227">
        <f t="shared" si="51"/>
        <v>-2.0501197997774385</v>
      </c>
      <c r="AQ48" s="89">
        <f t="shared" si="52"/>
        <v>1.0853416354222432</v>
      </c>
      <c r="AR48" s="73">
        <f t="shared" si="53"/>
        <v>32.087719298245617</v>
      </c>
      <c r="AS48" s="89">
        <f t="shared" si="54"/>
        <v>16.084105263157895</v>
      </c>
      <c r="AT48" s="89">
        <f t="shared" si="55"/>
        <v>4.0104993782767124</v>
      </c>
      <c r="AU48" s="9">
        <v>21</v>
      </c>
      <c r="AV48" s="9">
        <v>6</v>
      </c>
      <c r="AX48" s="54">
        <f t="shared" si="56"/>
        <v>27</v>
      </c>
      <c r="AZ48" s="49">
        <v>103</v>
      </c>
      <c r="BA48" s="48">
        <f t="shared" si="57"/>
        <v>103</v>
      </c>
      <c r="BB48" s="245">
        <f t="shared" si="58"/>
        <v>0</v>
      </c>
      <c r="BC48" s="36">
        <f t="shared" si="59"/>
        <v>0.31275558534200243</v>
      </c>
      <c r="BD48" s="205">
        <f t="shared" si="60"/>
        <v>0.17948717948717949</v>
      </c>
      <c r="BE48" s="205">
        <f t="shared" si="61"/>
        <v>0.22222222222222221</v>
      </c>
      <c r="BF48" s="205">
        <f t="shared" si="62"/>
        <v>0.17103365846424776</v>
      </c>
      <c r="BG48" s="205">
        <f t="shared" si="63"/>
        <v>0.37379743150131006</v>
      </c>
      <c r="BH48" s="205">
        <f t="shared" si="64"/>
        <v>0.24944927304041326</v>
      </c>
      <c r="BI48" s="205">
        <f t="shared" si="65"/>
        <v>0.81250737412653806</v>
      </c>
      <c r="BJ48" s="205">
        <f t="shared" si="66"/>
        <v>0.33286643988989162</v>
      </c>
      <c r="BK48" s="205">
        <f t="shared" si="67"/>
        <v>0.22198995670586746</v>
      </c>
      <c r="BL48" s="205">
        <f t="shared" si="68"/>
        <v>0.27303776317048756</v>
      </c>
      <c r="BM48" s="205">
        <f t="shared" si="69"/>
        <v>0.21428571428571427</v>
      </c>
      <c r="BN48" s="48">
        <v>5</v>
      </c>
      <c r="BO48" s="220">
        <f t="shared" si="70"/>
        <v>32</v>
      </c>
      <c r="BP48" s="220">
        <v>4</v>
      </c>
      <c r="BQ48" s="220">
        <f t="shared" si="71"/>
        <v>36</v>
      </c>
      <c r="BR48" s="205">
        <v>0.33333333333333331</v>
      </c>
      <c r="BS48" s="35">
        <v>0.31275558534200243</v>
      </c>
      <c r="BT48">
        <v>2</v>
      </c>
      <c r="BU48" s="205">
        <v>4.0104993782767124</v>
      </c>
      <c r="BV48" s="34">
        <v>0.17103365846424776</v>
      </c>
      <c r="BW48" s="34">
        <v>0.37379743150131006</v>
      </c>
      <c r="BX48" s="34">
        <f>IF(A48&lt;17, SoC!O$3, IF(A48&lt;33, SoC!O$4, IF(A48&lt;49, SoC!O$5, IF(A48&lt;65, SoC!O$6, IF(A48&lt;81, SoC!O$7, IF(A48&lt;97, SoC!O$8, SoC!O$9))))))</f>
        <v>1.0509770295874163</v>
      </c>
      <c r="BY48" s="205">
        <f t="shared" si="72"/>
        <v>0.55924555013160582</v>
      </c>
      <c r="BZ48" s="205" t="str">
        <f t="shared" si="73"/>
        <v>F+</v>
      </c>
      <c r="CA48" s="35">
        <f t="shared" si="74"/>
        <v>-5.3721691060072674</v>
      </c>
      <c r="CB48" s="245">
        <f t="shared" si="75"/>
        <v>0</v>
      </c>
      <c r="CC48" s="48">
        <v>52</v>
      </c>
      <c r="CD48" s="17" t="s">
        <v>55</v>
      </c>
      <c r="CE48">
        <v>103</v>
      </c>
      <c r="CF48">
        <v>103</v>
      </c>
      <c r="CG48">
        <v>103</v>
      </c>
      <c r="CH48">
        <v>103</v>
      </c>
      <c r="CI48">
        <v>103</v>
      </c>
      <c r="CJ48">
        <v>103</v>
      </c>
      <c r="CK48">
        <v>103</v>
      </c>
      <c r="CL48">
        <v>103</v>
      </c>
      <c r="CM48">
        <v>103</v>
      </c>
      <c r="CN48">
        <v>103</v>
      </c>
      <c r="CO48">
        <v>103</v>
      </c>
      <c r="CP48">
        <v>99</v>
      </c>
      <c r="CQ48">
        <v>100</v>
      </c>
      <c r="CR48">
        <v>104</v>
      </c>
      <c r="CS48">
        <v>104</v>
      </c>
      <c r="CT48">
        <v>103</v>
      </c>
      <c r="CU48">
        <v>103</v>
      </c>
      <c r="CV48">
        <v>97</v>
      </c>
      <c r="CW48">
        <v>89</v>
      </c>
      <c r="CX48">
        <v>91</v>
      </c>
      <c r="CY48">
        <v>93</v>
      </c>
      <c r="CZ48">
        <v>98</v>
      </c>
      <c r="DA48">
        <v>92</v>
      </c>
      <c r="DB48">
        <v>96</v>
      </c>
      <c r="DC48">
        <v>103</v>
      </c>
      <c r="DD48">
        <v>95</v>
      </c>
      <c r="DE48" s="154">
        <v>85</v>
      </c>
      <c r="DF48">
        <v>76</v>
      </c>
      <c r="DG48">
        <v>61</v>
      </c>
    </row>
    <row r="49" spans="1:111" x14ac:dyDescent="0.35">
      <c r="A49">
        <v>48</v>
      </c>
      <c r="B49" s="17" t="s">
        <v>171</v>
      </c>
      <c r="C49" s="17" t="s">
        <v>1097</v>
      </c>
      <c r="D49" s="17" t="s">
        <v>300</v>
      </c>
      <c r="F49" s="6">
        <v>8</v>
      </c>
      <c r="G49" s="6">
        <v>5</v>
      </c>
      <c r="H49" s="6"/>
      <c r="I49" s="6">
        <v>6</v>
      </c>
      <c r="J49" s="6">
        <v>3</v>
      </c>
      <c r="L49" s="1">
        <v>8</v>
      </c>
      <c r="M49" s="1">
        <v>8</v>
      </c>
      <c r="O49">
        <v>240</v>
      </c>
      <c r="P49">
        <v>181</v>
      </c>
      <c r="Q49">
        <v>119</v>
      </c>
      <c r="R49" s="9">
        <f>39.231+0.593-0.174+6.899-0.118</f>
        <v>46.430999999999997</v>
      </c>
      <c r="S49" s="263">
        <f>591+80+89+61+82</f>
        <v>903</v>
      </c>
      <c r="T49" s="203">
        <f>520.338+27.758+0+7.431+0</f>
        <v>555.52700000000004</v>
      </c>
      <c r="V49">
        <v>322</v>
      </c>
      <c r="W49">
        <v>314</v>
      </c>
      <c r="X49">
        <v>153</v>
      </c>
      <c r="Y49" s="9">
        <f>-1.105+3.33+6.06-1.89-5.212+1.414-1.835+3.033+6.919-15.975-10.104</f>
        <v>-15.364999999999998</v>
      </c>
      <c r="Z49" s="263">
        <f>552+74+74+91+95+88+86+67+65+80+97</f>
        <v>1369</v>
      </c>
      <c r="AA49" s="203">
        <f>320.819+47.919+68.047+11.115+(118.41-9.205)+4.323+11.601+24.291+49.731+12.968+61.7</f>
        <v>721.71900000000005</v>
      </c>
      <c r="AC49">
        <f t="shared" si="38"/>
        <v>320.5</v>
      </c>
      <c r="AD49">
        <f t="shared" si="39"/>
        <v>259.5</v>
      </c>
      <c r="AE49">
        <f t="shared" si="40"/>
        <v>157.25</v>
      </c>
      <c r="AF49">
        <f t="shared" si="41"/>
        <v>42.589749999999995</v>
      </c>
      <c r="AG49">
        <f t="shared" si="42"/>
        <v>1245.25</v>
      </c>
      <c r="AH49">
        <f t="shared" si="43"/>
        <v>735.95675000000006</v>
      </c>
      <c r="AI49" s="73">
        <f t="shared" si="44"/>
        <v>17</v>
      </c>
      <c r="AJ49" s="73">
        <f t="shared" si="45"/>
        <v>18.852941176470587</v>
      </c>
      <c r="AK49" s="73">
        <f t="shared" si="46"/>
        <v>15.264705882352942</v>
      </c>
      <c r="AL49" s="73">
        <f t="shared" si="47"/>
        <v>3.588235294117645</v>
      </c>
      <c r="AM49" s="73">
        <f t="shared" si="48"/>
        <v>2.0381558028616853</v>
      </c>
      <c r="AN49" s="227">
        <f t="shared" si="49"/>
        <v>2.5052794117647057</v>
      </c>
      <c r="AO49" s="227">
        <f t="shared" si="50"/>
        <v>2.366102875157261</v>
      </c>
      <c r="AP49" s="227">
        <f t="shared" si="51"/>
        <v>1.1525441506566616</v>
      </c>
      <c r="AQ49" s="89">
        <f t="shared" si="52"/>
        <v>5.6378543280790936</v>
      </c>
      <c r="AR49" s="73">
        <f t="shared" si="53"/>
        <v>73.25</v>
      </c>
      <c r="AS49" s="89">
        <f t="shared" si="54"/>
        <v>43.291573529411771</v>
      </c>
      <c r="AT49" s="89">
        <f t="shared" si="55"/>
        <v>6.5796332366942591</v>
      </c>
      <c r="AU49" s="9">
        <v>56</v>
      </c>
      <c r="AV49" s="9">
        <v>12</v>
      </c>
      <c r="AW49" s="20">
        <v>23</v>
      </c>
      <c r="AX49" s="54">
        <f t="shared" si="56"/>
        <v>91</v>
      </c>
      <c r="AZ49" s="49">
        <v>28</v>
      </c>
      <c r="BA49" s="48">
        <f t="shared" si="57"/>
        <v>28</v>
      </c>
      <c r="BB49" s="245">
        <f t="shared" si="58"/>
        <v>0</v>
      </c>
      <c r="BC49" s="36">
        <f t="shared" si="59"/>
        <v>0.67770430483282196</v>
      </c>
      <c r="BD49" s="205">
        <f t="shared" si="60"/>
        <v>0.71794871794871795</v>
      </c>
      <c r="BE49" s="205">
        <f t="shared" si="61"/>
        <v>0.66666666666666663</v>
      </c>
      <c r="BF49" s="205">
        <f t="shared" si="62"/>
        <v>0.53844253768766626</v>
      </c>
      <c r="BG49" s="205">
        <f t="shared" si="63"/>
        <v>0.7386709570121841</v>
      </c>
      <c r="BH49" s="205">
        <f t="shared" si="64"/>
        <v>0.40769300373153938</v>
      </c>
      <c r="BI49" s="205">
        <f t="shared" si="65"/>
        <v>0.39590284903761463</v>
      </c>
      <c r="BJ49" s="205">
        <f t="shared" si="66"/>
        <v>0.6670964018700839</v>
      </c>
      <c r="BK49" s="205">
        <f t="shared" si="67"/>
        <v>0.66764461038720702</v>
      </c>
      <c r="BL49" s="205">
        <f t="shared" si="68"/>
        <v>0.66335376819684244</v>
      </c>
      <c r="BM49" s="205">
        <f t="shared" si="69"/>
        <v>0.72222222222222221</v>
      </c>
      <c r="BN49" s="48">
        <v>10</v>
      </c>
      <c r="BO49" s="220">
        <f t="shared" si="70"/>
        <v>101</v>
      </c>
      <c r="BP49" s="220">
        <v>66</v>
      </c>
      <c r="BQ49" s="220">
        <f t="shared" si="71"/>
        <v>167</v>
      </c>
      <c r="BR49" s="205">
        <v>-1</v>
      </c>
      <c r="BS49" s="35">
        <v>0.67770430483282196</v>
      </c>
      <c r="BT49">
        <v>5</v>
      </c>
      <c r="BU49" s="205">
        <v>6.5796332366942591</v>
      </c>
      <c r="BV49" s="34">
        <v>0.53844253768766626</v>
      </c>
      <c r="BW49" s="34">
        <v>0.7386709570121841</v>
      </c>
      <c r="BX49" s="34">
        <f>IF(A49&lt;17, SoC!O$3, IF(A49&lt;33, SoC!O$4, IF(A49&lt;49, SoC!O$5, IF(A49&lt;65, SoC!O$6, IF(A49&lt;81, SoC!O$7, IF(A49&lt;97, SoC!O$8, SoC!O$9))))))</f>
        <v>1.0509770295874163</v>
      </c>
      <c r="BY49" s="205">
        <f t="shared" si="72"/>
        <v>0.82322797865039909</v>
      </c>
      <c r="BZ49" s="205" t="str">
        <f t="shared" si="73"/>
        <v>B-</v>
      </c>
      <c r="CA49" s="35">
        <f t="shared" si="74"/>
        <v>3.2113722130178965</v>
      </c>
      <c r="CB49" s="245">
        <f t="shared" si="75"/>
        <v>0</v>
      </c>
      <c r="CC49" s="48">
        <v>138</v>
      </c>
      <c r="CD49" s="17" t="s">
        <v>300</v>
      </c>
      <c r="CE49">
        <v>28</v>
      </c>
      <c r="CF49">
        <v>28</v>
      </c>
      <c r="CG49">
        <v>28</v>
      </c>
      <c r="CH49">
        <v>28</v>
      </c>
      <c r="CI49">
        <v>28</v>
      </c>
      <c r="CJ49">
        <v>28</v>
      </c>
      <c r="CK49">
        <v>29</v>
      </c>
      <c r="CL49">
        <v>29</v>
      </c>
      <c r="CM49">
        <v>29</v>
      </c>
      <c r="CN49">
        <v>29</v>
      </c>
      <c r="CO49">
        <v>30</v>
      </c>
      <c r="CP49">
        <v>22</v>
      </c>
      <c r="CQ49">
        <v>22</v>
      </c>
      <c r="CR49">
        <v>23</v>
      </c>
      <c r="CS49">
        <v>23</v>
      </c>
      <c r="CT49">
        <v>21</v>
      </c>
      <c r="CU49">
        <v>23</v>
      </c>
      <c r="CV49">
        <v>22</v>
      </c>
      <c r="CW49">
        <v>29</v>
      </c>
      <c r="CX49">
        <v>32</v>
      </c>
      <c r="CY49">
        <v>24</v>
      </c>
      <c r="CZ49">
        <v>25</v>
      </c>
      <c r="DA49">
        <v>28</v>
      </c>
      <c r="DB49">
        <v>22</v>
      </c>
      <c r="DC49">
        <v>32</v>
      </c>
      <c r="DD49">
        <v>17</v>
      </c>
      <c r="DE49" s="154">
        <v>27</v>
      </c>
      <c r="DF49">
        <v>2</v>
      </c>
      <c r="DG49">
        <v>3</v>
      </c>
    </row>
    <row r="50" spans="1:111" x14ac:dyDescent="0.35">
      <c r="A50">
        <v>49</v>
      </c>
      <c r="B50" s="19" t="s">
        <v>172</v>
      </c>
      <c r="C50" s="19" t="s">
        <v>1090</v>
      </c>
      <c r="D50" s="19" t="s">
        <v>40</v>
      </c>
      <c r="F50" s="6">
        <v>8</v>
      </c>
      <c r="G50" s="6">
        <v>5</v>
      </c>
      <c r="H50" s="6"/>
      <c r="I50" s="6">
        <v>6</v>
      </c>
      <c r="J50" s="6">
        <v>3</v>
      </c>
      <c r="L50" s="1">
        <v>7</v>
      </c>
      <c r="M50" s="1">
        <v>7</v>
      </c>
      <c r="O50">
        <f>186+18</f>
        <v>204</v>
      </c>
      <c r="P50">
        <f>177+19</f>
        <v>196</v>
      </c>
      <c r="Q50">
        <f>87+7</f>
        <v>94</v>
      </c>
      <c r="R50" s="9">
        <f>34.601-1.014+1.9+0.856+3.929</f>
        <v>40.271999999999998</v>
      </c>
      <c r="S50" s="263">
        <f>690+85+64+58+61</f>
        <v>958</v>
      </c>
      <c r="T50" s="203">
        <f>410.883+0+2.818+46.28+29.561</f>
        <v>489.54199999999997</v>
      </c>
      <c r="V50">
        <f>195+19</f>
        <v>214</v>
      </c>
      <c r="W50">
        <v>180</v>
      </c>
      <c r="X50">
        <v>111</v>
      </c>
      <c r="Y50" s="9">
        <f>40.163-1.877+0.908+0.279+4.148-5.288-1.419</f>
        <v>36.914000000000001</v>
      </c>
      <c r="Z50" s="263">
        <f>637+75+76+68+65+72+77</f>
        <v>1070</v>
      </c>
      <c r="AA50" s="203">
        <f>426.2395+7.745+38.191+8.934+97.345+5.889+37.385</f>
        <v>621.72850000000005</v>
      </c>
      <c r="AC50">
        <f t="shared" si="38"/>
        <v>257.5</v>
      </c>
      <c r="AD50">
        <f t="shared" si="39"/>
        <v>241</v>
      </c>
      <c r="AE50">
        <f t="shared" si="40"/>
        <v>121.75</v>
      </c>
      <c r="AF50">
        <f t="shared" si="41"/>
        <v>49.500500000000002</v>
      </c>
      <c r="AG50">
        <f t="shared" si="42"/>
        <v>1225.5</v>
      </c>
      <c r="AH50">
        <f t="shared" si="43"/>
        <v>644.97412499999996</v>
      </c>
      <c r="AI50" s="73">
        <f t="shared" si="44"/>
        <v>16.5</v>
      </c>
      <c r="AJ50" s="73">
        <f t="shared" si="45"/>
        <v>15.606060606060606</v>
      </c>
      <c r="AK50" s="73">
        <f t="shared" si="46"/>
        <v>14.606060606060606</v>
      </c>
      <c r="AL50" s="73">
        <f t="shared" si="47"/>
        <v>1</v>
      </c>
      <c r="AM50" s="73">
        <f t="shared" si="48"/>
        <v>2.1149897330595482</v>
      </c>
      <c r="AN50" s="227">
        <f t="shared" si="49"/>
        <v>3.0000303030303033</v>
      </c>
      <c r="AO50" s="227">
        <f t="shared" si="50"/>
        <v>2.4661233173721726</v>
      </c>
      <c r="AP50" s="227">
        <f t="shared" si="51"/>
        <v>-1.7330768102012382</v>
      </c>
      <c r="AQ50" s="89">
        <f t="shared" si="52"/>
        <v>5.2614312531717955</v>
      </c>
      <c r="AR50" s="73">
        <f t="shared" si="53"/>
        <v>74.272727272727266</v>
      </c>
      <c r="AS50" s="89">
        <f t="shared" si="54"/>
        <v>39.089340909090907</v>
      </c>
      <c r="AT50" s="89">
        <f t="shared" si="55"/>
        <v>6.2521469039915329</v>
      </c>
      <c r="AU50" s="9">
        <v>21</v>
      </c>
      <c r="AV50" s="9">
        <v>12</v>
      </c>
      <c r="AW50" s="9">
        <v>25</v>
      </c>
      <c r="AX50" s="54">
        <f t="shared" si="56"/>
        <v>58</v>
      </c>
      <c r="AZ50" s="49">
        <v>38</v>
      </c>
      <c r="BA50" s="48">
        <f t="shared" si="57"/>
        <v>38</v>
      </c>
      <c r="BB50" s="245">
        <f t="shared" si="58"/>
        <v>0</v>
      </c>
      <c r="BC50" s="36">
        <f t="shared" si="59"/>
        <v>0.60348557785774903</v>
      </c>
      <c r="BD50" s="205">
        <f t="shared" si="60"/>
        <v>0.70512820512820507</v>
      </c>
      <c r="BE50" s="205">
        <f t="shared" si="61"/>
        <v>0.66666666666666663</v>
      </c>
      <c r="BF50" s="205">
        <f t="shared" si="62"/>
        <v>0.26046926942870746</v>
      </c>
      <c r="BG50" s="205">
        <f t="shared" si="63"/>
        <v>0.80012292562999399</v>
      </c>
      <c r="BH50" s="205">
        <f t="shared" si="64"/>
        <v>0.49261131469720726</v>
      </c>
      <c r="BI50" s="205">
        <f t="shared" si="65"/>
        <v>0.38454785001810743</v>
      </c>
      <c r="BJ50" s="205">
        <f t="shared" si="66"/>
        <v>0.36595304154155006</v>
      </c>
      <c r="BK50" s="205">
        <f t="shared" si="67"/>
        <v>0.63551950117262279</v>
      </c>
      <c r="BL50" s="205">
        <f t="shared" si="68"/>
        <v>0.61360036330419421</v>
      </c>
      <c r="BM50" s="205">
        <f t="shared" si="69"/>
        <v>0.46031746031746029</v>
      </c>
      <c r="BN50" s="48">
        <v>10</v>
      </c>
      <c r="BO50" s="220">
        <f t="shared" si="70"/>
        <v>68</v>
      </c>
      <c r="BP50" s="220">
        <v>52</v>
      </c>
      <c r="BQ50" s="220">
        <f t="shared" si="71"/>
        <v>120</v>
      </c>
      <c r="BR50" s="205">
        <v>-1</v>
      </c>
      <c r="BS50" s="35">
        <v>0.60348557785774903</v>
      </c>
      <c r="BT50">
        <v>3</v>
      </c>
      <c r="BU50" s="205">
        <v>6.2521469039915329</v>
      </c>
      <c r="BV50" s="34">
        <v>0.26046926942870746</v>
      </c>
      <c r="BW50" s="34">
        <v>0.80012292562999399</v>
      </c>
      <c r="BX50" s="34">
        <f>IF(A50&lt;17, SoC!O$3, IF(A50&lt;33, SoC!O$4, IF(A50&lt;49, SoC!O$5, IF(A50&lt;65, SoC!O$6, IF(A50&lt;81, SoC!O$7, IF(A50&lt;97, SoC!O$8, SoC!O$9))))))</f>
        <v>1.1793104273940098</v>
      </c>
      <c r="BY50" s="205">
        <f t="shared" si="72"/>
        <v>0.77684334190218107</v>
      </c>
      <c r="BZ50" s="205" t="str">
        <f t="shared" si="73"/>
        <v>C+</v>
      </c>
      <c r="CA50" s="35">
        <f t="shared" si="74"/>
        <v>1.563254507165075</v>
      </c>
      <c r="CB50" s="245">
        <f t="shared" si="75"/>
        <v>0</v>
      </c>
      <c r="CC50" s="48">
        <v>77</v>
      </c>
      <c r="CD50" s="19" t="s">
        <v>40</v>
      </c>
      <c r="CE50">
        <v>38</v>
      </c>
      <c r="CF50">
        <v>38</v>
      </c>
      <c r="CG50">
        <v>38</v>
      </c>
      <c r="CH50">
        <v>38</v>
      </c>
      <c r="CI50">
        <v>38</v>
      </c>
      <c r="CJ50">
        <v>38</v>
      </c>
      <c r="CK50">
        <v>38</v>
      </c>
      <c r="CL50">
        <v>38</v>
      </c>
      <c r="CM50">
        <v>38</v>
      </c>
      <c r="CN50">
        <v>38</v>
      </c>
      <c r="CO50">
        <v>38</v>
      </c>
      <c r="CP50">
        <v>36</v>
      </c>
      <c r="CQ50">
        <v>38</v>
      </c>
      <c r="CR50">
        <v>41</v>
      </c>
      <c r="CS50">
        <v>41</v>
      </c>
      <c r="CT50">
        <v>34</v>
      </c>
      <c r="CU50">
        <v>32</v>
      </c>
      <c r="CV50">
        <v>26</v>
      </c>
      <c r="CW50">
        <v>25</v>
      </c>
      <c r="CX50">
        <v>18</v>
      </c>
      <c r="CY50">
        <v>17</v>
      </c>
      <c r="CZ50">
        <v>7</v>
      </c>
      <c r="DA50">
        <v>4</v>
      </c>
      <c r="DB50">
        <v>7</v>
      </c>
      <c r="DC50">
        <v>8</v>
      </c>
      <c r="DD50">
        <v>8</v>
      </c>
      <c r="DE50" s="154">
        <v>11</v>
      </c>
      <c r="DF50">
        <v>36</v>
      </c>
      <c r="DG50">
        <v>36</v>
      </c>
    </row>
    <row r="51" spans="1:111" x14ac:dyDescent="0.35">
      <c r="A51">
        <v>50</v>
      </c>
      <c r="B51" s="19" t="s">
        <v>172</v>
      </c>
      <c r="C51" s="19" t="s">
        <v>1090</v>
      </c>
      <c r="D51" s="19" t="s">
        <v>35</v>
      </c>
      <c r="F51" s="6">
        <v>3</v>
      </c>
      <c r="G51" s="6">
        <v>10</v>
      </c>
      <c r="H51" s="6"/>
      <c r="I51" s="6">
        <v>1</v>
      </c>
      <c r="J51" s="6">
        <v>8</v>
      </c>
      <c r="L51" s="1">
        <v>0</v>
      </c>
      <c r="M51" s="1">
        <v>3</v>
      </c>
      <c r="O51">
        <v>219</v>
      </c>
      <c r="P51">
        <v>233</v>
      </c>
      <c r="Q51">
        <v>109</v>
      </c>
      <c r="R51" s="9">
        <f>-13.426-1.939-3.286-5.876-3.421</f>
        <v>-27.948</v>
      </c>
      <c r="S51" s="263">
        <f>352+19+18+44+47</f>
        <v>480</v>
      </c>
      <c r="T51" s="203">
        <f>184.434+2.193+55.625+67.361+20.12</f>
        <v>329.733</v>
      </c>
      <c r="V51">
        <v>32</v>
      </c>
      <c r="W51">
        <v>59</v>
      </c>
      <c r="X51">
        <v>17</v>
      </c>
      <c r="Y51" s="9">
        <f>-6.399</f>
        <v>-6.399</v>
      </c>
      <c r="Z51" s="263">
        <f>154</f>
        <v>154</v>
      </c>
      <c r="AA51" s="203">
        <f>22.229</f>
        <v>22.228999999999999</v>
      </c>
      <c r="AC51">
        <f t="shared" si="38"/>
        <v>227</v>
      </c>
      <c r="AD51">
        <f t="shared" si="39"/>
        <v>247.75</v>
      </c>
      <c r="AE51">
        <f t="shared" si="40"/>
        <v>113.25</v>
      </c>
      <c r="AF51">
        <f t="shared" si="41"/>
        <v>-29.547750000000001</v>
      </c>
      <c r="AG51">
        <f t="shared" si="42"/>
        <v>518.5</v>
      </c>
      <c r="AH51">
        <f t="shared" si="43"/>
        <v>335.29025000000001</v>
      </c>
      <c r="AI51" s="73">
        <f t="shared" si="44"/>
        <v>13.75</v>
      </c>
      <c r="AJ51" s="73">
        <f t="shared" si="45"/>
        <v>16.509090909090908</v>
      </c>
      <c r="AK51" s="73">
        <f t="shared" si="46"/>
        <v>18.018181818181819</v>
      </c>
      <c r="AL51" s="73">
        <f t="shared" si="47"/>
        <v>-1.5090909090909115</v>
      </c>
      <c r="AM51" s="73">
        <f t="shared" si="48"/>
        <v>2.0044150110375276</v>
      </c>
      <c r="AN51" s="227">
        <f t="shared" si="49"/>
        <v>-1.0744636363636364</v>
      </c>
      <c r="AO51" s="227">
        <f t="shared" si="50"/>
        <v>-1.2430709971782514</v>
      </c>
      <c r="AP51" s="227">
        <f t="shared" si="51"/>
        <v>0.80844372445097612</v>
      </c>
      <c r="AQ51" s="89">
        <f t="shared" si="52"/>
        <v>2.1347238747454811</v>
      </c>
      <c r="AR51" s="73">
        <f t="shared" si="53"/>
        <v>37.709090909090911</v>
      </c>
      <c r="AS51" s="89">
        <f t="shared" si="54"/>
        <v>24.384745454545456</v>
      </c>
      <c r="AT51" s="89">
        <f t="shared" si="55"/>
        <v>4.938091276449379</v>
      </c>
      <c r="AU51" s="9">
        <v>21</v>
      </c>
      <c r="AV51" s="9">
        <v>0</v>
      </c>
      <c r="AX51" s="54">
        <f t="shared" si="56"/>
        <v>21</v>
      </c>
      <c r="AZ51" s="49">
        <v>83</v>
      </c>
      <c r="BA51" s="48">
        <f t="shared" si="57"/>
        <v>83</v>
      </c>
      <c r="BB51" s="245">
        <f t="shared" si="58"/>
        <v>0</v>
      </c>
      <c r="BC51" s="36">
        <f t="shared" si="59"/>
        <v>0.39055148671020939</v>
      </c>
      <c r="BD51" s="205">
        <f t="shared" si="60"/>
        <v>0.23076923076923078</v>
      </c>
      <c r="BE51" s="205">
        <f t="shared" si="61"/>
        <v>0.1111111111111111</v>
      </c>
      <c r="BF51" s="205">
        <f t="shared" si="62"/>
        <v>0.33777986931890153</v>
      </c>
      <c r="BG51" s="205">
        <f t="shared" si="63"/>
        <v>0.48177012907191152</v>
      </c>
      <c r="BH51" s="205">
        <f t="shared" si="64"/>
        <v>0.37040204327991094</v>
      </c>
      <c r="BI51" s="205">
        <f t="shared" si="65"/>
        <v>0.80564074735187485</v>
      </c>
      <c r="BJ51" s="205">
        <f t="shared" si="66"/>
        <v>0.63118608653634267</v>
      </c>
      <c r="BK51" s="205">
        <f t="shared" si="67"/>
        <v>0.34263407927877204</v>
      </c>
      <c r="BL51" s="205">
        <f t="shared" si="68"/>
        <v>0.41396228635301063</v>
      </c>
      <c r="BM51" s="205">
        <f t="shared" si="69"/>
        <v>0.16666666666666666</v>
      </c>
      <c r="BN51" s="48">
        <v>5</v>
      </c>
      <c r="BO51" s="220">
        <f t="shared" si="70"/>
        <v>26</v>
      </c>
      <c r="BP51" s="220">
        <v>14</v>
      </c>
      <c r="BQ51" s="220">
        <f t="shared" si="71"/>
        <v>40</v>
      </c>
      <c r="BR51" s="205">
        <v>0.33333333333333331</v>
      </c>
      <c r="BS51" s="35">
        <v>0.39055148671020939</v>
      </c>
      <c r="BT51">
        <v>3</v>
      </c>
      <c r="BU51" s="205">
        <v>4.938091276449379</v>
      </c>
      <c r="BV51" s="34">
        <v>0.33777986931890153</v>
      </c>
      <c r="BW51" s="34">
        <v>0.48177012907191152</v>
      </c>
      <c r="BX51" s="34">
        <f>IF(A51&lt;17, SoC!O$3, IF(A51&lt;33, SoC!O$4, IF(A51&lt;49, SoC!O$5, IF(A51&lt;65, SoC!O$6, IF(A51&lt;81, SoC!O$7, IF(A51&lt;97, SoC!O$8, SoC!O$9))))))</f>
        <v>1.1793104273940098</v>
      </c>
      <c r="BY51" s="205">
        <f t="shared" si="72"/>
        <v>0.62494118660095477</v>
      </c>
      <c r="BZ51" s="205" t="str">
        <f t="shared" si="73"/>
        <v>D-</v>
      </c>
      <c r="CA51" s="35">
        <f t="shared" si="74"/>
        <v>-3.3524551295567946</v>
      </c>
      <c r="CB51" s="245">
        <f t="shared" si="75"/>
        <v>1</v>
      </c>
      <c r="CC51" s="48">
        <v>75</v>
      </c>
      <c r="CD51" s="19" t="s">
        <v>35</v>
      </c>
      <c r="CE51">
        <v>83</v>
      </c>
      <c r="CF51">
        <v>84</v>
      </c>
      <c r="CG51">
        <v>84</v>
      </c>
      <c r="CH51">
        <v>84</v>
      </c>
      <c r="CI51">
        <v>84</v>
      </c>
      <c r="CJ51">
        <v>84</v>
      </c>
      <c r="CK51">
        <v>84</v>
      </c>
      <c r="CL51">
        <v>84</v>
      </c>
      <c r="CM51">
        <v>84</v>
      </c>
      <c r="CN51">
        <v>84</v>
      </c>
      <c r="CO51">
        <v>84</v>
      </c>
      <c r="CP51">
        <v>82</v>
      </c>
      <c r="CQ51">
        <v>82</v>
      </c>
      <c r="CR51">
        <v>99</v>
      </c>
      <c r="CS51">
        <v>98</v>
      </c>
      <c r="CT51">
        <v>104</v>
      </c>
      <c r="CU51">
        <v>104</v>
      </c>
      <c r="CV51">
        <v>101</v>
      </c>
      <c r="CW51">
        <v>100</v>
      </c>
      <c r="CX51">
        <v>98</v>
      </c>
      <c r="CY51">
        <v>97</v>
      </c>
      <c r="CZ51">
        <v>91</v>
      </c>
      <c r="DA51">
        <v>87</v>
      </c>
      <c r="DB51">
        <v>82</v>
      </c>
      <c r="DC51">
        <v>76</v>
      </c>
      <c r="DD51">
        <v>57</v>
      </c>
      <c r="DE51" s="154">
        <v>88</v>
      </c>
      <c r="DF51">
        <v>70</v>
      </c>
      <c r="DG51">
        <v>38</v>
      </c>
    </row>
    <row r="52" spans="1:111" x14ac:dyDescent="0.35">
      <c r="A52">
        <v>51</v>
      </c>
      <c r="B52" s="19" t="s">
        <v>172</v>
      </c>
      <c r="C52" s="19" t="s">
        <v>1090</v>
      </c>
      <c r="D52" s="19" t="s">
        <v>2011</v>
      </c>
      <c r="F52" s="6">
        <v>9</v>
      </c>
      <c r="G52" s="6">
        <v>4</v>
      </c>
      <c r="H52" s="6"/>
      <c r="I52" s="6">
        <v>6</v>
      </c>
      <c r="J52" s="6">
        <v>3</v>
      </c>
      <c r="L52" s="1">
        <v>1</v>
      </c>
      <c r="M52" s="1">
        <v>2</v>
      </c>
      <c r="O52">
        <v>208</v>
      </c>
      <c r="P52">
        <f>174+18</f>
        <v>192</v>
      </c>
      <c r="Q52">
        <v>107</v>
      </c>
      <c r="R52" s="9">
        <f>9.457+2.085+2.111-5.343+3.421</f>
        <v>11.731000000000002</v>
      </c>
      <c r="S52" s="263">
        <f>478+60+45+81+47</f>
        <v>711</v>
      </c>
      <c r="T52" s="203">
        <f>351.831+15.281+19.898+60.386+43.107</f>
        <v>490.50300000000004</v>
      </c>
      <c r="V52">
        <v>55</v>
      </c>
      <c r="W52">
        <v>53</v>
      </c>
      <c r="X52">
        <v>32</v>
      </c>
      <c r="Y52" s="9">
        <f>0.418</f>
        <v>0.41799999999999998</v>
      </c>
      <c r="Z52" s="263">
        <f>205</f>
        <v>205</v>
      </c>
      <c r="AA52" s="203">
        <f>55.681</f>
        <v>55.680999999999997</v>
      </c>
      <c r="AC52">
        <f t="shared" si="38"/>
        <v>221.75</v>
      </c>
      <c r="AD52">
        <f t="shared" si="39"/>
        <v>205.25</v>
      </c>
      <c r="AE52">
        <f t="shared" si="40"/>
        <v>115</v>
      </c>
      <c r="AF52">
        <f t="shared" si="41"/>
        <v>11.835500000000001</v>
      </c>
      <c r="AG52">
        <f t="shared" si="42"/>
        <v>762.25</v>
      </c>
      <c r="AH52">
        <f t="shared" si="43"/>
        <v>504.42325000000005</v>
      </c>
      <c r="AI52" s="73">
        <f t="shared" si="44"/>
        <v>13.75</v>
      </c>
      <c r="AJ52" s="73">
        <f t="shared" si="45"/>
        <v>16.127272727272729</v>
      </c>
      <c r="AK52" s="73">
        <f t="shared" si="46"/>
        <v>14.927272727272728</v>
      </c>
      <c r="AL52" s="73">
        <f t="shared" si="47"/>
        <v>1.2000000000000011</v>
      </c>
      <c r="AM52" s="73">
        <f t="shared" si="48"/>
        <v>1.9282608695652175</v>
      </c>
      <c r="AN52" s="227">
        <f t="shared" si="49"/>
        <v>0.86076363636363651</v>
      </c>
      <c r="AO52" s="227">
        <f t="shared" si="50"/>
        <v>0.51865306086038565</v>
      </c>
      <c r="AP52" s="227">
        <f t="shared" si="51"/>
        <v>0.51029165138799004</v>
      </c>
      <c r="AQ52" s="89">
        <f t="shared" si="52"/>
        <v>4.0140959114400596</v>
      </c>
      <c r="AR52" s="73">
        <f t="shared" si="53"/>
        <v>55.436363636363637</v>
      </c>
      <c r="AS52" s="89">
        <f t="shared" si="54"/>
        <v>36.685327272727278</v>
      </c>
      <c r="AT52" s="89">
        <f t="shared" si="55"/>
        <v>6.0568413610335936</v>
      </c>
      <c r="AU52" s="9">
        <v>7</v>
      </c>
      <c r="AV52" s="9">
        <v>6</v>
      </c>
      <c r="AX52" s="54">
        <f t="shared" si="56"/>
        <v>13</v>
      </c>
      <c r="AZ52" s="49">
        <v>39</v>
      </c>
      <c r="BA52" s="48">
        <f t="shared" si="57"/>
        <v>39</v>
      </c>
      <c r="BB52" s="245">
        <f t="shared" si="58"/>
        <v>0</v>
      </c>
      <c r="BC52" s="36">
        <f t="shared" si="59"/>
        <v>0.59716969427740418</v>
      </c>
      <c r="BD52" s="205">
        <f t="shared" si="60"/>
        <v>0.70512820512820507</v>
      </c>
      <c r="BE52" s="205">
        <f t="shared" si="61"/>
        <v>0.66666666666666663</v>
      </c>
      <c r="BF52" s="205">
        <f t="shared" si="62"/>
        <v>0.30509149486868548</v>
      </c>
      <c r="BG52" s="205">
        <f t="shared" si="63"/>
        <v>0.77015365703749228</v>
      </c>
      <c r="BH52" s="205">
        <f t="shared" si="64"/>
        <v>0.28623504765420799</v>
      </c>
      <c r="BI52" s="205">
        <f t="shared" si="65"/>
        <v>0.60563788285055564</v>
      </c>
      <c r="BJ52" s="205">
        <f t="shared" si="66"/>
        <v>0.60007094064954103</v>
      </c>
      <c r="BK52" s="205">
        <f t="shared" si="67"/>
        <v>0.52538173344893546</v>
      </c>
      <c r="BL52" s="205">
        <f t="shared" si="68"/>
        <v>0.58392854257088278</v>
      </c>
      <c r="BM52" s="205">
        <f t="shared" si="69"/>
        <v>0.10317460317460317</v>
      </c>
      <c r="BN52" s="48">
        <v>10</v>
      </c>
      <c r="BO52" s="220">
        <f t="shared" si="70"/>
        <v>23</v>
      </c>
      <c r="BP52" s="220">
        <v>51</v>
      </c>
      <c r="BQ52" s="220">
        <f t="shared" si="71"/>
        <v>74</v>
      </c>
      <c r="BR52" s="205">
        <v>0</v>
      </c>
      <c r="BS52" s="35">
        <v>0.59716969427740418</v>
      </c>
      <c r="BT52">
        <v>1</v>
      </c>
      <c r="BU52" s="205">
        <v>6.0568413610335936</v>
      </c>
      <c r="BV52" s="34">
        <v>0.30509149486868548</v>
      </c>
      <c r="BW52" s="34">
        <v>0.77015365703749228</v>
      </c>
      <c r="BX52" s="34">
        <f>IF(A52&lt;17, SoC!O$3, IF(A52&lt;33, SoC!O$4, IF(A52&lt;49, SoC!O$5, IF(A52&lt;65, SoC!O$6, IF(A52&lt;81, SoC!O$7, IF(A52&lt;97, SoC!O$8, SoC!O$9))))))</f>
        <v>1.1793104273940098</v>
      </c>
      <c r="BY52" s="205">
        <f t="shared" si="72"/>
        <v>0.77276755514022721</v>
      </c>
      <c r="BZ52" s="205" t="str">
        <f t="shared" si="73"/>
        <v>C+</v>
      </c>
      <c r="CA52" s="35">
        <f t="shared" si="74"/>
        <v>1.3392840640792083</v>
      </c>
      <c r="CB52" s="245">
        <f t="shared" si="75"/>
        <v>0</v>
      </c>
      <c r="CC52" s="48">
        <v>32</v>
      </c>
      <c r="CD52" s="19" t="s">
        <v>2011</v>
      </c>
      <c r="CE52">
        <v>39</v>
      </c>
      <c r="CF52">
        <v>39</v>
      </c>
      <c r="CG52">
        <v>39</v>
      </c>
      <c r="CH52">
        <v>39</v>
      </c>
      <c r="CI52">
        <v>39</v>
      </c>
      <c r="CJ52">
        <v>39</v>
      </c>
      <c r="CK52">
        <v>39</v>
      </c>
      <c r="CL52">
        <v>39</v>
      </c>
      <c r="CM52">
        <v>39</v>
      </c>
      <c r="CN52">
        <v>40</v>
      </c>
      <c r="CO52">
        <v>40</v>
      </c>
      <c r="CP52">
        <v>43</v>
      </c>
      <c r="CQ52">
        <v>42</v>
      </c>
      <c r="CR52">
        <v>53</v>
      </c>
      <c r="CS52">
        <v>54</v>
      </c>
      <c r="CT52">
        <v>56</v>
      </c>
      <c r="CU52">
        <v>55</v>
      </c>
      <c r="CV52">
        <v>47</v>
      </c>
      <c r="CW52">
        <v>48</v>
      </c>
      <c r="CX52">
        <v>42</v>
      </c>
      <c r="CY52">
        <v>45</v>
      </c>
      <c r="CZ52">
        <v>26</v>
      </c>
      <c r="DA52">
        <v>33</v>
      </c>
      <c r="DB52">
        <v>30</v>
      </c>
      <c r="DC52">
        <v>35</v>
      </c>
      <c r="DD52">
        <v>56</v>
      </c>
      <c r="DE52" s="154">
        <v>68</v>
      </c>
      <c r="DF52">
        <v>83</v>
      </c>
      <c r="DG52">
        <v>81</v>
      </c>
    </row>
    <row r="53" spans="1:111" x14ac:dyDescent="0.35">
      <c r="A53">
        <v>52</v>
      </c>
      <c r="B53" s="19" t="s">
        <v>172</v>
      </c>
      <c r="C53" s="19" t="s">
        <v>1090</v>
      </c>
      <c r="D53" s="19" t="s">
        <v>900</v>
      </c>
      <c r="F53" s="6">
        <v>6</v>
      </c>
      <c r="G53" s="6">
        <v>7</v>
      </c>
      <c r="H53" s="6"/>
      <c r="I53" s="6">
        <v>5</v>
      </c>
      <c r="J53" s="6">
        <v>4</v>
      </c>
      <c r="L53" s="1">
        <v>1</v>
      </c>
      <c r="M53" s="1">
        <v>2</v>
      </c>
      <c r="O53">
        <f>172+19</f>
        <v>191</v>
      </c>
      <c r="P53">
        <f>181+18</f>
        <v>199</v>
      </c>
      <c r="Q53">
        <f>99+12</f>
        <v>111</v>
      </c>
      <c r="R53" s="9">
        <f>-14.343-2.991-2.316+3.187-3.929</f>
        <v>-20.391999999999996</v>
      </c>
      <c r="S53" s="263">
        <f>592+62+54+30+61</f>
        <v>799</v>
      </c>
      <c r="T53" s="203">
        <f>317.686+28.891+17.076+11.567+33.474</f>
        <v>408.69400000000002</v>
      </c>
      <c r="V53">
        <v>47</v>
      </c>
      <c r="W53">
        <v>46</v>
      </c>
      <c r="X53">
        <v>27</v>
      </c>
      <c r="Y53" s="9">
        <f>3.474</f>
        <v>3.4740000000000002</v>
      </c>
      <c r="Z53" s="263">
        <f>143</f>
        <v>143</v>
      </c>
      <c r="AA53" s="203">
        <f>99.53</f>
        <v>99.53</v>
      </c>
      <c r="AC53">
        <f t="shared" si="38"/>
        <v>202.75</v>
      </c>
      <c r="AD53">
        <f t="shared" si="39"/>
        <v>210.5</v>
      </c>
      <c r="AE53">
        <f t="shared" si="40"/>
        <v>117.75</v>
      </c>
      <c r="AF53">
        <f t="shared" si="41"/>
        <v>-19.523499999999995</v>
      </c>
      <c r="AG53">
        <f t="shared" si="42"/>
        <v>834.75</v>
      </c>
      <c r="AH53">
        <f t="shared" si="43"/>
        <v>433.57650000000001</v>
      </c>
      <c r="AI53" s="73">
        <f t="shared" si="44"/>
        <v>13.75</v>
      </c>
      <c r="AJ53" s="73">
        <f t="shared" si="45"/>
        <v>14.745454545454546</v>
      </c>
      <c r="AK53" s="73">
        <f t="shared" si="46"/>
        <v>15.309090909090909</v>
      </c>
      <c r="AL53" s="73">
        <f t="shared" si="47"/>
        <v>-0.5636363636363626</v>
      </c>
      <c r="AM53" s="73">
        <f t="shared" si="48"/>
        <v>1.7218683651804672</v>
      </c>
      <c r="AN53" s="227">
        <f t="shared" si="49"/>
        <v>-0.70994545454545432</v>
      </c>
      <c r="AO53" s="227">
        <f t="shared" si="50"/>
        <v>-0.91123377084742208</v>
      </c>
      <c r="AP53" s="227">
        <f t="shared" si="51"/>
        <v>1.0575428617565139</v>
      </c>
      <c r="AQ53" s="89">
        <f t="shared" si="52"/>
        <v>3.7449511812019805</v>
      </c>
      <c r="AR53" s="73">
        <f t="shared" si="53"/>
        <v>60.709090909090911</v>
      </c>
      <c r="AS53" s="89">
        <f t="shared" si="54"/>
        <v>31.532836363636363</v>
      </c>
      <c r="AT53" s="89">
        <f t="shared" si="55"/>
        <v>5.6154106139833058</v>
      </c>
      <c r="AU53" s="9">
        <v>7</v>
      </c>
      <c r="AV53" s="9">
        <v>6</v>
      </c>
      <c r="AX53" s="54">
        <f t="shared" si="56"/>
        <v>13</v>
      </c>
      <c r="AZ53" s="49">
        <v>59</v>
      </c>
      <c r="BA53" s="48">
        <f t="shared" si="57"/>
        <v>59</v>
      </c>
      <c r="BB53" s="245">
        <f t="shared" si="58"/>
        <v>0</v>
      </c>
      <c r="BC53" s="36">
        <f t="shared" si="59"/>
        <v>0.51202076433978194</v>
      </c>
      <c r="BD53" s="205">
        <f t="shared" si="60"/>
        <v>0.47435897435897439</v>
      </c>
      <c r="BE53" s="205">
        <f t="shared" si="61"/>
        <v>0.55555555555555558</v>
      </c>
      <c r="BF53" s="205">
        <f t="shared" si="62"/>
        <v>0.18679071114409307</v>
      </c>
      <c r="BG53" s="205">
        <f t="shared" si="63"/>
        <v>0.73452980946527369</v>
      </c>
      <c r="BH53" s="205">
        <f t="shared" si="64"/>
        <v>5.8126153273913919E-2</v>
      </c>
      <c r="BI53" s="205">
        <f t="shared" si="65"/>
        <v>0.76796833463122005</v>
      </c>
      <c r="BJ53" s="205">
        <f t="shared" si="66"/>
        <v>0.65718206878094987</v>
      </c>
      <c r="BK53" s="205">
        <f t="shared" si="67"/>
        <v>0.50070520676998165</v>
      </c>
      <c r="BL53" s="205">
        <f t="shared" si="68"/>
        <v>0.51686411728998527</v>
      </c>
      <c r="BM53" s="205">
        <f t="shared" si="69"/>
        <v>0.10317460317460317</v>
      </c>
      <c r="BN53" s="48">
        <v>10</v>
      </c>
      <c r="BO53" s="220">
        <f t="shared" si="70"/>
        <v>23</v>
      </c>
      <c r="BP53" s="220">
        <v>32</v>
      </c>
      <c r="BQ53" s="220">
        <f t="shared" si="71"/>
        <v>55</v>
      </c>
      <c r="BR53" s="205">
        <v>-1.3333333333333333</v>
      </c>
      <c r="BS53" s="35">
        <v>0.51202076433978194</v>
      </c>
      <c r="BT53">
        <v>1</v>
      </c>
      <c r="BU53" s="205">
        <v>5.6154106139833058</v>
      </c>
      <c r="BV53" s="34">
        <v>0.18679071114409307</v>
      </c>
      <c r="BW53" s="34">
        <v>0.73452980946527369</v>
      </c>
      <c r="BX53" s="34">
        <f>IF(A53&lt;17, SoC!O$3, IF(A53&lt;33, SoC!O$4, IF(A53&lt;49, SoC!O$5, IF(A53&lt;65, SoC!O$6, IF(A53&lt;81, SoC!O$7, IF(A53&lt;97, SoC!O$8, SoC!O$9))))))</f>
        <v>1.1793104273940098</v>
      </c>
      <c r="BY53" s="205">
        <f t="shared" si="72"/>
        <v>0.71555626217634483</v>
      </c>
      <c r="BZ53" s="205" t="str">
        <f t="shared" si="73"/>
        <v>C-</v>
      </c>
      <c r="CA53" s="35">
        <f t="shared" si="74"/>
        <v>-0.58440990819838046</v>
      </c>
      <c r="CB53" s="245">
        <f t="shared" si="75"/>
        <v>0</v>
      </c>
      <c r="CC53" s="48">
        <v>36</v>
      </c>
      <c r="CD53" s="19" t="s">
        <v>900</v>
      </c>
      <c r="CE53">
        <v>59</v>
      </c>
      <c r="CF53">
        <v>59</v>
      </c>
      <c r="CG53">
        <v>59</v>
      </c>
      <c r="CH53">
        <v>59</v>
      </c>
      <c r="CI53">
        <v>59</v>
      </c>
      <c r="CJ53">
        <v>59</v>
      </c>
      <c r="CK53">
        <v>59</v>
      </c>
      <c r="CL53">
        <v>59</v>
      </c>
      <c r="CM53">
        <v>58</v>
      </c>
      <c r="CN53">
        <v>59</v>
      </c>
      <c r="CO53">
        <v>59</v>
      </c>
      <c r="CP53">
        <v>68</v>
      </c>
      <c r="CQ53">
        <v>68</v>
      </c>
      <c r="CR53">
        <v>61</v>
      </c>
      <c r="CS53">
        <v>62</v>
      </c>
      <c r="CT53">
        <v>64</v>
      </c>
      <c r="CU53">
        <v>65</v>
      </c>
      <c r="CV53">
        <v>70</v>
      </c>
      <c r="CW53">
        <v>71</v>
      </c>
      <c r="CX53">
        <v>68</v>
      </c>
      <c r="CY53">
        <v>67</v>
      </c>
      <c r="CZ53">
        <v>67</v>
      </c>
      <c r="DA53">
        <v>58</v>
      </c>
      <c r="DB53">
        <v>45</v>
      </c>
      <c r="DC53">
        <v>62</v>
      </c>
      <c r="DD53">
        <v>43</v>
      </c>
      <c r="DE53" s="154">
        <v>20</v>
      </c>
      <c r="DF53">
        <v>40</v>
      </c>
      <c r="DG53">
        <v>77</v>
      </c>
    </row>
    <row r="54" spans="1:111" x14ac:dyDescent="0.35">
      <c r="A54">
        <v>53</v>
      </c>
      <c r="B54" s="19" t="s">
        <v>172</v>
      </c>
      <c r="C54" s="19" t="s">
        <v>3201</v>
      </c>
      <c r="D54" s="19" t="s">
        <v>38</v>
      </c>
      <c r="F54" s="6">
        <v>5</v>
      </c>
      <c r="G54" s="6">
        <v>8</v>
      </c>
      <c r="H54" s="6"/>
      <c r="I54" s="6">
        <v>4</v>
      </c>
      <c r="J54" s="6">
        <v>5</v>
      </c>
      <c r="L54" s="1">
        <v>1</v>
      </c>
      <c r="M54" s="1">
        <v>2</v>
      </c>
      <c r="O54">
        <f>149+21</f>
        <v>170</v>
      </c>
      <c r="P54">
        <f>222+17</f>
        <v>239</v>
      </c>
      <c r="Q54">
        <v>92</v>
      </c>
      <c r="R54" s="9">
        <f>-31.896-8.68-9.06-4.31-4.446</f>
        <v>-58.392000000000003</v>
      </c>
      <c r="S54" s="263">
        <f>232+70+59+44+32</f>
        <v>437</v>
      </c>
      <c r="T54" s="203">
        <f>157.092+40.866+11.482+7.561+26.704</f>
        <v>243.70500000000004</v>
      </c>
      <c r="V54">
        <v>31</v>
      </c>
      <c r="W54">
        <v>60</v>
      </c>
      <c r="X54">
        <v>20</v>
      </c>
      <c r="Y54" s="9">
        <f>-13.926</f>
        <v>-13.926</v>
      </c>
      <c r="Z54" s="263">
        <f>94</f>
        <v>94</v>
      </c>
      <c r="AA54" s="203">
        <f>42.369</f>
        <v>42.369</v>
      </c>
      <c r="AC54">
        <f t="shared" si="38"/>
        <v>177.75</v>
      </c>
      <c r="AD54">
        <f t="shared" si="39"/>
        <v>254</v>
      </c>
      <c r="AE54">
        <f t="shared" si="40"/>
        <v>97</v>
      </c>
      <c r="AF54">
        <f t="shared" si="41"/>
        <v>-61.8735</v>
      </c>
      <c r="AG54">
        <f t="shared" si="42"/>
        <v>460.5</v>
      </c>
      <c r="AH54">
        <f t="shared" si="43"/>
        <v>254.29725000000005</v>
      </c>
      <c r="AI54" s="73">
        <f t="shared" si="44"/>
        <v>13.75</v>
      </c>
      <c r="AJ54" s="73">
        <f t="shared" si="45"/>
        <v>12.927272727272728</v>
      </c>
      <c r="AK54" s="73">
        <f t="shared" si="46"/>
        <v>18.472727272727273</v>
      </c>
      <c r="AL54" s="73">
        <f t="shared" si="47"/>
        <v>-5.545454545454545</v>
      </c>
      <c r="AM54" s="73">
        <f t="shared" si="48"/>
        <v>1.8324742268041236</v>
      </c>
      <c r="AN54" s="227">
        <f t="shared" si="49"/>
        <v>-2.2499454545454545</v>
      </c>
      <c r="AO54" s="227">
        <f t="shared" si="50"/>
        <v>-2.3131647417540346</v>
      </c>
      <c r="AP54" s="227">
        <f t="shared" si="51"/>
        <v>-0.98234434915505631</v>
      </c>
      <c r="AQ54" s="89">
        <f t="shared" si="52"/>
        <v>1.078623516839244</v>
      </c>
      <c r="AR54" s="73">
        <f t="shared" si="53"/>
        <v>33.490909090909092</v>
      </c>
      <c r="AS54" s="89">
        <f t="shared" si="54"/>
        <v>18.494345454545456</v>
      </c>
      <c r="AT54" s="89">
        <f t="shared" si="55"/>
        <v>4.3005052557281518</v>
      </c>
      <c r="AU54" s="9">
        <v>7</v>
      </c>
      <c r="AV54" s="9">
        <v>6</v>
      </c>
      <c r="AX54" s="54">
        <f t="shared" si="56"/>
        <v>13</v>
      </c>
      <c r="AZ54" s="49">
        <v>77</v>
      </c>
      <c r="BA54" s="48">
        <f t="shared" si="57"/>
        <v>77</v>
      </c>
      <c r="BB54" s="245">
        <f t="shared" si="58"/>
        <v>0</v>
      </c>
      <c r="BC54" s="36">
        <f t="shared" si="59"/>
        <v>0.39855187517957419</v>
      </c>
      <c r="BD54" s="205">
        <f t="shared" si="60"/>
        <v>0.39743589743589747</v>
      </c>
      <c r="BE54" s="205">
        <f t="shared" si="61"/>
        <v>0.44444444444444442</v>
      </c>
      <c r="BF54" s="205">
        <f t="shared" si="62"/>
        <v>3.1131785190682156E-2</v>
      </c>
      <c r="BG54" s="205">
        <f t="shared" si="63"/>
        <v>0.43936078672403212</v>
      </c>
      <c r="BH54" s="205">
        <f t="shared" si="64"/>
        <v>0.18036984076713208</v>
      </c>
      <c r="BI54" s="205">
        <f t="shared" si="65"/>
        <v>0.92712504747454805</v>
      </c>
      <c r="BJ54" s="205">
        <f t="shared" si="66"/>
        <v>0.44429946995117187</v>
      </c>
      <c r="BK54" s="205">
        <f t="shared" si="67"/>
        <v>0.22113045946958249</v>
      </c>
      <c r="BL54" s="205">
        <f t="shared" si="68"/>
        <v>0.31709694488658935</v>
      </c>
      <c r="BM54" s="205">
        <f t="shared" si="69"/>
        <v>0.10317460317460317</v>
      </c>
      <c r="BN54" s="48">
        <v>5</v>
      </c>
      <c r="BO54" s="220">
        <f t="shared" si="70"/>
        <v>18</v>
      </c>
      <c r="BP54" s="220">
        <v>17</v>
      </c>
      <c r="BQ54" s="220">
        <f t="shared" si="71"/>
        <v>35</v>
      </c>
      <c r="BR54" s="205">
        <v>-0.33333333333333331</v>
      </c>
      <c r="BS54" s="35">
        <v>0.39855187517957419</v>
      </c>
      <c r="BT54">
        <v>1</v>
      </c>
      <c r="BU54" s="205">
        <v>4.3005052557281518</v>
      </c>
      <c r="BV54" s="34">
        <v>3.1131785190682156E-2</v>
      </c>
      <c r="BW54" s="34">
        <v>0.43936078672403212</v>
      </c>
      <c r="BX54" s="34">
        <f>IF(A54&lt;17, SoC!O$3, IF(A54&lt;33, SoC!O$4, IF(A54&lt;49, SoC!O$5, IF(A54&lt;65, SoC!O$6, IF(A54&lt;81, SoC!O$7, IF(A54&lt;97, SoC!O$8, SoC!O$9))))))</f>
        <v>1.1793104273940098</v>
      </c>
      <c r="BY54" s="205">
        <f t="shared" si="72"/>
        <v>0.6313096507891941</v>
      </c>
      <c r="BZ54" s="205" t="str">
        <f t="shared" si="73"/>
        <v>D-</v>
      </c>
      <c r="CA54" s="35">
        <f t="shared" si="74"/>
        <v>-3.5112403705301127</v>
      </c>
      <c r="CB54" s="245">
        <f t="shared" si="75"/>
        <v>0</v>
      </c>
      <c r="CC54" s="48">
        <v>2</v>
      </c>
      <c r="CD54" s="19" t="s">
        <v>38</v>
      </c>
      <c r="CE54">
        <v>77</v>
      </c>
      <c r="CF54">
        <v>77</v>
      </c>
      <c r="CG54">
        <v>77</v>
      </c>
      <c r="CH54">
        <v>77</v>
      </c>
      <c r="CI54">
        <v>77</v>
      </c>
      <c r="CJ54">
        <v>77</v>
      </c>
      <c r="CK54">
        <v>77</v>
      </c>
      <c r="CL54">
        <v>77</v>
      </c>
      <c r="CM54">
        <v>77</v>
      </c>
      <c r="CN54">
        <v>77</v>
      </c>
      <c r="CO54">
        <v>77</v>
      </c>
      <c r="CP54">
        <v>92</v>
      </c>
      <c r="CQ54">
        <v>92</v>
      </c>
      <c r="CR54">
        <v>87</v>
      </c>
      <c r="CS54">
        <v>87</v>
      </c>
      <c r="CT54">
        <v>81</v>
      </c>
      <c r="CU54">
        <v>84</v>
      </c>
      <c r="CV54">
        <v>94</v>
      </c>
      <c r="CW54">
        <v>91</v>
      </c>
      <c r="CX54">
        <v>88</v>
      </c>
      <c r="CY54">
        <v>96</v>
      </c>
      <c r="CZ54">
        <v>108</v>
      </c>
      <c r="DA54">
        <v>106</v>
      </c>
      <c r="DB54">
        <v>97</v>
      </c>
      <c r="DC54">
        <v>104</v>
      </c>
      <c r="DD54">
        <v>93</v>
      </c>
      <c r="DE54" s="154">
        <v>112</v>
      </c>
      <c r="DF54">
        <v>112</v>
      </c>
      <c r="DG54">
        <v>111</v>
      </c>
    </row>
    <row r="55" spans="1:111" x14ac:dyDescent="0.35">
      <c r="A55">
        <v>54</v>
      </c>
      <c r="B55" s="19" t="s">
        <v>172</v>
      </c>
      <c r="C55" s="19" t="s">
        <v>3201</v>
      </c>
      <c r="D55" s="19" t="s">
        <v>39</v>
      </c>
      <c r="F55" s="6">
        <v>7</v>
      </c>
      <c r="G55" s="6">
        <v>6</v>
      </c>
      <c r="H55" s="6"/>
      <c r="I55" s="6">
        <v>4</v>
      </c>
      <c r="J55" s="6">
        <v>5</v>
      </c>
      <c r="L55" s="1">
        <v>0</v>
      </c>
      <c r="M55" s="1">
        <v>2</v>
      </c>
      <c r="O55">
        <v>170</v>
      </c>
      <c r="P55">
        <f>168+21</f>
        <v>189</v>
      </c>
      <c r="Q55">
        <v>96</v>
      </c>
      <c r="R55" s="9">
        <f>-14.468+1.578-3.271-0.364+4.446</f>
        <v>-12.079000000000002</v>
      </c>
      <c r="S55" s="263">
        <f>542+57+61+44+32</f>
        <v>736</v>
      </c>
      <c r="T55" s="203">
        <f>308.882+0+29.857+0+13.514</f>
        <v>352.25300000000004</v>
      </c>
      <c r="V55">
        <v>24</v>
      </c>
      <c r="W55">
        <v>44</v>
      </c>
      <c r="X55">
        <v>16</v>
      </c>
      <c r="Y55" s="9">
        <f>-0.849</f>
        <v>-0.84899999999999998</v>
      </c>
      <c r="Z55" s="263">
        <f>72</f>
        <v>72</v>
      </c>
      <c r="AA55" s="203">
        <f>6.408</f>
        <v>6.4080000000000004</v>
      </c>
      <c r="AC55">
        <f t="shared" si="38"/>
        <v>176</v>
      </c>
      <c r="AD55">
        <f t="shared" si="39"/>
        <v>200</v>
      </c>
      <c r="AE55">
        <f t="shared" si="40"/>
        <v>100</v>
      </c>
      <c r="AF55">
        <f t="shared" si="41"/>
        <v>-12.291250000000002</v>
      </c>
      <c r="AG55">
        <f t="shared" si="42"/>
        <v>754</v>
      </c>
      <c r="AH55">
        <f t="shared" si="43"/>
        <v>353.85500000000002</v>
      </c>
      <c r="AI55" s="73">
        <f t="shared" si="44"/>
        <v>13.5</v>
      </c>
      <c r="AJ55" s="73">
        <f t="shared" si="45"/>
        <v>13.037037037037036</v>
      </c>
      <c r="AK55" s="73">
        <f t="shared" si="46"/>
        <v>14.814814814814815</v>
      </c>
      <c r="AL55" s="73">
        <f t="shared" si="47"/>
        <v>-1.7777777777777786</v>
      </c>
      <c r="AM55" s="73">
        <f t="shared" si="48"/>
        <v>1.76</v>
      </c>
      <c r="AN55" s="227">
        <f t="shared" si="49"/>
        <v>-0.45523148148148151</v>
      </c>
      <c r="AO55" s="227">
        <f t="shared" si="50"/>
        <v>-0.67935623347011331</v>
      </c>
      <c r="AP55" s="227">
        <f t="shared" si="51"/>
        <v>-0.64319006282618374</v>
      </c>
      <c r="AQ55" s="89">
        <f t="shared" si="52"/>
        <v>3.0424645785988105</v>
      </c>
      <c r="AR55" s="73">
        <f t="shared" si="53"/>
        <v>55.851851851851855</v>
      </c>
      <c r="AS55" s="89">
        <f t="shared" si="54"/>
        <v>26.211481481481481</v>
      </c>
      <c r="AT55" s="89">
        <f t="shared" si="55"/>
        <v>5.1197149804927111</v>
      </c>
      <c r="AU55" s="9">
        <v>7</v>
      </c>
      <c r="AV55" s="9">
        <v>0</v>
      </c>
      <c r="AX55" s="54">
        <f t="shared" si="56"/>
        <v>7</v>
      </c>
      <c r="AZ55" s="49">
        <v>69</v>
      </c>
      <c r="BA55" s="48">
        <f t="shared" si="57"/>
        <v>69</v>
      </c>
      <c r="BB55" s="245">
        <f t="shared" si="58"/>
        <v>0</v>
      </c>
      <c r="BC55" s="36">
        <f t="shared" si="59"/>
        <v>0.46713842693092217</v>
      </c>
      <c r="BD55" s="205">
        <f t="shared" si="60"/>
        <v>0.53846153846153844</v>
      </c>
      <c r="BE55" s="205">
        <f t="shared" si="61"/>
        <v>0.44444444444444442</v>
      </c>
      <c r="BF55" s="205">
        <f t="shared" si="62"/>
        <v>4.0528972201943528E-2</v>
      </c>
      <c r="BG55" s="205">
        <f t="shared" si="63"/>
        <v>0.78064604247763447</v>
      </c>
      <c r="BH55" s="205">
        <f t="shared" si="64"/>
        <v>0.10026995634237187</v>
      </c>
      <c r="BI55" s="205">
        <f t="shared" si="65"/>
        <v>0.74164402380776162</v>
      </c>
      <c r="BJ55" s="205">
        <f t="shared" si="66"/>
        <v>0.47969360620132501</v>
      </c>
      <c r="BK55" s="205">
        <f t="shared" si="67"/>
        <v>0.43428897603350769</v>
      </c>
      <c r="BL55" s="205">
        <f t="shared" si="68"/>
        <v>0.4415554918794628</v>
      </c>
      <c r="BM55" s="205">
        <f t="shared" si="69"/>
        <v>5.5555555555555552E-2</v>
      </c>
      <c r="BN55" s="48">
        <v>5</v>
      </c>
      <c r="BO55" s="220">
        <f t="shared" si="70"/>
        <v>12</v>
      </c>
      <c r="BP55" s="220">
        <v>24</v>
      </c>
      <c r="BQ55" s="220">
        <f t="shared" si="71"/>
        <v>36</v>
      </c>
      <c r="BR55" s="205">
        <v>-1.3333333333333333</v>
      </c>
      <c r="BS55" s="35">
        <v>0.46713842693092217</v>
      </c>
      <c r="BT55">
        <v>1</v>
      </c>
      <c r="BU55" s="205">
        <v>5.1197149804927111</v>
      </c>
      <c r="BV55" s="34">
        <v>4.0528972201943528E-2</v>
      </c>
      <c r="BW55" s="34">
        <v>0.78064604247763447</v>
      </c>
      <c r="BX55" s="34">
        <f>IF(A55&lt;17, SoC!O$3, IF(A55&lt;33, SoC!O$4, IF(A55&lt;49, SoC!O$5, IF(A55&lt;65, SoC!O$6, IF(A55&lt;81, SoC!O$7, IF(A55&lt;97, SoC!O$8, SoC!O$9))))))</f>
        <v>1.1793104273940098</v>
      </c>
      <c r="BY55" s="205">
        <f t="shared" si="72"/>
        <v>0.68347525699978506</v>
      </c>
      <c r="BZ55" s="205" t="str">
        <f t="shared" si="73"/>
        <v>D+</v>
      </c>
      <c r="CA55" s="35">
        <f t="shared" si="74"/>
        <v>-1.7299044731208735</v>
      </c>
      <c r="CB55" s="245">
        <f t="shared" si="75"/>
        <v>0</v>
      </c>
      <c r="CC55" s="48">
        <v>30</v>
      </c>
      <c r="CD55" s="19" t="s">
        <v>39</v>
      </c>
      <c r="CE55">
        <v>69</v>
      </c>
      <c r="CF55">
        <v>69</v>
      </c>
      <c r="CG55">
        <v>69</v>
      </c>
      <c r="CH55">
        <v>69</v>
      </c>
      <c r="CI55">
        <v>69</v>
      </c>
      <c r="CJ55">
        <v>69</v>
      </c>
      <c r="CK55">
        <v>69</v>
      </c>
      <c r="CL55">
        <v>69</v>
      </c>
      <c r="CM55">
        <v>69</v>
      </c>
      <c r="CN55">
        <v>69</v>
      </c>
      <c r="CO55">
        <v>69</v>
      </c>
      <c r="CP55">
        <v>67</v>
      </c>
      <c r="CQ55">
        <v>67</v>
      </c>
      <c r="CR55">
        <v>59</v>
      </c>
      <c r="CS55">
        <v>60</v>
      </c>
      <c r="CT55">
        <v>62</v>
      </c>
      <c r="CU55">
        <v>64</v>
      </c>
      <c r="CV55">
        <v>54</v>
      </c>
      <c r="CW55">
        <v>58</v>
      </c>
      <c r="CX55">
        <v>60</v>
      </c>
      <c r="CY55">
        <v>62</v>
      </c>
      <c r="CZ55">
        <v>76</v>
      </c>
      <c r="DA55">
        <v>63</v>
      </c>
      <c r="DB55">
        <v>68</v>
      </c>
      <c r="DC55">
        <v>71</v>
      </c>
      <c r="DD55">
        <v>50</v>
      </c>
      <c r="DE55" s="154">
        <v>31</v>
      </c>
      <c r="DF55">
        <v>38</v>
      </c>
      <c r="DG55">
        <v>83</v>
      </c>
    </row>
    <row r="56" spans="1:111" x14ac:dyDescent="0.35">
      <c r="A56">
        <v>55</v>
      </c>
      <c r="B56" s="19" t="s">
        <v>172</v>
      </c>
      <c r="C56" s="19" t="s">
        <v>3201</v>
      </c>
      <c r="D56" s="19" t="s">
        <v>37</v>
      </c>
      <c r="F56" s="6">
        <v>5</v>
      </c>
      <c r="G56" s="6">
        <v>8</v>
      </c>
      <c r="H56" s="6"/>
      <c r="I56" s="6">
        <v>4</v>
      </c>
      <c r="J56" s="6">
        <v>5</v>
      </c>
      <c r="L56" s="1">
        <v>0</v>
      </c>
      <c r="M56" s="1">
        <v>9</v>
      </c>
      <c r="O56">
        <f>191+26</f>
        <v>217</v>
      </c>
      <c r="P56">
        <f>177+35</f>
        <v>212</v>
      </c>
      <c r="Q56">
        <f>100+12</f>
        <v>112</v>
      </c>
      <c r="R56" s="9">
        <f>-18.745+5.346-0.303-4.285-6.251</f>
        <v>-24.238000000000003</v>
      </c>
      <c r="S56" s="263">
        <f>409+23+34+62+72</f>
        <v>600</v>
      </c>
      <c r="T56" s="203">
        <f>307.379+9.217+45.542+(108.159-4.0795)+26.58</f>
        <v>492.79750000000001</v>
      </c>
      <c r="V56">
        <v>96</v>
      </c>
      <c r="W56">
        <v>199</v>
      </c>
      <c r="X56">
        <v>50</v>
      </c>
      <c r="Y56" s="9">
        <f>-47.041</f>
        <v>-47.040999999999997</v>
      </c>
      <c r="Z56" s="263">
        <f>596</f>
        <v>596</v>
      </c>
      <c r="AA56" s="203">
        <f>87.141</f>
        <v>87.141000000000005</v>
      </c>
      <c r="AC56">
        <f t="shared" si="38"/>
        <v>241</v>
      </c>
      <c r="AD56">
        <f t="shared" si="39"/>
        <v>261.75</v>
      </c>
      <c r="AE56">
        <f t="shared" si="40"/>
        <v>124.5</v>
      </c>
      <c r="AF56">
        <f t="shared" si="41"/>
        <v>-35.998249999999999</v>
      </c>
      <c r="AG56">
        <f t="shared" si="42"/>
        <v>749</v>
      </c>
      <c r="AH56">
        <f t="shared" si="43"/>
        <v>514.58275000000003</v>
      </c>
      <c r="AI56" s="73">
        <f t="shared" si="44"/>
        <v>15.25</v>
      </c>
      <c r="AJ56" s="73">
        <f t="shared" si="45"/>
        <v>15.803278688524591</v>
      </c>
      <c r="AK56" s="73">
        <f t="shared" si="46"/>
        <v>17.16393442622951</v>
      </c>
      <c r="AL56" s="73">
        <f t="shared" si="47"/>
        <v>-1.3606557377049189</v>
      </c>
      <c r="AM56" s="73">
        <f t="shared" si="48"/>
        <v>1.9357429718875503</v>
      </c>
      <c r="AN56" s="227">
        <f t="shared" si="49"/>
        <v>-1.1802704918032787</v>
      </c>
      <c r="AO56" s="227">
        <f t="shared" si="50"/>
        <v>-1.3393917163828444</v>
      </c>
      <c r="AP56" s="227">
        <f t="shared" si="51"/>
        <v>1.159006470481204</v>
      </c>
      <c r="AQ56" s="89">
        <f t="shared" si="52"/>
        <v>2.8067845849336686</v>
      </c>
      <c r="AR56" s="73">
        <f t="shared" si="53"/>
        <v>49.114754098360656</v>
      </c>
      <c r="AS56" s="89">
        <f t="shared" si="54"/>
        <v>33.743131147540986</v>
      </c>
      <c r="AT56" s="89">
        <f t="shared" si="55"/>
        <v>5.8088838125358464</v>
      </c>
      <c r="AU56" s="9">
        <v>21</v>
      </c>
      <c r="AV56" s="9">
        <v>12</v>
      </c>
      <c r="AW56" s="20">
        <v>11</v>
      </c>
      <c r="AX56" s="54">
        <f t="shared" si="56"/>
        <v>44</v>
      </c>
      <c r="AZ56" s="49">
        <v>60</v>
      </c>
      <c r="BA56" s="48">
        <f t="shared" si="57"/>
        <v>60</v>
      </c>
      <c r="BB56" s="245">
        <f t="shared" si="58"/>
        <v>0</v>
      </c>
      <c r="BC56" s="36">
        <f t="shared" si="59"/>
        <v>0.50479146996535806</v>
      </c>
      <c r="BD56" s="205">
        <f t="shared" si="60"/>
        <v>0.38461538461538464</v>
      </c>
      <c r="BE56" s="205">
        <f t="shared" si="61"/>
        <v>0.44444444444444442</v>
      </c>
      <c r="BF56" s="205">
        <f t="shared" si="62"/>
        <v>0.27735358462092186</v>
      </c>
      <c r="BG56" s="205">
        <f t="shared" si="63"/>
        <v>0.56147188328110675</v>
      </c>
      <c r="BH56" s="205">
        <f t="shared" si="64"/>
        <v>0.2945044084697826</v>
      </c>
      <c r="BI56" s="205">
        <f t="shared" si="65"/>
        <v>0.81657572872074669</v>
      </c>
      <c r="BJ56" s="205">
        <f t="shared" si="66"/>
        <v>0.66777080947034684</v>
      </c>
      <c r="BK56" s="205">
        <f t="shared" si="67"/>
        <v>0.41122874496075057</v>
      </c>
      <c r="BL56" s="205">
        <f t="shared" si="68"/>
        <v>0.54625755885445559</v>
      </c>
      <c r="BM56" s="205">
        <f t="shared" si="69"/>
        <v>0.34920634920634919</v>
      </c>
      <c r="BN56" s="48">
        <v>5</v>
      </c>
      <c r="BO56" s="220">
        <f t="shared" si="70"/>
        <v>49</v>
      </c>
      <c r="BP56" s="220">
        <v>31</v>
      </c>
      <c r="BQ56" s="220">
        <f t="shared" si="71"/>
        <v>80</v>
      </c>
      <c r="BR56" s="205">
        <v>0</v>
      </c>
      <c r="BS56" s="35">
        <v>0.50479146996535806</v>
      </c>
      <c r="BT56">
        <v>3</v>
      </c>
      <c r="BU56" s="205">
        <v>5.8088838125358464</v>
      </c>
      <c r="BV56" s="34">
        <v>0.27735358462092186</v>
      </c>
      <c r="BW56" s="34">
        <v>0.56147188328110675</v>
      </c>
      <c r="BX56" s="34">
        <f>IF(A56&lt;17, SoC!O$3, IF(A56&lt;33, SoC!O$4, IF(A56&lt;49, SoC!O$5, IF(A56&lt;65, SoC!O$6, IF(A56&lt;81, SoC!O$7, IF(A56&lt;97, SoC!O$8, SoC!O$9))))))</f>
        <v>1.1793104273940098</v>
      </c>
      <c r="BY56" s="205">
        <f t="shared" si="72"/>
        <v>0.71048678380766384</v>
      </c>
      <c r="BZ56" s="205" t="str">
        <f t="shared" si="73"/>
        <v>C-</v>
      </c>
      <c r="CA56" s="35">
        <f t="shared" si="74"/>
        <v>-0.6322591964105877</v>
      </c>
      <c r="CB56" s="245">
        <f t="shared" si="75"/>
        <v>0</v>
      </c>
      <c r="CC56" s="48">
        <v>79</v>
      </c>
      <c r="CD56" s="19" t="s">
        <v>37</v>
      </c>
      <c r="CE56">
        <v>60</v>
      </c>
      <c r="CF56">
        <v>60</v>
      </c>
      <c r="CG56">
        <v>61</v>
      </c>
      <c r="CH56">
        <v>61</v>
      </c>
      <c r="CI56">
        <v>61</v>
      </c>
      <c r="CJ56">
        <v>61</v>
      </c>
      <c r="CK56">
        <v>61</v>
      </c>
      <c r="CL56">
        <v>61</v>
      </c>
      <c r="CM56">
        <v>61</v>
      </c>
      <c r="CN56">
        <v>62</v>
      </c>
      <c r="CO56">
        <v>61</v>
      </c>
      <c r="CP56">
        <v>61</v>
      </c>
      <c r="CQ56">
        <v>61</v>
      </c>
      <c r="CR56">
        <v>67</v>
      </c>
      <c r="CS56">
        <v>67</v>
      </c>
      <c r="CT56">
        <v>72</v>
      </c>
      <c r="CU56">
        <v>74</v>
      </c>
      <c r="CV56">
        <v>73</v>
      </c>
      <c r="CW56">
        <v>67</v>
      </c>
      <c r="CX56">
        <v>62</v>
      </c>
      <c r="CY56">
        <v>60</v>
      </c>
      <c r="CZ56">
        <v>64</v>
      </c>
      <c r="DA56">
        <v>73</v>
      </c>
      <c r="DB56">
        <v>66</v>
      </c>
      <c r="DC56">
        <v>102</v>
      </c>
      <c r="DD56">
        <v>98</v>
      </c>
      <c r="DE56" s="154">
        <v>91</v>
      </c>
      <c r="DF56">
        <v>69</v>
      </c>
      <c r="DG56">
        <v>34</v>
      </c>
    </row>
    <row r="57" spans="1:111" x14ac:dyDescent="0.35">
      <c r="A57">
        <v>56</v>
      </c>
      <c r="B57" s="19" t="s">
        <v>172</v>
      </c>
      <c r="C57" s="19" t="s">
        <v>3201</v>
      </c>
      <c r="D57" s="19" t="s">
        <v>36</v>
      </c>
      <c r="F57" s="6">
        <v>11</v>
      </c>
      <c r="G57" s="6">
        <v>3</v>
      </c>
      <c r="H57" s="8">
        <v>8</v>
      </c>
      <c r="I57" s="6">
        <v>8</v>
      </c>
      <c r="J57" s="6">
        <v>1</v>
      </c>
      <c r="L57" s="1">
        <v>21</v>
      </c>
      <c r="M57" s="1">
        <v>12</v>
      </c>
      <c r="O57">
        <v>295</v>
      </c>
      <c r="P57">
        <v>220</v>
      </c>
      <c r="Q57">
        <v>128</v>
      </c>
      <c r="R57" s="9">
        <f>40.063+8.397+9.078-1.404+6.251+2.627</f>
        <v>65.012</v>
      </c>
      <c r="S57" s="263">
        <f>598+69+57+97+72+97</f>
        <v>990</v>
      </c>
      <c r="T57" s="203">
        <f>582.64+16.78+33.306+50.232+37.428+3.024</f>
        <v>723.41</v>
      </c>
      <c r="V57">
        <f>655+19</f>
        <v>674</v>
      </c>
      <c r="W57">
        <f>538+15</f>
        <v>553</v>
      </c>
      <c r="X57">
        <v>286</v>
      </c>
      <c r="Y57" s="9">
        <f>71.942+5.467+8.073+5.497+8.348-1.67+2.666+1.89+5.212+1.998+6.29-5.403-1.168-3.12+2.367-0.558+2.88-4.674-8.937+1.215-3.099-0.305-5.072-2.065-7.025</f>
        <v>80.748999999999967</v>
      </c>
      <c r="Z57" s="263">
        <f>676+79+88+79+77+96+93+91+95+95+89+101+96+94+98+95+93+95+92+95+94+97+100+96+102</f>
        <v>2906</v>
      </c>
      <c r="AA57" s="203">
        <f>626.977+(121.797-10.8985)+8.762+30.723+71.477+80.103+(100.615-0.3075)+57.941+0.076+16.97+83.282+58.304+24.206+11.967+23.275+42.774+68.265+4.607+4.48+(375.893-173.5864)+10.251+72.846+74.649+12.399+71.754</f>
        <v>1869.6005999999998</v>
      </c>
      <c r="AC57">
        <f t="shared" si="38"/>
        <v>463.5</v>
      </c>
      <c r="AD57">
        <f t="shared" si="39"/>
        <v>358.25</v>
      </c>
      <c r="AE57">
        <f t="shared" si="40"/>
        <v>199.5</v>
      </c>
      <c r="AF57">
        <f t="shared" si="41"/>
        <v>85.199249999999992</v>
      </c>
      <c r="AG57">
        <f t="shared" si="42"/>
        <v>1716.5</v>
      </c>
      <c r="AH57">
        <f t="shared" si="43"/>
        <v>1190.8101499999998</v>
      </c>
      <c r="AI57" s="73">
        <f t="shared" si="44"/>
        <v>22.25</v>
      </c>
      <c r="AJ57" s="73">
        <f t="shared" si="45"/>
        <v>20.831460674157302</v>
      </c>
      <c r="AK57" s="73">
        <f t="shared" si="46"/>
        <v>16.101123595505619</v>
      </c>
      <c r="AL57" s="73">
        <f t="shared" si="47"/>
        <v>4.730337078651683</v>
      </c>
      <c r="AM57" s="73">
        <f t="shared" si="48"/>
        <v>2.3233082706766917</v>
      </c>
      <c r="AN57" s="227">
        <f t="shared" si="49"/>
        <v>3.8291797752808985</v>
      </c>
      <c r="AO57" s="227">
        <f t="shared" si="50"/>
        <v>3.2209352165013811</v>
      </c>
      <c r="AP57" s="227">
        <f t="shared" si="51"/>
        <v>1.2052795827605429</v>
      </c>
      <c r="AQ57" s="89">
        <f t="shared" si="52"/>
        <v>7.1848798256390936</v>
      </c>
      <c r="AR57" s="73">
        <f t="shared" si="53"/>
        <v>77.146067415730343</v>
      </c>
      <c r="AS57" s="89">
        <f t="shared" si="54"/>
        <v>53.519557303370775</v>
      </c>
      <c r="AT57" s="89">
        <f t="shared" si="55"/>
        <v>7.3157062067425027</v>
      </c>
      <c r="AU57" s="9">
        <v>42</v>
      </c>
      <c r="AV57" s="9">
        <v>30</v>
      </c>
      <c r="AW57" s="20">
        <v>44</v>
      </c>
      <c r="AX57" s="54">
        <f t="shared" si="56"/>
        <v>116</v>
      </c>
      <c r="AZ57" s="49">
        <v>6</v>
      </c>
      <c r="BA57" s="48">
        <f t="shared" si="57"/>
        <v>6</v>
      </c>
      <c r="BB57" s="245">
        <f t="shared" si="58"/>
        <v>0</v>
      </c>
      <c r="BC57" s="36">
        <f t="shared" si="59"/>
        <v>0.84842567381754563</v>
      </c>
      <c r="BD57" s="205">
        <f t="shared" si="60"/>
        <v>1.0357142857142858</v>
      </c>
      <c r="BE57" s="205">
        <f t="shared" si="61"/>
        <v>0.88888888888888884</v>
      </c>
      <c r="BF57" s="205">
        <f t="shared" si="62"/>
        <v>0.70782835868095417</v>
      </c>
      <c r="BG57" s="205">
        <f t="shared" si="63"/>
        <v>0.66063272169775478</v>
      </c>
      <c r="BH57" s="205">
        <f t="shared" si="64"/>
        <v>0.72284889738665559</v>
      </c>
      <c r="BI57" s="205">
        <f t="shared" si="65"/>
        <v>0.29885648348616922</v>
      </c>
      <c r="BJ57" s="205">
        <f t="shared" si="66"/>
        <v>0.67259987077593042</v>
      </c>
      <c r="BK57" s="205">
        <f t="shared" si="67"/>
        <v>0.79562032892739132</v>
      </c>
      <c r="BL57" s="205">
        <f t="shared" si="68"/>
        <v>0.77518175261104361</v>
      </c>
      <c r="BM57" s="205">
        <f t="shared" si="69"/>
        <v>0.92063492063492058</v>
      </c>
      <c r="BN57" s="48">
        <f>30+68</f>
        <v>98</v>
      </c>
      <c r="BO57" s="220">
        <f t="shared" si="70"/>
        <v>214</v>
      </c>
      <c r="BP57" s="220">
        <v>104</v>
      </c>
      <c r="BQ57" s="220">
        <f t="shared" si="71"/>
        <v>318</v>
      </c>
      <c r="BR57" s="205">
        <v>1.3333333333333333</v>
      </c>
      <c r="BS57" s="35">
        <v>0.84842567381754563</v>
      </c>
      <c r="BT57">
        <v>5</v>
      </c>
      <c r="BU57" s="205">
        <v>7.3157062067425027</v>
      </c>
      <c r="BV57" s="34">
        <v>0.70782835868095417</v>
      </c>
      <c r="BW57" s="34">
        <v>0.66063272169775478</v>
      </c>
      <c r="BX57" s="34">
        <f>IF(A57&lt;17, SoC!O$3, IF(A57&lt;33, SoC!O$4, IF(A57&lt;49, SoC!O$5, IF(A57&lt;65, SoC!O$6, IF(A57&lt;81, SoC!O$7, IF(A57&lt;97, SoC!O$8, SoC!O$9))))))</f>
        <v>1.1793104273940098</v>
      </c>
      <c r="BY57" s="205">
        <f t="shared" si="72"/>
        <v>0.92110025177368482</v>
      </c>
      <c r="BZ57" s="205" t="str">
        <f t="shared" si="73"/>
        <v>A-</v>
      </c>
      <c r="CA57" s="35">
        <f t="shared" si="74"/>
        <v>6.9938360777364927</v>
      </c>
      <c r="CB57" s="245">
        <f t="shared" si="75"/>
        <v>0</v>
      </c>
      <c r="CC57" s="48">
        <v>104</v>
      </c>
      <c r="CD57" s="19" t="s">
        <v>36</v>
      </c>
      <c r="CE57">
        <v>6</v>
      </c>
      <c r="CF57">
        <v>6</v>
      </c>
      <c r="CG57">
        <v>6</v>
      </c>
      <c r="CH57">
        <v>9</v>
      </c>
      <c r="CI57">
        <v>7</v>
      </c>
      <c r="CJ57">
        <v>8</v>
      </c>
      <c r="CK57">
        <v>8</v>
      </c>
      <c r="CL57">
        <v>6</v>
      </c>
      <c r="CM57">
        <v>6</v>
      </c>
      <c r="CN57">
        <v>8</v>
      </c>
      <c r="CO57">
        <v>8</v>
      </c>
      <c r="CP57">
        <v>8</v>
      </c>
      <c r="CQ57">
        <v>6</v>
      </c>
      <c r="CR57">
        <v>7</v>
      </c>
      <c r="CS57">
        <v>8</v>
      </c>
      <c r="CT57">
        <v>6</v>
      </c>
      <c r="CU57">
        <v>6</v>
      </c>
      <c r="CV57">
        <v>9</v>
      </c>
      <c r="CW57">
        <v>7</v>
      </c>
      <c r="CX57">
        <v>9</v>
      </c>
      <c r="CY57">
        <v>9</v>
      </c>
      <c r="CZ57">
        <v>8</v>
      </c>
      <c r="DA57">
        <v>15</v>
      </c>
      <c r="DB57">
        <v>11</v>
      </c>
      <c r="DC57">
        <v>20</v>
      </c>
      <c r="DD57">
        <v>53</v>
      </c>
      <c r="DE57" s="154">
        <v>37</v>
      </c>
      <c r="DF57">
        <v>8</v>
      </c>
      <c r="DG57">
        <v>13</v>
      </c>
    </row>
    <row r="58" spans="1:111" x14ac:dyDescent="0.35">
      <c r="A58">
        <v>57</v>
      </c>
      <c r="B58" s="19" t="s">
        <v>172</v>
      </c>
      <c r="C58" s="19" t="s">
        <v>1099</v>
      </c>
      <c r="D58" s="19" t="s">
        <v>44</v>
      </c>
      <c r="F58" s="6">
        <v>6</v>
      </c>
      <c r="G58" s="6">
        <v>7</v>
      </c>
      <c r="H58" s="6"/>
      <c r="I58" s="6">
        <v>4</v>
      </c>
      <c r="J58" s="6">
        <v>5</v>
      </c>
      <c r="L58" s="1">
        <v>3</v>
      </c>
      <c r="M58" s="1">
        <v>2</v>
      </c>
      <c r="O58">
        <v>211</v>
      </c>
      <c r="P58">
        <f>196+15</f>
        <v>211</v>
      </c>
      <c r="Q58">
        <v>116</v>
      </c>
      <c r="R58" s="9">
        <f>-21.414+1.939-8.05+0.364-1.923</f>
        <v>-29.084000000000003</v>
      </c>
      <c r="S58" s="263">
        <f>442+19+69+44+61</f>
        <v>635</v>
      </c>
      <c r="T58" s="203">
        <f>258.214+64.452+25.976+(110.62-5.31)+68.713</f>
        <v>522.66499999999996</v>
      </c>
      <c r="V58">
        <v>66</v>
      </c>
      <c r="W58">
        <v>68</v>
      </c>
      <c r="X58">
        <v>34</v>
      </c>
      <c r="Y58" s="9">
        <f>-7.397</f>
        <v>-7.3970000000000002</v>
      </c>
      <c r="Z58" s="263">
        <f>243</f>
        <v>243</v>
      </c>
      <c r="AA58" s="203">
        <f>170.287</f>
        <v>170.28700000000001</v>
      </c>
      <c r="AC58">
        <f t="shared" si="38"/>
        <v>227.5</v>
      </c>
      <c r="AD58">
        <f t="shared" si="39"/>
        <v>228</v>
      </c>
      <c r="AE58">
        <f t="shared" si="40"/>
        <v>124.5</v>
      </c>
      <c r="AF58">
        <f t="shared" si="41"/>
        <v>-30.933250000000005</v>
      </c>
      <c r="AG58">
        <f t="shared" si="42"/>
        <v>695.75</v>
      </c>
      <c r="AH58">
        <f t="shared" si="43"/>
        <v>565.23674999999992</v>
      </c>
      <c r="AI58" s="73">
        <f t="shared" si="44"/>
        <v>14.25</v>
      </c>
      <c r="AJ58" s="73">
        <f t="shared" si="45"/>
        <v>15.964912280701755</v>
      </c>
      <c r="AK58" s="73">
        <f t="shared" si="46"/>
        <v>16</v>
      </c>
      <c r="AL58" s="73">
        <f t="shared" si="47"/>
        <v>-3.5087719298244835E-2</v>
      </c>
      <c r="AM58" s="73">
        <f t="shared" si="48"/>
        <v>1.8273092369477912</v>
      </c>
      <c r="AN58" s="227">
        <f t="shared" si="49"/>
        <v>-1.0853771929824563</v>
      </c>
      <c r="AO58" s="227">
        <f t="shared" si="50"/>
        <v>-1.2530060965462166</v>
      </c>
      <c r="AP58" s="227">
        <f t="shared" si="51"/>
        <v>2.3032955702304281</v>
      </c>
      <c r="AQ58" s="89">
        <f t="shared" si="52"/>
        <v>3.1808731863101625</v>
      </c>
      <c r="AR58" s="73">
        <f t="shared" si="53"/>
        <v>48.824561403508774</v>
      </c>
      <c r="AS58" s="89">
        <f t="shared" si="54"/>
        <v>39.665736842105254</v>
      </c>
      <c r="AT58" s="89">
        <f t="shared" si="55"/>
        <v>6.2980740581629595</v>
      </c>
      <c r="AU58" s="9">
        <v>21</v>
      </c>
      <c r="AV58" s="9">
        <v>0</v>
      </c>
      <c r="AX58" s="54">
        <f t="shared" si="56"/>
        <v>21</v>
      </c>
      <c r="AZ58" s="49">
        <v>53</v>
      </c>
      <c r="BA58" s="48">
        <f t="shared" si="57"/>
        <v>53</v>
      </c>
      <c r="BB58" s="245">
        <f t="shared" si="58"/>
        <v>0</v>
      </c>
      <c r="BC58" s="36">
        <f t="shared" si="59"/>
        <v>0.54037365865046461</v>
      </c>
      <c r="BD58" s="205">
        <f t="shared" si="60"/>
        <v>0.5</v>
      </c>
      <c r="BE58" s="205">
        <f t="shared" si="61"/>
        <v>0.44444444444444442</v>
      </c>
      <c r="BF58" s="205">
        <f t="shared" si="62"/>
        <v>0.29119142586688079</v>
      </c>
      <c r="BG58" s="205">
        <f t="shared" si="63"/>
        <v>0.67006760909649676</v>
      </c>
      <c r="BH58" s="205">
        <f t="shared" si="64"/>
        <v>0.17466139641676415</v>
      </c>
      <c r="BI58" s="205">
        <f t="shared" si="65"/>
        <v>0.80676864721997932</v>
      </c>
      <c r="BJ58" s="205">
        <f t="shared" si="66"/>
        <v>0.78718880281045123</v>
      </c>
      <c r="BK58" s="205">
        <f t="shared" si="67"/>
        <v>0.44763328815501202</v>
      </c>
      <c r="BL58" s="205">
        <f t="shared" si="68"/>
        <v>0.62057785234381246</v>
      </c>
      <c r="BM58" s="205">
        <f t="shared" si="69"/>
        <v>0.16666666666666666</v>
      </c>
      <c r="BN58" s="48">
        <v>5</v>
      </c>
      <c r="BO58" s="220">
        <f t="shared" si="70"/>
        <v>26</v>
      </c>
      <c r="BP58" s="220">
        <v>37</v>
      </c>
      <c r="BQ58" s="220">
        <f t="shared" si="71"/>
        <v>63</v>
      </c>
      <c r="BR58" s="205">
        <v>0.33333333333333331</v>
      </c>
      <c r="BS58" s="35">
        <v>0.54037365865046461</v>
      </c>
      <c r="BT58">
        <v>1</v>
      </c>
      <c r="BU58" s="205">
        <v>6.2980740581629595</v>
      </c>
      <c r="BV58" s="34">
        <v>0.29119142586688079</v>
      </c>
      <c r="BW58" s="34">
        <v>0.67006760909649676</v>
      </c>
      <c r="BX58" s="34">
        <f>IF(A58&lt;17, SoC!O$3, IF(A58&lt;33, SoC!O$4, IF(A58&lt;49, SoC!O$5, IF(A58&lt;65, SoC!O$6, IF(A58&lt;81, SoC!O$7, IF(A58&lt;97, SoC!O$8, SoC!O$9))))))</f>
        <v>1.1793104273940098</v>
      </c>
      <c r="BY58" s="205">
        <f t="shared" si="72"/>
        <v>0.7351011213775045</v>
      </c>
      <c r="BZ58" s="205" t="str">
        <f t="shared" si="73"/>
        <v>C</v>
      </c>
      <c r="CA58" s="35">
        <f t="shared" si="74"/>
        <v>0.32397970010509969</v>
      </c>
      <c r="CB58" s="245">
        <f t="shared" si="75"/>
        <v>0</v>
      </c>
      <c r="CC58" s="48">
        <v>6</v>
      </c>
      <c r="CD58" s="19" t="s">
        <v>44</v>
      </c>
      <c r="CE58">
        <v>53</v>
      </c>
      <c r="CF58">
        <v>53</v>
      </c>
      <c r="CG58">
        <v>53</v>
      </c>
      <c r="CH58">
        <v>53</v>
      </c>
      <c r="CI58">
        <v>53</v>
      </c>
      <c r="CJ58">
        <v>53</v>
      </c>
      <c r="CK58">
        <v>54</v>
      </c>
      <c r="CL58">
        <v>54</v>
      </c>
      <c r="CM58">
        <v>54</v>
      </c>
      <c r="CN58">
        <v>54</v>
      </c>
      <c r="CO58">
        <v>54</v>
      </c>
      <c r="CP58">
        <v>62</v>
      </c>
      <c r="CQ58">
        <v>63</v>
      </c>
      <c r="CR58">
        <v>66</v>
      </c>
      <c r="CS58">
        <v>66</v>
      </c>
      <c r="CT58">
        <v>67</v>
      </c>
      <c r="CU58">
        <v>67</v>
      </c>
      <c r="CV58">
        <v>77</v>
      </c>
      <c r="CW58">
        <v>76</v>
      </c>
      <c r="CX58">
        <v>70</v>
      </c>
      <c r="CY58">
        <v>75</v>
      </c>
      <c r="CZ58">
        <v>74</v>
      </c>
      <c r="DA58">
        <v>64</v>
      </c>
      <c r="DB58">
        <v>78</v>
      </c>
      <c r="DC58">
        <v>78</v>
      </c>
      <c r="DD58">
        <v>48</v>
      </c>
      <c r="DE58" s="154">
        <v>59</v>
      </c>
      <c r="DF58">
        <v>103</v>
      </c>
      <c r="DG58">
        <v>107</v>
      </c>
    </row>
    <row r="59" spans="1:111" x14ac:dyDescent="0.35">
      <c r="A59">
        <v>58</v>
      </c>
      <c r="B59" s="19" t="s">
        <v>172</v>
      </c>
      <c r="C59" s="19" t="s">
        <v>1099</v>
      </c>
      <c r="D59" s="19" t="s">
        <v>41</v>
      </c>
      <c r="F59" s="6">
        <v>11</v>
      </c>
      <c r="G59" s="6">
        <v>3</v>
      </c>
      <c r="H59" s="15">
        <v>6</v>
      </c>
      <c r="I59" s="6">
        <v>7</v>
      </c>
      <c r="J59" s="6">
        <v>2</v>
      </c>
      <c r="L59" s="1">
        <v>16</v>
      </c>
      <c r="M59" s="1">
        <v>11</v>
      </c>
      <c r="O59">
        <f>243+18</f>
        <v>261</v>
      </c>
      <c r="P59">
        <f>167+14</f>
        <v>181</v>
      </c>
      <c r="Q59">
        <f>104+10</f>
        <v>114</v>
      </c>
      <c r="R59" s="9">
        <f>44.698+1.014+10.224+1.404+3.502-2.627</f>
        <v>58.215000000000003</v>
      </c>
      <c r="S59" s="263">
        <f>631+85+58+97+78+97</f>
        <v>1046</v>
      </c>
      <c r="T59" s="203">
        <f>425.1195+(116.378-8.189)+(157.176-28.588)+10.126+31.327+75.244</f>
        <v>778.59349999999995</v>
      </c>
      <c r="V59">
        <v>490</v>
      </c>
      <c r="W59">
        <f>388+22</f>
        <v>410</v>
      </c>
      <c r="X59">
        <v>230</v>
      </c>
      <c r="Y59" s="9">
        <f>15.078+7.241+4.838+0.773+3.964-5.174-2.074+0.529+4.167-3.756+0.273+3.12-2.367-1.391+2.196-1.509-5.771+3.714+0.414</f>
        <v>24.264999999999997</v>
      </c>
      <c r="Z59" s="263">
        <f>737+76+78+94+91+93+95+90+88+98+96+94+98+95+94+97+94+92+95</f>
        <v>2395</v>
      </c>
      <c r="AA59" s="203">
        <f>642.4058+57.925+17.304+33.889+(211.068-57.3787)+2.423+46.29+(237.426-74.9507)+(135.001-17.5005)+72.756+19.206+85.502+24.867+21.974+65.915+6.767+4.648+31.298+1.457</f>
        <v>1568.2918999999999</v>
      </c>
      <c r="AC59">
        <f t="shared" si="38"/>
        <v>383.5</v>
      </c>
      <c r="AD59">
        <f t="shared" si="39"/>
        <v>283.5</v>
      </c>
      <c r="AE59">
        <f t="shared" si="40"/>
        <v>171.5</v>
      </c>
      <c r="AF59">
        <f t="shared" si="41"/>
        <v>64.28125</v>
      </c>
      <c r="AG59">
        <f t="shared" si="42"/>
        <v>1644.75</v>
      </c>
      <c r="AH59">
        <f t="shared" si="43"/>
        <v>1170.666475</v>
      </c>
      <c r="AI59" s="73">
        <f t="shared" si="44"/>
        <v>20.75</v>
      </c>
      <c r="AJ59" s="73">
        <f t="shared" si="45"/>
        <v>18.481927710843372</v>
      </c>
      <c r="AK59" s="73">
        <f t="shared" si="46"/>
        <v>13.662650602409638</v>
      </c>
      <c r="AL59" s="73">
        <f t="shared" si="47"/>
        <v>4.8192771084337345</v>
      </c>
      <c r="AM59" s="73">
        <f t="shared" si="48"/>
        <v>2.2361516034985423</v>
      </c>
      <c r="AN59" s="227">
        <f t="shared" si="49"/>
        <v>3.0978915662650603</v>
      </c>
      <c r="AO59" s="227">
        <f t="shared" si="50"/>
        <v>2.5552108081389591</v>
      </c>
      <c r="AP59" s="227">
        <f t="shared" si="51"/>
        <v>1.9927259212317248</v>
      </c>
      <c r="AQ59" s="89">
        <f t="shared" si="52"/>
        <v>7.4215882460356735</v>
      </c>
      <c r="AR59" s="73">
        <f t="shared" si="53"/>
        <v>79.265060240963862</v>
      </c>
      <c r="AS59" s="89">
        <f t="shared" si="54"/>
        <v>56.417661445783132</v>
      </c>
      <c r="AT59" s="89">
        <f t="shared" si="55"/>
        <v>7.5111691131130263</v>
      </c>
      <c r="AU59" s="9">
        <v>42</v>
      </c>
      <c r="AV59" s="9">
        <v>18</v>
      </c>
      <c r="AW59" s="15">
        <v>50</v>
      </c>
      <c r="AX59" s="54">
        <f t="shared" si="56"/>
        <v>110</v>
      </c>
      <c r="AZ59" s="49">
        <v>9</v>
      </c>
      <c r="BA59" s="48">
        <f t="shared" si="57"/>
        <v>9</v>
      </c>
      <c r="BB59" s="245">
        <f t="shared" si="58"/>
        <v>0</v>
      </c>
      <c r="BC59" s="36">
        <f t="shared" si="59"/>
        <v>0.83142702819137626</v>
      </c>
      <c r="BD59" s="205">
        <f t="shared" si="60"/>
        <v>0.97619047619047616</v>
      </c>
      <c r="BE59" s="205">
        <f t="shared" si="61"/>
        <v>0.77777777777777779</v>
      </c>
      <c r="BF59" s="205">
        <f t="shared" si="62"/>
        <v>0.50667918102208453</v>
      </c>
      <c r="BG59" s="205">
        <f t="shared" si="63"/>
        <v>0.8881436008323399</v>
      </c>
      <c r="BH59" s="205">
        <f t="shared" si="64"/>
        <v>0.62652170252488393</v>
      </c>
      <c r="BI59" s="205">
        <f t="shared" si="65"/>
        <v>0.37443403380308171</v>
      </c>
      <c r="BJ59" s="205">
        <f t="shared" si="66"/>
        <v>0.75477775888466914</v>
      </c>
      <c r="BK59" s="205">
        <f t="shared" si="67"/>
        <v>0.81471722036844918</v>
      </c>
      <c r="BL59" s="205">
        <f t="shared" si="68"/>
        <v>0.80487748080185706</v>
      </c>
      <c r="BM59" s="205">
        <f t="shared" si="69"/>
        <v>0.87301587301587302</v>
      </c>
      <c r="BN59" s="48">
        <f>50+52</f>
        <v>102</v>
      </c>
      <c r="BO59" s="220">
        <f t="shared" si="70"/>
        <v>212</v>
      </c>
      <c r="BP59" s="220">
        <v>99</v>
      </c>
      <c r="BQ59" s="220">
        <f t="shared" si="71"/>
        <v>311</v>
      </c>
      <c r="BR59" s="205">
        <v>0.66666666666666663</v>
      </c>
      <c r="BS59" s="35">
        <v>0.83142702819137626</v>
      </c>
      <c r="BT59">
        <v>5</v>
      </c>
      <c r="BU59" s="205">
        <v>7.5111691131130263</v>
      </c>
      <c r="BV59" s="34">
        <v>0.50667918102208453</v>
      </c>
      <c r="BW59" s="34">
        <v>0.8881436008323399</v>
      </c>
      <c r="BX59" s="34">
        <f>IF(A59&lt;17, SoC!O$3, IF(A59&lt;33, SoC!O$4, IF(A59&lt;49, SoC!O$5, IF(A59&lt;65, SoC!O$6, IF(A59&lt;81, SoC!O$7, IF(A59&lt;97, SoC!O$8, SoC!O$9))))))</f>
        <v>1.1793104273940098</v>
      </c>
      <c r="BY59" s="205">
        <f t="shared" si="72"/>
        <v>0.91182620503656087</v>
      </c>
      <c r="BZ59" s="205" t="str">
        <f t="shared" si="73"/>
        <v>A-</v>
      </c>
      <c r="CA59" s="35">
        <f t="shared" si="74"/>
        <v>6.7515946183983662</v>
      </c>
      <c r="CB59" s="245">
        <f t="shared" si="75"/>
        <v>0</v>
      </c>
      <c r="CC59" s="48">
        <v>146</v>
      </c>
      <c r="CD59" s="19" t="s">
        <v>41</v>
      </c>
      <c r="CE59">
        <v>9</v>
      </c>
      <c r="CF59">
        <v>9</v>
      </c>
      <c r="CG59">
        <v>9</v>
      </c>
      <c r="CH59">
        <v>7</v>
      </c>
      <c r="CI59">
        <v>6</v>
      </c>
      <c r="CJ59">
        <v>6</v>
      </c>
      <c r="CK59">
        <v>6</v>
      </c>
      <c r="CL59">
        <v>8</v>
      </c>
      <c r="CM59">
        <v>10</v>
      </c>
      <c r="CN59">
        <v>9</v>
      </c>
      <c r="CO59">
        <v>11</v>
      </c>
      <c r="CP59">
        <v>11</v>
      </c>
      <c r="CQ59">
        <v>10</v>
      </c>
      <c r="CR59">
        <v>6</v>
      </c>
      <c r="CS59">
        <v>6</v>
      </c>
      <c r="CT59">
        <v>9</v>
      </c>
      <c r="CU59">
        <v>8</v>
      </c>
      <c r="CV59">
        <v>13</v>
      </c>
      <c r="CW59">
        <v>13</v>
      </c>
      <c r="CX59">
        <v>15</v>
      </c>
      <c r="CY59">
        <v>10</v>
      </c>
      <c r="CZ59">
        <v>21</v>
      </c>
      <c r="DA59">
        <v>27</v>
      </c>
      <c r="DB59">
        <v>21</v>
      </c>
      <c r="DC59">
        <v>4</v>
      </c>
      <c r="DD59">
        <v>5</v>
      </c>
      <c r="DE59" s="154">
        <v>4</v>
      </c>
      <c r="DF59">
        <v>9</v>
      </c>
      <c r="DG59">
        <v>2</v>
      </c>
    </row>
    <row r="60" spans="1:111" x14ac:dyDescent="0.35">
      <c r="A60">
        <v>59</v>
      </c>
      <c r="B60" s="19" t="s">
        <v>172</v>
      </c>
      <c r="C60" s="19" t="s">
        <v>1099</v>
      </c>
      <c r="D60" s="19" t="s">
        <v>45</v>
      </c>
      <c r="F60" s="6">
        <v>7</v>
      </c>
      <c r="G60" s="6">
        <v>6</v>
      </c>
      <c r="H60" s="6"/>
      <c r="I60" s="6">
        <v>4</v>
      </c>
      <c r="J60" s="6">
        <v>5</v>
      </c>
      <c r="L60" s="1">
        <v>4</v>
      </c>
      <c r="M60" s="1">
        <v>7</v>
      </c>
      <c r="O60">
        <v>210</v>
      </c>
      <c r="P60">
        <f>183+18</f>
        <v>201</v>
      </c>
      <c r="Q60">
        <v>105</v>
      </c>
      <c r="R60" s="9">
        <f>6.81+2.991-1.05+4.285-3.502</f>
        <v>9.5339999999999989</v>
      </c>
      <c r="S60" s="263">
        <f>618+62+75+62+78</f>
        <v>895</v>
      </c>
      <c r="T60" s="203">
        <f>334.933+5.892+28.747+2.302+13.048</f>
        <v>384.92200000000003</v>
      </c>
      <c r="V60">
        <f>150+16</f>
        <v>166</v>
      </c>
      <c r="W60">
        <f>154+38</f>
        <v>192</v>
      </c>
      <c r="X60">
        <f>87+11</f>
        <v>98</v>
      </c>
      <c r="Y60" s="9">
        <f>-11.12-1.494-3.949</f>
        <v>-16.562999999999999</v>
      </c>
      <c r="Z60" s="263">
        <f>645+82+80</f>
        <v>807</v>
      </c>
      <c r="AA60" s="203">
        <f>465.433+15.823+5.889</f>
        <v>487.14499999999998</v>
      </c>
      <c r="AC60">
        <f t="shared" si="38"/>
        <v>251.5</v>
      </c>
      <c r="AD60">
        <f t="shared" si="39"/>
        <v>249</v>
      </c>
      <c r="AE60">
        <f t="shared" si="40"/>
        <v>129.5</v>
      </c>
      <c r="AF60">
        <f t="shared" si="41"/>
        <v>5.3932499999999992</v>
      </c>
      <c r="AG60">
        <f t="shared" si="42"/>
        <v>1096.75</v>
      </c>
      <c r="AH60">
        <f t="shared" si="43"/>
        <v>506.70825000000002</v>
      </c>
      <c r="AI60" s="73">
        <f t="shared" si="44"/>
        <v>15.75</v>
      </c>
      <c r="AJ60" s="73">
        <f t="shared" si="45"/>
        <v>15.968253968253968</v>
      </c>
      <c r="AK60" s="73">
        <f t="shared" si="46"/>
        <v>15.80952380952381</v>
      </c>
      <c r="AL60" s="73">
        <f t="shared" si="47"/>
        <v>0.15873015873015817</v>
      </c>
      <c r="AM60" s="73">
        <f t="shared" si="48"/>
        <v>1.942084942084942</v>
      </c>
      <c r="AN60" s="227">
        <f t="shared" si="49"/>
        <v>0.34242857142857136</v>
      </c>
      <c r="AO60" s="227">
        <f t="shared" si="50"/>
        <v>4.6789436938724727E-2</v>
      </c>
      <c r="AP60" s="227">
        <f t="shared" si="51"/>
        <v>-3.5878845453489877E-2</v>
      </c>
      <c r="AQ60" s="89">
        <f t="shared" si="52"/>
        <v>4.5865961786379561</v>
      </c>
      <c r="AR60" s="73">
        <f t="shared" si="53"/>
        <v>69.634920634920633</v>
      </c>
      <c r="AS60" s="89">
        <f t="shared" si="54"/>
        <v>32.171952380952384</v>
      </c>
      <c r="AT60" s="89">
        <f t="shared" si="55"/>
        <v>5.6720324735452969</v>
      </c>
      <c r="AU60" s="9">
        <v>21</v>
      </c>
      <c r="AV60" s="9">
        <v>12</v>
      </c>
      <c r="AW60" s="9">
        <v>11</v>
      </c>
      <c r="AX60" s="54">
        <f t="shared" si="56"/>
        <v>44</v>
      </c>
      <c r="AZ60" s="49">
        <v>52</v>
      </c>
      <c r="BA60" s="48">
        <f t="shared" si="57"/>
        <v>52</v>
      </c>
      <c r="BB60" s="245">
        <f t="shared" si="58"/>
        <v>0</v>
      </c>
      <c r="BC60" s="36">
        <f t="shared" si="59"/>
        <v>0.54639755470511009</v>
      </c>
      <c r="BD60" s="205">
        <f t="shared" si="60"/>
        <v>0.58974358974358976</v>
      </c>
      <c r="BE60" s="205">
        <f t="shared" si="61"/>
        <v>0.44444444444444442</v>
      </c>
      <c r="BF60" s="205">
        <f t="shared" si="62"/>
        <v>0.29147751578926795</v>
      </c>
      <c r="BG60" s="205">
        <f t="shared" si="63"/>
        <v>0.68783914303275084</v>
      </c>
      <c r="BH60" s="205">
        <f t="shared" si="64"/>
        <v>0.30151367372499255</v>
      </c>
      <c r="BI60" s="205">
        <f t="shared" si="65"/>
        <v>0.65920704199763225</v>
      </c>
      <c r="BJ60" s="205">
        <f t="shared" si="66"/>
        <v>0.54307259576565536</v>
      </c>
      <c r="BK60" s="205">
        <f t="shared" si="67"/>
        <v>0.57671425139476917</v>
      </c>
      <c r="BL60" s="205">
        <f t="shared" si="68"/>
        <v>0.52546640087633456</v>
      </c>
      <c r="BM60" s="205">
        <f t="shared" si="69"/>
        <v>0.34920634920634919</v>
      </c>
      <c r="BN60" s="48">
        <v>5</v>
      </c>
      <c r="BO60" s="220">
        <f t="shared" si="70"/>
        <v>49</v>
      </c>
      <c r="BP60" s="220">
        <v>38</v>
      </c>
      <c r="BQ60" s="220">
        <f t="shared" si="71"/>
        <v>87</v>
      </c>
      <c r="BR60" s="205">
        <v>0.33333333333333331</v>
      </c>
      <c r="BS60" s="35">
        <v>0.54639755470511009</v>
      </c>
      <c r="BT60">
        <v>2</v>
      </c>
      <c r="BU60" s="205">
        <v>5.6720324735452969</v>
      </c>
      <c r="BV60" s="34">
        <v>0.29147751578926795</v>
      </c>
      <c r="BW60" s="34">
        <v>0.68783914303275084</v>
      </c>
      <c r="BX60" s="34">
        <f>IF(A60&lt;17, SoC!O$3, IF(A60&lt;33, SoC!O$4, IF(A60&lt;49, SoC!O$5, IF(A60&lt;65, SoC!O$6, IF(A60&lt;81, SoC!O$7, IF(A60&lt;97, SoC!O$8, SoC!O$9))))))</f>
        <v>1.1793104273940098</v>
      </c>
      <c r="BY60" s="205">
        <f t="shared" si="72"/>
        <v>0.73918709046161657</v>
      </c>
      <c r="BZ60" s="205" t="str">
        <f t="shared" si="73"/>
        <v>C</v>
      </c>
      <c r="CA60" s="35">
        <f t="shared" si="74"/>
        <v>0.13143682888917807</v>
      </c>
      <c r="CB60" s="245">
        <f t="shared" si="75"/>
        <v>0</v>
      </c>
      <c r="CC60" s="48">
        <v>58</v>
      </c>
      <c r="CD60" s="19" t="s">
        <v>45</v>
      </c>
      <c r="CE60">
        <v>52</v>
      </c>
      <c r="CF60">
        <v>52</v>
      </c>
      <c r="CG60">
        <v>52</v>
      </c>
      <c r="CH60">
        <v>52</v>
      </c>
      <c r="CI60">
        <v>52</v>
      </c>
      <c r="CJ60">
        <v>52</v>
      </c>
      <c r="CK60">
        <v>52</v>
      </c>
      <c r="CL60">
        <v>52</v>
      </c>
      <c r="CM60">
        <v>52</v>
      </c>
      <c r="CN60">
        <v>51</v>
      </c>
      <c r="CO60">
        <v>51</v>
      </c>
      <c r="CP60">
        <v>44</v>
      </c>
      <c r="CQ60">
        <v>44</v>
      </c>
      <c r="CR60">
        <v>35</v>
      </c>
      <c r="CS60">
        <v>36</v>
      </c>
      <c r="CT60">
        <v>39</v>
      </c>
      <c r="CU60">
        <v>36</v>
      </c>
      <c r="CV60">
        <v>29</v>
      </c>
      <c r="CW60">
        <v>26</v>
      </c>
      <c r="CX60">
        <v>28</v>
      </c>
      <c r="CY60">
        <v>30</v>
      </c>
      <c r="CZ60">
        <v>24</v>
      </c>
      <c r="DA60">
        <v>35</v>
      </c>
      <c r="DB60">
        <v>51</v>
      </c>
      <c r="DC60">
        <v>33</v>
      </c>
      <c r="DD60">
        <v>11</v>
      </c>
      <c r="DE60" s="154">
        <v>25</v>
      </c>
      <c r="DF60">
        <v>41</v>
      </c>
      <c r="DG60">
        <v>55</v>
      </c>
    </row>
    <row r="61" spans="1:111" x14ac:dyDescent="0.35">
      <c r="A61">
        <v>60</v>
      </c>
      <c r="B61" s="19" t="s">
        <v>172</v>
      </c>
      <c r="C61" s="19" t="s">
        <v>1099</v>
      </c>
      <c r="D61" s="19" t="s">
        <v>43</v>
      </c>
      <c r="F61" s="6">
        <v>7</v>
      </c>
      <c r="G61" s="6">
        <v>6</v>
      </c>
      <c r="H61" s="6"/>
      <c r="I61" s="6">
        <v>4</v>
      </c>
      <c r="J61" s="6">
        <v>5</v>
      </c>
      <c r="L61" s="1">
        <v>7</v>
      </c>
      <c r="M61" s="1">
        <v>9</v>
      </c>
      <c r="O61">
        <v>181</v>
      </c>
      <c r="P61">
        <f>172+21</f>
        <v>193</v>
      </c>
      <c r="Q61">
        <v>97</v>
      </c>
      <c r="R61" s="9">
        <f>-15.021-2.085-1.489+4.31+1.923</f>
        <v>-12.362000000000004</v>
      </c>
      <c r="S61" s="263">
        <f>505+60+68+44+61</f>
        <v>738</v>
      </c>
      <c r="T61" s="203">
        <f>248.327+27.763+50.125+49.823+13.094</f>
        <v>389.13199999999995</v>
      </c>
      <c r="V61">
        <v>261</v>
      </c>
      <c r="W61">
        <f>257+29</f>
        <v>286</v>
      </c>
      <c r="X61">
        <v>148</v>
      </c>
      <c r="Y61" s="9">
        <f>-8.742-1.03+1.755-5.865-3.134-1.111+2.063-9.562-6.867</f>
        <v>-32.492999999999995</v>
      </c>
      <c r="Z61" s="263">
        <f>508+65+65+73+75+66+66+79+81</f>
        <v>1078</v>
      </c>
      <c r="AA61" s="203">
        <f>374.78+6.033+(151.952-25.976)+4.538+7.08+22.857+4.037+16.673+1.332</f>
        <v>563.30600000000004</v>
      </c>
      <c r="AC61">
        <f t="shared" si="38"/>
        <v>246.25</v>
      </c>
      <c r="AD61">
        <f t="shared" si="39"/>
        <v>264.5</v>
      </c>
      <c r="AE61">
        <f t="shared" si="40"/>
        <v>134</v>
      </c>
      <c r="AF61">
        <f t="shared" si="41"/>
        <v>-20.485250000000001</v>
      </c>
      <c r="AG61">
        <f t="shared" si="42"/>
        <v>1007.5</v>
      </c>
      <c r="AH61">
        <f t="shared" si="43"/>
        <v>529.95849999999996</v>
      </c>
      <c r="AI61" s="73">
        <f t="shared" si="44"/>
        <v>17</v>
      </c>
      <c r="AJ61" s="73">
        <f t="shared" si="45"/>
        <v>14.485294117647058</v>
      </c>
      <c r="AK61" s="73">
        <f t="shared" si="46"/>
        <v>15.558823529411764</v>
      </c>
      <c r="AL61" s="73">
        <f t="shared" si="47"/>
        <v>-1.0735294117647065</v>
      </c>
      <c r="AM61" s="73">
        <f t="shared" si="48"/>
        <v>1.8376865671641791</v>
      </c>
      <c r="AN61" s="227">
        <f t="shared" si="49"/>
        <v>-0.60250735294117652</v>
      </c>
      <c r="AO61" s="227">
        <f t="shared" si="50"/>
        <v>-0.81342805520167616</v>
      </c>
      <c r="AP61" s="227">
        <f t="shared" si="51"/>
        <v>0.34240599637814606</v>
      </c>
      <c r="AQ61" s="89">
        <f t="shared" si="52"/>
        <v>3.4756910917679793</v>
      </c>
      <c r="AR61" s="73">
        <f t="shared" si="53"/>
        <v>59.264705882352942</v>
      </c>
      <c r="AS61" s="89">
        <f t="shared" si="54"/>
        <v>31.174029411764703</v>
      </c>
      <c r="AT61" s="89">
        <f t="shared" si="55"/>
        <v>5.5833707929676946</v>
      </c>
      <c r="AU61" s="9">
        <v>42</v>
      </c>
      <c r="AV61" s="9">
        <v>12</v>
      </c>
      <c r="AW61" s="9">
        <v>14</v>
      </c>
      <c r="AX61" s="54">
        <f t="shared" si="56"/>
        <v>68</v>
      </c>
      <c r="AZ61" s="49">
        <v>48</v>
      </c>
      <c r="BA61" s="48">
        <f t="shared" si="57"/>
        <v>48</v>
      </c>
      <c r="BB61" s="245">
        <f t="shared" si="58"/>
        <v>0</v>
      </c>
      <c r="BC61" s="36">
        <f t="shared" si="59"/>
        <v>0.5548569954642103</v>
      </c>
      <c r="BD61" s="205">
        <f t="shared" si="60"/>
        <v>0.62820512820512819</v>
      </c>
      <c r="BE61" s="205">
        <f t="shared" si="61"/>
        <v>0.44444444444444442</v>
      </c>
      <c r="BF61" s="205">
        <f t="shared" si="62"/>
        <v>0.16451775012164166</v>
      </c>
      <c r="BG61" s="205">
        <f t="shared" si="63"/>
        <v>0.71122961784590921</v>
      </c>
      <c r="BH61" s="205">
        <f t="shared" si="64"/>
        <v>0.18613061778861525</v>
      </c>
      <c r="BI61" s="205">
        <f t="shared" si="65"/>
        <v>0.75686476639390543</v>
      </c>
      <c r="BJ61" s="205">
        <f t="shared" si="66"/>
        <v>0.5825503962029861</v>
      </c>
      <c r="BK61" s="205">
        <f t="shared" si="67"/>
        <v>0.47561775949517737</v>
      </c>
      <c r="BL61" s="205">
        <f t="shared" si="68"/>
        <v>0.51199646319730374</v>
      </c>
      <c r="BM61" s="205">
        <f t="shared" si="69"/>
        <v>0.53968253968253965</v>
      </c>
      <c r="BN61" s="48">
        <v>5</v>
      </c>
      <c r="BO61" s="220">
        <f t="shared" si="70"/>
        <v>73</v>
      </c>
      <c r="BP61" s="220">
        <v>42</v>
      </c>
      <c r="BQ61" s="220">
        <f t="shared" si="71"/>
        <v>115</v>
      </c>
      <c r="BR61" s="205">
        <v>0.33333333333333331</v>
      </c>
      <c r="BS61" s="35">
        <v>0.5548569954642103</v>
      </c>
      <c r="BT61">
        <v>4</v>
      </c>
      <c r="BU61" s="205">
        <v>5.5833707929676946</v>
      </c>
      <c r="BV61" s="34">
        <v>0.16451775012164166</v>
      </c>
      <c r="BW61" s="34">
        <v>0.71122961784590921</v>
      </c>
      <c r="BX61" s="34">
        <f>IF(A61&lt;17, SoC!O$3, IF(A61&lt;33, SoC!O$4, IF(A61&lt;49, SoC!O$5, IF(A61&lt;65, SoC!O$6, IF(A61&lt;81, SoC!O$7, IF(A61&lt;97, SoC!O$8, SoC!O$9))))))</f>
        <v>1.1793104273940098</v>
      </c>
      <c r="BY61" s="205">
        <f t="shared" si="72"/>
        <v>0.74488723674406609</v>
      </c>
      <c r="BZ61" s="205" t="str">
        <f t="shared" si="73"/>
        <v>C</v>
      </c>
      <c r="CA61" s="35">
        <f t="shared" si="74"/>
        <v>0.25629480378238118</v>
      </c>
      <c r="CB61" s="245">
        <f t="shared" si="75"/>
        <v>0</v>
      </c>
      <c r="CC61" s="48">
        <v>87</v>
      </c>
      <c r="CD61" s="19" t="s">
        <v>43</v>
      </c>
      <c r="CE61">
        <v>48</v>
      </c>
      <c r="CF61">
        <v>48</v>
      </c>
      <c r="CG61">
        <v>48</v>
      </c>
      <c r="CH61">
        <v>48</v>
      </c>
      <c r="CI61">
        <v>48</v>
      </c>
      <c r="CJ61">
        <v>48</v>
      </c>
      <c r="CK61">
        <v>48</v>
      </c>
      <c r="CL61">
        <v>48</v>
      </c>
      <c r="CM61">
        <v>48</v>
      </c>
      <c r="CN61">
        <v>49</v>
      </c>
      <c r="CO61">
        <v>48</v>
      </c>
      <c r="CP61">
        <v>41</v>
      </c>
      <c r="CQ61">
        <v>41</v>
      </c>
      <c r="CR61">
        <v>44</v>
      </c>
      <c r="CS61">
        <v>44</v>
      </c>
      <c r="CT61">
        <v>51</v>
      </c>
      <c r="CU61">
        <v>51</v>
      </c>
      <c r="CV61">
        <v>57</v>
      </c>
      <c r="CW61">
        <v>57</v>
      </c>
      <c r="CX61">
        <v>56</v>
      </c>
      <c r="CY61">
        <v>56</v>
      </c>
      <c r="CZ61">
        <v>57</v>
      </c>
      <c r="DA61">
        <v>50</v>
      </c>
      <c r="DB61">
        <v>63</v>
      </c>
      <c r="DC61">
        <v>44</v>
      </c>
      <c r="DD61">
        <v>75</v>
      </c>
      <c r="DE61" s="154">
        <v>84</v>
      </c>
      <c r="DF61">
        <v>58</v>
      </c>
      <c r="DG61">
        <v>26</v>
      </c>
    </row>
    <row r="62" spans="1:111" x14ac:dyDescent="0.35">
      <c r="A62">
        <v>61</v>
      </c>
      <c r="B62" s="19" t="s">
        <v>172</v>
      </c>
      <c r="C62" s="19" t="s">
        <v>1100</v>
      </c>
      <c r="D62" s="19" t="s">
        <v>46</v>
      </c>
      <c r="F62" s="6">
        <v>8</v>
      </c>
      <c r="G62" s="6">
        <v>5</v>
      </c>
      <c r="H62" s="6"/>
      <c r="I62" s="6">
        <v>5</v>
      </c>
      <c r="J62" s="6">
        <v>4</v>
      </c>
      <c r="L62" s="1">
        <v>18</v>
      </c>
      <c r="M62" s="1">
        <v>6</v>
      </c>
      <c r="O62">
        <v>272</v>
      </c>
      <c r="P62">
        <v>205</v>
      </c>
      <c r="Q62">
        <v>109</v>
      </c>
      <c r="R62" s="9">
        <f>36.045+8.68+9.475+5.343+5.456</f>
        <v>64.999000000000009</v>
      </c>
      <c r="S62" s="263">
        <f>580+70+57+81+78</f>
        <v>866</v>
      </c>
      <c r="T62" s="203">
        <f>425.952+9.586+95.491+2.395+1.261</f>
        <v>534.68499999999995</v>
      </c>
      <c r="V62">
        <v>500</v>
      </c>
      <c r="W62">
        <v>400</v>
      </c>
      <c r="X62">
        <v>209</v>
      </c>
      <c r="Y62" s="9">
        <f>70.511+6.35+3.233+4.817+7.792+1.67-2.666-3.816+0.407-1.998-7.985-6.29-3.989</f>
        <v>68.035999999999987</v>
      </c>
      <c r="Z62" s="263">
        <f>919+76+78+80+78+96+93+97+94+95+89+89+92</f>
        <v>1976</v>
      </c>
      <c r="AA62" s="203">
        <f>694.228+63.331+51.822+67.597+98.807+13.713+18.525+25.463+62.09+42.708+15.059+15.845+7.708</f>
        <v>1176.896</v>
      </c>
      <c r="AC62">
        <f t="shared" si="38"/>
        <v>397</v>
      </c>
      <c r="AD62">
        <f t="shared" si="39"/>
        <v>305</v>
      </c>
      <c r="AE62">
        <f t="shared" si="40"/>
        <v>161.25</v>
      </c>
      <c r="AF62">
        <f t="shared" si="41"/>
        <v>82.00800000000001</v>
      </c>
      <c r="AG62">
        <f t="shared" si="42"/>
        <v>1360</v>
      </c>
      <c r="AH62">
        <f t="shared" si="43"/>
        <v>828.90899999999988</v>
      </c>
      <c r="AI62" s="73">
        <f t="shared" si="44"/>
        <v>19</v>
      </c>
      <c r="AJ62" s="73">
        <f t="shared" si="45"/>
        <v>20.894736842105264</v>
      </c>
      <c r="AK62" s="73">
        <f t="shared" si="46"/>
        <v>16.05263157894737</v>
      </c>
      <c r="AL62" s="73">
        <f t="shared" si="47"/>
        <v>4.8421052631578938</v>
      </c>
      <c r="AM62" s="73">
        <f t="shared" si="48"/>
        <v>2.462015503875969</v>
      </c>
      <c r="AN62" s="227">
        <f t="shared" si="49"/>
        <v>4.3162105263157899</v>
      </c>
      <c r="AO62" s="227">
        <f t="shared" si="50"/>
        <v>3.6643011214752272</v>
      </c>
      <c r="AP62" s="227">
        <f t="shared" si="51"/>
        <v>0.85184943926238521</v>
      </c>
      <c r="AQ62" s="89">
        <f t="shared" si="52"/>
        <v>6.7214629180691201</v>
      </c>
      <c r="AR62" s="73">
        <f t="shared" si="53"/>
        <v>71.578947368421055</v>
      </c>
      <c r="AS62" s="89">
        <f t="shared" si="54"/>
        <v>43.626789473684205</v>
      </c>
      <c r="AT62" s="89">
        <f t="shared" si="55"/>
        <v>6.6050578705779861</v>
      </c>
      <c r="AU62" s="9">
        <v>49</v>
      </c>
      <c r="AV62" s="9">
        <v>24</v>
      </c>
      <c r="AW62" s="20">
        <v>32</v>
      </c>
      <c r="AX62" s="54">
        <f t="shared" si="56"/>
        <v>105</v>
      </c>
      <c r="AZ62" s="49">
        <v>17</v>
      </c>
      <c r="BA62" s="48">
        <f t="shared" si="57"/>
        <v>17</v>
      </c>
      <c r="BB62" s="245">
        <f t="shared" si="58"/>
        <v>0</v>
      </c>
      <c r="BC62" s="36">
        <f t="shared" si="59"/>
        <v>0.73115550478501035</v>
      </c>
      <c r="BD62" s="205">
        <f t="shared" si="60"/>
        <v>0.84615384615384615</v>
      </c>
      <c r="BE62" s="205">
        <f t="shared" si="61"/>
        <v>0.55555555555555558</v>
      </c>
      <c r="BF62" s="205">
        <f t="shared" si="62"/>
        <v>0.71324558386862913</v>
      </c>
      <c r="BG62" s="205">
        <f t="shared" si="63"/>
        <v>0.66515705366674205</v>
      </c>
      <c r="BH62" s="205">
        <f t="shared" si="64"/>
        <v>0.87615075155018596</v>
      </c>
      <c r="BI62" s="205">
        <f t="shared" si="65"/>
        <v>0.24852257868855177</v>
      </c>
      <c r="BJ62" s="205">
        <f t="shared" si="66"/>
        <v>0.63571590628504715</v>
      </c>
      <c r="BK62" s="205">
        <f t="shared" si="67"/>
        <v>0.75789104466847235</v>
      </c>
      <c r="BL62" s="205">
        <f t="shared" si="68"/>
        <v>0.66721640909982227</v>
      </c>
      <c r="BM62" s="205">
        <f t="shared" si="69"/>
        <v>0.83333333333333337</v>
      </c>
      <c r="BN62" s="48">
        <v>10</v>
      </c>
      <c r="BO62" s="220">
        <f t="shared" si="70"/>
        <v>115</v>
      </c>
      <c r="BP62" s="220">
        <v>80</v>
      </c>
      <c r="BQ62" s="220">
        <f t="shared" si="71"/>
        <v>195</v>
      </c>
      <c r="BR62" s="205">
        <v>1.6666666666666665</v>
      </c>
      <c r="BS62" s="35">
        <v>0.73115550478501035</v>
      </c>
      <c r="BT62">
        <v>4</v>
      </c>
      <c r="BU62" s="205">
        <v>6.6050578705779861</v>
      </c>
      <c r="BV62" s="34">
        <v>0.71324558386862913</v>
      </c>
      <c r="BW62" s="34">
        <v>0.66515705366674205</v>
      </c>
      <c r="BX62" s="34">
        <f>IF(A62&lt;17, SoC!O$3, IF(A62&lt;33, SoC!O$4, IF(A62&lt;49, SoC!O$5, IF(A62&lt;65, SoC!O$6, IF(A62&lt;81, SoC!O$7, IF(A62&lt;97, SoC!O$8, SoC!O$9))))))</f>
        <v>1.1793104273940098</v>
      </c>
      <c r="BY62" s="205">
        <f t="shared" si="72"/>
        <v>0.85507631518187333</v>
      </c>
      <c r="BZ62" s="205" t="str">
        <f t="shared" si="73"/>
        <v>B</v>
      </c>
      <c r="CA62" s="35">
        <f t="shared" si="74"/>
        <v>4.2931085290035282</v>
      </c>
      <c r="CB62" s="245">
        <f t="shared" si="75"/>
        <v>0</v>
      </c>
      <c r="CC62" s="48">
        <v>94</v>
      </c>
      <c r="CD62" s="19" t="s">
        <v>46</v>
      </c>
      <c r="CE62">
        <v>17</v>
      </c>
      <c r="CF62">
        <v>17</v>
      </c>
      <c r="CG62">
        <v>17</v>
      </c>
      <c r="CH62">
        <v>17</v>
      </c>
      <c r="CI62">
        <v>17</v>
      </c>
      <c r="CJ62">
        <v>17</v>
      </c>
      <c r="CK62">
        <v>18</v>
      </c>
      <c r="CL62">
        <v>18</v>
      </c>
      <c r="CM62">
        <v>20</v>
      </c>
      <c r="CN62">
        <v>20</v>
      </c>
      <c r="CO62">
        <v>16</v>
      </c>
      <c r="CP62">
        <v>12</v>
      </c>
      <c r="CQ62">
        <v>14</v>
      </c>
      <c r="CR62">
        <v>10</v>
      </c>
      <c r="CS62">
        <v>10</v>
      </c>
      <c r="CT62">
        <v>12</v>
      </c>
      <c r="CU62">
        <v>13</v>
      </c>
      <c r="CV62">
        <v>6</v>
      </c>
      <c r="CW62">
        <v>10</v>
      </c>
      <c r="CX62">
        <v>6</v>
      </c>
      <c r="CY62">
        <v>7</v>
      </c>
      <c r="CZ62">
        <v>6</v>
      </c>
      <c r="DA62">
        <v>11</v>
      </c>
      <c r="DB62">
        <v>12</v>
      </c>
      <c r="DC62">
        <v>16</v>
      </c>
      <c r="DD62">
        <v>25</v>
      </c>
      <c r="DE62" s="154">
        <v>43</v>
      </c>
      <c r="DF62">
        <v>67</v>
      </c>
      <c r="DG62">
        <v>19</v>
      </c>
    </row>
    <row r="63" spans="1:111" x14ac:dyDescent="0.35">
      <c r="A63">
        <v>62</v>
      </c>
      <c r="B63" s="19" t="s">
        <v>172</v>
      </c>
      <c r="C63" s="19" t="s">
        <v>1100</v>
      </c>
      <c r="D63" s="19" t="s">
        <v>1859</v>
      </c>
      <c r="F63" s="6">
        <v>5</v>
      </c>
      <c r="G63" s="6">
        <v>8</v>
      </c>
      <c r="H63" s="6"/>
      <c r="I63" s="6">
        <v>3</v>
      </c>
      <c r="J63" s="6">
        <v>6</v>
      </c>
      <c r="L63" s="1">
        <v>2</v>
      </c>
      <c r="M63" s="1">
        <v>2</v>
      </c>
      <c r="O63">
        <v>186</v>
      </c>
      <c r="P63">
        <v>246</v>
      </c>
      <c r="Q63">
        <v>103</v>
      </c>
      <c r="R63" s="9">
        <f>-38.727-5.346+0.597-3.187-1.998</f>
        <v>-48.660999999999987</v>
      </c>
      <c r="S63" s="263">
        <f>443+23+13+30+32</f>
        <v>541</v>
      </c>
      <c r="T63" s="203">
        <f>186.103+35.9+35.28+42.107+58.019</f>
        <v>357.40899999999999</v>
      </c>
      <c r="V63">
        <v>60</v>
      </c>
      <c r="W63">
        <v>78</v>
      </c>
      <c r="X63">
        <v>32</v>
      </c>
      <c r="Y63" s="9">
        <f>-10.435</f>
        <v>-10.435</v>
      </c>
      <c r="Z63" s="263">
        <f>156</f>
        <v>156</v>
      </c>
      <c r="AA63" s="203">
        <f>62.366</f>
        <v>62.366</v>
      </c>
      <c r="AC63">
        <f t="shared" si="38"/>
        <v>201</v>
      </c>
      <c r="AD63">
        <f t="shared" si="39"/>
        <v>265.5</v>
      </c>
      <c r="AE63">
        <f t="shared" si="40"/>
        <v>111</v>
      </c>
      <c r="AF63">
        <f t="shared" si="41"/>
        <v>-51.269749999999988</v>
      </c>
      <c r="AG63">
        <f t="shared" si="42"/>
        <v>580</v>
      </c>
      <c r="AH63">
        <f t="shared" si="43"/>
        <v>373.00049999999999</v>
      </c>
      <c r="AI63" s="73">
        <f t="shared" si="44"/>
        <v>14</v>
      </c>
      <c r="AJ63" s="73">
        <f t="shared" si="45"/>
        <v>14.357142857142858</v>
      </c>
      <c r="AK63" s="73">
        <f t="shared" si="46"/>
        <v>18.964285714285715</v>
      </c>
      <c r="AL63" s="73">
        <f t="shared" si="47"/>
        <v>-4.6071428571428577</v>
      </c>
      <c r="AM63" s="73">
        <f t="shared" si="48"/>
        <v>1.8108108108108107</v>
      </c>
      <c r="AN63" s="227">
        <f t="shared" si="49"/>
        <v>-1.8310624999999996</v>
      </c>
      <c r="AO63" s="227">
        <f t="shared" si="50"/>
        <v>-1.9318368280123852</v>
      </c>
      <c r="AP63" s="227">
        <f t="shared" si="51"/>
        <v>-0.84424352913047285</v>
      </c>
      <c r="AQ63" s="89">
        <f t="shared" si="52"/>
        <v>1.561462445065011</v>
      </c>
      <c r="AR63" s="73">
        <f t="shared" si="53"/>
        <v>41.428571428571431</v>
      </c>
      <c r="AS63" s="89">
        <f t="shared" si="54"/>
        <v>26.642892857142858</v>
      </c>
      <c r="AT63" s="89">
        <f t="shared" si="55"/>
        <v>5.1616753924615271</v>
      </c>
      <c r="AU63" s="9">
        <v>21</v>
      </c>
      <c r="AV63" s="9">
        <v>0</v>
      </c>
      <c r="AX63" s="54">
        <f t="shared" si="56"/>
        <v>21</v>
      </c>
      <c r="AZ63" s="49">
        <v>75</v>
      </c>
      <c r="BA63" s="48">
        <f t="shared" si="57"/>
        <v>75</v>
      </c>
      <c r="BB63" s="245">
        <f t="shared" si="58"/>
        <v>0</v>
      </c>
      <c r="BC63" s="36">
        <f t="shared" si="59"/>
        <v>0.40963450463332135</v>
      </c>
      <c r="BD63" s="205">
        <f t="shared" si="60"/>
        <v>0.41025641025641024</v>
      </c>
      <c r="BE63" s="205">
        <f t="shared" si="61"/>
        <v>0.33333333333333331</v>
      </c>
      <c r="BF63" s="205">
        <f t="shared" si="62"/>
        <v>0.15354641195832888</v>
      </c>
      <c r="BG63" s="205">
        <f t="shared" si="63"/>
        <v>0.39349811221353936</v>
      </c>
      <c r="BH63" s="205">
        <f t="shared" si="64"/>
        <v>0.15642702421250093</v>
      </c>
      <c r="BI63" s="205">
        <f t="shared" si="65"/>
        <v>0.88383411623327812</v>
      </c>
      <c r="BJ63" s="205">
        <f t="shared" si="66"/>
        <v>0.45871166946401598</v>
      </c>
      <c r="BK63" s="205">
        <f t="shared" si="67"/>
        <v>0.27953452916217336</v>
      </c>
      <c r="BL63" s="205">
        <f t="shared" si="68"/>
        <v>0.4479303330794524</v>
      </c>
      <c r="BM63" s="205">
        <f t="shared" si="69"/>
        <v>0.16666666666666666</v>
      </c>
      <c r="BN63" s="48">
        <v>5</v>
      </c>
      <c r="BO63" s="220">
        <f t="shared" si="70"/>
        <v>26</v>
      </c>
      <c r="BP63" s="220">
        <v>18</v>
      </c>
      <c r="BQ63" s="220">
        <f t="shared" si="71"/>
        <v>44</v>
      </c>
      <c r="BR63" s="205">
        <v>-0.33333333333333331</v>
      </c>
      <c r="BS63" s="35">
        <v>0.40963450463332135</v>
      </c>
      <c r="BT63">
        <v>2</v>
      </c>
      <c r="BU63" s="205">
        <v>5.1616753924615271</v>
      </c>
      <c r="BV63" s="34">
        <v>0.15354641195832888</v>
      </c>
      <c r="BW63" s="34">
        <v>0.39349811221353936</v>
      </c>
      <c r="BX63" s="34">
        <f>IF(A63&lt;17, SoC!O$3, IF(A63&lt;33, SoC!O$4, IF(A63&lt;49, SoC!O$5, IF(A63&lt;65, SoC!O$6, IF(A63&lt;81, SoC!O$7, IF(A63&lt;97, SoC!O$8, SoC!O$9))))))</f>
        <v>1.1793104273940098</v>
      </c>
      <c r="BY63" s="205">
        <f t="shared" si="72"/>
        <v>0.64002695617709837</v>
      </c>
      <c r="BZ63" s="205" t="str">
        <f t="shared" si="73"/>
        <v>D</v>
      </c>
      <c r="CA63" s="35">
        <f t="shared" si="74"/>
        <v>-2.8590027130884819</v>
      </c>
      <c r="CB63" s="245">
        <f t="shared" si="75"/>
        <v>0</v>
      </c>
      <c r="CC63" s="48">
        <v>54</v>
      </c>
      <c r="CD63" s="19" t="s">
        <v>1859</v>
      </c>
      <c r="CE63">
        <v>75</v>
      </c>
      <c r="CF63">
        <v>75</v>
      </c>
      <c r="CG63">
        <v>75</v>
      </c>
      <c r="CH63">
        <v>75</v>
      </c>
      <c r="CI63">
        <v>75</v>
      </c>
      <c r="CJ63">
        <v>75</v>
      </c>
      <c r="CK63">
        <v>75</v>
      </c>
      <c r="CL63">
        <v>75</v>
      </c>
      <c r="CM63">
        <v>75</v>
      </c>
      <c r="CN63">
        <v>75</v>
      </c>
      <c r="CO63">
        <v>75</v>
      </c>
      <c r="CP63">
        <v>89</v>
      </c>
      <c r="CQ63">
        <v>90</v>
      </c>
      <c r="CR63">
        <v>100</v>
      </c>
      <c r="CS63">
        <v>99</v>
      </c>
      <c r="CT63">
        <v>99</v>
      </c>
      <c r="CU63">
        <v>102</v>
      </c>
      <c r="CV63">
        <v>107</v>
      </c>
      <c r="CW63">
        <v>106</v>
      </c>
      <c r="CX63">
        <v>107</v>
      </c>
      <c r="CY63">
        <v>109</v>
      </c>
      <c r="CZ63">
        <v>107</v>
      </c>
      <c r="DA63">
        <v>103</v>
      </c>
      <c r="DB63">
        <v>99</v>
      </c>
      <c r="DC63">
        <v>84</v>
      </c>
      <c r="DD63">
        <v>65</v>
      </c>
      <c r="DE63" s="154">
        <v>82</v>
      </c>
      <c r="DF63">
        <v>59</v>
      </c>
      <c r="DG63">
        <v>59</v>
      </c>
    </row>
    <row r="64" spans="1:111" x14ac:dyDescent="0.35">
      <c r="A64">
        <v>63</v>
      </c>
      <c r="B64" s="19" t="s">
        <v>172</v>
      </c>
      <c r="C64" s="19" t="s">
        <v>1100</v>
      </c>
      <c r="D64" s="19" t="s">
        <v>1858</v>
      </c>
      <c r="F64" s="6">
        <v>6</v>
      </c>
      <c r="G64" s="6">
        <v>7</v>
      </c>
      <c r="H64" s="6"/>
      <c r="I64" s="6">
        <v>3</v>
      </c>
      <c r="J64" s="6">
        <v>6</v>
      </c>
      <c r="L64" s="1">
        <v>4</v>
      </c>
      <c r="M64" s="1">
        <v>2</v>
      </c>
      <c r="O64">
        <v>200</v>
      </c>
      <c r="P64">
        <f>197+22</f>
        <v>219</v>
      </c>
      <c r="Q64">
        <v>109</v>
      </c>
      <c r="R64" s="9">
        <f>-0.185-8.397-1.551-0.856+1.998</f>
        <v>-8.9910000000000014</v>
      </c>
      <c r="S64" s="263">
        <f>504+69+57+58+32</f>
        <v>720</v>
      </c>
      <c r="T64" s="203">
        <f>177.914+40.899+(128.353-14.1765)+16.937+11.338</f>
        <v>361.26450000000006</v>
      </c>
      <c r="V64">
        <v>81</v>
      </c>
      <c r="W64">
        <v>89</v>
      </c>
      <c r="X64">
        <v>44</v>
      </c>
      <c r="Y64" s="9">
        <f>2.821</f>
        <v>2.8210000000000002</v>
      </c>
      <c r="Z64" s="263">
        <f>341</f>
        <v>341</v>
      </c>
      <c r="AA64" s="203">
        <f>312.971</f>
        <v>312.971</v>
      </c>
      <c r="AC64">
        <f t="shared" si="38"/>
        <v>220.25</v>
      </c>
      <c r="AD64">
        <f t="shared" si="39"/>
        <v>241.25</v>
      </c>
      <c r="AE64">
        <f t="shared" si="40"/>
        <v>120</v>
      </c>
      <c r="AF64">
        <f t="shared" si="41"/>
        <v>-8.2857500000000019</v>
      </c>
      <c r="AG64">
        <f t="shared" si="42"/>
        <v>805.25</v>
      </c>
      <c r="AH64">
        <f t="shared" si="43"/>
        <v>439.50725000000006</v>
      </c>
      <c r="AI64" s="73">
        <f t="shared" si="44"/>
        <v>14.5</v>
      </c>
      <c r="AJ64" s="73">
        <f t="shared" si="45"/>
        <v>15.189655172413794</v>
      </c>
      <c r="AK64" s="73">
        <f t="shared" si="46"/>
        <v>16.637931034482758</v>
      </c>
      <c r="AL64" s="73">
        <f t="shared" si="47"/>
        <v>-1.4482758620689644</v>
      </c>
      <c r="AM64" s="73">
        <f t="shared" si="48"/>
        <v>1.8354166666666667</v>
      </c>
      <c r="AN64" s="227">
        <f t="shared" si="49"/>
        <v>-0.28571551724137939</v>
      </c>
      <c r="AO64" s="227">
        <f t="shared" si="50"/>
        <v>-0.52503825922901104</v>
      </c>
      <c r="AP64" s="227">
        <f t="shared" si="51"/>
        <v>-0.63752208559857393</v>
      </c>
      <c r="AQ64" s="89">
        <f t="shared" si="52"/>
        <v>3.1358599177301381</v>
      </c>
      <c r="AR64" s="73">
        <f t="shared" si="53"/>
        <v>55.53448275862069</v>
      </c>
      <c r="AS64" s="89">
        <f t="shared" si="54"/>
        <v>30.310844827586212</v>
      </c>
      <c r="AT64" s="89">
        <f t="shared" si="55"/>
        <v>5.5055285693188631</v>
      </c>
      <c r="AU64" s="9">
        <v>21</v>
      </c>
      <c r="AV64" s="9">
        <v>6</v>
      </c>
      <c r="AX64" s="54">
        <f t="shared" si="56"/>
        <v>27</v>
      </c>
      <c r="AZ64" s="49">
        <v>67</v>
      </c>
      <c r="BA64" s="48">
        <f t="shared" si="57"/>
        <v>67</v>
      </c>
      <c r="BB64" s="245">
        <f t="shared" si="58"/>
        <v>0</v>
      </c>
      <c r="BC64" s="36">
        <f t="shared" si="59"/>
        <v>0.4690653704908912</v>
      </c>
      <c r="BD64" s="205">
        <f t="shared" si="60"/>
        <v>0.51282051282051289</v>
      </c>
      <c r="BE64" s="205">
        <f t="shared" si="61"/>
        <v>0.33333333333333331</v>
      </c>
      <c r="BF64" s="205">
        <f t="shared" si="62"/>
        <v>0.22481979701926261</v>
      </c>
      <c r="BG64" s="205">
        <f t="shared" si="63"/>
        <v>0.61054829069792094</v>
      </c>
      <c r="BH64" s="205">
        <f t="shared" si="64"/>
        <v>0.18362188088276524</v>
      </c>
      <c r="BI64" s="205">
        <f t="shared" si="65"/>
        <v>0.72412480066300722</v>
      </c>
      <c r="BJ64" s="205">
        <f t="shared" si="66"/>
        <v>0.48028511622004921</v>
      </c>
      <c r="BK64" s="205">
        <f t="shared" si="67"/>
        <v>0.44330869547683938</v>
      </c>
      <c r="BL64" s="205">
        <f t="shared" si="68"/>
        <v>0.50017027295912975</v>
      </c>
      <c r="BM64" s="205">
        <f t="shared" si="69"/>
        <v>0.21428571428571427</v>
      </c>
      <c r="BN64" s="48">
        <v>5</v>
      </c>
      <c r="BO64" s="220">
        <f t="shared" si="70"/>
        <v>32</v>
      </c>
      <c r="BP64" s="220">
        <v>25</v>
      </c>
      <c r="BQ64" s="220">
        <f t="shared" si="71"/>
        <v>57</v>
      </c>
      <c r="BR64" s="205">
        <v>-0.33333333333333331</v>
      </c>
      <c r="BS64" s="35">
        <v>0.4690653704908912</v>
      </c>
      <c r="BT64">
        <v>1</v>
      </c>
      <c r="BU64" s="205">
        <v>5.5055285693188631</v>
      </c>
      <c r="BV64" s="34">
        <v>0.22481979701926261</v>
      </c>
      <c r="BW64" s="34">
        <v>0.61054829069792094</v>
      </c>
      <c r="BX64" s="34">
        <f>IF(A64&lt;17, SoC!O$3, IF(A64&lt;33, SoC!O$4, IF(A64&lt;49, SoC!O$5, IF(A64&lt;65, SoC!O$6, IF(A64&lt;81, SoC!O$7, IF(A64&lt;97, SoC!O$8, SoC!O$9))))))</f>
        <v>1.1793104273940098</v>
      </c>
      <c r="BY64" s="205">
        <f t="shared" si="72"/>
        <v>0.68488347219865886</v>
      </c>
      <c r="BZ64" s="205" t="str">
        <f t="shared" si="73"/>
        <v>D+</v>
      </c>
      <c r="CA64" s="35">
        <f t="shared" si="74"/>
        <v>-1.4984588075084166</v>
      </c>
      <c r="CB64" s="245">
        <f t="shared" si="75"/>
        <v>0</v>
      </c>
      <c r="CC64" s="48">
        <v>23</v>
      </c>
      <c r="CD64" s="19" t="s">
        <v>1858</v>
      </c>
      <c r="CE64">
        <v>67</v>
      </c>
      <c r="CF64">
        <v>67</v>
      </c>
      <c r="CG64">
        <v>67</v>
      </c>
      <c r="CH64">
        <v>67</v>
      </c>
      <c r="CI64">
        <v>67</v>
      </c>
      <c r="CJ64">
        <v>67</v>
      </c>
      <c r="CK64">
        <v>67</v>
      </c>
      <c r="CL64">
        <v>67</v>
      </c>
      <c r="CM64">
        <v>67</v>
      </c>
      <c r="CN64">
        <v>68</v>
      </c>
      <c r="CO64">
        <v>68</v>
      </c>
      <c r="CP64">
        <v>66</v>
      </c>
      <c r="CQ64">
        <v>66</v>
      </c>
      <c r="CR64">
        <v>62</v>
      </c>
      <c r="CS64">
        <v>61</v>
      </c>
      <c r="CT64">
        <v>66</v>
      </c>
      <c r="CU64">
        <v>66</v>
      </c>
      <c r="CV64">
        <v>63</v>
      </c>
      <c r="CW64">
        <v>63</v>
      </c>
      <c r="CX64">
        <v>55</v>
      </c>
      <c r="CY64">
        <v>59</v>
      </c>
      <c r="CZ64">
        <v>52</v>
      </c>
      <c r="DA64">
        <v>53</v>
      </c>
      <c r="DB64">
        <v>52</v>
      </c>
      <c r="DC64">
        <v>53</v>
      </c>
      <c r="DD64">
        <v>59</v>
      </c>
      <c r="DE64" s="154">
        <v>65</v>
      </c>
      <c r="DF64">
        <v>39</v>
      </c>
      <c r="DG64">
        <v>90</v>
      </c>
    </row>
    <row r="65" spans="1:111" x14ac:dyDescent="0.35">
      <c r="A65">
        <v>64</v>
      </c>
      <c r="B65" s="19" t="s">
        <v>172</v>
      </c>
      <c r="C65" s="19" t="s">
        <v>1100</v>
      </c>
      <c r="D65" s="19" t="s">
        <v>42</v>
      </c>
      <c r="F65" s="6">
        <v>6</v>
      </c>
      <c r="G65" s="6">
        <v>7</v>
      </c>
      <c r="H65" s="6"/>
      <c r="I65" s="6">
        <v>4</v>
      </c>
      <c r="J65" s="6">
        <v>5</v>
      </c>
      <c r="L65" s="1">
        <v>6</v>
      </c>
      <c r="M65" s="1">
        <v>7</v>
      </c>
      <c r="O65">
        <v>207</v>
      </c>
      <c r="P65">
        <v>200</v>
      </c>
      <c r="Q65">
        <v>103</v>
      </c>
      <c r="R65" s="9">
        <f>4.778-1.578+7.535+5.876-5.456</f>
        <v>11.155000000000001</v>
      </c>
      <c r="S65" s="263">
        <f>491+57+48+44+78</f>
        <v>718</v>
      </c>
      <c r="T65" s="203">
        <f>272.172+(161.193-30.5965)+2.199+9.935+81.165</f>
        <v>496.06750000000005</v>
      </c>
      <c r="V65">
        <v>209</v>
      </c>
      <c r="W65">
        <v>231</v>
      </c>
      <c r="X65">
        <v>103</v>
      </c>
      <c r="Y65" s="9">
        <f>-3.644-5.497-8.348</f>
        <v>-17.489000000000001</v>
      </c>
      <c r="Z65" s="263">
        <f>640+79+77</f>
        <v>796</v>
      </c>
      <c r="AA65" s="203">
        <f>360.31+16.974+17.147</f>
        <v>394.43099999999998</v>
      </c>
      <c r="AC65">
        <f t="shared" si="38"/>
        <v>259.25</v>
      </c>
      <c r="AD65">
        <f t="shared" si="39"/>
        <v>257.75</v>
      </c>
      <c r="AE65">
        <f t="shared" si="40"/>
        <v>128.75</v>
      </c>
      <c r="AF65">
        <f t="shared" si="41"/>
        <v>6.7827500000000009</v>
      </c>
      <c r="AG65">
        <f t="shared" si="42"/>
        <v>917</v>
      </c>
      <c r="AH65">
        <f t="shared" si="43"/>
        <v>594.67525000000001</v>
      </c>
      <c r="AI65" s="73">
        <f t="shared" si="44"/>
        <v>16.25</v>
      </c>
      <c r="AJ65" s="73">
        <f t="shared" si="45"/>
        <v>15.953846153846154</v>
      </c>
      <c r="AK65" s="73">
        <f t="shared" si="46"/>
        <v>15.861538461538462</v>
      </c>
      <c r="AL65" s="73">
        <f t="shared" si="47"/>
        <v>9.230769230769198E-2</v>
      </c>
      <c r="AM65" s="73">
        <f t="shared" si="48"/>
        <v>2.0135922330097089</v>
      </c>
      <c r="AN65" s="227">
        <f t="shared" si="49"/>
        <v>0.41740000000000005</v>
      </c>
      <c r="AO65" s="227">
        <f t="shared" si="50"/>
        <v>0.11503928606041258</v>
      </c>
      <c r="AP65" s="227">
        <f t="shared" si="51"/>
        <v>-0.17391195072251431</v>
      </c>
      <c r="AQ65" s="89">
        <f t="shared" si="52"/>
        <v>3.7088471712206439</v>
      </c>
      <c r="AR65" s="73">
        <f t="shared" si="53"/>
        <v>56.430769230769229</v>
      </c>
      <c r="AS65" s="89">
        <f t="shared" si="54"/>
        <v>36.595399999999998</v>
      </c>
      <c r="AT65" s="89">
        <f t="shared" si="55"/>
        <v>6.0494131946826046</v>
      </c>
      <c r="AU65" s="9">
        <v>28</v>
      </c>
      <c r="AV65" s="9">
        <v>18</v>
      </c>
      <c r="AW65" s="20">
        <v>23</v>
      </c>
      <c r="AX65" s="54">
        <f t="shared" si="56"/>
        <v>69</v>
      </c>
      <c r="AZ65" s="49">
        <v>50</v>
      </c>
      <c r="BA65" s="48">
        <f t="shared" si="57"/>
        <v>50</v>
      </c>
      <c r="BB65" s="245">
        <f t="shared" si="58"/>
        <v>0</v>
      </c>
      <c r="BC65" s="36">
        <f t="shared" si="59"/>
        <v>0.55244421385230702</v>
      </c>
      <c r="BD65" s="205">
        <f t="shared" si="60"/>
        <v>0.53846153846153844</v>
      </c>
      <c r="BE65" s="205">
        <f t="shared" si="61"/>
        <v>0.44444444444444442</v>
      </c>
      <c r="BF65" s="205">
        <f t="shared" si="62"/>
        <v>0.29024402808543692</v>
      </c>
      <c r="BG65" s="205">
        <f t="shared" si="63"/>
        <v>0.68298614722708151</v>
      </c>
      <c r="BH65" s="205">
        <f t="shared" si="64"/>
        <v>0.3805448823515003</v>
      </c>
      <c r="BI65" s="205">
        <f t="shared" si="65"/>
        <v>0.65145885619984201</v>
      </c>
      <c r="BJ65" s="205">
        <f t="shared" si="66"/>
        <v>0.52866746296368883</v>
      </c>
      <c r="BK65" s="205">
        <f t="shared" si="67"/>
        <v>0.49736553126455096</v>
      </c>
      <c r="BL65" s="205">
        <f t="shared" si="68"/>
        <v>0.58280001740459386</v>
      </c>
      <c r="BM65" s="205">
        <f t="shared" si="69"/>
        <v>0.54761904761904767</v>
      </c>
      <c r="BN65" s="48">
        <v>5</v>
      </c>
      <c r="BO65" s="220">
        <f t="shared" si="70"/>
        <v>74</v>
      </c>
      <c r="BP65" s="220">
        <v>40</v>
      </c>
      <c r="BQ65" s="220">
        <f t="shared" si="71"/>
        <v>114</v>
      </c>
      <c r="BR65" s="205">
        <v>1</v>
      </c>
      <c r="BS65" s="35">
        <v>0.55244421385230702</v>
      </c>
      <c r="BT65">
        <v>4</v>
      </c>
      <c r="BU65" s="205">
        <v>6.0494131946826046</v>
      </c>
      <c r="BV65" s="34">
        <v>0.29024402808543692</v>
      </c>
      <c r="BW65" s="34">
        <v>0.68298614722708151</v>
      </c>
      <c r="BX65" s="34">
        <f>IF(A65&lt;17, SoC!O$3, IF(A65&lt;33, SoC!O$4, IF(A65&lt;49, SoC!O$5, IF(A65&lt;65, SoC!O$6, IF(A65&lt;81, SoC!O$7, IF(A65&lt;97, SoC!O$8, SoC!O$9))))))</f>
        <v>1.1793104273940098</v>
      </c>
      <c r="BY65" s="205">
        <f t="shared" si="72"/>
        <v>0.74326591059479319</v>
      </c>
      <c r="BZ65" s="205" t="str">
        <f t="shared" si="73"/>
        <v>C</v>
      </c>
      <c r="CA65" s="35">
        <f t="shared" si="74"/>
        <v>0.44106037240177054</v>
      </c>
      <c r="CB65" s="245">
        <f t="shared" si="75"/>
        <v>0</v>
      </c>
      <c r="CC65" s="48">
        <v>104</v>
      </c>
      <c r="CD65" s="19" t="s">
        <v>42</v>
      </c>
      <c r="CE65">
        <v>50</v>
      </c>
      <c r="CF65">
        <v>50</v>
      </c>
      <c r="CG65">
        <v>50</v>
      </c>
      <c r="CH65">
        <v>50</v>
      </c>
      <c r="CI65">
        <v>50</v>
      </c>
      <c r="CJ65">
        <v>50</v>
      </c>
      <c r="CK65">
        <v>50</v>
      </c>
      <c r="CL65">
        <v>50</v>
      </c>
      <c r="CM65">
        <v>50</v>
      </c>
      <c r="CN65">
        <v>50</v>
      </c>
      <c r="CO65">
        <v>49</v>
      </c>
      <c r="CP65">
        <v>60</v>
      </c>
      <c r="CQ65">
        <v>60</v>
      </c>
      <c r="CR65">
        <v>50</v>
      </c>
      <c r="CS65">
        <v>48</v>
      </c>
      <c r="CT65">
        <v>44</v>
      </c>
      <c r="CU65">
        <v>45</v>
      </c>
      <c r="CV65">
        <v>56</v>
      </c>
      <c r="CW65">
        <v>59</v>
      </c>
      <c r="CX65">
        <v>63</v>
      </c>
      <c r="CY65">
        <v>55</v>
      </c>
      <c r="CZ65">
        <v>55</v>
      </c>
      <c r="DA65">
        <v>51</v>
      </c>
      <c r="DB65">
        <v>56</v>
      </c>
      <c r="DC65">
        <v>36</v>
      </c>
      <c r="DD65">
        <v>70</v>
      </c>
      <c r="DE65" s="154">
        <v>53</v>
      </c>
      <c r="DF65">
        <v>35</v>
      </c>
      <c r="DG65">
        <v>9</v>
      </c>
    </row>
    <row r="66" spans="1:111" x14ac:dyDescent="0.35">
      <c r="A66">
        <v>65</v>
      </c>
      <c r="B66" s="21" t="s">
        <v>173</v>
      </c>
      <c r="C66" s="21" t="s">
        <v>166</v>
      </c>
      <c r="D66" s="21" t="s">
        <v>23</v>
      </c>
      <c r="F66" s="6">
        <v>6</v>
      </c>
      <c r="G66" s="6">
        <v>7</v>
      </c>
      <c r="H66" s="6"/>
      <c r="I66" s="6">
        <v>4</v>
      </c>
      <c r="J66" s="6">
        <v>5</v>
      </c>
      <c r="L66" s="1">
        <v>2</v>
      </c>
      <c r="M66" s="1">
        <v>2</v>
      </c>
      <c r="O66">
        <v>213</v>
      </c>
      <c r="P66">
        <v>213</v>
      </c>
      <c r="Q66">
        <v>112</v>
      </c>
      <c r="R66" s="9">
        <f>-19.676+0.238-8.291+7.028+0.938</f>
        <v>-19.763000000000002</v>
      </c>
      <c r="S66" s="263">
        <f>501+58+79+19+63</f>
        <v>720</v>
      </c>
      <c r="T66" s="203">
        <f>291.379+21.071+44.218+63.365+3.842</f>
        <v>423.87500000000006</v>
      </c>
      <c r="V66">
        <v>62</v>
      </c>
      <c r="W66">
        <v>51</v>
      </c>
      <c r="X66">
        <v>34</v>
      </c>
      <c r="Y66" s="9">
        <f>-6.83</f>
        <v>-6.83</v>
      </c>
      <c r="Z66" s="263">
        <f>224</f>
        <v>224</v>
      </c>
      <c r="AA66" s="203">
        <f>252.2718</f>
        <v>252.27180000000001</v>
      </c>
      <c r="AC66">
        <f t="shared" ref="AC66:AC97" si="76">O66+((1/4)*V66)</f>
        <v>228.5</v>
      </c>
      <c r="AD66">
        <f t="shared" ref="AD66:AD97" si="77">P66+((1/4)*W66)</f>
        <v>225.75</v>
      </c>
      <c r="AE66">
        <f t="shared" ref="AE66:AE97" si="78">Q66+((1/4)*X66)</f>
        <v>120.5</v>
      </c>
      <c r="AF66">
        <f t="shared" ref="AF66:AF97" si="79">R66+((1/4)*Y66)</f>
        <v>-21.470500000000001</v>
      </c>
      <c r="AG66">
        <f t="shared" ref="AG66:AG97" si="80">S66+((1/4)*Z66)</f>
        <v>776</v>
      </c>
      <c r="AH66">
        <f t="shared" ref="AH66:AH97" si="81">T66+((1/4)*AA66)</f>
        <v>486.94295000000005</v>
      </c>
      <c r="AI66" s="73">
        <f t="shared" ref="AI66:AI97" si="82">F66+G66+((1/4)*(L66+M66))</f>
        <v>14</v>
      </c>
      <c r="AJ66" s="73">
        <f t="shared" ref="AJ66:AJ97" si="83">IFERROR(AC66/AI66, 0)</f>
        <v>16.321428571428573</v>
      </c>
      <c r="AK66" s="73">
        <f t="shared" ref="AK66:AK97" si="84">IFERROR(AD66/AI66, 0)</f>
        <v>16.125</v>
      </c>
      <c r="AL66" s="73">
        <f t="shared" ref="AL66:AL97" si="85">AJ66-AK66</f>
        <v>0.19642857142857295</v>
      </c>
      <c r="AM66" s="73">
        <f t="shared" ref="AM66:AM97" si="86">IFERROR(AC66/AE66, 0)</f>
        <v>1.896265560165975</v>
      </c>
      <c r="AN66" s="227">
        <f t="shared" ref="AN66:AN97" si="87">IF((AF66)&lt;0, (AF66/2), AF66)/AI66</f>
        <v>-0.76680357142857147</v>
      </c>
      <c r="AO66" s="227">
        <f t="shared" ref="AO66:AO97" si="88">(AN66-(SMALL(AN:AN,1)))*(2-(1-((1-BX66)/2)))+MIN(AN:AN)</f>
        <v>-0.62908702794311511</v>
      </c>
      <c r="AP66" s="227">
        <f t="shared" ref="AP66:AP97" si="89">AL66-(IF(AVERAGE(AN66:AO66)&lt;0, AVERAGE(AN66:AO66)*2, AVERAGE(AN66:AO66)))</f>
        <v>1.5923191708002595</v>
      </c>
      <c r="AQ66" s="89">
        <f t="shared" ref="AQ66:AQ97" si="90">(AVERAGE((AL66-MIN(AL:AL))*AR66, SQRT((AL66-MIN(AL:AL))*AR66))/100)*BX66</f>
        <v>2.7269520779922596</v>
      </c>
      <c r="AR66" s="73">
        <f t="shared" ref="AR66:AR97" si="91">(AG66/AI66)</f>
        <v>55.428571428571431</v>
      </c>
      <c r="AS66" s="89">
        <f t="shared" ref="AS66:AS97" si="92">IFERROR(AH66/AI66,0)</f>
        <v>34.781639285714292</v>
      </c>
      <c r="AT66" s="89">
        <f t="shared" ref="AT66:AT97" si="93">IFERROR(IF(SQRT(AS66)&gt;10, 10, SQRT(AS66)), 0)</f>
        <v>5.8975960598971415</v>
      </c>
      <c r="AU66" s="9">
        <v>14</v>
      </c>
      <c r="AV66" s="9">
        <v>6</v>
      </c>
      <c r="AX66" s="54">
        <f t="shared" ref="AX66:AX97" si="94">SUM(AU66:AW66)</f>
        <v>20</v>
      </c>
      <c r="AZ66" s="49">
        <v>57</v>
      </c>
      <c r="BA66" s="48">
        <f t="shared" ref="BA66:BA97" si="95">_xlfn.RANK.EQ(BC66,BC:BC, 0)</f>
        <v>57</v>
      </c>
      <c r="BB66" s="245">
        <f t="shared" ref="BB66:BB97" si="96">AZ66-BA66</f>
        <v>0</v>
      </c>
      <c r="BC66" s="36">
        <f t="shared" ref="BC66:BC97" si="97">((BD66*2.25)+(BE66*1.5)+(BF66*1)+(BG66*1)+(BH66*0.75)+(BI66*1)+(BJ66*1)+(BK66*0.75)+(BL66*1)+(BM66*0.75)+(BN66/LARGE(BN:BN,1))*(3/15))/(10+(9/30))</f>
        <v>0.52116087070863815</v>
      </c>
      <c r="BD66" s="205">
        <f t="shared" ref="BD66:BD97" si="98">IFERROR(IF((F66+G66)=1, IF(F66=0, 0.333, IF(F66=1, 0.666, 0)), IF((F66+G66)=2, IF(F66=0, 0.166, IF(F66=1, 0.5, IF(F66=2, 0.833, 0))),  (F66+(L66/6))/(F66+G66))), 0)</f>
        <v>0.48717948717948717</v>
      </c>
      <c r="BE66" s="205">
        <f t="shared" ref="BE66:BE97" si="99">IFERROR(IF((I66+J66)=1, IF(I66=0, 0.333, IF(I66=1, 0.666, 0)), IF((I66+J66)=2, IF(I66=0, 0.166, IF(I66=1, 0.5, IF(I66=2, 0.833, 0))), (I66/(I66+J66)))), 0)</f>
        <v>0.44444444444444442</v>
      </c>
      <c r="BF66" s="205">
        <f t="shared" ref="BF66:BF97" si="100">(AJ66-(SMALL(AJ:AJ, 1)))/((LARGE(AJ:AJ, 1))-(SMALL(AJ:AJ, 1)))</f>
        <v>0.32171364446156753</v>
      </c>
      <c r="BG66" s="205">
        <f t="shared" ref="BG66:BG97" si="101">1-(AK66-SMALL(AK:AK,1))/(LARGE(AK:AK,1)-SMALL(AK:AK,1))</f>
        <v>0.65840503995082988</v>
      </c>
      <c r="BH66" s="205">
        <f t="shared" ref="BH66:BH97" si="102">(AM66-SMALL(AM:AM,1))/(LARGE(AM:AM,1)-SMALL(AM:AM,1))</f>
        <v>0.25087322734889711</v>
      </c>
      <c r="BI66" s="205">
        <f t="shared" ref="BI66:BI97" si="103">1-(AO66-SMALL(AO:AO,1))/(LARGE(AO:AO,1)-SMALL(AO:AO,1))</f>
        <v>0.73593712263006039</v>
      </c>
      <c r="BJ66" s="205">
        <f t="shared" ref="BJ66:BJ97" si="104">(AP66+ABS(MIN(AP:AP)))/(MAX(AP:AP)+ABS(MIN(AP:AP)))</f>
        <v>0.71299131639663305</v>
      </c>
      <c r="BK66" s="205">
        <f t="shared" ref="BK66:BK97" si="105">AVERAGE(AQ66/MAX(AQ:AQ), SQRT(AQ66/MAX(AQ:AQ)))</f>
        <v>0.40331326255273253</v>
      </c>
      <c r="BL66" s="205">
        <f t="shared" ref="BL66:BL97" si="106">AVERAGE(AT66/MAX(AT:AT), (AT66-SMALL(AT:AT,1))/(LARGE(AT:AT,1)-SMALL(AT:AT,1)))</f>
        <v>0.5597351788988616</v>
      </c>
      <c r="BM66" s="205">
        <f t="shared" ref="BM66:BM97" si="107">IFERROR(AX66/MAX(AX:AX), 0)</f>
        <v>0.15873015873015872</v>
      </c>
      <c r="BN66" s="48">
        <v>5</v>
      </c>
      <c r="BO66" s="220">
        <f t="shared" ref="BO66:BO97" si="108">BN66+AX66</f>
        <v>25</v>
      </c>
      <c r="BP66" s="220">
        <v>33</v>
      </c>
      <c r="BQ66" s="220">
        <f t="shared" ref="BQ66:BQ97" si="109">BO66+BP66</f>
        <v>58</v>
      </c>
      <c r="BR66" s="205">
        <v>0.66666666666666663</v>
      </c>
      <c r="BS66" s="35">
        <v>0.52116087070863815</v>
      </c>
      <c r="BT66">
        <v>1</v>
      </c>
      <c r="BU66" s="205">
        <v>5.8975960598971415</v>
      </c>
      <c r="BV66" s="34">
        <v>0.32171364446156753</v>
      </c>
      <c r="BW66" s="34">
        <v>0.65840503995082988</v>
      </c>
      <c r="BX66" s="34">
        <f>IF(A66&lt;17, SoC!O$3, IF(A66&lt;33, SoC!O$4, IF(A66&lt;49, SoC!O$5, IF(A66&lt;65, SoC!O$6, IF(A66&lt;81, SoC!O$7, IF(A66&lt;97, SoC!O$8, SoC!O$9))))))</f>
        <v>0.87413259868968274</v>
      </c>
      <c r="BY66" s="205">
        <f t="shared" ref="BY66:BY97" si="110">SQRT(BS66)</f>
        <v>0.72191472537179768</v>
      </c>
      <c r="BZ66" s="205" t="str">
        <f t="shared" ref="BZ66:BZ97" si="111">IF(BY66&lt;(15/30), "F", IF(BY66&lt;(18/30), "F+", IF(BY66&lt;(19/30), "D-", IF(BY66&lt;(20/30), "D", IF(BY66&lt;(21/30), "D+", IF(BY66&lt;(22/30), "C-", IF(BY66&lt;(23/30), "C", IF(BY66&lt;(24/30), "C+", IF(BY66&lt;(25/30), "B-", IF(BY66&lt;(26/30), "B", IF(BY66&lt;(27/30), "B+", IF(BY66&lt;(28/30), "A-", IF(BY66&lt;(29/30), "A", "A+")))))))))))))</f>
        <v>C-</v>
      </c>
      <c r="CA66" s="35">
        <f t="shared" ref="CA66:CA97" si="112">(((BS66-$CA$1)/0.15)*3)+((BU66-$BZ$1)/2)</f>
        <v>-0.26051505786433848</v>
      </c>
      <c r="CB66" s="245">
        <f t="shared" ref="CB66:CB97" si="113">CF66-CE66</f>
        <v>0</v>
      </c>
      <c r="CC66" s="48">
        <v>16</v>
      </c>
      <c r="CD66" s="21" t="s">
        <v>23</v>
      </c>
      <c r="CE66">
        <v>57</v>
      </c>
      <c r="CF66">
        <v>57</v>
      </c>
      <c r="CG66">
        <v>57</v>
      </c>
      <c r="CH66">
        <v>57</v>
      </c>
      <c r="CI66">
        <v>57</v>
      </c>
      <c r="CJ66">
        <v>57</v>
      </c>
      <c r="CK66">
        <v>57</v>
      </c>
      <c r="CL66">
        <v>57</v>
      </c>
      <c r="CM66">
        <v>57</v>
      </c>
      <c r="CN66">
        <v>57</v>
      </c>
      <c r="CO66">
        <v>57</v>
      </c>
      <c r="CP66">
        <v>49</v>
      </c>
      <c r="CQ66">
        <v>48</v>
      </c>
      <c r="CR66">
        <v>60</v>
      </c>
      <c r="CS66">
        <v>59</v>
      </c>
      <c r="CT66">
        <v>65</v>
      </c>
      <c r="CU66">
        <v>63</v>
      </c>
      <c r="CV66">
        <v>60</v>
      </c>
      <c r="CW66">
        <v>56</v>
      </c>
      <c r="CX66">
        <v>61</v>
      </c>
      <c r="CY66">
        <v>64</v>
      </c>
      <c r="CZ66">
        <v>56</v>
      </c>
      <c r="DA66">
        <v>65</v>
      </c>
      <c r="DB66">
        <v>57</v>
      </c>
      <c r="DC66">
        <v>67</v>
      </c>
      <c r="DD66">
        <v>78</v>
      </c>
      <c r="DE66" s="154">
        <v>66</v>
      </c>
      <c r="DF66">
        <v>52</v>
      </c>
      <c r="DG66">
        <v>97</v>
      </c>
    </row>
    <row r="67" spans="1:111" x14ac:dyDescent="0.35">
      <c r="A67">
        <v>66</v>
      </c>
      <c r="B67" s="21" t="s">
        <v>173</v>
      </c>
      <c r="C67" s="21" t="s">
        <v>166</v>
      </c>
      <c r="D67" s="21" t="s">
        <v>24</v>
      </c>
      <c r="F67" s="6">
        <v>8</v>
      </c>
      <c r="G67" s="6">
        <v>5</v>
      </c>
      <c r="H67" s="6"/>
      <c r="I67" s="6">
        <v>5</v>
      </c>
      <c r="J67" s="6">
        <v>4</v>
      </c>
      <c r="L67" s="1">
        <v>3</v>
      </c>
      <c r="M67" s="1">
        <v>6</v>
      </c>
      <c r="O67">
        <v>209</v>
      </c>
      <c r="P67">
        <v>193</v>
      </c>
      <c r="Q67">
        <v>114</v>
      </c>
      <c r="R67" s="9">
        <f>-23.148+3.482-1.947+1.757-0.938</f>
        <v>-20.793999999999997</v>
      </c>
      <c r="S67" s="263">
        <f>402+32+60+45+63</f>
        <v>602</v>
      </c>
      <c r="T67" s="203">
        <f>329.303+42.041+38.908+34.868+60.993</f>
        <v>506.113</v>
      </c>
      <c r="V67">
        <f>121+15</f>
        <v>136</v>
      </c>
      <c r="W67">
        <f>150+24</f>
        <v>174</v>
      </c>
      <c r="X67">
        <v>78</v>
      </c>
      <c r="Y67" s="9">
        <f>-19.318-5.069-2.077</f>
        <v>-26.463999999999999</v>
      </c>
      <c r="Z67" s="263">
        <f>390+77+72</f>
        <v>539</v>
      </c>
      <c r="AA67" s="203">
        <f>155.566+60.947+16.086</f>
        <v>232.59899999999999</v>
      </c>
      <c r="AC67">
        <f t="shared" si="76"/>
        <v>243</v>
      </c>
      <c r="AD67">
        <f t="shared" si="77"/>
        <v>236.5</v>
      </c>
      <c r="AE67">
        <f t="shared" si="78"/>
        <v>133.5</v>
      </c>
      <c r="AF67">
        <f t="shared" si="79"/>
        <v>-27.409999999999997</v>
      </c>
      <c r="AG67">
        <f t="shared" si="80"/>
        <v>736.75</v>
      </c>
      <c r="AH67">
        <f t="shared" si="81"/>
        <v>564.26274999999998</v>
      </c>
      <c r="AI67" s="73">
        <f t="shared" si="82"/>
        <v>15.25</v>
      </c>
      <c r="AJ67" s="73">
        <f t="shared" si="83"/>
        <v>15.934426229508198</v>
      </c>
      <c r="AK67" s="73">
        <f t="shared" si="84"/>
        <v>15.508196721311476</v>
      </c>
      <c r="AL67" s="73">
        <f t="shared" si="85"/>
        <v>0.42622950819672134</v>
      </c>
      <c r="AM67" s="73">
        <f t="shared" si="86"/>
        <v>1.8202247191011236</v>
      </c>
      <c r="AN67" s="227">
        <f t="shared" si="87"/>
        <v>-0.8986885245901638</v>
      </c>
      <c r="AO67" s="227">
        <f t="shared" si="88"/>
        <v>-0.76927198926789853</v>
      </c>
      <c r="AP67" s="227">
        <f t="shared" si="89"/>
        <v>2.0941900220547836</v>
      </c>
      <c r="AQ67" s="89">
        <f t="shared" si="90"/>
        <v>2.4330212495847454</v>
      </c>
      <c r="AR67" s="73">
        <f t="shared" si="91"/>
        <v>48.311475409836063</v>
      </c>
      <c r="AS67" s="89">
        <f t="shared" si="92"/>
        <v>37.000836065573772</v>
      </c>
      <c r="AT67" s="89">
        <f t="shared" si="93"/>
        <v>6.0828312540768197</v>
      </c>
      <c r="AU67" s="9">
        <v>21</v>
      </c>
      <c r="AV67" s="9">
        <v>6</v>
      </c>
      <c r="AW67" s="9">
        <v>11</v>
      </c>
      <c r="AX67" s="54">
        <f t="shared" si="94"/>
        <v>38</v>
      </c>
      <c r="AZ67" s="49">
        <v>42</v>
      </c>
      <c r="BA67" s="48">
        <f t="shared" si="95"/>
        <v>42</v>
      </c>
      <c r="BB67" s="245">
        <f t="shared" si="96"/>
        <v>0</v>
      </c>
      <c r="BC67" s="36">
        <f t="shared" si="97"/>
        <v>0.58825347599137057</v>
      </c>
      <c r="BD67" s="205">
        <f t="shared" si="98"/>
        <v>0.65384615384615385</v>
      </c>
      <c r="BE67" s="205">
        <f t="shared" si="99"/>
        <v>0.55555555555555558</v>
      </c>
      <c r="BF67" s="205">
        <f t="shared" si="100"/>
        <v>0.28858144157493837</v>
      </c>
      <c r="BG67" s="205">
        <f t="shared" si="101"/>
        <v>0.71595312704666136</v>
      </c>
      <c r="BH67" s="205">
        <f t="shared" si="102"/>
        <v>0.16683145347364134</v>
      </c>
      <c r="BI67" s="205">
        <f t="shared" si="103"/>
        <v>0.75185187028706746</v>
      </c>
      <c r="BJ67" s="205">
        <f t="shared" si="104"/>
        <v>0.7653665509294445</v>
      </c>
      <c r="BK67" s="205">
        <f t="shared" si="105"/>
        <v>0.37366156427935915</v>
      </c>
      <c r="BL67" s="205">
        <f t="shared" si="106"/>
        <v>0.58787706054726518</v>
      </c>
      <c r="BM67" s="205">
        <f t="shared" si="107"/>
        <v>0.30158730158730157</v>
      </c>
      <c r="BN67" s="48">
        <v>10</v>
      </c>
      <c r="BO67" s="220">
        <f t="shared" si="108"/>
        <v>48</v>
      </c>
      <c r="BP67" s="220">
        <v>48</v>
      </c>
      <c r="BQ67" s="220">
        <f t="shared" si="109"/>
        <v>96</v>
      </c>
      <c r="BR67" s="205">
        <v>0.66666666666666663</v>
      </c>
      <c r="BS67" s="35">
        <v>0.58825347599137057</v>
      </c>
      <c r="BT67">
        <v>3</v>
      </c>
      <c r="BU67" s="205">
        <v>6.0828312540768197</v>
      </c>
      <c r="BV67" s="34">
        <v>0.28858144157493837</v>
      </c>
      <c r="BW67" s="34">
        <v>0.71595312704666136</v>
      </c>
      <c r="BX67" s="34">
        <f>IF(A67&lt;17, SoC!O$3, IF(A67&lt;33, SoC!O$4, IF(A67&lt;49, SoC!O$5, IF(A67&lt;65, SoC!O$6, IF(A67&lt;81, SoC!O$7, IF(A67&lt;97, SoC!O$8, SoC!O$9))))))</f>
        <v>0.87413259868968274</v>
      </c>
      <c r="BY67" s="205">
        <f t="shared" si="110"/>
        <v>0.76697684188727011</v>
      </c>
      <c r="BZ67" s="205" t="str">
        <f t="shared" si="111"/>
        <v>C+</v>
      </c>
      <c r="CA67" s="35">
        <f t="shared" si="112"/>
        <v>1.173954644880149</v>
      </c>
      <c r="CB67" s="245">
        <f t="shared" si="113"/>
        <v>0</v>
      </c>
      <c r="CC67" s="48">
        <v>62</v>
      </c>
      <c r="CD67" s="21" t="s">
        <v>24</v>
      </c>
      <c r="CE67">
        <v>42</v>
      </c>
      <c r="CF67">
        <v>42</v>
      </c>
      <c r="CG67">
        <v>42</v>
      </c>
      <c r="CH67">
        <v>42</v>
      </c>
      <c r="CI67">
        <v>42</v>
      </c>
      <c r="CJ67">
        <v>42</v>
      </c>
      <c r="CK67">
        <v>42</v>
      </c>
      <c r="CL67">
        <v>42</v>
      </c>
      <c r="CM67">
        <v>42</v>
      </c>
      <c r="CN67">
        <v>42</v>
      </c>
      <c r="CO67">
        <v>43</v>
      </c>
      <c r="CP67">
        <v>46</v>
      </c>
      <c r="CQ67">
        <v>46</v>
      </c>
      <c r="CR67">
        <v>54</v>
      </c>
      <c r="CS67">
        <v>53</v>
      </c>
      <c r="CT67">
        <v>57</v>
      </c>
      <c r="CU67">
        <v>59</v>
      </c>
      <c r="CV67">
        <v>64</v>
      </c>
      <c r="CW67">
        <v>72</v>
      </c>
      <c r="CX67">
        <v>71</v>
      </c>
      <c r="CY67">
        <v>69</v>
      </c>
      <c r="CZ67">
        <v>85</v>
      </c>
      <c r="DA67">
        <v>79</v>
      </c>
      <c r="DB67">
        <v>84</v>
      </c>
      <c r="DC67">
        <v>101</v>
      </c>
      <c r="DD67">
        <v>101</v>
      </c>
      <c r="DE67" s="154">
        <v>89</v>
      </c>
      <c r="DF67">
        <v>65</v>
      </c>
      <c r="DG67">
        <v>51</v>
      </c>
    </row>
    <row r="68" spans="1:111" x14ac:dyDescent="0.35">
      <c r="A68">
        <v>67</v>
      </c>
      <c r="B68" s="21" t="s">
        <v>173</v>
      </c>
      <c r="C68" s="21" t="s">
        <v>166</v>
      </c>
      <c r="D68" s="21" t="s">
        <v>34</v>
      </c>
      <c r="F68" s="6">
        <v>8</v>
      </c>
      <c r="G68" s="6">
        <v>5</v>
      </c>
      <c r="H68" s="6"/>
      <c r="I68" s="6">
        <v>7</v>
      </c>
      <c r="J68" s="6">
        <v>2</v>
      </c>
      <c r="L68" s="1">
        <v>4</v>
      </c>
      <c r="M68" s="1">
        <v>7</v>
      </c>
      <c r="O68">
        <f>189+27</f>
        <v>216</v>
      </c>
      <c r="P68">
        <v>162</v>
      </c>
      <c r="Q68">
        <v>100</v>
      </c>
      <c r="R68" s="9">
        <f>24.393+7.208-0.167+2.74+5.203</f>
        <v>39.377000000000002</v>
      </c>
      <c r="S68" s="263">
        <f>665+43+70+52+51</f>
        <v>881</v>
      </c>
      <c r="T68" s="203">
        <f>221.668+(288.511-109.0073)+8.543+30.642+(260.332-90.2213)</f>
        <v>610.4674</v>
      </c>
      <c r="V68">
        <v>177</v>
      </c>
      <c r="W68">
        <f>179+29</f>
        <v>208</v>
      </c>
      <c r="X68">
        <v>88</v>
      </c>
      <c r="Y68" s="9">
        <f>2.514-0.89-3.462-7.053-10.21</f>
        <v>-19.100999999999999</v>
      </c>
      <c r="Z68" s="263">
        <f>501+86+84+82+80</f>
        <v>833</v>
      </c>
      <c r="AA68" s="203">
        <f>298.544+1.273+28.022+30.032+5.913</f>
        <v>363.78399999999999</v>
      </c>
      <c r="AC68">
        <f t="shared" si="76"/>
        <v>260.25</v>
      </c>
      <c r="AD68">
        <f t="shared" si="77"/>
        <v>214</v>
      </c>
      <c r="AE68">
        <f t="shared" si="78"/>
        <v>122</v>
      </c>
      <c r="AF68">
        <f t="shared" si="79"/>
        <v>34.601750000000003</v>
      </c>
      <c r="AG68">
        <f t="shared" si="80"/>
        <v>1089.25</v>
      </c>
      <c r="AH68">
        <f t="shared" si="81"/>
        <v>701.41340000000002</v>
      </c>
      <c r="AI68" s="73">
        <f t="shared" si="82"/>
        <v>15.75</v>
      </c>
      <c r="AJ68" s="73">
        <f t="shared" si="83"/>
        <v>16.523809523809526</v>
      </c>
      <c r="AK68" s="73">
        <f t="shared" si="84"/>
        <v>13.587301587301587</v>
      </c>
      <c r="AL68" s="73">
        <f t="shared" si="85"/>
        <v>2.9365079365079385</v>
      </c>
      <c r="AM68" s="73">
        <f t="shared" si="86"/>
        <v>2.1331967213114753</v>
      </c>
      <c r="AN68" s="227">
        <f t="shared" si="87"/>
        <v>2.196936507936508</v>
      </c>
      <c r="AO68" s="227">
        <f t="shared" si="88"/>
        <v>2.5211721823964224</v>
      </c>
      <c r="AP68" s="227">
        <f t="shared" si="89"/>
        <v>0.57745359134147334</v>
      </c>
      <c r="AQ68" s="89">
        <f t="shared" si="90"/>
        <v>4.2309876632084356</v>
      </c>
      <c r="AR68" s="73">
        <f t="shared" si="91"/>
        <v>69.158730158730165</v>
      </c>
      <c r="AS68" s="89">
        <f t="shared" si="92"/>
        <v>44.53418412698413</v>
      </c>
      <c r="AT68" s="89">
        <f t="shared" si="93"/>
        <v>6.673393748834556</v>
      </c>
      <c r="AU68" s="9">
        <v>35</v>
      </c>
      <c r="AV68" s="9">
        <v>12</v>
      </c>
      <c r="AW68" s="20">
        <v>23</v>
      </c>
      <c r="AX68" s="54">
        <f t="shared" si="94"/>
        <v>70</v>
      </c>
      <c r="AZ68" s="49">
        <v>32</v>
      </c>
      <c r="BA68" s="48">
        <f t="shared" si="95"/>
        <v>32</v>
      </c>
      <c r="BB68" s="245">
        <f t="shared" si="96"/>
        <v>0</v>
      </c>
      <c r="BC68" s="36">
        <f t="shared" si="97"/>
        <v>0.65894758556648447</v>
      </c>
      <c r="BD68" s="205">
        <f t="shared" si="98"/>
        <v>0.66666666666666663</v>
      </c>
      <c r="BE68" s="205">
        <f t="shared" si="99"/>
        <v>0.77777777777777779</v>
      </c>
      <c r="BF68" s="205">
        <f t="shared" si="100"/>
        <v>0.33903996538614367</v>
      </c>
      <c r="BG68" s="205">
        <f t="shared" si="101"/>
        <v>0.8951737056223843</v>
      </c>
      <c r="BH68" s="205">
        <f t="shared" si="102"/>
        <v>0.51273402202382545</v>
      </c>
      <c r="BI68" s="205">
        <f t="shared" si="103"/>
        <v>0.37829832947477438</v>
      </c>
      <c r="BJ68" s="205">
        <f t="shared" si="104"/>
        <v>0.60707995969886286</v>
      </c>
      <c r="BK68" s="205">
        <f t="shared" si="105"/>
        <v>0.54500352190020462</v>
      </c>
      <c r="BL68" s="205">
        <f t="shared" si="106"/>
        <v>0.67759834654293416</v>
      </c>
      <c r="BM68" s="205">
        <f t="shared" si="107"/>
        <v>0.55555555555555558</v>
      </c>
      <c r="BN68" s="48">
        <v>10</v>
      </c>
      <c r="BO68" s="220">
        <f t="shared" si="108"/>
        <v>80</v>
      </c>
      <c r="BP68" s="220">
        <v>61</v>
      </c>
      <c r="BQ68" s="220">
        <f t="shared" si="109"/>
        <v>141</v>
      </c>
      <c r="BR68" s="205">
        <v>0</v>
      </c>
      <c r="BS68" s="35">
        <v>0.65894758556648447</v>
      </c>
      <c r="BT68">
        <v>5</v>
      </c>
      <c r="BU68" s="205">
        <v>6.673393748834556</v>
      </c>
      <c r="BV68" s="34">
        <v>0.33903996538614367</v>
      </c>
      <c r="BW68" s="34">
        <v>0.8951737056223843</v>
      </c>
      <c r="BX68" s="34">
        <f>IF(A68&lt;17, SoC!O$3, IF(A68&lt;33, SoC!O$4, IF(A68&lt;49, SoC!O$5, IF(A68&lt;65, SoC!O$6, IF(A68&lt;81, SoC!O$7, IF(A68&lt;97, SoC!O$8, SoC!O$9))))))</f>
        <v>0.87413259868968274</v>
      </c>
      <c r="BY68" s="205">
        <f t="shared" si="110"/>
        <v>0.81175586574196334</v>
      </c>
      <c r="BZ68" s="205" t="str">
        <f t="shared" si="111"/>
        <v>B-</v>
      </c>
      <c r="CA68" s="35">
        <f t="shared" si="112"/>
        <v>2.8831180837612953</v>
      </c>
      <c r="CB68" s="245">
        <f t="shared" si="113"/>
        <v>0</v>
      </c>
      <c r="CC68" s="48">
        <v>157</v>
      </c>
      <c r="CD68" s="21" t="s">
        <v>34</v>
      </c>
      <c r="CE68">
        <v>32</v>
      </c>
      <c r="CF68">
        <v>32</v>
      </c>
      <c r="CG68">
        <v>32</v>
      </c>
      <c r="CH68">
        <v>32</v>
      </c>
      <c r="CI68">
        <v>32</v>
      </c>
      <c r="CJ68">
        <v>32</v>
      </c>
      <c r="CK68">
        <v>32</v>
      </c>
      <c r="CL68">
        <v>32</v>
      </c>
      <c r="CM68">
        <v>32</v>
      </c>
      <c r="CN68">
        <v>32</v>
      </c>
      <c r="CO68">
        <v>31</v>
      </c>
      <c r="CP68">
        <v>39</v>
      </c>
      <c r="CQ68">
        <v>37</v>
      </c>
      <c r="CR68">
        <v>40</v>
      </c>
      <c r="CS68">
        <v>37</v>
      </c>
      <c r="CT68">
        <v>33</v>
      </c>
      <c r="CU68">
        <v>30</v>
      </c>
      <c r="CV68">
        <v>39</v>
      </c>
      <c r="CW68">
        <v>42</v>
      </c>
      <c r="CX68">
        <v>36</v>
      </c>
      <c r="CY68">
        <v>26</v>
      </c>
      <c r="CZ68">
        <v>30</v>
      </c>
      <c r="DA68">
        <v>19</v>
      </c>
      <c r="DB68">
        <v>26</v>
      </c>
      <c r="DC68">
        <v>9</v>
      </c>
      <c r="DD68">
        <v>23</v>
      </c>
      <c r="DE68" s="154">
        <v>7</v>
      </c>
      <c r="DF68">
        <v>7</v>
      </c>
      <c r="DG68">
        <v>1</v>
      </c>
    </row>
    <row r="69" spans="1:111" x14ac:dyDescent="0.35">
      <c r="A69">
        <v>68</v>
      </c>
      <c r="B69" s="21" t="s">
        <v>173</v>
      </c>
      <c r="C69" s="21" t="s">
        <v>166</v>
      </c>
      <c r="D69" s="21" t="s">
        <v>25</v>
      </c>
      <c r="F69" s="6">
        <v>4</v>
      </c>
      <c r="G69" s="6">
        <v>9</v>
      </c>
      <c r="H69" s="6"/>
      <c r="I69" s="6">
        <v>3</v>
      </c>
      <c r="J69" s="6">
        <v>6</v>
      </c>
      <c r="L69" s="1">
        <v>1</v>
      </c>
      <c r="M69" s="1">
        <v>2</v>
      </c>
      <c r="O69">
        <v>187</v>
      </c>
      <c r="P69">
        <v>230</v>
      </c>
      <c r="Q69">
        <v>103</v>
      </c>
      <c r="R69" s="9">
        <f>-14.76-2.496-5.333-8.944-5.203</f>
        <v>-36.736000000000004</v>
      </c>
      <c r="S69" s="263">
        <f>278+48+55+67+51</f>
        <v>499</v>
      </c>
      <c r="T69" s="203">
        <f>180.071+55.812+7.297+28.456+1.124</f>
        <v>272.76</v>
      </c>
      <c r="V69">
        <v>35</v>
      </c>
      <c r="W69">
        <v>38</v>
      </c>
      <c r="X69">
        <v>24</v>
      </c>
      <c r="Y69" s="9">
        <f>-7.527</f>
        <v>-7.5270000000000001</v>
      </c>
      <c r="Z69" s="263">
        <f>129</f>
        <v>129</v>
      </c>
      <c r="AA69" s="203">
        <f>65.688</f>
        <v>65.688000000000002</v>
      </c>
      <c r="AC69">
        <f t="shared" si="76"/>
        <v>195.75</v>
      </c>
      <c r="AD69">
        <f t="shared" si="77"/>
        <v>239.5</v>
      </c>
      <c r="AE69">
        <f t="shared" si="78"/>
        <v>109</v>
      </c>
      <c r="AF69">
        <f t="shared" si="79"/>
        <v>-38.617750000000001</v>
      </c>
      <c r="AG69">
        <f t="shared" si="80"/>
        <v>531.25</v>
      </c>
      <c r="AH69">
        <f t="shared" si="81"/>
        <v>289.18200000000002</v>
      </c>
      <c r="AI69" s="73">
        <f t="shared" si="82"/>
        <v>13.75</v>
      </c>
      <c r="AJ69" s="73">
        <f t="shared" si="83"/>
        <v>14.236363636363636</v>
      </c>
      <c r="AK69" s="73">
        <f t="shared" si="84"/>
        <v>17.418181818181818</v>
      </c>
      <c r="AL69" s="73">
        <f t="shared" si="85"/>
        <v>-3.1818181818181817</v>
      </c>
      <c r="AM69" s="73">
        <f t="shared" si="86"/>
        <v>1.7958715596330275</v>
      </c>
      <c r="AN69" s="227">
        <f t="shared" si="87"/>
        <v>-1.4042818181818182</v>
      </c>
      <c r="AO69" s="227">
        <f t="shared" si="88"/>
        <v>-1.3066841398517062</v>
      </c>
      <c r="AP69" s="227">
        <f t="shared" si="89"/>
        <v>-0.4708522237846573</v>
      </c>
      <c r="AQ69" s="89">
        <f t="shared" si="90"/>
        <v>1.3298371108171303</v>
      </c>
      <c r="AR69" s="73">
        <f t="shared" si="91"/>
        <v>38.636363636363633</v>
      </c>
      <c r="AS69" s="89">
        <f t="shared" si="92"/>
        <v>21.031418181818182</v>
      </c>
      <c r="AT69" s="89">
        <f t="shared" si="93"/>
        <v>4.5860024184269879</v>
      </c>
      <c r="AU69" s="9">
        <v>14</v>
      </c>
      <c r="AV69" s="9">
        <v>0</v>
      </c>
      <c r="AX69" s="54">
        <f t="shared" si="94"/>
        <v>14</v>
      </c>
      <c r="AZ69" s="49">
        <v>86</v>
      </c>
      <c r="BA69" s="48">
        <f t="shared" si="95"/>
        <v>86</v>
      </c>
      <c r="BB69" s="245">
        <f t="shared" si="96"/>
        <v>0</v>
      </c>
      <c r="BC69" s="36">
        <f t="shared" si="97"/>
        <v>0.3842016199299389</v>
      </c>
      <c r="BD69" s="205">
        <f t="shared" si="98"/>
        <v>0.32051282051282054</v>
      </c>
      <c r="BE69" s="205">
        <f t="shared" si="99"/>
        <v>0.33333333333333331</v>
      </c>
      <c r="BF69" s="205">
        <f t="shared" si="100"/>
        <v>0.14320621187713797</v>
      </c>
      <c r="BG69" s="205">
        <f t="shared" si="101"/>
        <v>0.53775046097111256</v>
      </c>
      <c r="BH69" s="205">
        <f t="shared" si="102"/>
        <v>0.13991588162429441</v>
      </c>
      <c r="BI69" s="205">
        <f t="shared" si="103"/>
        <v>0.81286254278378067</v>
      </c>
      <c r="BJ69" s="205">
        <f t="shared" si="104"/>
        <v>0.49767878050685604</v>
      </c>
      <c r="BK69" s="205">
        <f t="shared" si="105"/>
        <v>0.25228905634199023</v>
      </c>
      <c r="BL69" s="205">
        <f t="shared" si="106"/>
        <v>0.36047113951092341</v>
      </c>
      <c r="BM69" s="205">
        <f t="shared" si="107"/>
        <v>0.1111111111111111</v>
      </c>
      <c r="BN69" s="48">
        <v>5</v>
      </c>
      <c r="BO69" s="220">
        <f t="shared" si="108"/>
        <v>19</v>
      </c>
      <c r="BP69" s="220">
        <v>12</v>
      </c>
      <c r="BQ69" s="220">
        <f t="shared" si="109"/>
        <v>31</v>
      </c>
      <c r="BR69" s="205">
        <v>0.66666666666666663</v>
      </c>
      <c r="BS69" s="35">
        <v>0.3842016199299389</v>
      </c>
      <c r="BT69">
        <v>1</v>
      </c>
      <c r="BU69" s="205">
        <v>4.5860024184269879</v>
      </c>
      <c r="BV69" s="34">
        <v>0.14320621187713797</v>
      </c>
      <c r="BW69" s="34">
        <v>0.53775046097111256</v>
      </c>
      <c r="BX69" s="34">
        <f>IF(A69&lt;17, SoC!O$3, IF(A69&lt;33, SoC!O$4, IF(A69&lt;49, SoC!O$5, IF(A69&lt;65, SoC!O$6, IF(A69&lt;81, SoC!O$7, IF(A69&lt;97, SoC!O$8, SoC!O$9))))))</f>
        <v>0.87413259868968274</v>
      </c>
      <c r="BY69" s="205">
        <f t="shared" si="110"/>
        <v>0.61983999542618973</v>
      </c>
      <c r="BZ69" s="205" t="str">
        <f t="shared" si="111"/>
        <v>D-</v>
      </c>
      <c r="CA69" s="35">
        <f t="shared" si="112"/>
        <v>-3.6554968941734005</v>
      </c>
      <c r="CB69" s="245">
        <f t="shared" si="113"/>
        <v>0</v>
      </c>
      <c r="CC69" s="48">
        <v>37</v>
      </c>
      <c r="CD69" s="21" t="s">
        <v>25</v>
      </c>
      <c r="CE69">
        <v>86</v>
      </c>
      <c r="CF69">
        <v>86</v>
      </c>
      <c r="CG69">
        <v>86</v>
      </c>
      <c r="CH69">
        <v>86</v>
      </c>
      <c r="CI69">
        <v>86</v>
      </c>
      <c r="CJ69">
        <v>86</v>
      </c>
      <c r="CK69">
        <v>86</v>
      </c>
      <c r="CL69">
        <v>86</v>
      </c>
      <c r="CM69">
        <v>86</v>
      </c>
      <c r="CN69">
        <v>86</v>
      </c>
      <c r="CO69">
        <v>86</v>
      </c>
      <c r="CP69">
        <v>73</v>
      </c>
      <c r="CQ69">
        <v>73</v>
      </c>
      <c r="CR69">
        <v>71</v>
      </c>
      <c r="CS69">
        <v>71</v>
      </c>
      <c r="CT69">
        <v>74</v>
      </c>
      <c r="CU69">
        <v>71</v>
      </c>
      <c r="CV69">
        <v>84</v>
      </c>
      <c r="CW69">
        <v>82</v>
      </c>
      <c r="CX69">
        <v>81</v>
      </c>
      <c r="CY69">
        <v>83</v>
      </c>
      <c r="CZ69">
        <v>78</v>
      </c>
      <c r="DA69">
        <v>85</v>
      </c>
      <c r="DB69">
        <v>93</v>
      </c>
      <c r="DC69">
        <v>86</v>
      </c>
      <c r="DD69">
        <v>106</v>
      </c>
      <c r="DE69" s="154">
        <v>106</v>
      </c>
      <c r="DF69">
        <v>93</v>
      </c>
      <c r="DG69">
        <v>76</v>
      </c>
    </row>
    <row r="70" spans="1:111" x14ac:dyDescent="0.35">
      <c r="A70">
        <v>69</v>
      </c>
      <c r="B70" s="21" t="s">
        <v>173</v>
      </c>
      <c r="C70" s="21" t="s">
        <v>1088</v>
      </c>
      <c r="D70" s="21" t="s">
        <v>22</v>
      </c>
      <c r="F70" s="6">
        <v>4</v>
      </c>
      <c r="G70" s="6">
        <v>9</v>
      </c>
      <c r="H70" s="6"/>
      <c r="I70" s="6">
        <v>3</v>
      </c>
      <c r="J70" s="6">
        <v>6</v>
      </c>
      <c r="L70" s="1">
        <v>3</v>
      </c>
      <c r="M70" s="1">
        <v>3</v>
      </c>
      <c r="O70">
        <v>165</v>
      </c>
      <c r="P70">
        <v>233</v>
      </c>
      <c r="Q70">
        <v>91</v>
      </c>
      <c r="R70" s="9">
        <f>-8.664-7.28+3.645-3.718-4.354</f>
        <v>-20.370999999999999</v>
      </c>
      <c r="S70" s="263">
        <f>344+69+19+37+35</f>
        <v>504</v>
      </c>
      <c r="T70" s="203">
        <f>277.395+2.106+14.82+27.74+2.618</f>
        <v>324.67899999999997</v>
      </c>
      <c r="V70">
        <v>98</v>
      </c>
      <c r="W70">
        <v>85</v>
      </c>
      <c r="X70">
        <v>56</v>
      </c>
      <c r="Y70" s="9">
        <f>-7.133</f>
        <v>-7.133</v>
      </c>
      <c r="Z70" s="263">
        <f>303</f>
        <v>303</v>
      </c>
      <c r="AA70" s="203">
        <f>165.472</f>
        <v>165.47200000000001</v>
      </c>
      <c r="AC70">
        <f t="shared" si="76"/>
        <v>189.5</v>
      </c>
      <c r="AD70">
        <f t="shared" si="77"/>
        <v>254.25</v>
      </c>
      <c r="AE70">
        <f t="shared" si="78"/>
        <v>105</v>
      </c>
      <c r="AF70">
        <f t="shared" si="79"/>
        <v>-22.154249999999998</v>
      </c>
      <c r="AG70">
        <f t="shared" si="80"/>
        <v>579.75</v>
      </c>
      <c r="AH70">
        <f t="shared" si="81"/>
        <v>366.04699999999997</v>
      </c>
      <c r="AI70" s="73">
        <f t="shared" si="82"/>
        <v>14.5</v>
      </c>
      <c r="AJ70" s="73">
        <f t="shared" si="83"/>
        <v>13.068965517241379</v>
      </c>
      <c r="AK70" s="73">
        <f t="shared" si="84"/>
        <v>17.53448275862069</v>
      </c>
      <c r="AL70" s="73">
        <f t="shared" si="85"/>
        <v>-4.4655172413793114</v>
      </c>
      <c r="AM70" s="73">
        <f t="shared" si="86"/>
        <v>1.8047619047619048</v>
      </c>
      <c r="AN70" s="227">
        <f t="shared" si="87"/>
        <v>-0.76393965517241369</v>
      </c>
      <c r="AO70" s="227">
        <f t="shared" si="88"/>
        <v>-0.62604287483859133</v>
      </c>
      <c r="AP70" s="227">
        <f t="shared" si="89"/>
        <v>-3.0755347113683063</v>
      </c>
      <c r="AQ70" s="89">
        <f t="shared" si="90"/>
        <v>1.1437365337833465</v>
      </c>
      <c r="AR70" s="73">
        <f t="shared" si="91"/>
        <v>39.982758620689658</v>
      </c>
      <c r="AS70" s="89">
        <f t="shared" si="92"/>
        <v>25.244620689655171</v>
      </c>
      <c r="AT70" s="89">
        <f t="shared" si="93"/>
        <v>5.024402520664041</v>
      </c>
      <c r="AU70" s="9">
        <v>21</v>
      </c>
      <c r="AV70" s="9">
        <v>6</v>
      </c>
      <c r="AX70" s="54">
        <f t="shared" si="94"/>
        <v>27</v>
      </c>
      <c r="AZ70" s="49">
        <v>92</v>
      </c>
      <c r="BA70" s="48">
        <f t="shared" si="95"/>
        <v>92</v>
      </c>
      <c r="BB70" s="245">
        <f t="shared" si="96"/>
        <v>0</v>
      </c>
      <c r="BC70" s="36">
        <f t="shared" si="97"/>
        <v>0.35818082804422063</v>
      </c>
      <c r="BD70" s="205">
        <f t="shared" si="98"/>
        <v>0.34615384615384615</v>
      </c>
      <c r="BE70" s="205">
        <f t="shared" si="99"/>
        <v>0.33333333333333331</v>
      </c>
      <c r="BF70" s="205">
        <f t="shared" si="100"/>
        <v>4.3262446316706532E-2</v>
      </c>
      <c r="BG70" s="205">
        <f t="shared" si="101"/>
        <v>0.52689951889451714</v>
      </c>
      <c r="BH70" s="205">
        <f t="shared" si="102"/>
        <v>0.14974165898986661</v>
      </c>
      <c r="BI70" s="205">
        <f t="shared" si="103"/>
        <v>0.73559152972173458</v>
      </c>
      <c r="BJ70" s="205">
        <f t="shared" si="104"/>
        <v>0.22585415504855383</v>
      </c>
      <c r="BK70" s="205">
        <f t="shared" si="105"/>
        <v>0.22939519297492145</v>
      </c>
      <c r="BL70" s="205">
        <f t="shared" si="106"/>
        <v>0.42707513367326333</v>
      </c>
      <c r="BM70" s="205">
        <f t="shared" si="107"/>
        <v>0.21428571428571427</v>
      </c>
      <c r="BN70" s="48">
        <v>5</v>
      </c>
      <c r="BO70" s="220">
        <f t="shared" si="108"/>
        <v>32</v>
      </c>
      <c r="BP70" s="220">
        <v>9</v>
      </c>
      <c r="BQ70" s="220">
        <f t="shared" si="109"/>
        <v>41</v>
      </c>
      <c r="BR70" s="205">
        <v>0.33333333333333331</v>
      </c>
      <c r="BS70" s="35">
        <v>0.35818082804422063</v>
      </c>
      <c r="BT70">
        <v>1</v>
      </c>
      <c r="BU70" s="205">
        <v>5.024402520664041</v>
      </c>
      <c r="BV70" s="34">
        <v>4.3262446316706532E-2</v>
      </c>
      <c r="BW70" s="34">
        <v>0.52689951889451714</v>
      </c>
      <c r="BX70" s="34">
        <f>IF(A70&lt;17, SoC!O$3, IF(A70&lt;33, SoC!O$4, IF(A70&lt;49, SoC!O$5, IF(A70&lt;65, SoC!O$6, IF(A70&lt;81, SoC!O$7, IF(A70&lt;97, SoC!O$8, SoC!O$9))))))</f>
        <v>0.87413259868968274</v>
      </c>
      <c r="BY70" s="205">
        <f t="shared" si="110"/>
        <v>0.59848210336168006</v>
      </c>
      <c r="BZ70" s="205" t="str">
        <f t="shared" si="111"/>
        <v>F+</v>
      </c>
      <c r="CA70" s="35">
        <f t="shared" si="112"/>
        <v>-3.9567126807692392</v>
      </c>
      <c r="CB70" s="245">
        <f t="shared" si="113"/>
        <v>0</v>
      </c>
      <c r="CC70" s="48">
        <v>31</v>
      </c>
      <c r="CD70" s="21" t="s">
        <v>22</v>
      </c>
      <c r="CE70">
        <v>92</v>
      </c>
      <c r="CF70">
        <v>92</v>
      </c>
      <c r="CG70">
        <v>92</v>
      </c>
      <c r="CH70">
        <v>92</v>
      </c>
      <c r="CI70">
        <v>92</v>
      </c>
      <c r="CJ70">
        <v>92</v>
      </c>
      <c r="CK70">
        <v>92</v>
      </c>
      <c r="CL70">
        <v>92</v>
      </c>
      <c r="CM70">
        <v>92</v>
      </c>
      <c r="CN70">
        <v>92</v>
      </c>
      <c r="CO70">
        <v>92</v>
      </c>
      <c r="CP70">
        <v>81</v>
      </c>
      <c r="CQ70">
        <v>81</v>
      </c>
      <c r="CR70">
        <v>79</v>
      </c>
      <c r="CS70">
        <v>79</v>
      </c>
      <c r="CT70">
        <v>78</v>
      </c>
      <c r="CU70">
        <v>77</v>
      </c>
      <c r="CV70">
        <v>69</v>
      </c>
      <c r="CW70">
        <v>66</v>
      </c>
      <c r="CX70">
        <v>69</v>
      </c>
      <c r="CY70">
        <v>70</v>
      </c>
      <c r="CZ70">
        <v>65</v>
      </c>
      <c r="DA70">
        <v>57</v>
      </c>
      <c r="DB70">
        <v>59</v>
      </c>
      <c r="DC70">
        <v>75</v>
      </c>
      <c r="DD70">
        <v>91</v>
      </c>
      <c r="DE70" s="154">
        <v>74</v>
      </c>
      <c r="DF70">
        <v>111</v>
      </c>
      <c r="DG70">
        <v>82</v>
      </c>
    </row>
    <row r="71" spans="1:111" x14ac:dyDescent="0.35">
      <c r="A71">
        <v>70</v>
      </c>
      <c r="B71" s="21" t="s">
        <v>173</v>
      </c>
      <c r="C71" s="21" t="s">
        <v>1088</v>
      </c>
      <c r="D71" s="21" t="s">
        <v>1860</v>
      </c>
      <c r="F71" s="6">
        <v>6</v>
      </c>
      <c r="G71" s="6">
        <v>7</v>
      </c>
      <c r="H71" s="6"/>
      <c r="I71" s="6">
        <v>4</v>
      </c>
      <c r="J71" s="6">
        <v>5</v>
      </c>
      <c r="L71" s="1">
        <v>2</v>
      </c>
      <c r="M71" s="1">
        <v>2</v>
      </c>
      <c r="O71">
        <v>229</v>
      </c>
      <c r="P71">
        <v>206</v>
      </c>
      <c r="Q71">
        <v>108</v>
      </c>
      <c r="R71" s="9">
        <f>-22.943+1.312+4.163+4.067+4.354</f>
        <v>-9.0470000000000006</v>
      </c>
      <c r="S71" s="263">
        <f>327+40+33+22+35</f>
        <v>457</v>
      </c>
      <c r="T71" s="203">
        <f>301.244+85.647+4.764+60.256+(164.564-32.282)</f>
        <v>584.19299999999998</v>
      </c>
      <c r="V71">
        <v>87</v>
      </c>
      <c r="W71">
        <v>75</v>
      </c>
      <c r="X71">
        <v>45</v>
      </c>
      <c r="Y71" s="9">
        <f>-24.155</f>
        <v>-24.155000000000001</v>
      </c>
      <c r="Z71" s="263">
        <f>146</f>
        <v>146</v>
      </c>
      <c r="AA71" s="203">
        <f>198.078</f>
        <v>198.078</v>
      </c>
      <c r="AC71">
        <f t="shared" si="76"/>
        <v>250.75</v>
      </c>
      <c r="AD71">
        <f t="shared" si="77"/>
        <v>224.75</v>
      </c>
      <c r="AE71">
        <f t="shared" si="78"/>
        <v>119.25</v>
      </c>
      <c r="AF71">
        <f t="shared" si="79"/>
        <v>-15.085750000000001</v>
      </c>
      <c r="AG71">
        <f t="shared" si="80"/>
        <v>493.5</v>
      </c>
      <c r="AH71">
        <f t="shared" si="81"/>
        <v>633.71249999999998</v>
      </c>
      <c r="AI71" s="73">
        <f t="shared" si="82"/>
        <v>14</v>
      </c>
      <c r="AJ71" s="73">
        <f t="shared" si="83"/>
        <v>17.910714285714285</v>
      </c>
      <c r="AK71" s="73">
        <f t="shared" si="84"/>
        <v>16.053571428571427</v>
      </c>
      <c r="AL71" s="73">
        <f t="shared" si="85"/>
        <v>1.8571428571428577</v>
      </c>
      <c r="AM71" s="73">
        <f t="shared" si="86"/>
        <v>2.1027253668763102</v>
      </c>
      <c r="AN71" s="227">
        <f t="shared" si="87"/>
        <v>-0.53877678571428578</v>
      </c>
      <c r="AO71" s="227">
        <f t="shared" si="88"/>
        <v>-0.38670967275532897</v>
      </c>
      <c r="AP71" s="227">
        <f t="shared" si="89"/>
        <v>2.7826293156124722</v>
      </c>
      <c r="AQ71" s="89">
        <f t="shared" si="90"/>
        <v>2.0136760487665013</v>
      </c>
      <c r="AR71" s="73">
        <f t="shared" si="91"/>
        <v>35.25</v>
      </c>
      <c r="AS71" s="89">
        <f t="shared" si="92"/>
        <v>45.265178571428571</v>
      </c>
      <c r="AT71" s="89">
        <f t="shared" si="93"/>
        <v>6.7279401432703434</v>
      </c>
      <c r="AU71" s="9">
        <v>7</v>
      </c>
      <c r="AV71" s="9">
        <v>12</v>
      </c>
      <c r="AX71" s="54">
        <f t="shared" si="94"/>
        <v>19</v>
      </c>
      <c r="AZ71" s="49">
        <v>47</v>
      </c>
      <c r="BA71" s="48">
        <f t="shared" si="95"/>
        <v>47</v>
      </c>
      <c r="BB71" s="245">
        <f t="shared" si="96"/>
        <v>0</v>
      </c>
      <c r="BC71" s="36">
        <f t="shared" si="97"/>
        <v>0.5673336124052526</v>
      </c>
      <c r="BD71" s="205">
        <f t="shared" si="98"/>
        <v>0.48717948717948717</v>
      </c>
      <c r="BE71" s="205">
        <f t="shared" si="99"/>
        <v>0.44444444444444442</v>
      </c>
      <c r="BF71" s="205">
        <f t="shared" si="100"/>
        <v>0.45777622348691493</v>
      </c>
      <c r="BG71" s="205">
        <f t="shared" si="101"/>
        <v>0.66506936517692528</v>
      </c>
      <c r="BH71" s="205">
        <f t="shared" si="102"/>
        <v>0.47905650553069667</v>
      </c>
      <c r="BI71" s="205">
        <f t="shared" si="103"/>
        <v>0.70842080127052798</v>
      </c>
      <c r="BJ71" s="205">
        <f t="shared" si="104"/>
        <v>0.8372120653113917</v>
      </c>
      <c r="BK71" s="205">
        <f t="shared" si="105"/>
        <v>0.32973018798064246</v>
      </c>
      <c r="BL71" s="205">
        <f t="shared" si="106"/>
        <v>0.6858853148124201</v>
      </c>
      <c r="BM71" s="205">
        <f t="shared" si="107"/>
        <v>0.15079365079365079</v>
      </c>
      <c r="BN71" s="48">
        <v>5</v>
      </c>
      <c r="BO71" s="220">
        <f t="shared" si="108"/>
        <v>24</v>
      </c>
      <c r="BP71" s="220">
        <v>43</v>
      </c>
      <c r="BQ71" s="220">
        <f t="shared" si="109"/>
        <v>67</v>
      </c>
      <c r="BR71" s="205">
        <v>1</v>
      </c>
      <c r="BS71" s="35">
        <v>0.5673336124052526</v>
      </c>
      <c r="BT71">
        <v>1</v>
      </c>
      <c r="BU71" s="205">
        <v>6.7279401432703434</v>
      </c>
      <c r="BV71" s="34">
        <v>0.45777622348691493</v>
      </c>
      <c r="BW71" s="34">
        <v>0.66506936517692528</v>
      </c>
      <c r="BX71" s="34">
        <f>IF(A71&lt;17, SoC!O$3, IF(A71&lt;33, SoC!O$4, IF(A71&lt;49, SoC!O$5, IF(A71&lt;65, SoC!O$6, IF(A71&lt;81, SoC!O$7, IF(A71&lt;97, SoC!O$8, SoC!O$9))))))</f>
        <v>0.87413259868968274</v>
      </c>
      <c r="BY71" s="205">
        <f t="shared" si="110"/>
        <v>0.7532155152446427</v>
      </c>
      <c r="BZ71" s="205" t="str">
        <f t="shared" si="111"/>
        <v>C</v>
      </c>
      <c r="CA71" s="35">
        <f t="shared" si="112"/>
        <v>1.0781118177545514</v>
      </c>
      <c r="CB71" s="245">
        <f t="shared" si="113"/>
        <v>0</v>
      </c>
      <c r="CC71" s="48">
        <v>19</v>
      </c>
      <c r="CD71" s="21" t="s">
        <v>1860</v>
      </c>
      <c r="CE71">
        <v>47</v>
      </c>
      <c r="CF71">
        <v>47</v>
      </c>
      <c r="CG71">
        <v>47</v>
      </c>
      <c r="CH71">
        <v>47</v>
      </c>
      <c r="CI71">
        <v>47</v>
      </c>
      <c r="CJ71">
        <v>47</v>
      </c>
      <c r="CK71">
        <v>47</v>
      </c>
      <c r="CL71">
        <v>47</v>
      </c>
      <c r="CM71">
        <v>47</v>
      </c>
      <c r="CN71">
        <v>47</v>
      </c>
      <c r="CO71">
        <v>47</v>
      </c>
      <c r="CP71">
        <v>57</v>
      </c>
      <c r="CQ71">
        <v>58</v>
      </c>
      <c r="CR71">
        <v>64</v>
      </c>
      <c r="CS71">
        <v>65</v>
      </c>
      <c r="CT71">
        <v>59</v>
      </c>
      <c r="CU71">
        <v>57</v>
      </c>
      <c r="CV71">
        <v>67</v>
      </c>
      <c r="CW71">
        <v>64</v>
      </c>
      <c r="CX71">
        <v>67</v>
      </c>
      <c r="CY71">
        <v>68</v>
      </c>
      <c r="CZ71">
        <v>83</v>
      </c>
      <c r="DA71">
        <v>82</v>
      </c>
      <c r="DB71">
        <v>107</v>
      </c>
      <c r="DC71">
        <v>108</v>
      </c>
      <c r="DD71">
        <v>99</v>
      </c>
      <c r="DE71" s="154">
        <v>99</v>
      </c>
      <c r="DF71">
        <v>101</v>
      </c>
      <c r="DG71">
        <v>94</v>
      </c>
    </row>
    <row r="72" spans="1:111" x14ac:dyDescent="0.35">
      <c r="A72">
        <v>71</v>
      </c>
      <c r="B72" s="21" t="s">
        <v>173</v>
      </c>
      <c r="C72" s="21" t="s">
        <v>1088</v>
      </c>
      <c r="D72" s="21" t="s">
        <v>33</v>
      </c>
      <c r="F72" s="6">
        <v>8</v>
      </c>
      <c r="G72" s="6">
        <v>5</v>
      </c>
      <c r="H72" s="6"/>
      <c r="I72" s="6">
        <v>7</v>
      </c>
      <c r="J72" s="6">
        <v>2</v>
      </c>
      <c r="L72" s="1">
        <v>9</v>
      </c>
      <c r="M72" s="1">
        <v>9</v>
      </c>
      <c r="O72">
        <f>218+25</f>
        <v>243</v>
      </c>
      <c r="P72">
        <f>176+27</f>
        <v>203</v>
      </c>
      <c r="Q72">
        <f>89+12</f>
        <v>101</v>
      </c>
      <c r="R72" s="9">
        <f>29.099+12.013-0.961+1.336-3.195</f>
        <v>38.292000000000002</v>
      </c>
      <c r="S72" s="263">
        <f>624+45+84+69+90</f>
        <v>912</v>
      </c>
      <c r="T72" s="203">
        <f>517.536+24.207+19.732+(140.989-20.4945)+42.144</f>
        <v>724.11349999999993</v>
      </c>
      <c r="V72">
        <v>334</v>
      </c>
      <c r="W72">
        <f>263+31</f>
        <v>294</v>
      </c>
      <c r="X72">
        <v>155</v>
      </c>
      <c r="Y72" s="9">
        <f>34.962+4.146+0.984-1.414+1.835+5.288+1.419-6.611-11.376</f>
        <v>29.233000000000004</v>
      </c>
      <c r="Z72" s="263">
        <f>731+81+79+88+86+72+77+85+82</f>
        <v>1381</v>
      </c>
      <c r="AA72" s="203">
        <f>433.684+2.084+15.99+(182.483-41.2415)+68.583+54.588+24.27+25.515+4.699</f>
        <v>770.65449999999987</v>
      </c>
      <c r="AC72">
        <f t="shared" si="76"/>
        <v>326.5</v>
      </c>
      <c r="AD72">
        <f t="shared" si="77"/>
        <v>276.5</v>
      </c>
      <c r="AE72">
        <f t="shared" si="78"/>
        <v>139.75</v>
      </c>
      <c r="AF72">
        <f t="shared" si="79"/>
        <v>45.600250000000003</v>
      </c>
      <c r="AG72">
        <f t="shared" si="80"/>
        <v>1257.25</v>
      </c>
      <c r="AH72">
        <f t="shared" si="81"/>
        <v>916.77712499999984</v>
      </c>
      <c r="AI72" s="73">
        <f t="shared" si="82"/>
        <v>17.5</v>
      </c>
      <c r="AJ72" s="73">
        <f t="shared" si="83"/>
        <v>18.657142857142858</v>
      </c>
      <c r="AK72" s="73">
        <f t="shared" si="84"/>
        <v>15.8</v>
      </c>
      <c r="AL72" s="73">
        <f t="shared" si="85"/>
        <v>2.8571428571428577</v>
      </c>
      <c r="AM72" s="73">
        <f t="shared" si="86"/>
        <v>2.3363148479427549</v>
      </c>
      <c r="AN72" s="227">
        <f t="shared" si="87"/>
        <v>2.6057285714285716</v>
      </c>
      <c r="AO72" s="227">
        <f t="shared" si="88"/>
        <v>2.955691043242501</v>
      </c>
      <c r="AP72" s="227">
        <f t="shared" si="89"/>
        <v>7.6433049807321574E-2</v>
      </c>
      <c r="AQ72" s="89">
        <f t="shared" si="90"/>
        <v>4.3672548580105417</v>
      </c>
      <c r="AR72" s="73">
        <f t="shared" si="91"/>
        <v>71.842857142857142</v>
      </c>
      <c r="AS72" s="89">
        <f t="shared" si="92"/>
        <v>52.387264285714274</v>
      </c>
      <c r="AT72" s="89">
        <f t="shared" si="93"/>
        <v>7.237904688907852</v>
      </c>
      <c r="AU72" s="9">
        <v>21</v>
      </c>
      <c r="AV72" s="9">
        <v>18</v>
      </c>
      <c r="AW72" s="9">
        <v>30</v>
      </c>
      <c r="AX72" s="54">
        <f t="shared" si="94"/>
        <v>69</v>
      </c>
      <c r="AZ72" s="49">
        <v>27</v>
      </c>
      <c r="BA72" s="48">
        <f t="shared" si="95"/>
        <v>27</v>
      </c>
      <c r="BB72" s="245">
        <f t="shared" si="96"/>
        <v>0</v>
      </c>
      <c r="BC72" s="36">
        <f t="shared" si="97"/>
        <v>0.68575819199370569</v>
      </c>
      <c r="BD72" s="205">
        <f t="shared" si="98"/>
        <v>0.73076923076923073</v>
      </c>
      <c r="BE72" s="205">
        <f t="shared" si="99"/>
        <v>0.77777777777777779</v>
      </c>
      <c r="BF72" s="205">
        <f t="shared" si="100"/>
        <v>0.52167977183814573</v>
      </c>
      <c r="BG72" s="205">
        <f t="shared" si="101"/>
        <v>0.68872771972956359</v>
      </c>
      <c r="BH72" s="205">
        <f t="shared" si="102"/>
        <v>0.73722401226148038</v>
      </c>
      <c r="BI72" s="205">
        <f t="shared" si="103"/>
        <v>0.32896880113432658</v>
      </c>
      <c r="BJ72" s="205">
        <f t="shared" si="104"/>
        <v>0.55479346347575531</v>
      </c>
      <c r="BK72" s="205">
        <f t="shared" si="105"/>
        <v>0.55721974747610414</v>
      </c>
      <c r="BL72" s="205">
        <f t="shared" si="106"/>
        <v>0.76336174660913292</v>
      </c>
      <c r="BM72" s="205">
        <f t="shared" si="107"/>
        <v>0.54761904761904767</v>
      </c>
      <c r="BN72" s="48">
        <v>10</v>
      </c>
      <c r="BO72" s="220">
        <f t="shared" si="108"/>
        <v>79</v>
      </c>
      <c r="BP72" s="220">
        <v>68</v>
      </c>
      <c r="BQ72" s="220">
        <f t="shared" si="109"/>
        <v>147</v>
      </c>
      <c r="BR72" s="205">
        <v>-0.33333333333333331</v>
      </c>
      <c r="BS72" s="35">
        <v>0.68575819199370569</v>
      </c>
      <c r="BT72">
        <v>3</v>
      </c>
      <c r="BU72" s="205">
        <v>7.237904688907852</v>
      </c>
      <c r="BV72" s="34">
        <v>0.52167977183814573</v>
      </c>
      <c r="BW72" s="34">
        <v>0.68872771972956359</v>
      </c>
      <c r="BX72" s="34">
        <f>IF(A72&lt;17, SoC!O$3, IF(A72&lt;33, SoC!O$4, IF(A72&lt;49, SoC!O$5, IF(A72&lt;65, SoC!O$6, IF(A72&lt;81, SoC!O$7, IF(A72&lt;97, SoC!O$8, SoC!O$9))))))</f>
        <v>0.87413259868968274</v>
      </c>
      <c r="BY72" s="205">
        <f t="shared" si="110"/>
        <v>0.82810518172132319</v>
      </c>
      <c r="BZ72" s="205" t="str">
        <f t="shared" si="111"/>
        <v>B-</v>
      </c>
      <c r="CA72" s="35">
        <f t="shared" si="112"/>
        <v>3.7015856823423681</v>
      </c>
      <c r="CB72" s="245">
        <f t="shared" si="113"/>
        <v>0</v>
      </c>
      <c r="CC72" s="48">
        <v>66</v>
      </c>
      <c r="CD72" s="21" t="s">
        <v>33</v>
      </c>
      <c r="CE72">
        <v>27</v>
      </c>
      <c r="CF72">
        <v>27</v>
      </c>
      <c r="CG72">
        <v>27</v>
      </c>
      <c r="CH72">
        <v>27</v>
      </c>
      <c r="CI72">
        <v>27</v>
      </c>
      <c r="CJ72">
        <v>27</v>
      </c>
      <c r="CK72">
        <v>27</v>
      </c>
      <c r="CL72">
        <v>27</v>
      </c>
      <c r="CM72">
        <v>28</v>
      </c>
      <c r="CN72">
        <v>28</v>
      </c>
      <c r="CO72">
        <v>27</v>
      </c>
      <c r="CP72">
        <v>21</v>
      </c>
      <c r="CQ72">
        <v>24</v>
      </c>
      <c r="CR72">
        <v>28</v>
      </c>
      <c r="CS72">
        <v>29</v>
      </c>
      <c r="CT72">
        <v>25</v>
      </c>
      <c r="CU72">
        <v>24</v>
      </c>
      <c r="CV72">
        <v>21</v>
      </c>
      <c r="CW72">
        <v>18</v>
      </c>
      <c r="CX72">
        <v>25</v>
      </c>
      <c r="CY72">
        <v>22</v>
      </c>
      <c r="CZ72">
        <v>16</v>
      </c>
      <c r="DA72">
        <v>18</v>
      </c>
      <c r="DB72">
        <v>17</v>
      </c>
      <c r="DC72">
        <v>17</v>
      </c>
      <c r="DD72">
        <v>26</v>
      </c>
      <c r="DE72" s="154">
        <v>9</v>
      </c>
      <c r="DF72">
        <v>13</v>
      </c>
      <c r="DG72">
        <v>47</v>
      </c>
    </row>
    <row r="73" spans="1:111" x14ac:dyDescent="0.35">
      <c r="A73">
        <v>72</v>
      </c>
      <c r="B73" s="21" t="s">
        <v>173</v>
      </c>
      <c r="C73" s="21" t="s">
        <v>1088</v>
      </c>
      <c r="D73" s="21" t="s">
        <v>26</v>
      </c>
      <c r="F73" s="6">
        <v>14</v>
      </c>
      <c r="G73" s="6">
        <v>0</v>
      </c>
      <c r="H73" s="15">
        <v>3</v>
      </c>
      <c r="I73" s="6">
        <v>9</v>
      </c>
      <c r="J73" s="6">
        <v>0</v>
      </c>
      <c r="L73" s="1">
        <v>23</v>
      </c>
      <c r="M73" s="1">
        <v>10</v>
      </c>
      <c r="O73">
        <v>355</v>
      </c>
      <c r="P73">
        <f>186+17</f>
        <v>203</v>
      </c>
      <c r="Q73">
        <v>142</v>
      </c>
      <c r="R73" s="9">
        <f>48.048+12.815+7.694+9.479+3.195+3.607</f>
        <v>84.837999999999994</v>
      </c>
      <c r="S73" s="263">
        <f>670+62+71+60+90+95</f>
        <v>1048</v>
      </c>
      <c r="T73" s="203">
        <f>617.38+(230.047-70.0313)+(118.869-9.4345)+21.927+41.648+49.536</f>
        <v>999.94119999999998</v>
      </c>
      <c r="V73">
        <v>676</v>
      </c>
      <c r="W73">
        <v>563</v>
      </c>
      <c r="X73">
        <v>284</v>
      </c>
      <c r="Y73" s="9">
        <f>54.738+10.982+8.429+1.955-1.371-0.543+3.676+8.07+5.445+3.449+6.855-0.508+2.442+5.403+1.168+1.509+5.771+1.928-2.475+2.065+7.025-5.164-0.404+2.326-2.695</f>
        <v>120.07600000000002</v>
      </c>
      <c r="Z73" s="263">
        <f>743+73+74+102+100+99+101+89+97+96+102+99+100+101+96+97+94+98+97+96+102+102+99+97+97+3</f>
        <v>3054</v>
      </c>
      <c r="AA73" s="203">
        <f>448.154+37.639+54.974+42.038+52.475+55.234+24.812+(195.384-47.692)+40.973+63.149+17.421+37.95+12.842+11.301+48.25+52.07+(116.189-8.0945)+54.552+4.509+77.282+6.787+(250.688-83.792)+63.198+26.632+13.837+1.3541</f>
        <v>1670.1156000000001</v>
      </c>
      <c r="AC73">
        <f t="shared" si="76"/>
        <v>524</v>
      </c>
      <c r="AD73">
        <f t="shared" si="77"/>
        <v>343.75</v>
      </c>
      <c r="AE73">
        <f t="shared" si="78"/>
        <v>213</v>
      </c>
      <c r="AF73">
        <f t="shared" si="79"/>
        <v>114.857</v>
      </c>
      <c r="AG73">
        <f t="shared" si="80"/>
        <v>1811.5</v>
      </c>
      <c r="AH73">
        <f t="shared" si="81"/>
        <v>1417.4701</v>
      </c>
      <c r="AI73" s="73">
        <f t="shared" si="82"/>
        <v>22.25</v>
      </c>
      <c r="AJ73" s="73">
        <f t="shared" si="83"/>
        <v>23.55056179775281</v>
      </c>
      <c r="AK73" s="73">
        <f t="shared" si="84"/>
        <v>15.44943820224719</v>
      </c>
      <c r="AL73" s="73">
        <f t="shared" si="85"/>
        <v>8.1011235955056193</v>
      </c>
      <c r="AM73" s="73">
        <f t="shared" si="86"/>
        <v>2.460093896713615</v>
      </c>
      <c r="AN73" s="227">
        <f t="shared" si="87"/>
        <v>5.1621123595505614</v>
      </c>
      <c r="AO73" s="227">
        <f t="shared" si="88"/>
        <v>5.6729575234458602</v>
      </c>
      <c r="AP73" s="227">
        <f t="shared" si="89"/>
        <v>2.6835886540074085</v>
      </c>
      <c r="AQ73" s="89">
        <f t="shared" si="90"/>
        <v>6.8317175570930591</v>
      </c>
      <c r="AR73" s="73">
        <f t="shared" si="91"/>
        <v>81.415730337078656</v>
      </c>
      <c r="AS73" s="89">
        <f t="shared" si="92"/>
        <v>63.70652134831461</v>
      </c>
      <c r="AT73" s="89">
        <f t="shared" si="93"/>
        <v>7.981636508155117</v>
      </c>
      <c r="AU73" s="9">
        <v>49</v>
      </c>
      <c r="AV73" s="9">
        <v>30</v>
      </c>
      <c r="AW73" s="20">
        <v>36</v>
      </c>
      <c r="AX73" s="54">
        <f t="shared" si="94"/>
        <v>115</v>
      </c>
      <c r="AZ73" s="49">
        <v>2</v>
      </c>
      <c r="BA73" s="48">
        <f t="shared" si="95"/>
        <v>2</v>
      </c>
      <c r="BB73" s="245">
        <f t="shared" si="96"/>
        <v>0</v>
      </c>
      <c r="BC73" s="36">
        <f t="shared" si="97"/>
        <v>0.95589641699323113</v>
      </c>
      <c r="BD73" s="205">
        <f t="shared" si="98"/>
        <v>1.2738095238095237</v>
      </c>
      <c r="BE73" s="205">
        <f t="shared" si="99"/>
        <v>1</v>
      </c>
      <c r="BF73" s="205">
        <f t="shared" si="100"/>
        <v>0.94061715693262837</v>
      </c>
      <c r="BG73" s="205">
        <f t="shared" si="101"/>
        <v>0.72143532937853516</v>
      </c>
      <c r="BH73" s="205">
        <f t="shared" si="102"/>
        <v>0.87402695501724259</v>
      </c>
      <c r="BI73" s="205">
        <f t="shared" si="103"/>
        <v>2.0486279609851721E-2</v>
      </c>
      <c r="BJ73" s="205">
        <f t="shared" si="104"/>
        <v>0.82687618334717039</v>
      </c>
      <c r="BK73" s="205">
        <f t="shared" si="105"/>
        <v>0.76691029603346306</v>
      </c>
      <c r="BL73" s="205">
        <f t="shared" si="106"/>
        <v>0.87635330271216105</v>
      </c>
      <c r="BM73" s="205">
        <f t="shared" si="107"/>
        <v>0.91269841269841268</v>
      </c>
      <c r="BN73" s="48">
        <f>50+84</f>
        <v>134</v>
      </c>
      <c r="BO73" s="220">
        <f t="shared" si="108"/>
        <v>249</v>
      </c>
      <c r="BP73" s="220">
        <v>121</v>
      </c>
      <c r="BQ73" s="220">
        <f t="shared" si="109"/>
        <v>370</v>
      </c>
      <c r="BR73" s="205">
        <v>0.33333333333333331</v>
      </c>
      <c r="BS73" s="35">
        <v>0.95589641699323113</v>
      </c>
      <c r="BT73">
        <v>5</v>
      </c>
      <c r="BU73" s="205">
        <v>7.981636508155117</v>
      </c>
      <c r="BV73" s="34">
        <v>0.94061715693262837</v>
      </c>
      <c r="BW73" s="34">
        <v>0.72143532937853516</v>
      </c>
      <c r="BX73" s="34">
        <f>IF(A73&lt;17, SoC!O$3, IF(A73&lt;33, SoC!O$4, IF(A73&lt;49, SoC!O$5, IF(A73&lt;65, SoC!O$6, IF(A73&lt;81, SoC!O$7, IF(A73&lt;97, SoC!O$8, SoC!O$9))))))</f>
        <v>0.87413259868968274</v>
      </c>
      <c r="BY73" s="205">
        <f t="shared" si="110"/>
        <v>0.97769955354046834</v>
      </c>
      <c r="BZ73" s="205" t="str">
        <f t="shared" si="111"/>
        <v>A+</v>
      </c>
      <c r="CA73" s="35">
        <f t="shared" si="112"/>
        <v>9.476216091956509</v>
      </c>
      <c r="CB73" s="245">
        <f t="shared" si="113"/>
        <v>1</v>
      </c>
      <c r="CC73" s="48">
        <v>106</v>
      </c>
      <c r="CD73" s="21" t="s">
        <v>26</v>
      </c>
      <c r="CE73">
        <v>2</v>
      </c>
      <c r="CF73">
        <v>3</v>
      </c>
      <c r="CG73">
        <v>2</v>
      </c>
      <c r="CH73">
        <v>2</v>
      </c>
      <c r="CI73">
        <v>3</v>
      </c>
      <c r="CJ73">
        <v>3</v>
      </c>
      <c r="CK73">
        <v>3</v>
      </c>
      <c r="CL73">
        <v>2</v>
      </c>
      <c r="CM73">
        <v>2</v>
      </c>
      <c r="CN73">
        <v>2</v>
      </c>
      <c r="CO73">
        <v>2</v>
      </c>
      <c r="CP73">
        <v>3</v>
      </c>
      <c r="CQ73">
        <v>3</v>
      </c>
      <c r="CR73">
        <v>1</v>
      </c>
      <c r="CS73">
        <v>1</v>
      </c>
      <c r="CT73">
        <v>2</v>
      </c>
      <c r="CU73">
        <v>3</v>
      </c>
      <c r="CV73">
        <v>3</v>
      </c>
      <c r="CW73">
        <v>2</v>
      </c>
      <c r="CX73">
        <v>3</v>
      </c>
      <c r="CY73">
        <v>3</v>
      </c>
      <c r="CZ73">
        <v>1</v>
      </c>
      <c r="DA73">
        <v>2</v>
      </c>
      <c r="DB73">
        <v>2</v>
      </c>
      <c r="DC73">
        <v>3</v>
      </c>
      <c r="DD73">
        <v>4</v>
      </c>
      <c r="DE73" s="154">
        <v>8</v>
      </c>
      <c r="DF73">
        <v>19</v>
      </c>
      <c r="DG73">
        <v>7</v>
      </c>
    </row>
    <row r="74" spans="1:111" x14ac:dyDescent="0.35">
      <c r="A74">
        <v>73</v>
      </c>
      <c r="B74" s="21" t="s">
        <v>173</v>
      </c>
      <c r="C74" s="21" t="s">
        <v>167</v>
      </c>
      <c r="D74" s="21" t="s">
        <v>28</v>
      </c>
      <c r="F74" s="6">
        <v>9</v>
      </c>
      <c r="G74" s="6">
        <v>4</v>
      </c>
      <c r="H74" s="6"/>
      <c r="I74" s="6">
        <v>6</v>
      </c>
      <c r="J74" s="6">
        <v>3</v>
      </c>
      <c r="L74" s="1">
        <v>5</v>
      </c>
      <c r="M74" s="1">
        <v>6</v>
      </c>
      <c r="O74">
        <f>198+29</f>
        <v>227</v>
      </c>
      <c r="P74">
        <f>212+22</f>
        <v>234</v>
      </c>
      <c r="Q74">
        <v>115</v>
      </c>
      <c r="R74" s="9">
        <f>-8.445+2.496+5.141+3.718+6.684</f>
        <v>9.5940000000000012</v>
      </c>
      <c r="S74" s="263">
        <f>436+48+29+37+32</f>
        <v>582</v>
      </c>
      <c r="T74" s="203">
        <f>251.351+6.469+34.481+24.16+58.528</f>
        <v>374.98900000000003</v>
      </c>
      <c r="V74">
        <v>152</v>
      </c>
      <c r="W74">
        <v>168</v>
      </c>
      <c r="X74">
        <v>75</v>
      </c>
      <c r="Y74" s="9">
        <f>4.018-6.008-9.385</f>
        <v>-11.375</v>
      </c>
      <c r="Z74" s="263">
        <f>428+84+73</f>
        <v>585</v>
      </c>
      <c r="AA74" s="203">
        <f>185.389+57.526+1.584</f>
        <v>244.49900000000002</v>
      </c>
      <c r="AC74">
        <f t="shared" si="76"/>
        <v>265</v>
      </c>
      <c r="AD74">
        <f t="shared" si="77"/>
        <v>276</v>
      </c>
      <c r="AE74">
        <f t="shared" si="78"/>
        <v>133.75</v>
      </c>
      <c r="AF74">
        <f t="shared" si="79"/>
        <v>6.7502500000000012</v>
      </c>
      <c r="AG74">
        <f t="shared" si="80"/>
        <v>728.25</v>
      </c>
      <c r="AH74">
        <f t="shared" si="81"/>
        <v>436.11375000000004</v>
      </c>
      <c r="AI74" s="73">
        <f t="shared" si="82"/>
        <v>15.75</v>
      </c>
      <c r="AJ74" s="73">
        <f t="shared" si="83"/>
        <v>16.825396825396826</v>
      </c>
      <c r="AK74" s="73">
        <f t="shared" si="84"/>
        <v>17.523809523809526</v>
      </c>
      <c r="AL74" s="73">
        <f t="shared" si="85"/>
        <v>-0.69841269841269948</v>
      </c>
      <c r="AM74" s="73">
        <f t="shared" si="86"/>
        <v>1.9813084112149533</v>
      </c>
      <c r="AN74" s="227">
        <f t="shared" si="87"/>
        <v>0.42858730158730168</v>
      </c>
      <c r="AO74" s="227">
        <f t="shared" si="88"/>
        <v>0.6415342164410478</v>
      </c>
      <c r="AP74" s="227">
        <f t="shared" si="89"/>
        <v>-1.2334734574268742</v>
      </c>
      <c r="AQ74" s="89">
        <f t="shared" si="90"/>
        <v>2.0983021574656084</v>
      </c>
      <c r="AR74" s="73">
        <f t="shared" si="91"/>
        <v>46.238095238095241</v>
      </c>
      <c r="AS74" s="89">
        <f t="shared" si="92"/>
        <v>27.689761904761909</v>
      </c>
      <c r="AT74" s="89">
        <f t="shared" si="93"/>
        <v>5.2621062232495754</v>
      </c>
      <c r="AU74" s="9">
        <v>14</v>
      </c>
      <c r="AV74" s="9">
        <v>12</v>
      </c>
      <c r="AW74" s="20">
        <v>23</v>
      </c>
      <c r="AX74" s="54">
        <f t="shared" si="94"/>
        <v>49</v>
      </c>
      <c r="AZ74" s="49">
        <v>46</v>
      </c>
      <c r="BA74" s="48">
        <f t="shared" si="95"/>
        <v>46</v>
      </c>
      <c r="BB74" s="245">
        <f t="shared" si="96"/>
        <v>0</v>
      </c>
      <c r="BC74" s="36">
        <f t="shared" si="97"/>
        <v>0.57139540168383074</v>
      </c>
      <c r="BD74" s="205">
        <f t="shared" si="98"/>
        <v>0.7564102564102565</v>
      </c>
      <c r="BE74" s="205">
        <f t="shared" si="99"/>
        <v>0.66666666666666663</v>
      </c>
      <c r="BF74" s="205">
        <f t="shared" si="100"/>
        <v>0.36485958088159032</v>
      </c>
      <c r="BG74" s="205">
        <f t="shared" si="101"/>
        <v>0.52789533760646234</v>
      </c>
      <c r="BH74" s="205">
        <f t="shared" si="102"/>
        <v>0.34486419269697682</v>
      </c>
      <c r="BI74" s="205">
        <f t="shared" si="103"/>
        <v>0.59168758058998128</v>
      </c>
      <c r="BJ74" s="205">
        <f t="shared" si="104"/>
        <v>0.41809163996687626</v>
      </c>
      <c r="BK74" s="205">
        <f t="shared" si="105"/>
        <v>0.33877196849942615</v>
      </c>
      <c r="BL74" s="205">
        <f t="shared" si="106"/>
        <v>0.46318830047816695</v>
      </c>
      <c r="BM74" s="205">
        <f t="shared" si="107"/>
        <v>0.3888888888888889</v>
      </c>
      <c r="BN74" s="48">
        <v>10</v>
      </c>
      <c r="BO74" s="220">
        <f t="shared" si="108"/>
        <v>59</v>
      </c>
      <c r="BP74" s="220">
        <v>44</v>
      </c>
      <c r="BQ74" s="220">
        <f t="shared" si="109"/>
        <v>103</v>
      </c>
      <c r="BR74" s="205">
        <v>-1</v>
      </c>
      <c r="BS74" s="35">
        <v>0.57139540168383074</v>
      </c>
      <c r="BT74">
        <v>2</v>
      </c>
      <c r="BU74" s="205">
        <v>5.2621062232495754</v>
      </c>
      <c r="BV74" s="34">
        <v>0.36485958088159032</v>
      </c>
      <c r="BW74" s="34">
        <v>0.52789533760646234</v>
      </c>
      <c r="BX74" s="34">
        <f>IF(A74&lt;17, SoC!O$3, IF(A74&lt;33, SoC!O$4, IF(A74&lt;49, SoC!O$5, IF(A74&lt;65, SoC!O$6, IF(A74&lt;81, SoC!O$7, IF(A74&lt;97, SoC!O$8, SoC!O$9))))))</f>
        <v>0.87413259868968274</v>
      </c>
      <c r="BY74" s="205">
        <f t="shared" si="110"/>
        <v>0.75590700597615235</v>
      </c>
      <c r="BZ74" s="205" t="str">
        <f t="shared" si="111"/>
        <v>C</v>
      </c>
      <c r="CA74" s="35">
        <f t="shared" si="112"/>
        <v>0.42643064331573033</v>
      </c>
      <c r="CB74" s="245">
        <f t="shared" si="113"/>
        <v>0</v>
      </c>
      <c r="CC74" s="48">
        <v>45</v>
      </c>
      <c r="CD74" s="21" t="s">
        <v>28</v>
      </c>
      <c r="CE74">
        <v>46</v>
      </c>
      <c r="CF74">
        <v>46</v>
      </c>
      <c r="CG74">
        <v>45</v>
      </c>
      <c r="CH74">
        <v>45</v>
      </c>
      <c r="CI74">
        <v>46</v>
      </c>
      <c r="CJ74">
        <v>45</v>
      </c>
      <c r="CK74">
        <v>45</v>
      </c>
      <c r="CL74">
        <v>45</v>
      </c>
      <c r="CM74">
        <v>45</v>
      </c>
      <c r="CN74">
        <v>45</v>
      </c>
      <c r="CO74">
        <v>46</v>
      </c>
      <c r="CP74">
        <v>50</v>
      </c>
      <c r="CQ74">
        <v>51</v>
      </c>
      <c r="CR74">
        <v>58</v>
      </c>
      <c r="CS74">
        <v>58</v>
      </c>
      <c r="CT74">
        <v>58</v>
      </c>
      <c r="CU74">
        <v>58</v>
      </c>
      <c r="CV74">
        <v>49</v>
      </c>
      <c r="CW74">
        <v>51</v>
      </c>
      <c r="CX74">
        <v>46</v>
      </c>
      <c r="CY74">
        <v>47</v>
      </c>
      <c r="CZ74">
        <v>63</v>
      </c>
      <c r="DA74">
        <v>61</v>
      </c>
      <c r="DB74">
        <v>70</v>
      </c>
      <c r="DC74">
        <v>83</v>
      </c>
      <c r="DD74">
        <v>69</v>
      </c>
      <c r="DE74" s="154">
        <v>76</v>
      </c>
      <c r="DF74">
        <v>49</v>
      </c>
      <c r="DG74">
        <v>68</v>
      </c>
    </row>
    <row r="75" spans="1:111" x14ac:dyDescent="0.35">
      <c r="A75">
        <v>74</v>
      </c>
      <c r="B75" s="21" t="s">
        <v>173</v>
      </c>
      <c r="C75" s="21" t="s">
        <v>167</v>
      </c>
      <c r="D75" s="21" t="s">
        <v>29</v>
      </c>
      <c r="F75" s="6">
        <v>5</v>
      </c>
      <c r="G75" s="6">
        <v>8</v>
      </c>
      <c r="H75" s="6"/>
      <c r="I75" s="6">
        <v>3</v>
      </c>
      <c r="J75" s="6">
        <v>6</v>
      </c>
      <c r="L75" s="1">
        <v>0</v>
      </c>
      <c r="M75" s="1">
        <v>2</v>
      </c>
      <c r="O75">
        <v>209</v>
      </c>
      <c r="P75">
        <v>242</v>
      </c>
      <c r="Q75">
        <v>108</v>
      </c>
      <c r="R75" s="9">
        <f>-8.288-3.482+2.66-9.479-3.097</f>
        <v>-21.686</v>
      </c>
      <c r="S75" s="263">
        <f>285+32+20+60+34</f>
        <v>431</v>
      </c>
      <c r="T75" s="203">
        <f>184.219+21.572+4.835+30.157+40.958</f>
        <v>281.74099999999999</v>
      </c>
      <c r="V75">
        <v>19</v>
      </c>
      <c r="W75">
        <v>37</v>
      </c>
      <c r="X75">
        <v>11</v>
      </c>
      <c r="Y75" s="9">
        <f>1.643</f>
        <v>1.643</v>
      </c>
      <c r="Z75" s="263">
        <f>70</f>
        <v>70</v>
      </c>
      <c r="AA75" s="203">
        <f>4.542</f>
        <v>4.5419999999999998</v>
      </c>
      <c r="AC75">
        <f t="shared" si="76"/>
        <v>213.75</v>
      </c>
      <c r="AD75">
        <f t="shared" si="77"/>
        <v>251.25</v>
      </c>
      <c r="AE75">
        <f t="shared" si="78"/>
        <v>110.75</v>
      </c>
      <c r="AF75">
        <f t="shared" si="79"/>
        <v>-21.27525</v>
      </c>
      <c r="AG75">
        <f t="shared" si="80"/>
        <v>448.5</v>
      </c>
      <c r="AH75">
        <f t="shared" si="81"/>
        <v>282.87649999999996</v>
      </c>
      <c r="AI75" s="73">
        <f t="shared" si="82"/>
        <v>13.5</v>
      </c>
      <c r="AJ75" s="73">
        <f t="shared" si="83"/>
        <v>15.833333333333334</v>
      </c>
      <c r="AK75" s="73">
        <f t="shared" si="84"/>
        <v>18.611111111111111</v>
      </c>
      <c r="AL75" s="73">
        <f t="shared" si="85"/>
        <v>-2.7777777777777768</v>
      </c>
      <c r="AM75" s="73">
        <f t="shared" si="86"/>
        <v>1.9300225733634311</v>
      </c>
      <c r="AN75" s="227">
        <f t="shared" si="87"/>
        <v>-0.78797222222222219</v>
      </c>
      <c r="AO75" s="227">
        <f t="shared" si="88"/>
        <v>-0.65158790026908742</v>
      </c>
      <c r="AP75" s="227">
        <f t="shared" si="89"/>
        <v>-1.3382176552864671</v>
      </c>
      <c r="AQ75" s="89">
        <f t="shared" si="90"/>
        <v>1.2089905210076439</v>
      </c>
      <c r="AR75" s="73">
        <f t="shared" si="91"/>
        <v>33.222222222222221</v>
      </c>
      <c r="AS75" s="89">
        <f t="shared" si="92"/>
        <v>20.953814814814812</v>
      </c>
      <c r="AT75" s="89">
        <f t="shared" si="93"/>
        <v>4.5775337043887303</v>
      </c>
      <c r="AU75" s="9">
        <v>7</v>
      </c>
      <c r="AV75" s="9">
        <v>0</v>
      </c>
      <c r="AX75" s="54">
        <f t="shared" si="94"/>
        <v>7</v>
      </c>
      <c r="AZ75" s="49">
        <v>84</v>
      </c>
      <c r="BA75" s="48">
        <f t="shared" si="95"/>
        <v>84</v>
      </c>
      <c r="BB75" s="245">
        <f t="shared" si="96"/>
        <v>0</v>
      </c>
      <c r="BC75" s="36">
        <f t="shared" si="97"/>
        <v>0.39021566529523011</v>
      </c>
      <c r="BD75" s="205">
        <f t="shared" si="98"/>
        <v>0.38461538461538464</v>
      </c>
      <c r="BE75" s="205">
        <f t="shared" si="99"/>
        <v>0.33333333333333331</v>
      </c>
      <c r="BF75" s="205">
        <f t="shared" si="100"/>
        <v>0.27992663517288396</v>
      </c>
      <c r="BG75" s="205">
        <f t="shared" si="101"/>
        <v>0.42644949805367771</v>
      </c>
      <c r="BH75" s="205">
        <f t="shared" si="102"/>
        <v>0.28818211596869936</v>
      </c>
      <c r="BI75" s="205">
        <f t="shared" si="103"/>
        <v>0.73849157427556</v>
      </c>
      <c r="BJ75" s="205">
        <f t="shared" si="104"/>
        <v>0.40716053704441313</v>
      </c>
      <c r="BK75" s="205">
        <f t="shared" si="105"/>
        <v>0.23753872440236612</v>
      </c>
      <c r="BL75" s="205">
        <f t="shared" si="106"/>
        <v>0.35918452899808728</v>
      </c>
      <c r="BM75" s="205">
        <f t="shared" si="107"/>
        <v>5.5555555555555552E-2</v>
      </c>
      <c r="BN75" s="48">
        <v>5</v>
      </c>
      <c r="BO75" s="220">
        <f t="shared" si="108"/>
        <v>12</v>
      </c>
      <c r="BP75" s="220">
        <v>13</v>
      </c>
      <c r="BQ75" s="220">
        <f t="shared" si="109"/>
        <v>25</v>
      </c>
      <c r="BR75" s="205">
        <v>-1</v>
      </c>
      <c r="BS75" s="35">
        <v>0.39021566529523011</v>
      </c>
      <c r="BT75">
        <v>1</v>
      </c>
      <c r="BU75" s="205">
        <v>4.5775337043887303</v>
      </c>
      <c r="BV75" s="34">
        <v>0.27992663517288396</v>
      </c>
      <c r="BW75" s="34">
        <v>0.42644949805367771</v>
      </c>
      <c r="BX75" s="34">
        <f>IF(A75&lt;17, SoC!O$3, IF(A75&lt;33, SoC!O$4, IF(A75&lt;49, SoC!O$5, IF(A75&lt;65, SoC!O$6, IF(A75&lt;81, SoC!O$7, IF(A75&lt;97, SoC!O$8, SoC!O$9))))))</f>
        <v>0.87413259868968274</v>
      </c>
      <c r="BY75" s="205">
        <f t="shared" si="110"/>
        <v>0.62467244640309705</v>
      </c>
      <c r="BZ75" s="205" t="str">
        <f t="shared" si="111"/>
        <v>D-</v>
      </c>
      <c r="CA75" s="35">
        <f t="shared" si="112"/>
        <v>-3.5394503438867049</v>
      </c>
      <c r="CB75" s="245">
        <f t="shared" si="113"/>
        <v>-1</v>
      </c>
      <c r="CC75" s="48">
        <v>34</v>
      </c>
      <c r="CD75" s="21" t="s">
        <v>29</v>
      </c>
      <c r="CE75">
        <v>84</v>
      </c>
      <c r="CF75">
        <v>83</v>
      </c>
      <c r="CG75">
        <v>83</v>
      </c>
      <c r="CH75">
        <v>83</v>
      </c>
      <c r="CI75">
        <v>83</v>
      </c>
      <c r="CJ75">
        <v>83</v>
      </c>
      <c r="CK75">
        <v>83</v>
      </c>
      <c r="CL75">
        <v>83</v>
      </c>
      <c r="CM75">
        <v>83</v>
      </c>
      <c r="CN75">
        <v>83</v>
      </c>
      <c r="CO75">
        <v>83</v>
      </c>
      <c r="CP75">
        <v>94</v>
      </c>
      <c r="CQ75">
        <v>94</v>
      </c>
      <c r="CR75">
        <v>92</v>
      </c>
      <c r="CS75">
        <v>92</v>
      </c>
      <c r="CT75">
        <v>85</v>
      </c>
      <c r="CU75">
        <v>87</v>
      </c>
      <c r="CV75">
        <v>83</v>
      </c>
      <c r="CW75">
        <v>85</v>
      </c>
      <c r="CX75">
        <v>80</v>
      </c>
      <c r="CY75">
        <v>81</v>
      </c>
      <c r="CZ75">
        <v>92</v>
      </c>
      <c r="DA75">
        <v>93</v>
      </c>
      <c r="DB75">
        <v>102</v>
      </c>
      <c r="DC75">
        <v>81</v>
      </c>
      <c r="DD75">
        <v>66</v>
      </c>
      <c r="DE75" s="154">
        <v>75</v>
      </c>
      <c r="DF75">
        <v>56</v>
      </c>
      <c r="DG75">
        <v>79</v>
      </c>
    </row>
    <row r="76" spans="1:111" x14ac:dyDescent="0.35">
      <c r="A76">
        <v>75</v>
      </c>
      <c r="B76" s="21" t="s">
        <v>173</v>
      </c>
      <c r="C76" s="21" t="s">
        <v>167</v>
      </c>
      <c r="D76" s="21" t="s">
        <v>27</v>
      </c>
      <c r="F76" s="6">
        <v>2</v>
      </c>
      <c r="G76" s="6">
        <v>11</v>
      </c>
      <c r="H76" s="6"/>
      <c r="I76" s="6">
        <v>1</v>
      </c>
      <c r="J76" s="6">
        <v>8</v>
      </c>
      <c r="L76" s="1">
        <v>3</v>
      </c>
      <c r="M76" s="1">
        <v>3</v>
      </c>
      <c r="O76">
        <v>166</v>
      </c>
      <c r="P76">
        <f>226+29</f>
        <v>255</v>
      </c>
      <c r="Q76">
        <f>83+13</f>
        <v>96</v>
      </c>
      <c r="R76" s="9">
        <f>-14.309-7.208-7.107-4.067-6.684</f>
        <v>-39.375</v>
      </c>
      <c r="S76" s="263">
        <f>389+43+50+22+32</f>
        <v>536</v>
      </c>
      <c r="T76" s="203">
        <f>174.607+0.986+3.048+15.856+13.201</f>
        <v>207.69799999999998</v>
      </c>
      <c r="V76">
        <v>76</v>
      </c>
      <c r="W76">
        <v>101</v>
      </c>
      <c r="X76">
        <v>43</v>
      </c>
      <c r="Y76" s="9">
        <f>-31.22</f>
        <v>-31.22</v>
      </c>
      <c r="Z76" s="263">
        <f>296</f>
        <v>296</v>
      </c>
      <c r="AA76" s="203">
        <f>140.908</f>
        <v>140.90799999999999</v>
      </c>
      <c r="AC76">
        <f t="shared" si="76"/>
        <v>185</v>
      </c>
      <c r="AD76">
        <f t="shared" si="77"/>
        <v>280.25</v>
      </c>
      <c r="AE76">
        <f t="shared" si="78"/>
        <v>106.75</v>
      </c>
      <c r="AF76">
        <f t="shared" si="79"/>
        <v>-47.18</v>
      </c>
      <c r="AG76">
        <f t="shared" si="80"/>
        <v>610</v>
      </c>
      <c r="AH76">
        <f t="shared" si="81"/>
        <v>242.92499999999998</v>
      </c>
      <c r="AI76" s="73">
        <f t="shared" si="82"/>
        <v>14.5</v>
      </c>
      <c r="AJ76" s="73">
        <f t="shared" si="83"/>
        <v>12.758620689655173</v>
      </c>
      <c r="AK76" s="73">
        <f t="shared" si="84"/>
        <v>19.327586206896552</v>
      </c>
      <c r="AL76" s="73">
        <f t="shared" si="85"/>
        <v>-6.568965517241379</v>
      </c>
      <c r="AM76" s="73">
        <f t="shared" si="86"/>
        <v>1.7330210772833723</v>
      </c>
      <c r="AN76" s="227">
        <f t="shared" si="87"/>
        <v>-1.6268965517241378</v>
      </c>
      <c r="AO76" s="227">
        <f t="shared" si="88"/>
        <v>-1.543308842396206</v>
      </c>
      <c r="AP76" s="227">
        <f t="shared" si="89"/>
        <v>-3.3987601231210354</v>
      </c>
      <c r="AQ76" s="89">
        <f t="shared" si="90"/>
        <v>0.80157094152182773</v>
      </c>
      <c r="AR76" s="73">
        <f t="shared" si="91"/>
        <v>42.068965517241381</v>
      </c>
      <c r="AS76" s="89">
        <f t="shared" si="92"/>
        <v>16.753448275862066</v>
      </c>
      <c r="AT76" s="89">
        <f t="shared" si="93"/>
        <v>4.093097638202889</v>
      </c>
      <c r="AU76" s="9">
        <v>7</v>
      </c>
      <c r="AV76" s="9">
        <v>18</v>
      </c>
      <c r="AX76" s="54">
        <f t="shared" si="94"/>
        <v>25</v>
      </c>
      <c r="AZ76" s="49">
        <v>110</v>
      </c>
      <c r="BA76" s="48">
        <f t="shared" si="95"/>
        <v>110</v>
      </c>
      <c r="BB76" s="245">
        <f t="shared" si="96"/>
        <v>0</v>
      </c>
      <c r="BC76" s="36">
        <f t="shared" si="97"/>
        <v>0.25625811340701898</v>
      </c>
      <c r="BD76" s="205">
        <f t="shared" si="98"/>
        <v>0.19230769230769232</v>
      </c>
      <c r="BE76" s="205">
        <f t="shared" si="99"/>
        <v>0.1111111111111111</v>
      </c>
      <c r="BF76" s="205">
        <f t="shared" si="100"/>
        <v>1.669307792121057E-2</v>
      </c>
      <c r="BG76" s="205">
        <f t="shared" si="101"/>
        <v>0.35960197528770965</v>
      </c>
      <c r="BH76" s="205">
        <f t="shared" si="102"/>
        <v>7.045234135288074E-2</v>
      </c>
      <c r="BI76" s="205">
        <f t="shared" si="103"/>
        <v>0.83972578399611963</v>
      </c>
      <c r="BJ76" s="205">
        <f t="shared" si="104"/>
        <v>0.19212235591099408</v>
      </c>
      <c r="BK76" s="205">
        <f t="shared" si="105"/>
        <v>0.18407258569371321</v>
      </c>
      <c r="BL76" s="205">
        <f t="shared" si="106"/>
        <v>0.28558651485615155</v>
      </c>
      <c r="BM76" s="205">
        <f t="shared" si="107"/>
        <v>0.1984126984126984</v>
      </c>
      <c r="BN76" s="48">
        <v>5</v>
      </c>
      <c r="BO76" s="220">
        <f t="shared" si="108"/>
        <v>30</v>
      </c>
      <c r="BP76" s="220">
        <v>1</v>
      </c>
      <c r="BQ76" s="220">
        <f t="shared" si="109"/>
        <v>31</v>
      </c>
      <c r="BR76" s="205">
        <v>-1</v>
      </c>
      <c r="BS76" s="35">
        <v>0.25625811340701898</v>
      </c>
      <c r="BT76">
        <v>1</v>
      </c>
      <c r="BU76" s="205">
        <v>4.093097638202889</v>
      </c>
      <c r="BV76" s="34">
        <v>1.669307792121057E-2</v>
      </c>
      <c r="BW76" s="34">
        <v>0.35960197528770965</v>
      </c>
      <c r="BX76" s="34">
        <f>IF(A76&lt;17, SoC!O$3, IF(A76&lt;33, SoC!O$4, IF(A76&lt;49, SoC!O$5, IF(A76&lt;65, SoC!O$6, IF(A76&lt;81, SoC!O$7, IF(A76&lt;97, SoC!O$8, SoC!O$9))))))</f>
        <v>0.87413259868968274</v>
      </c>
      <c r="BY76" s="205">
        <f t="shared" si="110"/>
        <v>0.50621943207172415</v>
      </c>
      <c r="BZ76" s="205" t="str">
        <f t="shared" si="111"/>
        <v>F+</v>
      </c>
      <c r="CA76" s="35">
        <f t="shared" si="112"/>
        <v>-6.4608194147438471</v>
      </c>
      <c r="CB76" s="245">
        <f t="shared" si="113"/>
        <v>0</v>
      </c>
      <c r="CC76" s="48">
        <v>1</v>
      </c>
      <c r="CD76" s="21" t="s">
        <v>27</v>
      </c>
      <c r="CE76">
        <v>110</v>
      </c>
      <c r="CF76">
        <v>110</v>
      </c>
      <c r="CG76">
        <v>110</v>
      </c>
      <c r="CH76">
        <v>110</v>
      </c>
      <c r="CI76">
        <v>110</v>
      </c>
      <c r="CJ76">
        <v>110</v>
      </c>
      <c r="CK76">
        <v>110</v>
      </c>
      <c r="CL76">
        <v>110</v>
      </c>
      <c r="CM76">
        <v>110</v>
      </c>
      <c r="CN76">
        <v>110</v>
      </c>
      <c r="CO76">
        <v>110</v>
      </c>
      <c r="CP76">
        <v>108</v>
      </c>
      <c r="CQ76">
        <v>108</v>
      </c>
      <c r="CR76">
        <v>105</v>
      </c>
      <c r="CS76">
        <v>105</v>
      </c>
      <c r="CT76">
        <v>102</v>
      </c>
      <c r="CU76">
        <v>101</v>
      </c>
      <c r="CV76">
        <v>91</v>
      </c>
      <c r="CW76">
        <v>87</v>
      </c>
      <c r="CX76">
        <v>82</v>
      </c>
      <c r="CY76">
        <v>87</v>
      </c>
      <c r="CZ76">
        <v>86</v>
      </c>
      <c r="DA76">
        <v>77</v>
      </c>
      <c r="DB76">
        <v>77</v>
      </c>
      <c r="DC76">
        <v>69</v>
      </c>
      <c r="DD76">
        <v>49</v>
      </c>
      <c r="DE76" s="154">
        <v>45</v>
      </c>
      <c r="DF76">
        <v>105</v>
      </c>
      <c r="DG76">
        <v>112</v>
      </c>
    </row>
    <row r="77" spans="1:111" x14ac:dyDescent="0.35">
      <c r="A77">
        <v>76</v>
      </c>
      <c r="B77" s="21" t="s">
        <v>173</v>
      </c>
      <c r="C77" s="21" t="s">
        <v>167</v>
      </c>
      <c r="D77" s="21" t="s">
        <v>30</v>
      </c>
      <c r="F77" s="6">
        <v>7</v>
      </c>
      <c r="G77" s="6">
        <v>6</v>
      </c>
      <c r="H77" s="6"/>
      <c r="I77" s="6">
        <v>5</v>
      </c>
      <c r="J77" s="6">
        <v>4</v>
      </c>
      <c r="L77" s="1">
        <v>2</v>
      </c>
      <c r="M77" s="1">
        <v>3</v>
      </c>
      <c r="O77">
        <v>228</v>
      </c>
      <c r="P77">
        <v>245</v>
      </c>
      <c r="Q77">
        <v>111</v>
      </c>
      <c r="R77" s="9">
        <f>2.688-0.238-1.885-1.336+3.097</f>
        <v>2.3260000000000001</v>
      </c>
      <c r="S77" s="263">
        <f>419+58+75+69+34</f>
        <v>655</v>
      </c>
      <c r="T77" s="203">
        <f>337.571+21.039+16.819+3.651+14.073</f>
        <v>393.15300000000002</v>
      </c>
      <c r="V77">
        <v>79</v>
      </c>
      <c r="W77">
        <v>80</v>
      </c>
      <c r="X77">
        <v>40</v>
      </c>
      <c r="Y77" s="9">
        <f>1.643</f>
        <v>1.643</v>
      </c>
      <c r="Z77" s="263">
        <f>287</f>
        <v>287</v>
      </c>
      <c r="AA77" s="203">
        <f>130.869</f>
        <v>130.869</v>
      </c>
      <c r="AC77">
        <f t="shared" si="76"/>
        <v>247.75</v>
      </c>
      <c r="AD77">
        <f t="shared" si="77"/>
        <v>265</v>
      </c>
      <c r="AE77">
        <f t="shared" si="78"/>
        <v>121</v>
      </c>
      <c r="AF77">
        <f t="shared" si="79"/>
        <v>2.7367500000000002</v>
      </c>
      <c r="AG77">
        <f t="shared" si="80"/>
        <v>726.75</v>
      </c>
      <c r="AH77">
        <f t="shared" si="81"/>
        <v>425.87025</v>
      </c>
      <c r="AI77" s="73">
        <f t="shared" si="82"/>
        <v>14.25</v>
      </c>
      <c r="AJ77" s="73">
        <f t="shared" si="83"/>
        <v>17.385964912280702</v>
      </c>
      <c r="AK77" s="73">
        <f t="shared" si="84"/>
        <v>18.596491228070175</v>
      </c>
      <c r="AL77" s="73">
        <f t="shared" si="85"/>
        <v>-1.2105263157894726</v>
      </c>
      <c r="AM77" s="73">
        <f t="shared" si="86"/>
        <v>2.0475206611570247</v>
      </c>
      <c r="AN77" s="227">
        <f t="shared" si="87"/>
        <v>0.19205263157894739</v>
      </c>
      <c r="AO77" s="227">
        <f t="shared" si="88"/>
        <v>0.39011354431582079</v>
      </c>
      <c r="AP77" s="227">
        <f t="shared" si="89"/>
        <v>-1.5016094037368566</v>
      </c>
      <c r="AQ77" s="89">
        <f t="shared" si="90"/>
        <v>2.192737802192934</v>
      </c>
      <c r="AR77" s="73">
        <f t="shared" si="91"/>
        <v>51</v>
      </c>
      <c r="AS77" s="89">
        <f t="shared" si="92"/>
        <v>29.885631578947368</v>
      </c>
      <c r="AT77" s="89">
        <f t="shared" si="93"/>
        <v>5.4667752449636495</v>
      </c>
      <c r="AU77" s="9">
        <v>21</v>
      </c>
      <c r="AV77" s="9">
        <v>0</v>
      </c>
      <c r="AX77" s="54">
        <f t="shared" si="94"/>
        <v>21</v>
      </c>
      <c r="AZ77" s="49">
        <v>62</v>
      </c>
      <c r="BA77" s="48">
        <f t="shared" si="95"/>
        <v>62</v>
      </c>
      <c r="BB77" s="245">
        <f t="shared" si="96"/>
        <v>0</v>
      </c>
      <c r="BC77" s="36">
        <f t="shared" si="97"/>
        <v>0.50109513793654736</v>
      </c>
      <c r="BD77" s="205">
        <f t="shared" si="98"/>
        <v>0.5641025641025641</v>
      </c>
      <c r="BE77" s="205">
        <f t="shared" si="99"/>
        <v>0.55555555555555558</v>
      </c>
      <c r="BF77" s="205">
        <f t="shared" si="100"/>
        <v>0.41285116536204669</v>
      </c>
      <c r="BG77" s="205">
        <f t="shared" si="101"/>
        <v>0.42781354122860948</v>
      </c>
      <c r="BH77" s="205">
        <f t="shared" si="102"/>
        <v>0.41804322201173305</v>
      </c>
      <c r="BI77" s="205">
        <f t="shared" si="103"/>
        <v>0.62023056062731785</v>
      </c>
      <c r="BJ77" s="205">
        <f t="shared" si="104"/>
        <v>0.39010897661920879</v>
      </c>
      <c r="BK77" s="205">
        <f t="shared" si="105"/>
        <v>0.34875087403903882</v>
      </c>
      <c r="BL77" s="205">
        <f t="shared" si="106"/>
        <v>0.4942826689737404</v>
      </c>
      <c r="BM77" s="205">
        <f t="shared" si="107"/>
        <v>0.16666666666666666</v>
      </c>
      <c r="BN77" s="48">
        <v>10</v>
      </c>
      <c r="BO77" s="220">
        <f t="shared" si="108"/>
        <v>31</v>
      </c>
      <c r="BP77" s="220">
        <v>30</v>
      </c>
      <c r="BQ77" s="220">
        <f t="shared" si="109"/>
        <v>61</v>
      </c>
      <c r="BR77" s="205">
        <v>-1.6666666666666665</v>
      </c>
      <c r="BS77" s="35">
        <v>0.50109513793654736</v>
      </c>
      <c r="BT77">
        <v>1</v>
      </c>
      <c r="BU77" s="205">
        <v>5.4667752449636495</v>
      </c>
      <c r="BV77" s="34">
        <v>0.41285116536204669</v>
      </c>
      <c r="BW77" s="34">
        <v>0.42781354122860948</v>
      </c>
      <c r="BX77" s="34">
        <f>IF(A77&lt;17, SoC!O$3, IF(A77&lt;33, SoC!O$4, IF(A77&lt;49, SoC!O$5, IF(A77&lt;65, SoC!O$6, IF(A77&lt;81, SoC!O$7, IF(A77&lt;97, SoC!O$8, SoC!O$9))))))</f>
        <v>0.87413259868968274</v>
      </c>
      <c r="BY77" s="205">
        <f t="shared" si="110"/>
        <v>0.70788073708538457</v>
      </c>
      <c r="BZ77" s="205" t="str">
        <f t="shared" si="111"/>
        <v>C-</v>
      </c>
      <c r="CA77" s="35">
        <f t="shared" si="112"/>
        <v>-0.87724012077290014</v>
      </c>
      <c r="CB77" s="245">
        <f t="shared" si="113"/>
        <v>0</v>
      </c>
      <c r="CC77" s="48">
        <v>35</v>
      </c>
      <c r="CD77" s="21" t="s">
        <v>30</v>
      </c>
      <c r="CE77">
        <v>62</v>
      </c>
      <c r="CF77">
        <v>62</v>
      </c>
      <c r="CG77">
        <v>62</v>
      </c>
      <c r="CH77">
        <v>62</v>
      </c>
      <c r="CI77">
        <v>62</v>
      </c>
      <c r="CJ77">
        <v>62</v>
      </c>
      <c r="CK77">
        <v>62</v>
      </c>
      <c r="CL77">
        <v>62</v>
      </c>
      <c r="CM77">
        <v>62</v>
      </c>
      <c r="CN77">
        <v>61</v>
      </c>
      <c r="CO77">
        <v>62</v>
      </c>
      <c r="CP77">
        <v>58</v>
      </c>
      <c r="CQ77">
        <v>57</v>
      </c>
      <c r="CR77">
        <v>47</v>
      </c>
      <c r="CS77">
        <v>46</v>
      </c>
      <c r="CT77">
        <v>45</v>
      </c>
      <c r="CU77">
        <v>46</v>
      </c>
      <c r="CV77">
        <v>45</v>
      </c>
      <c r="CW77">
        <v>46</v>
      </c>
      <c r="CX77">
        <v>51</v>
      </c>
      <c r="CY77">
        <v>54</v>
      </c>
      <c r="CZ77">
        <v>58</v>
      </c>
      <c r="DA77">
        <v>59</v>
      </c>
      <c r="DB77">
        <v>58</v>
      </c>
      <c r="DC77">
        <v>41</v>
      </c>
      <c r="DD77">
        <v>44</v>
      </c>
      <c r="DE77" s="154">
        <v>60</v>
      </c>
      <c r="DF77">
        <v>87</v>
      </c>
      <c r="DG77">
        <v>78</v>
      </c>
    </row>
    <row r="78" spans="1:111" x14ac:dyDescent="0.35">
      <c r="A78">
        <v>77</v>
      </c>
      <c r="B78" s="21" t="s">
        <v>173</v>
      </c>
      <c r="C78" s="21" t="s">
        <v>3203</v>
      </c>
      <c r="D78" s="21" t="s">
        <v>32</v>
      </c>
      <c r="F78" s="6">
        <v>7</v>
      </c>
      <c r="G78" s="6">
        <v>6</v>
      </c>
      <c r="H78" s="6"/>
      <c r="I78" s="6">
        <v>4</v>
      </c>
      <c r="J78" s="6">
        <v>5</v>
      </c>
      <c r="L78" s="1">
        <v>2</v>
      </c>
      <c r="M78" s="1">
        <v>6</v>
      </c>
      <c r="O78">
        <v>229</v>
      </c>
      <c r="P78">
        <v>250</v>
      </c>
      <c r="Q78">
        <v>122</v>
      </c>
      <c r="R78" s="9">
        <f>23.991-1.312-4.285-2.74-9.173</f>
        <v>6.4809999999999981</v>
      </c>
      <c r="S78" s="263">
        <f>279+40+54+52+77</f>
        <v>502</v>
      </c>
      <c r="T78" s="203">
        <f>321.327+3.98+26.593+19.744+76.613</f>
        <v>448.25700000000001</v>
      </c>
      <c r="V78">
        <f>94+23</f>
        <v>117</v>
      </c>
      <c r="W78">
        <f>161+21</f>
        <v>182</v>
      </c>
      <c r="X78">
        <f>53+14</f>
        <v>67</v>
      </c>
      <c r="Y78" s="9">
        <f>-18.396-10.108-7.64</f>
        <v>-36.143999999999998</v>
      </c>
      <c r="Z78" s="263">
        <f>348+68+80</f>
        <v>496</v>
      </c>
      <c r="AA78" s="203">
        <f>100.323+7.315+67.548</f>
        <v>175.18599999999998</v>
      </c>
      <c r="AC78">
        <f t="shared" si="76"/>
        <v>258.25</v>
      </c>
      <c r="AD78">
        <f t="shared" si="77"/>
        <v>295.5</v>
      </c>
      <c r="AE78">
        <f t="shared" si="78"/>
        <v>138.75</v>
      </c>
      <c r="AF78">
        <f t="shared" si="79"/>
        <v>-2.5550000000000015</v>
      </c>
      <c r="AG78">
        <f t="shared" si="80"/>
        <v>626</v>
      </c>
      <c r="AH78">
        <f t="shared" si="81"/>
        <v>492.05349999999999</v>
      </c>
      <c r="AI78" s="73">
        <f t="shared" si="82"/>
        <v>15</v>
      </c>
      <c r="AJ78" s="73">
        <f t="shared" si="83"/>
        <v>17.216666666666665</v>
      </c>
      <c r="AK78" s="73">
        <f t="shared" si="84"/>
        <v>19.7</v>
      </c>
      <c r="AL78" s="73">
        <f t="shared" si="85"/>
        <v>-2.4833333333333343</v>
      </c>
      <c r="AM78" s="73">
        <f t="shared" si="86"/>
        <v>1.8612612612612613</v>
      </c>
      <c r="AN78" s="227">
        <f t="shared" si="87"/>
        <v>-8.516666666666671E-2</v>
      </c>
      <c r="AO78" s="227">
        <f t="shared" si="88"/>
        <v>9.54478097385838E-2</v>
      </c>
      <c r="AP78" s="227">
        <f t="shared" si="89"/>
        <v>-2.4884739048692928</v>
      </c>
      <c r="AQ78" s="89">
        <f t="shared" si="90"/>
        <v>1.5643464560718978</v>
      </c>
      <c r="AR78" s="73">
        <f t="shared" si="91"/>
        <v>41.733333333333334</v>
      </c>
      <c r="AS78" s="89">
        <f t="shared" si="92"/>
        <v>32.803566666666669</v>
      </c>
      <c r="AT78" s="89">
        <f t="shared" si="93"/>
        <v>5.7274398003529177</v>
      </c>
      <c r="AU78" s="9">
        <v>7</v>
      </c>
      <c r="AV78" s="9">
        <v>6</v>
      </c>
      <c r="AW78" s="9">
        <v>11</v>
      </c>
      <c r="AX78" s="54">
        <f t="shared" si="94"/>
        <v>24</v>
      </c>
      <c r="AZ78" s="49">
        <v>70</v>
      </c>
      <c r="BA78" s="48">
        <f t="shared" si="95"/>
        <v>70</v>
      </c>
      <c r="BB78" s="245">
        <f t="shared" si="96"/>
        <v>0</v>
      </c>
      <c r="BC78" s="36">
        <f t="shared" si="97"/>
        <v>0.4516854375920204</v>
      </c>
      <c r="BD78" s="205">
        <f t="shared" si="98"/>
        <v>0.5641025641025641</v>
      </c>
      <c r="BE78" s="205">
        <f t="shared" si="99"/>
        <v>0.44444444444444442</v>
      </c>
      <c r="BF78" s="205">
        <f t="shared" si="100"/>
        <v>0.39835713466910389</v>
      </c>
      <c r="BG78" s="205">
        <f t="shared" si="101"/>
        <v>0.32485556238475743</v>
      </c>
      <c r="BH78" s="205">
        <f t="shared" si="102"/>
        <v>0.2121858150055371</v>
      </c>
      <c r="BI78" s="205">
        <f t="shared" si="103"/>
        <v>0.65368301347708213</v>
      </c>
      <c r="BJ78" s="205">
        <f t="shared" si="104"/>
        <v>0.28711981203689657</v>
      </c>
      <c r="BK78" s="205">
        <f t="shared" si="105"/>
        <v>0.27986628205736347</v>
      </c>
      <c r="BL78" s="205">
        <f t="shared" si="106"/>
        <v>0.53388416641154923</v>
      </c>
      <c r="BM78" s="205">
        <f t="shared" si="107"/>
        <v>0.19047619047619047</v>
      </c>
      <c r="BN78" s="48">
        <v>5</v>
      </c>
      <c r="BO78" s="220">
        <f t="shared" si="108"/>
        <v>29</v>
      </c>
      <c r="BP78" s="220">
        <v>23</v>
      </c>
      <c r="BQ78" s="220">
        <f t="shared" si="109"/>
        <v>52</v>
      </c>
      <c r="BR78" s="205">
        <v>0.33333333333333331</v>
      </c>
      <c r="BS78" s="35">
        <v>0.4516854375920204</v>
      </c>
      <c r="BT78">
        <v>1</v>
      </c>
      <c r="BU78" s="205">
        <v>5.7274398003529177</v>
      </c>
      <c r="BV78" s="34">
        <v>0.39835713466910389</v>
      </c>
      <c r="BW78" s="34">
        <v>0.32485556238475743</v>
      </c>
      <c r="BX78" s="34">
        <f>IF(A78&lt;17, SoC!O$3, IF(A78&lt;33, SoC!O$4, IF(A78&lt;49, SoC!O$5, IF(A78&lt;65, SoC!O$6, IF(A78&lt;81, SoC!O$7, IF(A78&lt;97, SoC!O$8, SoC!O$9))))))</f>
        <v>0.87413259868968274</v>
      </c>
      <c r="BY78" s="205">
        <f t="shared" si="110"/>
        <v>0.67207547016091906</v>
      </c>
      <c r="BZ78" s="205" t="str">
        <f t="shared" si="111"/>
        <v>D+</v>
      </c>
      <c r="CA78" s="35">
        <f t="shared" si="112"/>
        <v>-1.7351018499688053</v>
      </c>
      <c r="CB78" s="245">
        <f t="shared" si="113"/>
        <v>0</v>
      </c>
      <c r="CC78" s="48">
        <v>28</v>
      </c>
      <c r="CD78" s="21" t="s">
        <v>32</v>
      </c>
      <c r="CE78">
        <v>70</v>
      </c>
      <c r="CF78">
        <v>70</v>
      </c>
      <c r="CG78">
        <v>70</v>
      </c>
      <c r="CH78">
        <v>70</v>
      </c>
      <c r="CI78">
        <v>70</v>
      </c>
      <c r="CJ78">
        <v>70</v>
      </c>
      <c r="CK78">
        <v>70</v>
      </c>
      <c r="CL78">
        <v>70</v>
      </c>
      <c r="CM78">
        <v>70</v>
      </c>
      <c r="CN78">
        <v>70</v>
      </c>
      <c r="CO78">
        <v>70</v>
      </c>
      <c r="CP78">
        <v>79</v>
      </c>
      <c r="CQ78">
        <v>79</v>
      </c>
      <c r="CR78">
        <v>75</v>
      </c>
      <c r="CS78">
        <v>75</v>
      </c>
      <c r="CT78">
        <v>73</v>
      </c>
      <c r="CU78">
        <v>72</v>
      </c>
      <c r="CV78">
        <v>66</v>
      </c>
      <c r="CW78">
        <v>68</v>
      </c>
      <c r="CX78">
        <v>73</v>
      </c>
      <c r="CY78">
        <v>74</v>
      </c>
      <c r="CZ78">
        <v>68</v>
      </c>
      <c r="DA78">
        <v>71</v>
      </c>
      <c r="DB78">
        <v>80</v>
      </c>
      <c r="DC78">
        <v>79</v>
      </c>
      <c r="DD78">
        <v>64</v>
      </c>
      <c r="DE78" s="154">
        <v>72</v>
      </c>
      <c r="DF78">
        <v>29</v>
      </c>
      <c r="DG78">
        <v>85</v>
      </c>
    </row>
    <row r="79" spans="1:111" x14ac:dyDescent="0.35">
      <c r="A79">
        <v>78</v>
      </c>
      <c r="B79" s="21" t="s">
        <v>173</v>
      </c>
      <c r="C79" s="21" t="s">
        <v>3203</v>
      </c>
      <c r="D79" s="21" t="s">
        <v>292</v>
      </c>
      <c r="F79" s="6">
        <v>4</v>
      </c>
      <c r="G79" s="6">
        <v>9</v>
      </c>
      <c r="H79" s="6"/>
      <c r="I79" s="6">
        <v>2</v>
      </c>
      <c r="J79" s="6">
        <v>7</v>
      </c>
      <c r="L79" s="1">
        <v>2</v>
      </c>
      <c r="M79" s="1">
        <v>3</v>
      </c>
      <c r="O79">
        <f>179+17</f>
        <v>196</v>
      </c>
      <c r="P79">
        <f>238+19</f>
        <v>257</v>
      </c>
      <c r="Q79">
        <v>103</v>
      </c>
      <c r="R79" s="9">
        <f>-25.509-12.815+0.718-1.757+5.619</f>
        <v>-33.743999999999993</v>
      </c>
      <c r="S79" s="263">
        <f>468+62+21+45+16</f>
        <v>612</v>
      </c>
      <c r="T79" s="203">
        <f>212.585+0.756+(102.736-1.368)+19.999+11.689</f>
        <v>346.39700000000005</v>
      </c>
      <c r="V79">
        <v>82</v>
      </c>
      <c r="W79">
        <v>94</v>
      </c>
      <c r="X79">
        <v>49</v>
      </c>
      <c r="Y79" s="9">
        <f>-9.922</f>
        <v>-9.9220000000000006</v>
      </c>
      <c r="Z79" s="263">
        <f>262</f>
        <v>262</v>
      </c>
      <c r="AA79" s="203">
        <f>163.38</f>
        <v>163.38</v>
      </c>
      <c r="AC79">
        <f t="shared" si="76"/>
        <v>216.5</v>
      </c>
      <c r="AD79">
        <f t="shared" si="77"/>
        <v>280.5</v>
      </c>
      <c r="AE79">
        <f t="shared" si="78"/>
        <v>115.25</v>
      </c>
      <c r="AF79">
        <f t="shared" si="79"/>
        <v>-36.224499999999992</v>
      </c>
      <c r="AG79">
        <f t="shared" si="80"/>
        <v>677.5</v>
      </c>
      <c r="AH79">
        <f t="shared" si="81"/>
        <v>387.24200000000008</v>
      </c>
      <c r="AI79" s="73">
        <f t="shared" si="82"/>
        <v>14.25</v>
      </c>
      <c r="AJ79" s="73">
        <f t="shared" si="83"/>
        <v>15.192982456140351</v>
      </c>
      <c r="AK79" s="73">
        <f t="shared" si="84"/>
        <v>19.684210526315791</v>
      </c>
      <c r="AL79" s="73">
        <f t="shared" si="85"/>
        <v>-4.4912280701754401</v>
      </c>
      <c r="AM79" s="73">
        <f t="shared" si="86"/>
        <v>1.878524945770065</v>
      </c>
      <c r="AN79" s="227">
        <f t="shared" si="87"/>
        <v>-1.271035087719298</v>
      </c>
      <c r="AO79" s="227">
        <f t="shared" si="88"/>
        <v>-1.1650516995409792</v>
      </c>
      <c r="AP79" s="227">
        <f t="shared" si="89"/>
        <v>-2.0551412829151632</v>
      </c>
      <c r="AQ79" s="89">
        <f t="shared" si="90"/>
        <v>1.3477661095324216</v>
      </c>
      <c r="AR79" s="73">
        <f t="shared" si="91"/>
        <v>47.543859649122808</v>
      </c>
      <c r="AS79" s="89">
        <f t="shared" si="92"/>
        <v>27.174877192982461</v>
      </c>
      <c r="AT79" s="89">
        <f t="shared" si="93"/>
        <v>5.2129528285782962</v>
      </c>
      <c r="AU79" s="9">
        <v>28</v>
      </c>
      <c r="AV79" s="9">
        <v>0</v>
      </c>
      <c r="AX79" s="54">
        <f t="shared" si="94"/>
        <v>28</v>
      </c>
      <c r="AZ79" s="49">
        <v>89</v>
      </c>
      <c r="BA79" s="48">
        <f t="shared" si="95"/>
        <v>89</v>
      </c>
      <c r="BB79" s="245">
        <f t="shared" si="96"/>
        <v>0</v>
      </c>
      <c r="BC79" s="36">
        <f t="shared" si="97"/>
        <v>0.36477949713062136</v>
      </c>
      <c r="BD79" s="205">
        <f t="shared" si="98"/>
        <v>0.33333333333333331</v>
      </c>
      <c r="BE79" s="205">
        <f t="shared" si="99"/>
        <v>0.22222222222222221</v>
      </c>
      <c r="BF79" s="205">
        <f t="shared" si="100"/>
        <v>0.2251046537954326</v>
      </c>
      <c r="BG79" s="205">
        <f t="shared" si="101"/>
        <v>0.32632872901368348</v>
      </c>
      <c r="BH79" s="205">
        <f t="shared" si="102"/>
        <v>0.23126596521725371</v>
      </c>
      <c r="BI79" s="205">
        <f t="shared" si="103"/>
        <v>0.79678346749431994</v>
      </c>
      <c r="BJ79" s="205">
        <f t="shared" si="104"/>
        <v>0.33234239798472126</v>
      </c>
      <c r="BK79" s="205">
        <f t="shared" si="105"/>
        <v>0.25444368954465757</v>
      </c>
      <c r="BL79" s="205">
        <f t="shared" si="106"/>
        <v>0.45572066441914333</v>
      </c>
      <c r="BM79" s="205">
        <f t="shared" si="107"/>
        <v>0.22222222222222221</v>
      </c>
      <c r="BN79" s="48">
        <v>5</v>
      </c>
      <c r="BO79" s="220">
        <f t="shared" si="108"/>
        <v>33</v>
      </c>
      <c r="BP79" s="220">
        <v>10</v>
      </c>
      <c r="BQ79" s="220">
        <f t="shared" si="109"/>
        <v>43</v>
      </c>
      <c r="BR79" s="205">
        <v>-2</v>
      </c>
      <c r="BS79" s="35">
        <v>0.36477949713062136</v>
      </c>
      <c r="BT79">
        <v>3</v>
      </c>
      <c r="BU79" s="205">
        <v>5.2129528285782962</v>
      </c>
      <c r="BV79" s="34">
        <v>0.2251046537954326</v>
      </c>
      <c r="BW79" s="34">
        <v>0.32632872901368348</v>
      </c>
      <c r="BX79" s="34">
        <f>IF(A79&lt;17, SoC!O$3, IF(A79&lt;33, SoC!O$4, IF(A79&lt;49, SoC!O$5, IF(A79&lt;65, SoC!O$6, IF(A79&lt;81, SoC!O$7, IF(A79&lt;97, SoC!O$8, SoC!O$9))))))</f>
        <v>0.87413259868968274</v>
      </c>
      <c r="BY79" s="205">
        <f t="shared" si="110"/>
        <v>0.60396978163698001</v>
      </c>
      <c r="BZ79" s="205" t="str">
        <f t="shared" si="111"/>
        <v>D-</v>
      </c>
      <c r="CA79" s="35">
        <f t="shared" si="112"/>
        <v>-3.7304641450840967</v>
      </c>
      <c r="CB79" s="245">
        <f t="shared" si="113"/>
        <v>0</v>
      </c>
      <c r="CC79" s="48">
        <v>69</v>
      </c>
      <c r="CD79" s="21" t="s">
        <v>292</v>
      </c>
      <c r="CE79">
        <v>89</v>
      </c>
      <c r="CF79">
        <v>89</v>
      </c>
      <c r="CG79">
        <v>89</v>
      </c>
      <c r="CH79">
        <v>89</v>
      </c>
      <c r="CI79">
        <v>89</v>
      </c>
      <c r="CJ79">
        <v>89</v>
      </c>
      <c r="CK79">
        <v>89</v>
      </c>
      <c r="CL79">
        <v>89</v>
      </c>
      <c r="CM79">
        <v>89</v>
      </c>
      <c r="CN79">
        <v>89</v>
      </c>
      <c r="CO79">
        <v>89</v>
      </c>
      <c r="CP79">
        <v>87</v>
      </c>
      <c r="CQ79">
        <v>87</v>
      </c>
      <c r="CR79">
        <v>81</v>
      </c>
      <c r="CS79">
        <v>81</v>
      </c>
      <c r="CT79">
        <v>91</v>
      </c>
      <c r="CU79">
        <v>91</v>
      </c>
      <c r="CV79">
        <v>78</v>
      </c>
      <c r="CW79">
        <v>80</v>
      </c>
      <c r="CX79">
        <v>86</v>
      </c>
      <c r="CY79">
        <v>79</v>
      </c>
      <c r="CZ79">
        <v>75</v>
      </c>
      <c r="DA79">
        <v>72</v>
      </c>
      <c r="DB79">
        <v>65</v>
      </c>
      <c r="DC79">
        <v>80</v>
      </c>
      <c r="DD79">
        <v>61</v>
      </c>
      <c r="DE79" s="154">
        <v>50</v>
      </c>
      <c r="DF79">
        <v>80</v>
      </c>
      <c r="DG79">
        <v>44</v>
      </c>
    </row>
    <row r="80" spans="1:111" x14ac:dyDescent="0.35">
      <c r="A80">
        <v>79</v>
      </c>
      <c r="B80" s="21" t="s">
        <v>173</v>
      </c>
      <c r="C80" s="21" t="s">
        <v>3203</v>
      </c>
      <c r="D80" s="21" t="s">
        <v>31</v>
      </c>
      <c r="F80" s="6">
        <v>1</v>
      </c>
      <c r="G80" s="6">
        <v>12</v>
      </c>
      <c r="H80" s="6"/>
      <c r="I80" s="6">
        <v>1</v>
      </c>
      <c r="J80" s="6">
        <v>8</v>
      </c>
      <c r="L80" s="1">
        <v>2</v>
      </c>
      <c r="M80" s="1">
        <v>7</v>
      </c>
      <c r="O80">
        <f>178+19</f>
        <v>197</v>
      </c>
      <c r="P80">
        <f>262+17</f>
        <v>279</v>
      </c>
      <c r="Q80">
        <v>108</v>
      </c>
      <c r="R80" s="9">
        <f>-25.333-12.013-11.44-7.028-5.619</f>
        <v>-61.432999999999993</v>
      </c>
      <c r="S80" s="263">
        <f>348+45+48+19+16</f>
        <v>476</v>
      </c>
      <c r="T80" s="203">
        <f>83.044+16.985+16.602+17.205+28.022</f>
        <v>161.858</v>
      </c>
      <c r="V80">
        <f>90+18+3</f>
        <v>111</v>
      </c>
      <c r="W80">
        <f>207+15+8</f>
        <v>230</v>
      </c>
      <c r="X80">
        <v>65</v>
      </c>
      <c r="Y80" s="9">
        <f>-64.535-3.557</f>
        <v>-68.091999999999999</v>
      </c>
      <c r="Z80" s="263">
        <f>392+19+3</f>
        <v>414</v>
      </c>
      <c r="AA80" s="203">
        <f>83.774+31.591+0.1874</f>
        <v>115.55240000000001</v>
      </c>
      <c r="AC80">
        <f t="shared" si="76"/>
        <v>224.75</v>
      </c>
      <c r="AD80">
        <f t="shared" si="77"/>
        <v>336.5</v>
      </c>
      <c r="AE80">
        <f t="shared" si="78"/>
        <v>124.25</v>
      </c>
      <c r="AF80">
        <f t="shared" si="79"/>
        <v>-78.455999999999989</v>
      </c>
      <c r="AG80">
        <f t="shared" si="80"/>
        <v>579.5</v>
      </c>
      <c r="AH80">
        <f t="shared" si="81"/>
        <v>190.74610000000001</v>
      </c>
      <c r="AI80" s="73">
        <f t="shared" si="82"/>
        <v>15.25</v>
      </c>
      <c r="AJ80" s="73">
        <f t="shared" si="83"/>
        <v>14.737704918032787</v>
      </c>
      <c r="AK80" s="73">
        <f t="shared" si="84"/>
        <v>22.065573770491802</v>
      </c>
      <c r="AL80" s="73">
        <f t="shared" si="85"/>
        <v>-7.3278688524590159</v>
      </c>
      <c r="AM80" s="73">
        <f t="shared" si="86"/>
        <v>1.8088531187122736</v>
      </c>
      <c r="AN80" s="227">
        <f t="shared" si="87"/>
        <v>-2.5723278688524585</v>
      </c>
      <c r="AO80" s="227">
        <f t="shared" si="88"/>
        <v>-2.5482396510266927</v>
      </c>
      <c r="AP80" s="227">
        <f t="shared" si="89"/>
        <v>-2.2073013325798652</v>
      </c>
      <c r="AQ80" s="89">
        <f t="shared" si="90"/>
        <v>0.595343997626673</v>
      </c>
      <c r="AR80" s="73">
        <f t="shared" si="91"/>
        <v>38</v>
      </c>
      <c r="AS80" s="89">
        <f t="shared" si="92"/>
        <v>12.507940983606558</v>
      </c>
      <c r="AT80" s="89">
        <f t="shared" si="93"/>
        <v>3.5366567523024561</v>
      </c>
      <c r="AU80" s="9">
        <v>35</v>
      </c>
      <c r="AV80" s="9">
        <v>12</v>
      </c>
      <c r="AW80" s="20">
        <v>14</v>
      </c>
      <c r="AX80" s="54">
        <f t="shared" si="94"/>
        <v>61</v>
      </c>
      <c r="AZ80" s="49">
        <v>108</v>
      </c>
      <c r="BA80" s="48">
        <f t="shared" si="95"/>
        <v>108</v>
      </c>
      <c r="BB80" s="245">
        <f t="shared" si="96"/>
        <v>0</v>
      </c>
      <c r="BC80" s="36">
        <f t="shared" si="97"/>
        <v>0.26794288710900899</v>
      </c>
      <c r="BD80" s="205">
        <f t="shared" si="98"/>
        <v>0.10256410256410256</v>
      </c>
      <c r="BE80" s="205">
        <f t="shared" si="99"/>
        <v>0.1111111111111111</v>
      </c>
      <c r="BF80" s="205">
        <f t="shared" si="100"/>
        <v>0.18612724686953749</v>
      </c>
      <c r="BG80" s="205">
        <f t="shared" si="101"/>
        <v>0.10414622104446503</v>
      </c>
      <c r="BH80" s="205">
        <f t="shared" si="102"/>
        <v>0.15426334592648203</v>
      </c>
      <c r="BI80" s="205">
        <f t="shared" si="103"/>
        <v>0.95381234564272022</v>
      </c>
      <c r="BJ80" s="205">
        <f t="shared" si="104"/>
        <v>0.31646297747685176</v>
      </c>
      <c r="BK80" s="205">
        <f t="shared" si="105"/>
        <v>0.1537579675961738</v>
      </c>
      <c r="BL80" s="205">
        <f t="shared" si="106"/>
        <v>0.20104915884942365</v>
      </c>
      <c r="BM80" s="205">
        <f t="shared" si="107"/>
        <v>0.48412698412698413</v>
      </c>
      <c r="BN80" s="48">
        <v>5</v>
      </c>
      <c r="BO80" s="220">
        <f t="shared" si="108"/>
        <v>66</v>
      </c>
      <c r="BP80" s="220">
        <v>2</v>
      </c>
      <c r="BQ80" s="220">
        <f t="shared" si="109"/>
        <v>68</v>
      </c>
      <c r="BR80" s="205">
        <v>0</v>
      </c>
      <c r="BS80" s="35">
        <v>0.26794288710900899</v>
      </c>
      <c r="BT80">
        <v>5</v>
      </c>
      <c r="BU80" s="205">
        <v>3.5366567523024561</v>
      </c>
      <c r="BV80" s="34">
        <v>0.18612724686953749</v>
      </c>
      <c r="BW80" s="34">
        <v>0.10414622104446503</v>
      </c>
      <c r="BX80" s="34">
        <f>IF(A80&lt;17, SoC!O$3, IF(A80&lt;33, SoC!O$4, IF(A80&lt;49, SoC!O$5, IF(A80&lt;65, SoC!O$6, IF(A80&lt;81, SoC!O$7, IF(A80&lt;97, SoC!O$8, SoC!O$9))))))</f>
        <v>0.87413259868968274</v>
      </c>
      <c r="BY80" s="205">
        <f t="shared" si="110"/>
        <v>0.51763199969573848</v>
      </c>
      <c r="BZ80" s="205" t="str">
        <f t="shared" si="111"/>
        <v>F+</v>
      </c>
      <c r="CA80" s="35">
        <f t="shared" si="112"/>
        <v>-6.5053443836542648</v>
      </c>
      <c r="CB80" s="245">
        <f t="shared" si="113"/>
        <v>0</v>
      </c>
      <c r="CC80" s="48">
        <v>124</v>
      </c>
      <c r="CD80" s="21" t="s">
        <v>31</v>
      </c>
      <c r="CE80">
        <v>108</v>
      </c>
      <c r="CF80">
        <v>108</v>
      </c>
      <c r="CG80">
        <v>108</v>
      </c>
      <c r="CH80">
        <v>108</v>
      </c>
      <c r="CI80">
        <v>108</v>
      </c>
      <c r="CJ80">
        <v>108</v>
      </c>
      <c r="CK80">
        <v>108</v>
      </c>
      <c r="CL80">
        <v>108</v>
      </c>
      <c r="CM80">
        <v>108</v>
      </c>
      <c r="CN80">
        <v>108</v>
      </c>
      <c r="CO80">
        <v>108</v>
      </c>
      <c r="CP80">
        <v>110</v>
      </c>
      <c r="CQ80">
        <v>110</v>
      </c>
      <c r="CR80">
        <v>111</v>
      </c>
      <c r="CS80">
        <v>111</v>
      </c>
      <c r="CT80">
        <v>107</v>
      </c>
      <c r="CU80">
        <v>109</v>
      </c>
      <c r="CV80">
        <v>110</v>
      </c>
      <c r="CW80">
        <v>108</v>
      </c>
      <c r="CX80">
        <v>108</v>
      </c>
      <c r="CY80">
        <v>105</v>
      </c>
      <c r="CZ80">
        <v>100</v>
      </c>
      <c r="DA80">
        <v>101</v>
      </c>
      <c r="DB80">
        <v>94</v>
      </c>
      <c r="DC80">
        <v>93</v>
      </c>
      <c r="DD80">
        <v>88</v>
      </c>
      <c r="DE80" s="154">
        <v>79</v>
      </c>
      <c r="DF80">
        <v>62</v>
      </c>
      <c r="DG80">
        <v>5</v>
      </c>
    </row>
    <row r="81" spans="1:111" x14ac:dyDescent="0.35">
      <c r="A81">
        <v>80</v>
      </c>
      <c r="B81" s="21" t="s">
        <v>173</v>
      </c>
      <c r="C81" s="21" t="s">
        <v>3203</v>
      </c>
      <c r="D81" s="21" t="s">
        <v>119</v>
      </c>
      <c r="F81" s="6">
        <v>10</v>
      </c>
      <c r="G81" s="6">
        <v>4</v>
      </c>
      <c r="H81" s="8">
        <v>7</v>
      </c>
      <c r="I81" s="6">
        <v>8</v>
      </c>
      <c r="J81" s="6">
        <v>1</v>
      </c>
      <c r="L81" s="1">
        <v>20</v>
      </c>
      <c r="M81" s="1">
        <v>9</v>
      </c>
      <c r="O81">
        <v>298</v>
      </c>
      <c r="P81">
        <f>168+22</f>
        <v>190</v>
      </c>
      <c r="Q81">
        <v>120</v>
      </c>
      <c r="R81" s="9">
        <f>46.017+7.28+8.232+8.944+9.173-3.607</f>
        <v>76.039000000000001</v>
      </c>
      <c r="S81" s="263">
        <f>689+69+76+67+77+95</f>
        <v>1073</v>
      </c>
      <c r="T81" s="203">
        <f>714.889+(154.158-27.079)+47.126+33.223+1.539+17.451</f>
        <v>941.3069999999999</v>
      </c>
      <c r="V81">
        <v>612</v>
      </c>
      <c r="W81">
        <v>484</v>
      </c>
      <c r="X81">
        <v>240</v>
      </c>
      <c r="Y81" s="9">
        <f>88.025+2.511+5.023+7.053+10.21+0.543-3.676+9.562+6.867+0.826-6.669+4.068-2.588+3.756-0.273-1.181+2.221-1.215+3.099</f>
        <v>128.16200000000001</v>
      </c>
      <c r="Z81" s="263">
        <f>817+95+90+82+80+99+101+79+81+96+94+92+97+98+96+96+97+95+94</f>
        <v>2479</v>
      </c>
      <c r="AA81" s="203">
        <f>608.907+8.792+66.44+89.037+(153.21-26.605)+17.763+34.93+39.265+(237.59-75.06)+3.986+22.804+(103.621-1.8105)+49.691+11.139+(109.551-4.7755)+45.518+15.398+0+52.522</f>
        <v>1561.9130000000002</v>
      </c>
      <c r="AC81">
        <f t="shared" si="76"/>
        <v>451</v>
      </c>
      <c r="AD81">
        <f t="shared" si="77"/>
        <v>311</v>
      </c>
      <c r="AE81">
        <f t="shared" si="78"/>
        <v>180</v>
      </c>
      <c r="AF81">
        <f t="shared" si="79"/>
        <v>108.0795</v>
      </c>
      <c r="AG81">
        <f t="shared" si="80"/>
        <v>1692.75</v>
      </c>
      <c r="AH81">
        <f t="shared" si="81"/>
        <v>1331.7852499999999</v>
      </c>
      <c r="AI81" s="73">
        <f t="shared" si="82"/>
        <v>21.25</v>
      </c>
      <c r="AJ81" s="73">
        <f t="shared" si="83"/>
        <v>21.223529411764705</v>
      </c>
      <c r="AK81" s="73">
        <f t="shared" si="84"/>
        <v>14.635294117647058</v>
      </c>
      <c r="AL81" s="73">
        <f t="shared" si="85"/>
        <v>6.5882352941176467</v>
      </c>
      <c r="AM81" s="73">
        <f t="shared" si="86"/>
        <v>2.5055555555555555</v>
      </c>
      <c r="AN81" s="227">
        <f t="shared" si="87"/>
        <v>5.0860941176470584</v>
      </c>
      <c r="AO81" s="227">
        <f t="shared" si="88"/>
        <v>5.5921551722620704</v>
      </c>
      <c r="AP81" s="227">
        <f t="shared" si="89"/>
        <v>1.2491106491630823</v>
      </c>
      <c r="AQ81" s="89">
        <f t="shared" si="90"/>
        <v>6.1524299328837087</v>
      </c>
      <c r="AR81" s="73">
        <f t="shared" si="91"/>
        <v>79.658823529411762</v>
      </c>
      <c r="AS81" s="89">
        <f t="shared" si="92"/>
        <v>62.672247058823523</v>
      </c>
      <c r="AT81" s="89">
        <f t="shared" si="93"/>
        <v>7.9165805155271123</v>
      </c>
      <c r="AU81" s="9">
        <v>49</v>
      </c>
      <c r="AV81" s="9">
        <v>24</v>
      </c>
      <c r="AW81" s="20">
        <v>38</v>
      </c>
      <c r="AX81" s="54">
        <f t="shared" si="94"/>
        <v>111</v>
      </c>
      <c r="AZ81" s="49">
        <v>8</v>
      </c>
      <c r="BA81" s="48">
        <f t="shared" si="95"/>
        <v>8</v>
      </c>
      <c r="BB81" s="245">
        <f t="shared" si="96"/>
        <v>0</v>
      </c>
      <c r="BC81" s="36">
        <f t="shared" si="97"/>
        <v>0.83294794504193614</v>
      </c>
      <c r="BD81" s="205">
        <f t="shared" si="98"/>
        <v>0.95238095238095244</v>
      </c>
      <c r="BE81" s="205">
        <f t="shared" si="99"/>
        <v>0.88888888888888884</v>
      </c>
      <c r="BF81" s="205">
        <f t="shared" si="100"/>
        <v>0.74139430790868699</v>
      </c>
      <c r="BG81" s="205">
        <f t="shared" si="101"/>
        <v>0.79739542282801268</v>
      </c>
      <c r="BH81" s="205">
        <f t="shared" si="102"/>
        <v>0.92427203909160105</v>
      </c>
      <c r="BI81" s="205">
        <f t="shared" si="103"/>
        <v>2.9659510582920046E-2</v>
      </c>
      <c r="BJ81" s="205">
        <f t="shared" si="104"/>
        <v>0.67717408021032521</v>
      </c>
      <c r="BK81" s="205">
        <f t="shared" si="105"/>
        <v>0.71088274512897143</v>
      </c>
      <c r="BL81" s="205">
        <f t="shared" si="106"/>
        <v>0.86646966233180844</v>
      </c>
      <c r="BM81" s="205">
        <f t="shared" si="107"/>
        <v>0.88095238095238093</v>
      </c>
      <c r="BN81" s="48">
        <f>30+48</f>
        <v>78</v>
      </c>
      <c r="BO81" s="220">
        <f t="shared" si="108"/>
        <v>189</v>
      </c>
      <c r="BP81" s="220">
        <v>100</v>
      </c>
      <c r="BQ81" s="220">
        <f t="shared" si="109"/>
        <v>289</v>
      </c>
      <c r="BR81" s="205">
        <v>0.33333333333333331</v>
      </c>
      <c r="BS81" s="35">
        <v>0.83294794504193614</v>
      </c>
      <c r="BT81">
        <v>4</v>
      </c>
      <c r="BU81" s="205">
        <v>7.9165805155271123</v>
      </c>
      <c r="BV81" s="34">
        <v>0.74139430790868699</v>
      </c>
      <c r="BW81" s="34">
        <v>0.79739542282801268</v>
      </c>
      <c r="BX81" s="34">
        <f>IF(A81&lt;17, SoC!O$3, IF(A81&lt;33, SoC!O$4, IF(A81&lt;49, SoC!O$5, IF(A81&lt;65, SoC!O$6, IF(A81&lt;81, SoC!O$7, IF(A81&lt;97, SoC!O$8, SoC!O$9))))))</f>
        <v>0.87413259868968274</v>
      </c>
      <c r="BY81" s="205">
        <f t="shared" si="110"/>
        <v>0.91265981890402958</v>
      </c>
      <c r="BZ81" s="205" t="str">
        <f t="shared" si="111"/>
        <v>A-</v>
      </c>
      <c r="CA81" s="35">
        <f t="shared" si="112"/>
        <v>6.9847186566166064</v>
      </c>
      <c r="CB81" s="245">
        <f t="shared" si="113"/>
        <v>0</v>
      </c>
      <c r="CC81" s="48">
        <v>102</v>
      </c>
      <c r="CD81" s="21" t="s">
        <v>119</v>
      </c>
      <c r="CE81">
        <v>8</v>
      </c>
      <c r="CF81">
        <v>8</v>
      </c>
      <c r="CG81">
        <v>8</v>
      </c>
      <c r="CH81">
        <v>6</v>
      </c>
      <c r="CI81">
        <v>8</v>
      </c>
      <c r="CJ81">
        <v>7</v>
      </c>
      <c r="CK81">
        <v>7</v>
      </c>
      <c r="CL81">
        <v>7</v>
      </c>
      <c r="CM81">
        <v>8</v>
      </c>
      <c r="CN81">
        <v>7</v>
      </c>
      <c r="CO81">
        <v>6</v>
      </c>
      <c r="CP81">
        <v>4</v>
      </c>
      <c r="CQ81">
        <v>4</v>
      </c>
      <c r="CR81">
        <v>4</v>
      </c>
      <c r="CS81">
        <v>5</v>
      </c>
      <c r="CT81">
        <v>4</v>
      </c>
      <c r="CU81">
        <v>4</v>
      </c>
      <c r="CV81">
        <v>4</v>
      </c>
      <c r="CW81">
        <v>4</v>
      </c>
      <c r="CX81">
        <v>5</v>
      </c>
      <c r="CY81">
        <v>5</v>
      </c>
      <c r="CZ81">
        <v>9</v>
      </c>
      <c r="DA81">
        <v>9</v>
      </c>
      <c r="DB81">
        <v>3</v>
      </c>
      <c r="DC81">
        <v>6</v>
      </c>
      <c r="DD81">
        <v>7</v>
      </c>
      <c r="DE81" s="154">
        <v>1</v>
      </c>
      <c r="DF81">
        <v>1</v>
      </c>
      <c r="DG81">
        <v>11</v>
      </c>
    </row>
    <row r="82" spans="1:111" x14ac:dyDescent="0.35">
      <c r="A82">
        <v>81</v>
      </c>
      <c r="B82" s="58" t="s">
        <v>799</v>
      </c>
      <c r="C82" s="58" t="s">
        <v>1103</v>
      </c>
      <c r="D82" s="58" t="s">
        <v>784</v>
      </c>
      <c r="F82" s="6">
        <v>3</v>
      </c>
      <c r="G82" s="6">
        <v>10</v>
      </c>
      <c r="H82" s="6"/>
      <c r="I82" s="6">
        <v>3</v>
      </c>
      <c r="J82" s="6">
        <v>6</v>
      </c>
      <c r="L82" s="1">
        <v>2</v>
      </c>
      <c r="M82" s="1">
        <v>6</v>
      </c>
      <c r="O82">
        <v>192</v>
      </c>
      <c r="P82">
        <v>248</v>
      </c>
      <c r="Q82">
        <v>111</v>
      </c>
      <c r="R82" s="9">
        <f>-13.553-5.863-9.475-2.199-0.505</f>
        <v>-31.594999999999995</v>
      </c>
      <c r="S82" s="263">
        <f>336+60+57+23+22</f>
        <v>498</v>
      </c>
      <c r="T82" s="203">
        <f>288.161+5.552+9.279+41.874+10.7</f>
        <v>355.56600000000003</v>
      </c>
      <c r="V82">
        <f>107+16</f>
        <v>123</v>
      </c>
      <c r="W82">
        <f>118+27</f>
        <v>145</v>
      </c>
      <c r="X82">
        <f>60+8</f>
        <v>68</v>
      </c>
      <c r="Y82" s="9">
        <f>-17.912-4.139-7.361</f>
        <v>-29.411999999999999</v>
      </c>
      <c r="Z82" s="263">
        <f>383+54+52</f>
        <v>489</v>
      </c>
      <c r="AA82" s="203">
        <f>153.923+30.118+4.042</f>
        <v>188.083</v>
      </c>
      <c r="AC82">
        <f t="shared" si="76"/>
        <v>222.75</v>
      </c>
      <c r="AD82">
        <f t="shared" si="77"/>
        <v>284.25</v>
      </c>
      <c r="AE82">
        <f t="shared" si="78"/>
        <v>128</v>
      </c>
      <c r="AF82">
        <f t="shared" si="79"/>
        <v>-38.947999999999993</v>
      </c>
      <c r="AG82">
        <f t="shared" si="80"/>
        <v>620.25</v>
      </c>
      <c r="AH82">
        <f t="shared" si="81"/>
        <v>402.58675000000005</v>
      </c>
      <c r="AI82" s="73">
        <f t="shared" si="82"/>
        <v>15</v>
      </c>
      <c r="AJ82" s="73">
        <f t="shared" si="83"/>
        <v>14.85</v>
      </c>
      <c r="AK82" s="73">
        <f t="shared" si="84"/>
        <v>18.95</v>
      </c>
      <c r="AL82" s="73">
        <f t="shared" si="85"/>
        <v>-4.0999999999999996</v>
      </c>
      <c r="AM82" s="73">
        <f t="shared" si="86"/>
        <v>1.740234375</v>
      </c>
      <c r="AN82" s="227">
        <f t="shared" si="87"/>
        <v>-1.2982666666666665</v>
      </c>
      <c r="AO82" s="227">
        <f t="shared" si="88"/>
        <v>-1.1389422456246516</v>
      </c>
      <c r="AP82" s="227">
        <f t="shared" si="89"/>
        <v>-1.6627910877086816</v>
      </c>
      <c r="AQ82" s="89">
        <f t="shared" si="90"/>
        <v>1.1547481044169388</v>
      </c>
      <c r="AR82" s="73">
        <f t="shared" si="91"/>
        <v>41.35</v>
      </c>
      <c r="AS82" s="89">
        <f t="shared" si="92"/>
        <v>26.839116666666669</v>
      </c>
      <c r="AT82" s="89">
        <f t="shared" si="93"/>
        <v>5.180648286331226</v>
      </c>
      <c r="AU82" s="9">
        <v>14</v>
      </c>
      <c r="AV82" s="9">
        <v>6</v>
      </c>
      <c r="AW82" s="9">
        <v>11</v>
      </c>
      <c r="AX82" s="54">
        <f t="shared" si="94"/>
        <v>31</v>
      </c>
      <c r="AZ82" s="49">
        <v>91</v>
      </c>
      <c r="BA82" s="48">
        <f t="shared" si="95"/>
        <v>91</v>
      </c>
      <c r="BB82" s="245">
        <f t="shared" si="96"/>
        <v>0</v>
      </c>
      <c r="BC82" s="36">
        <f t="shared" si="97"/>
        <v>0.3600493617098231</v>
      </c>
      <c r="BD82" s="205">
        <f t="shared" si="98"/>
        <v>0.25641025641025644</v>
      </c>
      <c r="BE82" s="205">
        <f t="shared" si="99"/>
        <v>0.33333333333333331</v>
      </c>
      <c r="BF82" s="205">
        <f t="shared" si="100"/>
        <v>0.19574109938641412</v>
      </c>
      <c r="BG82" s="205">
        <f t="shared" si="101"/>
        <v>0.3948309772587586</v>
      </c>
      <c r="BH82" s="205">
        <f t="shared" si="102"/>
        <v>7.8424614240797788E-2</v>
      </c>
      <c r="BI82" s="205">
        <f t="shared" si="103"/>
        <v>0.79381934519037389</v>
      </c>
      <c r="BJ82" s="205">
        <f t="shared" si="104"/>
        <v>0.3732880584899419</v>
      </c>
      <c r="BK82" s="205">
        <f t="shared" si="105"/>
        <v>0.23077885196475867</v>
      </c>
      <c r="BL82" s="205">
        <f t="shared" si="106"/>
        <v>0.45081279251796957</v>
      </c>
      <c r="BM82" s="205">
        <f t="shared" si="107"/>
        <v>0.24603174603174602</v>
      </c>
      <c r="BN82" s="48">
        <v>5</v>
      </c>
      <c r="BO82" s="220">
        <f t="shared" si="108"/>
        <v>36</v>
      </c>
      <c r="BP82" s="220">
        <v>9</v>
      </c>
      <c r="BQ82" s="220">
        <f t="shared" si="109"/>
        <v>45</v>
      </c>
      <c r="BR82" s="205">
        <v>1.6666666666666665</v>
      </c>
      <c r="BS82" s="35">
        <v>0.3600493617098231</v>
      </c>
      <c r="BT82">
        <v>2</v>
      </c>
      <c r="BU82" s="205">
        <v>5.180648286331226</v>
      </c>
      <c r="BV82" s="34">
        <v>0.19574109938641412</v>
      </c>
      <c r="BW82" s="34">
        <v>0.3948309772587586</v>
      </c>
      <c r="BX82" s="34">
        <f>IF(A82&lt;17, SoC!O$3, IF(A82&lt;33, SoC!O$4, IF(A82&lt;49, SoC!O$5, IF(A82&lt;65, SoC!O$6, IF(A82&lt;81, SoC!O$7, IF(A82&lt;97, SoC!O$8, SoC!O$9))))))</f>
        <v>0.8076740483754814</v>
      </c>
      <c r="BY82" s="205">
        <f t="shared" si="110"/>
        <v>0.60004113334822562</v>
      </c>
      <c r="BZ82" s="205" t="str">
        <f t="shared" si="111"/>
        <v>D-</v>
      </c>
      <c r="CA82" s="35">
        <f t="shared" si="112"/>
        <v>-3.8412191246235969</v>
      </c>
      <c r="CB82" s="245">
        <f t="shared" si="113"/>
        <v>0</v>
      </c>
      <c r="CC82" s="48">
        <v>44</v>
      </c>
      <c r="CD82" s="58" t="s">
        <v>784</v>
      </c>
      <c r="CE82">
        <v>91</v>
      </c>
      <c r="CF82">
        <v>91</v>
      </c>
      <c r="CG82">
        <v>91</v>
      </c>
      <c r="CH82">
        <v>91</v>
      </c>
      <c r="CI82">
        <v>91</v>
      </c>
      <c r="CJ82">
        <v>91</v>
      </c>
      <c r="CK82">
        <v>91</v>
      </c>
      <c r="CL82">
        <v>91</v>
      </c>
      <c r="CM82">
        <v>91</v>
      </c>
      <c r="CN82">
        <v>91</v>
      </c>
      <c r="CO82">
        <v>91</v>
      </c>
      <c r="CP82">
        <v>86</v>
      </c>
      <c r="CQ82">
        <v>86</v>
      </c>
      <c r="CR82">
        <v>94</v>
      </c>
      <c r="CS82">
        <v>94</v>
      </c>
      <c r="CT82">
        <v>90</v>
      </c>
      <c r="CU82">
        <v>90</v>
      </c>
      <c r="CV82">
        <v>81</v>
      </c>
      <c r="CW82">
        <v>84</v>
      </c>
      <c r="CX82">
        <v>83</v>
      </c>
      <c r="CY82">
        <v>82</v>
      </c>
      <c r="CZ82">
        <v>77</v>
      </c>
      <c r="DA82">
        <v>70</v>
      </c>
      <c r="DB82">
        <v>55</v>
      </c>
      <c r="DC82">
        <v>74</v>
      </c>
      <c r="DD82">
        <v>103</v>
      </c>
      <c r="DE82" s="154">
        <v>102</v>
      </c>
      <c r="DF82">
        <v>95</v>
      </c>
      <c r="DG82">
        <v>69</v>
      </c>
    </row>
    <row r="83" spans="1:111" x14ac:dyDescent="0.35">
      <c r="A83">
        <v>82</v>
      </c>
      <c r="B83" s="58" t="s">
        <v>799</v>
      </c>
      <c r="C83" s="58" t="s">
        <v>1103</v>
      </c>
      <c r="D83" s="58" t="s">
        <v>793</v>
      </c>
      <c r="F83" s="6">
        <v>7</v>
      </c>
      <c r="G83" s="6">
        <v>6</v>
      </c>
      <c r="H83" s="6"/>
      <c r="I83" s="6">
        <v>7</v>
      </c>
      <c r="J83" s="6">
        <v>2</v>
      </c>
      <c r="L83" s="1">
        <v>4</v>
      </c>
      <c r="M83" s="1">
        <v>4</v>
      </c>
      <c r="O83">
        <f>183+24</f>
        <v>207</v>
      </c>
      <c r="P83">
        <f>193+16</f>
        <v>209</v>
      </c>
      <c r="Q83">
        <v>103</v>
      </c>
      <c r="R83" s="9">
        <f>8.453+7.086+1.551-0.816+6.013</f>
        <v>22.286999999999999</v>
      </c>
      <c r="S83" s="263">
        <f>571+39+57+56+24</f>
        <v>747</v>
      </c>
      <c r="T83" s="203">
        <f>289.046+39.449+5.382+5.362+40.807</f>
        <v>380.04600000000005</v>
      </c>
      <c r="V83">
        <v>131</v>
      </c>
      <c r="W83">
        <v>136</v>
      </c>
      <c r="X83">
        <v>69</v>
      </c>
      <c r="Y83" s="9">
        <f>-1.437+1.03-1.755</f>
        <v>-2.1619999999999999</v>
      </c>
      <c r="Z83" s="263">
        <f>444+65+65</f>
        <v>574</v>
      </c>
      <c r="AA83" s="203">
        <f>210.901+85.252+2.371</f>
        <v>298.524</v>
      </c>
      <c r="AC83">
        <f t="shared" si="76"/>
        <v>239.75</v>
      </c>
      <c r="AD83">
        <f t="shared" si="77"/>
        <v>243</v>
      </c>
      <c r="AE83">
        <f t="shared" si="78"/>
        <v>120.25</v>
      </c>
      <c r="AF83">
        <f t="shared" si="79"/>
        <v>21.746499999999997</v>
      </c>
      <c r="AG83">
        <f t="shared" si="80"/>
        <v>890.5</v>
      </c>
      <c r="AH83">
        <f t="shared" si="81"/>
        <v>454.67700000000002</v>
      </c>
      <c r="AI83" s="73">
        <f t="shared" si="82"/>
        <v>15</v>
      </c>
      <c r="AJ83" s="73">
        <f t="shared" si="83"/>
        <v>15.983333333333333</v>
      </c>
      <c r="AK83" s="73">
        <f t="shared" si="84"/>
        <v>16.2</v>
      </c>
      <c r="AL83" s="73">
        <f t="shared" si="85"/>
        <v>-0.21666666666666679</v>
      </c>
      <c r="AM83" s="73">
        <f t="shared" si="86"/>
        <v>1.9937629937629937</v>
      </c>
      <c r="AN83" s="227">
        <f t="shared" si="87"/>
        <v>1.4497666666666664</v>
      </c>
      <c r="AO83" s="227">
        <f t="shared" si="88"/>
        <v>1.8733501506732964</v>
      </c>
      <c r="AP83" s="227">
        <f t="shared" si="89"/>
        <v>-1.8782250753366481</v>
      </c>
      <c r="AQ83" s="89">
        <f t="shared" si="90"/>
        <v>2.5940588206438226</v>
      </c>
      <c r="AR83" s="73">
        <f t="shared" si="91"/>
        <v>59.366666666666667</v>
      </c>
      <c r="AS83" s="89">
        <f t="shared" si="92"/>
        <v>30.311800000000002</v>
      </c>
      <c r="AT83" s="89">
        <f t="shared" si="93"/>
        <v>5.5056153152940137</v>
      </c>
      <c r="AU83" s="9">
        <v>35</v>
      </c>
      <c r="AV83" s="9">
        <v>0</v>
      </c>
      <c r="AX83" s="54">
        <f t="shared" si="94"/>
        <v>35</v>
      </c>
      <c r="AZ83" s="49">
        <v>54</v>
      </c>
      <c r="BA83" s="48">
        <f t="shared" si="95"/>
        <v>54</v>
      </c>
      <c r="BB83" s="245">
        <f t="shared" si="96"/>
        <v>0</v>
      </c>
      <c r="BC83" s="36">
        <f t="shared" si="97"/>
        <v>0.53693308874741963</v>
      </c>
      <c r="BD83" s="205">
        <f t="shared" si="98"/>
        <v>0.58974358974358976</v>
      </c>
      <c r="BE83" s="205">
        <f t="shared" si="99"/>
        <v>0.77777777777777779</v>
      </c>
      <c r="BF83" s="205">
        <f t="shared" si="100"/>
        <v>0.29276849656404025</v>
      </c>
      <c r="BG83" s="205">
        <f t="shared" si="101"/>
        <v>0.65140749846342971</v>
      </c>
      <c r="BH83" s="205">
        <f t="shared" si="102"/>
        <v>0.35862923258285129</v>
      </c>
      <c r="BI83" s="205">
        <f t="shared" si="103"/>
        <v>0.45184348056724366</v>
      </c>
      <c r="BJ83" s="205">
        <f t="shared" si="104"/>
        <v>0.35080537076231538</v>
      </c>
      <c r="BK83" s="205">
        <f t="shared" si="105"/>
        <v>0.39001001937089763</v>
      </c>
      <c r="BL83" s="205">
        <f t="shared" si="106"/>
        <v>0.5001834518530055</v>
      </c>
      <c r="BM83" s="205">
        <f t="shared" si="107"/>
        <v>0.27777777777777779</v>
      </c>
      <c r="BN83" s="48">
        <v>15</v>
      </c>
      <c r="BO83" s="220">
        <f t="shared" si="108"/>
        <v>50</v>
      </c>
      <c r="BP83" s="220">
        <v>37</v>
      </c>
      <c r="BQ83" s="220">
        <f t="shared" si="109"/>
        <v>87</v>
      </c>
      <c r="BR83" s="205">
        <v>-0.66666666666666663</v>
      </c>
      <c r="BS83" s="35">
        <v>0.53693308874741963</v>
      </c>
      <c r="BT83">
        <v>2</v>
      </c>
      <c r="BU83" s="205">
        <v>5.5056153152940137</v>
      </c>
      <c r="BV83" s="34">
        <v>0.29276849656404025</v>
      </c>
      <c r="BW83" s="34">
        <v>0.65140749846342971</v>
      </c>
      <c r="BX83" s="34">
        <f>IF(A83&lt;17, SoC!O$3, IF(A83&lt;33, SoC!O$4, IF(A83&lt;49, SoC!O$5, IF(A83&lt;65, SoC!O$6, IF(A83&lt;81, SoC!O$7, IF(A83&lt;97, SoC!O$8, SoC!O$9))))))</f>
        <v>0.8076740483754814</v>
      </c>
      <c r="BY83" s="205">
        <f t="shared" si="110"/>
        <v>0.73275718266518519</v>
      </c>
      <c r="BZ83" s="205" t="str">
        <f t="shared" si="111"/>
        <v>C-</v>
      </c>
      <c r="CA83" s="35">
        <f t="shared" si="112"/>
        <v>-0.14106106939027274</v>
      </c>
      <c r="CB83" s="245">
        <f t="shared" si="113"/>
        <v>0</v>
      </c>
      <c r="CC83" s="48">
        <v>49</v>
      </c>
      <c r="CD83" s="58" t="s">
        <v>793</v>
      </c>
      <c r="CE83">
        <v>54</v>
      </c>
      <c r="CF83">
        <v>54</v>
      </c>
      <c r="CG83">
        <v>54</v>
      </c>
      <c r="CH83">
        <v>54</v>
      </c>
      <c r="CI83">
        <v>54</v>
      </c>
      <c r="CJ83">
        <v>54</v>
      </c>
      <c r="CK83">
        <v>53</v>
      </c>
      <c r="CL83">
        <v>53</v>
      </c>
      <c r="CM83">
        <v>53</v>
      </c>
      <c r="CN83">
        <v>53</v>
      </c>
      <c r="CO83">
        <v>53</v>
      </c>
      <c r="CP83">
        <v>59</v>
      </c>
      <c r="CQ83">
        <v>59</v>
      </c>
      <c r="CR83">
        <v>52</v>
      </c>
      <c r="CS83">
        <v>50</v>
      </c>
      <c r="CT83">
        <v>43</v>
      </c>
      <c r="CU83">
        <v>44</v>
      </c>
      <c r="CV83">
        <v>46</v>
      </c>
      <c r="CW83">
        <v>49</v>
      </c>
      <c r="CX83">
        <v>41</v>
      </c>
      <c r="CY83">
        <v>48</v>
      </c>
      <c r="CZ83">
        <v>35</v>
      </c>
      <c r="DA83">
        <v>30</v>
      </c>
      <c r="DB83">
        <v>36</v>
      </c>
      <c r="DC83">
        <v>28</v>
      </c>
      <c r="DD83">
        <v>28</v>
      </c>
      <c r="DE83" s="154">
        <v>13</v>
      </c>
      <c r="DF83">
        <v>30</v>
      </c>
      <c r="DG83">
        <v>64</v>
      </c>
    </row>
    <row r="84" spans="1:111" ht="13.75" customHeight="1" x14ac:dyDescent="0.35">
      <c r="A84">
        <v>83</v>
      </c>
      <c r="B84" s="58" t="s">
        <v>799</v>
      </c>
      <c r="C84" s="58" t="s">
        <v>1103</v>
      </c>
      <c r="D84" s="58" t="s">
        <v>783</v>
      </c>
      <c r="F84" s="6">
        <v>5</v>
      </c>
      <c r="G84" s="6">
        <v>8</v>
      </c>
      <c r="H84" s="6"/>
      <c r="I84" s="6">
        <v>3</v>
      </c>
      <c r="J84" s="6">
        <v>6</v>
      </c>
      <c r="L84" s="1">
        <v>3</v>
      </c>
      <c r="M84" s="1">
        <v>8</v>
      </c>
      <c r="O84">
        <v>179</v>
      </c>
      <c r="P84">
        <v>221</v>
      </c>
      <c r="Q84">
        <v>105</v>
      </c>
      <c r="R84" s="9">
        <f>-7.943-3.696-7.535-1.677+0.505</f>
        <v>-20.346</v>
      </c>
      <c r="S84" s="263">
        <f>468+42+48+17+22</f>
        <v>597</v>
      </c>
      <c r="T84" s="203">
        <f>151.991+2.889+27.829+55.12+31.39</f>
        <v>269.21900000000005</v>
      </c>
      <c r="V84">
        <v>165</v>
      </c>
      <c r="W84">
        <f>236+25</f>
        <v>261</v>
      </c>
      <c r="X84">
        <v>98</v>
      </c>
      <c r="Y84" s="9">
        <f>-75.191-8.247-11.57</f>
        <v>-95.00800000000001</v>
      </c>
      <c r="Z84" s="263">
        <f>507+66+53</f>
        <v>626</v>
      </c>
      <c r="AA84" s="203">
        <f>171.563+34.857+13.937</f>
        <v>220.357</v>
      </c>
      <c r="AC84">
        <f t="shared" si="76"/>
        <v>220.25</v>
      </c>
      <c r="AD84">
        <f t="shared" si="77"/>
        <v>286.25</v>
      </c>
      <c r="AE84">
        <f t="shared" si="78"/>
        <v>129.5</v>
      </c>
      <c r="AF84">
        <f t="shared" si="79"/>
        <v>-44.097999999999999</v>
      </c>
      <c r="AG84">
        <f t="shared" si="80"/>
        <v>753.5</v>
      </c>
      <c r="AH84">
        <f t="shared" si="81"/>
        <v>324.30825000000004</v>
      </c>
      <c r="AI84" s="73">
        <f t="shared" si="82"/>
        <v>15.75</v>
      </c>
      <c r="AJ84" s="73">
        <f t="shared" si="83"/>
        <v>13.984126984126984</v>
      </c>
      <c r="AK84" s="73">
        <f t="shared" si="84"/>
        <v>18.174603174603174</v>
      </c>
      <c r="AL84" s="73">
        <f t="shared" si="85"/>
        <v>-4.1904761904761898</v>
      </c>
      <c r="AM84" s="73">
        <f t="shared" si="86"/>
        <v>1.7007722007722008</v>
      </c>
      <c r="AN84" s="227">
        <f t="shared" si="87"/>
        <v>-1.3999365079365078</v>
      </c>
      <c r="AO84" s="227">
        <f t="shared" si="88"/>
        <v>-1.250388961381361</v>
      </c>
      <c r="AP84" s="227">
        <f t="shared" si="89"/>
        <v>-1.5401507211583212</v>
      </c>
      <c r="AQ84" s="89">
        <f t="shared" si="90"/>
        <v>1.3126542804951915</v>
      </c>
      <c r="AR84" s="73">
        <f t="shared" si="91"/>
        <v>47.841269841269842</v>
      </c>
      <c r="AS84" s="89">
        <f t="shared" si="92"/>
        <v>20.591000000000001</v>
      </c>
      <c r="AT84" s="89">
        <f t="shared" si="93"/>
        <v>4.5377307103881783</v>
      </c>
      <c r="AU84" s="9">
        <v>28</v>
      </c>
      <c r="AV84" s="9">
        <v>12</v>
      </c>
      <c r="AW84" s="20">
        <v>17</v>
      </c>
      <c r="AX84" s="54">
        <f t="shared" si="94"/>
        <v>57</v>
      </c>
      <c r="AZ84" s="49">
        <v>76</v>
      </c>
      <c r="BA84" s="48">
        <f t="shared" si="95"/>
        <v>76</v>
      </c>
      <c r="BB84" s="245">
        <f t="shared" si="96"/>
        <v>0</v>
      </c>
      <c r="BC84" s="36">
        <f t="shared" si="97"/>
        <v>0.40253676561002433</v>
      </c>
      <c r="BD84" s="205">
        <f t="shared" si="98"/>
        <v>0.42307692307692307</v>
      </c>
      <c r="BE84" s="205">
        <f t="shared" si="99"/>
        <v>0.33333333333333331</v>
      </c>
      <c r="BF84" s="205">
        <f t="shared" si="100"/>
        <v>0.12161162437185526</v>
      </c>
      <c r="BG84" s="205">
        <f t="shared" si="101"/>
        <v>0.46717592999092705</v>
      </c>
      <c r="BH84" s="205">
        <f t="shared" si="102"/>
        <v>3.4810273885853622E-2</v>
      </c>
      <c r="BI84" s="205">
        <f t="shared" si="103"/>
        <v>0.80647153228454438</v>
      </c>
      <c r="BJ84" s="205">
        <f t="shared" si="104"/>
        <v>0.38608680530938505</v>
      </c>
      <c r="BK84" s="205">
        <f t="shared" si="105"/>
        <v>0.25021623563365392</v>
      </c>
      <c r="BL84" s="205">
        <f t="shared" si="106"/>
        <v>0.35313745381145112</v>
      </c>
      <c r="BM84" s="205">
        <f t="shared" si="107"/>
        <v>0.45238095238095238</v>
      </c>
      <c r="BN84" s="48">
        <v>5</v>
      </c>
      <c r="BO84" s="220">
        <f t="shared" si="108"/>
        <v>62</v>
      </c>
      <c r="BP84" s="220">
        <v>17</v>
      </c>
      <c r="BQ84" s="220">
        <f t="shared" si="109"/>
        <v>79</v>
      </c>
      <c r="BR84" s="205">
        <v>1.3333333333333333</v>
      </c>
      <c r="BS84" s="35">
        <v>0.40253676561002433</v>
      </c>
      <c r="BT84">
        <v>4</v>
      </c>
      <c r="BU84" s="205">
        <v>4.5377307103881783</v>
      </c>
      <c r="BV84" s="34">
        <v>0.12161162437185526</v>
      </c>
      <c r="BW84" s="34">
        <v>0.46717592999092705</v>
      </c>
      <c r="BX84" s="34">
        <f>IF(A84&lt;17, SoC!O$3, IF(A84&lt;33, SoC!O$4, IF(A84&lt;49, SoC!O$5, IF(A84&lt;65, SoC!O$6, IF(A84&lt;81, SoC!O$7, IF(A84&lt;97, SoC!O$8, SoC!O$9))))))</f>
        <v>0.8076740483754814</v>
      </c>
      <c r="BY84" s="205">
        <f t="shared" si="110"/>
        <v>0.63445785172068314</v>
      </c>
      <c r="BZ84" s="205" t="str">
        <f t="shared" si="111"/>
        <v>D</v>
      </c>
      <c r="CA84" s="35">
        <f t="shared" si="112"/>
        <v>-3.3129298345910967</v>
      </c>
      <c r="CB84" s="245">
        <f t="shared" si="113"/>
        <v>0</v>
      </c>
      <c r="CC84" s="48">
        <v>105</v>
      </c>
      <c r="CD84" s="58" t="s">
        <v>783</v>
      </c>
      <c r="CE84">
        <v>76</v>
      </c>
      <c r="CF84">
        <v>76</v>
      </c>
      <c r="CG84">
        <v>76</v>
      </c>
      <c r="CH84">
        <v>76</v>
      </c>
      <c r="CI84">
        <v>76</v>
      </c>
      <c r="CJ84">
        <v>76</v>
      </c>
      <c r="CK84">
        <v>76</v>
      </c>
      <c r="CL84">
        <v>76</v>
      </c>
      <c r="CM84">
        <v>76</v>
      </c>
      <c r="CN84">
        <v>76</v>
      </c>
      <c r="CO84">
        <v>76</v>
      </c>
      <c r="CP84">
        <v>88</v>
      </c>
      <c r="CQ84">
        <v>88</v>
      </c>
      <c r="CR84">
        <v>97</v>
      </c>
      <c r="CS84">
        <v>100</v>
      </c>
      <c r="CT84">
        <v>100</v>
      </c>
      <c r="CU84">
        <v>100</v>
      </c>
      <c r="CV84">
        <v>90</v>
      </c>
      <c r="CW84">
        <v>94</v>
      </c>
      <c r="CX84">
        <v>99</v>
      </c>
      <c r="CY84">
        <v>95</v>
      </c>
      <c r="CZ84">
        <v>82</v>
      </c>
      <c r="DA84">
        <v>76</v>
      </c>
      <c r="DB84">
        <v>72</v>
      </c>
      <c r="DC84">
        <v>63</v>
      </c>
      <c r="DD84">
        <v>68</v>
      </c>
      <c r="DE84" s="154">
        <v>52</v>
      </c>
      <c r="DF84">
        <v>17</v>
      </c>
      <c r="DG84">
        <v>12</v>
      </c>
    </row>
    <row r="85" spans="1:111" x14ac:dyDescent="0.35">
      <c r="A85">
        <v>84</v>
      </c>
      <c r="B85" s="58" t="s">
        <v>799</v>
      </c>
      <c r="C85" s="58" t="s">
        <v>1103</v>
      </c>
      <c r="D85" s="58" t="s">
        <v>796</v>
      </c>
      <c r="F85" s="6">
        <v>3</v>
      </c>
      <c r="G85" s="6">
        <v>10</v>
      </c>
      <c r="H85" s="6"/>
      <c r="I85" s="6">
        <v>3</v>
      </c>
      <c r="J85" s="6">
        <v>6</v>
      </c>
      <c r="L85" s="1">
        <v>1</v>
      </c>
      <c r="M85" s="1">
        <v>2</v>
      </c>
      <c r="O85">
        <f>158+16</f>
        <v>174</v>
      </c>
      <c r="P85">
        <v>240</v>
      </c>
      <c r="Q85">
        <v>101</v>
      </c>
      <c r="R85" s="9">
        <f>-24.92+0.225-0.597-5.207-6.013</f>
        <v>-36.512</v>
      </c>
      <c r="S85" s="263">
        <f>302+23+13+27+24</f>
        <v>389</v>
      </c>
      <c r="T85" s="203">
        <f>170.396+16.722+12.228+11.524+13.344</f>
        <v>224.214</v>
      </c>
      <c r="V85">
        <v>42</v>
      </c>
      <c r="W85">
        <v>66</v>
      </c>
      <c r="X85">
        <v>26</v>
      </c>
      <c r="Y85" s="9">
        <f>-8.933</f>
        <v>-8.9329999999999998</v>
      </c>
      <c r="Z85" s="263">
        <f>106</f>
        <v>106</v>
      </c>
      <c r="AA85" s="203">
        <f>54.445</f>
        <v>54.445</v>
      </c>
      <c r="AC85">
        <f t="shared" si="76"/>
        <v>184.5</v>
      </c>
      <c r="AD85">
        <f t="shared" si="77"/>
        <v>256.5</v>
      </c>
      <c r="AE85">
        <f t="shared" si="78"/>
        <v>107.5</v>
      </c>
      <c r="AF85">
        <f t="shared" si="79"/>
        <v>-38.745249999999999</v>
      </c>
      <c r="AG85">
        <f t="shared" si="80"/>
        <v>415.5</v>
      </c>
      <c r="AH85">
        <f t="shared" si="81"/>
        <v>237.82525000000001</v>
      </c>
      <c r="AI85" s="73">
        <f t="shared" si="82"/>
        <v>13.75</v>
      </c>
      <c r="AJ85" s="73">
        <f t="shared" si="83"/>
        <v>13.418181818181818</v>
      </c>
      <c r="AK85" s="73">
        <f t="shared" si="84"/>
        <v>18.654545454545456</v>
      </c>
      <c r="AL85" s="73">
        <f t="shared" si="85"/>
        <v>-5.2363636363636381</v>
      </c>
      <c r="AM85" s="73">
        <f t="shared" si="86"/>
        <v>1.7162790697674419</v>
      </c>
      <c r="AN85" s="227">
        <f t="shared" si="87"/>
        <v>-1.4089181818181817</v>
      </c>
      <c r="AO85" s="227">
        <f t="shared" si="88"/>
        <v>-1.2602343397512719</v>
      </c>
      <c r="AP85" s="227">
        <f t="shared" si="89"/>
        <v>-2.5672111147941843</v>
      </c>
      <c r="AQ85" s="89">
        <f t="shared" si="90"/>
        <v>0.70825485918757602</v>
      </c>
      <c r="AR85" s="73">
        <f t="shared" si="91"/>
        <v>30.218181818181819</v>
      </c>
      <c r="AS85" s="89">
        <f t="shared" si="92"/>
        <v>17.296381818181818</v>
      </c>
      <c r="AT85" s="89">
        <f t="shared" si="93"/>
        <v>4.1588918978715732</v>
      </c>
      <c r="AU85" s="9">
        <v>7</v>
      </c>
      <c r="AV85" s="9">
        <v>6</v>
      </c>
      <c r="AX85" s="54">
        <f t="shared" si="94"/>
        <v>13</v>
      </c>
      <c r="AZ85" s="49">
        <v>104</v>
      </c>
      <c r="BA85" s="48">
        <f t="shared" si="95"/>
        <v>104</v>
      </c>
      <c r="BB85" s="245">
        <f t="shared" si="96"/>
        <v>0</v>
      </c>
      <c r="BC85" s="36">
        <f t="shared" si="97"/>
        <v>0.30842274444399193</v>
      </c>
      <c r="BD85" s="205">
        <f t="shared" si="98"/>
        <v>0.24358974358974358</v>
      </c>
      <c r="BE85" s="205">
        <f t="shared" si="99"/>
        <v>0.33333333333333331</v>
      </c>
      <c r="BF85" s="205">
        <f t="shared" si="100"/>
        <v>7.3159695198103045E-2</v>
      </c>
      <c r="BG85" s="205">
        <f t="shared" si="101"/>
        <v>0.42239704978488013</v>
      </c>
      <c r="BH85" s="205">
        <f t="shared" si="102"/>
        <v>5.194875840760968E-2</v>
      </c>
      <c r="BI85" s="205">
        <f t="shared" si="103"/>
        <v>0.80758924641638963</v>
      </c>
      <c r="BJ85" s="205">
        <f t="shared" si="104"/>
        <v>0.27890279798643525</v>
      </c>
      <c r="BK85" s="205">
        <f t="shared" si="105"/>
        <v>0.17071606786888913</v>
      </c>
      <c r="BL85" s="205">
        <f t="shared" si="106"/>
        <v>0.29558231655539247</v>
      </c>
      <c r="BM85" s="205">
        <f t="shared" si="107"/>
        <v>0.10317460317460317</v>
      </c>
      <c r="BN85" s="48">
        <v>5</v>
      </c>
      <c r="BO85" s="220">
        <f t="shared" si="108"/>
        <v>18</v>
      </c>
      <c r="BP85" s="220">
        <v>3</v>
      </c>
      <c r="BQ85" s="220">
        <f t="shared" si="109"/>
        <v>21</v>
      </c>
      <c r="BR85" s="205">
        <v>0.33333333333333331</v>
      </c>
      <c r="BS85" s="35">
        <v>0.30842274444399193</v>
      </c>
      <c r="BT85">
        <v>1</v>
      </c>
      <c r="BU85" s="205">
        <v>4.1588918978715732</v>
      </c>
      <c r="BV85" s="34">
        <v>7.3159695198103045E-2</v>
      </c>
      <c r="BW85" s="34">
        <v>0.42239704978488013</v>
      </c>
      <c r="BX85" s="34">
        <f>IF(A85&lt;17, SoC!O$3, IF(A85&lt;33, SoC!O$4, IF(A85&lt;49, SoC!O$5, IF(A85&lt;65, SoC!O$6, IF(A85&lt;81, SoC!O$7, IF(A85&lt;97, SoC!O$8, SoC!O$9))))))</f>
        <v>0.8076740483754814</v>
      </c>
      <c r="BY85" s="205">
        <f t="shared" si="110"/>
        <v>0.55535821272759789</v>
      </c>
      <c r="BZ85" s="205" t="str">
        <f t="shared" si="111"/>
        <v>F+</v>
      </c>
      <c r="CA85" s="35">
        <f t="shared" si="112"/>
        <v>-5.3846296641700473</v>
      </c>
      <c r="CB85" s="245">
        <f t="shared" si="113"/>
        <v>0</v>
      </c>
      <c r="CC85" s="48">
        <v>11</v>
      </c>
      <c r="CD85" s="58" t="s">
        <v>796</v>
      </c>
      <c r="CE85">
        <v>104</v>
      </c>
      <c r="CF85">
        <v>104</v>
      </c>
      <c r="CG85">
        <v>104</v>
      </c>
      <c r="CH85">
        <v>104</v>
      </c>
      <c r="CI85">
        <v>104</v>
      </c>
      <c r="CJ85">
        <v>104</v>
      </c>
      <c r="CK85">
        <v>104</v>
      </c>
      <c r="CL85">
        <v>104</v>
      </c>
      <c r="CM85">
        <v>104</v>
      </c>
      <c r="CN85">
        <v>104</v>
      </c>
      <c r="CO85">
        <v>104</v>
      </c>
      <c r="CP85">
        <v>101</v>
      </c>
      <c r="CQ85">
        <v>101</v>
      </c>
      <c r="CR85">
        <v>98</v>
      </c>
      <c r="CS85">
        <v>97</v>
      </c>
      <c r="CT85">
        <v>94</v>
      </c>
      <c r="CU85">
        <v>93</v>
      </c>
      <c r="CV85">
        <v>87</v>
      </c>
      <c r="CW85">
        <v>88</v>
      </c>
      <c r="CX85">
        <v>84</v>
      </c>
      <c r="CY85">
        <v>90</v>
      </c>
      <c r="CZ85">
        <v>97</v>
      </c>
      <c r="DA85">
        <v>95</v>
      </c>
      <c r="DB85">
        <v>104</v>
      </c>
      <c r="DC85">
        <v>89</v>
      </c>
      <c r="DD85">
        <v>111</v>
      </c>
      <c r="DE85" s="154">
        <v>111</v>
      </c>
      <c r="DF85">
        <v>97</v>
      </c>
      <c r="DG85">
        <v>102</v>
      </c>
    </row>
    <row r="86" spans="1:111" x14ac:dyDescent="0.35">
      <c r="A86">
        <v>85</v>
      </c>
      <c r="B86" s="58" t="s">
        <v>799</v>
      </c>
      <c r="C86" s="58" t="s">
        <v>1104</v>
      </c>
      <c r="D86" s="58" t="s">
        <v>786</v>
      </c>
      <c r="F86" s="6">
        <v>3</v>
      </c>
      <c r="G86" s="6">
        <v>10</v>
      </c>
      <c r="H86" s="6"/>
      <c r="I86" s="6">
        <v>3</v>
      </c>
      <c r="J86" s="6">
        <v>6</v>
      </c>
      <c r="L86" s="1">
        <v>1</v>
      </c>
      <c r="M86" s="1">
        <v>7</v>
      </c>
      <c r="O86">
        <v>187</v>
      </c>
      <c r="P86">
        <f>257+29</f>
        <v>286</v>
      </c>
      <c r="Q86">
        <v>111</v>
      </c>
      <c r="R86" s="9">
        <f>-35.736-4.462-10.224-0.732-6.667</f>
        <v>-57.820999999999998</v>
      </c>
      <c r="S86" s="263">
        <f>349+44+58+12+38</f>
        <v>501</v>
      </c>
      <c r="T86" s="203">
        <f>148.2+62.684+4.814+0+9.643</f>
        <v>225.34099999999998</v>
      </c>
      <c r="V86">
        <v>105</v>
      </c>
      <c r="W86">
        <f>143+28</f>
        <v>171</v>
      </c>
      <c r="X86">
        <f>57+10</f>
        <v>67</v>
      </c>
      <c r="Y86" s="9">
        <f>-25.289-2.946-0.064</f>
        <v>-28.299000000000003</v>
      </c>
      <c r="Z86" s="263">
        <f>298+32+34</f>
        <v>364</v>
      </c>
      <c r="AA86" s="203">
        <f>62.256+14.302+0</f>
        <v>76.557999999999993</v>
      </c>
      <c r="AC86">
        <f t="shared" si="76"/>
        <v>213.25</v>
      </c>
      <c r="AD86">
        <f t="shared" si="77"/>
        <v>328.75</v>
      </c>
      <c r="AE86">
        <f t="shared" si="78"/>
        <v>127.75</v>
      </c>
      <c r="AF86">
        <f t="shared" si="79"/>
        <v>-64.895749999999992</v>
      </c>
      <c r="AG86">
        <f t="shared" si="80"/>
        <v>592</v>
      </c>
      <c r="AH86">
        <f t="shared" si="81"/>
        <v>244.48049999999998</v>
      </c>
      <c r="AI86" s="73">
        <f t="shared" si="82"/>
        <v>15</v>
      </c>
      <c r="AJ86" s="73">
        <f t="shared" si="83"/>
        <v>14.216666666666667</v>
      </c>
      <c r="AK86" s="73">
        <f t="shared" si="84"/>
        <v>21.916666666666668</v>
      </c>
      <c r="AL86" s="73">
        <f t="shared" si="85"/>
        <v>-7.7000000000000011</v>
      </c>
      <c r="AM86" s="73">
        <f t="shared" si="86"/>
        <v>1.6692759295499022</v>
      </c>
      <c r="AN86" s="227">
        <f t="shared" si="87"/>
        <v>-2.1631916666666666</v>
      </c>
      <c r="AO86" s="227">
        <f t="shared" si="88"/>
        <v>-2.0870410074790704</v>
      </c>
      <c r="AP86" s="227">
        <f t="shared" si="89"/>
        <v>-3.449767325854264</v>
      </c>
      <c r="AQ86" s="89">
        <f t="shared" si="90"/>
        <v>0.5084416367071426</v>
      </c>
      <c r="AR86" s="73">
        <f t="shared" si="91"/>
        <v>39.466666666666669</v>
      </c>
      <c r="AS86" s="89">
        <f t="shared" si="92"/>
        <v>16.2987</v>
      </c>
      <c r="AT86" s="89">
        <f t="shared" si="93"/>
        <v>4.0371648467705654</v>
      </c>
      <c r="AU86" s="9">
        <v>14</v>
      </c>
      <c r="AV86" s="9">
        <v>6</v>
      </c>
      <c r="AW86" s="9">
        <v>8</v>
      </c>
      <c r="AX86" s="54">
        <f t="shared" si="94"/>
        <v>28</v>
      </c>
      <c r="AZ86" s="49">
        <v>106</v>
      </c>
      <c r="BA86" s="48">
        <f t="shared" si="95"/>
        <v>106</v>
      </c>
      <c r="BB86" s="245">
        <f t="shared" si="96"/>
        <v>0</v>
      </c>
      <c r="BC86" s="36">
        <f t="shared" si="97"/>
        <v>0.28653223987577614</v>
      </c>
      <c r="BD86" s="205">
        <f t="shared" si="98"/>
        <v>0.24358974358974358</v>
      </c>
      <c r="BE86" s="205">
        <f t="shared" si="99"/>
        <v>0.33333333333333331</v>
      </c>
      <c r="BF86" s="205">
        <f t="shared" si="100"/>
        <v>0.14151990684597604</v>
      </c>
      <c r="BG86" s="205">
        <f t="shared" si="101"/>
        <v>0.11803933620159801</v>
      </c>
      <c r="BH86" s="205">
        <f t="shared" si="102"/>
        <v>0</v>
      </c>
      <c r="BI86" s="205">
        <f t="shared" si="103"/>
        <v>0.901453947406199</v>
      </c>
      <c r="BJ86" s="205">
        <f t="shared" si="104"/>
        <v>0.18679924499642803</v>
      </c>
      <c r="BK86" s="205">
        <f t="shared" si="105"/>
        <v>0.13996061442997543</v>
      </c>
      <c r="BL86" s="205">
        <f t="shared" si="106"/>
        <v>0.27708891803755531</v>
      </c>
      <c r="BM86" s="205">
        <f t="shared" si="107"/>
        <v>0.22222222222222221</v>
      </c>
      <c r="BN86" s="48">
        <v>5</v>
      </c>
      <c r="BO86" s="220">
        <f t="shared" si="108"/>
        <v>33</v>
      </c>
      <c r="BP86" s="220">
        <v>2</v>
      </c>
      <c r="BQ86" s="220">
        <f t="shared" si="109"/>
        <v>35</v>
      </c>
      <c r="BR86" s="205">
        <v>1.3333333333333333</v>
      </c>
      <c r="BS86" s="35">
        <v>0.28653223987577614</v>
      </c>
      <c r="BT86">
        <v>2</v>
      </c>
      <c r="BU86" s="205">
        <v>4.0371648467705654</v>
      </c>
      <c r="BV86" s="34">
        <v>0.14151990684597604</v>
      </c>
      <c r="BW86" s="34">
        <v>0.11803933620159801</v>
      </c>
      <c r="BX86" s="34">
        <f>IF(A86&lt;17, SoC!O$3, IF(A86&lt;33, SoC!O$4, IF(A86&lt;49, SoC!O$5, IF(A86&lt;65, SoC!O$6, IF(A86&lt;81, SoC!O$7, IF(A86&lt;97, SoC!O$8, SoC!O$9))))))</f>
        <v>0.8076740483754814</v>
      </c>
      <c r="BY86" s="205">
        <f t="shared" si="110"/>
        <v>0.53528706305661466</v>
      </c>
      <c r="BZ86" s="205" t="str">
        <f t="shared" si="111"/>
        <v>F+</v>
      </c>
      <c r="CA86" s="35">
        <f t="shared" si="112"/>
        <v>-5.8833032810848662</v>
      </c>
      <c r="CB86" s="245">
        <f t="shared" si="113"/>
        <v>0</v>
      </c>
      <c r="CC86" s="48">
        <v>57</v>
      </c>
      <c r="CD86" s="58" t="s">
        <v>786</v>
      </c>
      <c r="CE86">
        <v>106</v>
      </c>
      <c r="CF86">
        <v>106</v>
      </c>
      <c r="CG86">
        <v>106</v>
      </c>
      <c r="CH86">
        <v>106</v>
      </c>
      <c r="CI86">
        <v>106</v>
      </c>
      <c r="CJ86">
        <v>106</v>
      </c>
      <c r="CK86">
        <v>106</v>
      </c>
      <c r="CL86">
        <v>106</v>
      </c>
      <c r="CM86">
        <v>106</v>
      </c>
      <c r="CN86">
        <v>106</v>
      </c>
      <c r="CO86">
        <v>106</v>
      </c>
      <c r="CP86">
        <v>103</v>
      </c>
      <c r="CQ86">
        <v>103</v>
      </c>
      <c r="CR86">
        <v>96</v>
      </c>
      <c r="CS86">
        <v>95</v>
      </c>
      <c r="CT86">
        <v>89</v>
      </c>
      <c r="CU86">
        <v>86</v>
      </c>
      <c r="CV86">
        <v>96</v>
      </c>
      <c r="CW86">
        <v>102</v>
      </c>
      <c r="CX86">
        <v>101</v>
      </c>
      <c r="CY86">
        <v>100</v>
      </c>
      <c r="CZ86">
        <v>96</v>
      </c>
      <c r="DA86">
        <v>98</v>
      </c>
      <c r="DB86">
        <v>74</v>
      </c>
      <c r="DC86">
        <v>82</v>
      </c>
      <c r="DD86">
        <v>105</v>
      </c>
      <c r="DE86" s="154">
        <v>105</v>
      </c>
      <c r="DF86">
        <v>79</v>
      </c>
      <c r="DG86">
        <v>56</v>
      </c>
    </row>
    <row r="87" spans="1:111" x14ac:dyDescent="0.35">
      <c r="A87">
        <v>86</v>
      </c>
      <c r="B87" s="58" t="s">
        <v>799</v>
      </c>
      <c r="C87" s="58" t="s">
        <v>1104</v>
      </c>
      <c r="D87" s="58" t="s">
        <v>785</v>
      </c>
      <c r="F87" s="6">
        <v>9</v>
      </c>
      <c r="G87" s="6">
        <v>4</v>
      </c>
      <c r="H87" s="6"/>
      <c r="I87" s="6">
        <v>7</v>
      </c>
      <c r="J87" s="6">
        <v>2</v>
      </c>
      <c r="L87" s="1">
        <v>3</v>
      </c>
      <c r="M87" s="1">
        <v>3</v>
      </c>
      <c r="O87">
        <v>249</v>
      </c>
      <c r="P87">
        <v>190</v>
      </c>
      <c r="Q87">
        <f>101+11</f>
        <v>112</v>
      </c>
      <c r="R87" s="9">
        <f>25.17+2.863+1.05+5.463+6.667</f>
        <v>41.213000000000001</v>
      </c>
      <c r="S87" s="263">
        <f>641+70+75+60+38</f>
        <v>884</v>
      </c>
      <c r="T87" s="203">
        <f>484.132+36.527+15.739+22.011+91.506</f>
        <v>649.91499999999996</v>
      </c>
      <c r="V87">
        <v>91</v>
      </c>
      <c r="W87">
        <v>117</v>
      </c>
      <c r="X87">
        <v>50</v>
      </c>
      <c r="Y87" s="9">
        <f>3.165</f>
        <v>3.165</v>
      </c>
      <c r="Z87" s="263">
        <f>470</f>
        <v>470</v>
      </c>
      <c r="AA87" s="203">
        <f>129.07</f>
        <v>129.07</v>
      </c>
      <c r="AC87">
        <f t="shared" si="76"/>
        <v>271.75</v>
      </c>
      <c r="AD87">
        <f t="shared" si="77"/>
        <v>219.25</v>
      </c>
      <c r="AE87">
        <f t="shared" si="78"/>
        <v>124.5</v>
      </c>
      <c r="AF87">
        <f t="shared" si="79"/>
        <v>42.004249999999999</v>
      </c>
      <c r="AG87">
        <f t="shared" si="80"/>
        <v>1001.5</v>
      </c>
      <c r="AH87">
        <f t="shared" si="81"/>
        <v>682.1825</v>
      </c>
      <c r="AI87" s="73">
        <f t="shared" si="82"/>
        <v>14.5</v>
      </c>
      <c r="AJ87" s="73">
        <f t="shared" si="83"/>
        <v>18.741379310344829</v>
      </c>
      <c r="AK87" s="73">
        <f t="shared" si="84"/>
        <v>15.120689655172415</v>
      </c>
      <c r="AL87" s="73">
        <f t="shared" si="85"/>
        <v>3.6206896551724146</v>
      </c>
      <c r="AM87" s="73">
        <f t="shared" si="86"/>
        <v>2.1827309236947792</v>
      </c>
      <c r="AN87" s="227">
        <f t="shared" si="87"/>
        <v>2.8968448275862069</v>
      </c>
      <c r="AO87" s="227">
        <f t="shared" si="88"/>
        <v>3.4595836537797915</v>
      </c>
      <c r="AP87" s="227">
        <f t="shared" si="89"/>
        <v>0.44247541448941519</v>
      </c>
      <c r="AQ87" s="89">
        <f t="shared" si="90"/>
        <v>4.0982364733248993</v>
      </c>
      <c r="AR87" s="73">
        <f t="shared" si="91"/>
        <v>69.068965517241381</v>
      </c>
      <c r="AS87" s="89">
        <f t="shared" si="92"/>
        <v>47.047068965517241</v>
      </c>
      <c r="AT87" s="89">
        <f t="shared" si="93"/>
        <v>6.8590865984850522</v>
      </c>
      <c r="AU87" s="9">
        <v>7</v>
      </c>
      <c r="AV87" s="9">
        <v>18</v>
      </c>
      <c r="AX87" s="54">
        <f t="shared" si="94"/>
        <v>25</v>
      </c>
      <c r="AZ87" s="49">
        <v>35</v>
      </c>
      <c r="BA87" s="48">
        <f t="shared" si="95"/>
        <v>35</v>
      </c>
      <c r="BB87" s="245">
        <f t="shared" si="96"/>
        <v>0</v>
      </c>
      <c r="BC87" s="36">
        <f t="shared" si="97"/>
        <v>0.6462765598976361</v>
      </c>
      <c r="BD87" s="205">
        <f t="shared" si="98"/>
        <v>0.73076923076923073</v>
      </c>
      <c r="BE87" s="205">
        <f t="shared" si="99"/>
        <v>0.77777777777777779</v>
      </c>
      <c r="BF87" s="205">
        <f t="shared" si="100"/>
        <v>0.52889145754549471</v>
      </c>
      <c r="BG87" s="205">
        <f t="shared" si="101"/>
        <v>0.7521077506729118</v>
      </c>
      <c r="BH87" s="205">
        <f t="shared" si="102"/>
        <v>0.56748015814610231</v>
      </c>
      <c r="BI87" s="205">
        <f t="shared" si="103"/>
        <v>0.27176349418023626</v>
      </c>
      <c r="BJ87" s="205">
        <f t="shared" si="104"/>
        <v>0.59299363918081271</v>
      </c>
      <c r="BK87" s="205">
        <f t="shared" si="105"/>
        <v>0.5330205193196168</v>
      </c>
      <c r="BL87" s="205">
        <f t="shared" si="106"/>
        <v>0.7058097575599469</v>
      </c>
      <c r="BM87" s="205">
        <f t="shared" si="107"/>
        <v>0.1984126984126984</v>
      </c>
      <c r="BN87" s="48">
        <v>15</v>
      </c>
      <c r="BO87" s="220">
        <f t="shared" si="108"/>
        <v>40</v>
      </c>
      <c r="BP87" s="220">
        <v>58</v>
      </c>
      <c r="BQ87" s="220">
        <f t="shared" si="109"/>
        <v>98</v>
      </c>
      <c r="BR87" s="205">
        <v>0.33333333333333331</v>
      </c>
      <c r="BS87" s="35">
        <v>0.6462765598976361</v>
      </c>
      <c r="BT87">
        <v>1</v>
      </c>
      <c r="BU87" s="205">
        <v>6.8590865984850522</v>
      </c>
      <c r="BV87" s="34">
        <v>0.52889145754549471</v>
      </c>
      <c r="BW87" s="34">
        <v>0.7521077506729118</v>
      </c>
      <c r="BX87" s="34">
        <f>IF(A87&lt;17, SoC!O$3, IF(A87&lt;33, SoC!O$4, IF(A87&lt;49, SoC!O$5, IF(A87&lt;65, SoC!O$6, IF(A87&lt;81, SoC!O$7, IF(A87&lt;97, SoC!O$8, SoC!O$9))))))</f>
        <v>0.8076740483754814</v>
      </c>
      <c r="BY87" s="205">
        <f t="shared" si="110"/>
        <v>0.80391327884146568</v>
      </c>
      <c r="BZ87" s="205" t="str">
        <f t="shared" si="111"/>
        <v>B-</v>
      </c>
      <c r="CA87" s="35">
        <f t="shared" si="112"/>
        <v>2.722543995209576</v>
      </c>
      <c r="CB87" s="245">
        <f t="shared" si="113"/>
        <v>0</v>
      </c>
      <c r="CC87" s="48">
        <v>39</v>
      </c>
      <c r="CD87" s="58" t="s">
        <v>785</v>
      </c>
      <c r="CE87">
        <v>35</v>
      </c>
      <c r="CF87">
        <v>35</v>
      </c>
      <c r="CG87">
        <v>35</v>
      </c>
      <c r="CH87">
        <v>35</v>
      </c>
      <c r="CI87">
        <v>35</v>
      </c>
      <c r="CJ87">
        <v>35</v>
      </c>
      <c r="CK87">
        <v>35</v>
      </c>
      <c r="CL87">
        <v>35</v>
      </c>
      <c r="CM87">
        <v>34</v>
      </c>
      <c r="CN87">
        <v>35</v>
      </c>
      <c r="CO87">
        <v>35</v>
      </c>
      <c r="CP87">
        <v>40</v>
      </c>
      <c r="CQ87">
        <v>40</v>
      </c>
      <c r="CR87">
        <v>30</v>
      </c>
      <c r="CS87">
        <v>30</v>
      </c>
      <c r="CT87">
        <v>26</v>
      </c>
      <c r="CU87">
        <v>26</v>
      </c>
      <c r="CV87">
        <v>27</v>
      </c>
      <c r="CW87">
        <v>24</v>
      </c>
      <c r="CX87">
        <v>14</v>
      </c>
      <c r="CY87">
        <v>16</v>
      </c>
      <c r="CZ87">
        <v>18</v>
      </c>
      <c r="DA87">
        <v>23</v>
      </c>
      <c r="DB87">
        <v>14</v>
      </c>
      <c r="DC87">
        <v>12</v>
      </c>
      <c r="DD87">
        <v>12</v>
      </c>
      <c r="DE87" s="154">
        <v>17</v>
      </c>
      <c r="DF87">
        <v>25</v>
      </c>
      <c r="DG87">
        <v>74</v>
      </c>
    </row>
    <row r="88" spans="1:111" x14ac:dyDescent="0.35">
      <c r="A88">
        <v>87</v>
      </c>
      <c r="B88" s="58" t="s">
        <v>799</v>
      </c>
      <c r="C88" s="58" t="s">
        <v>1104</v>
      </c>
      <c r="D88" s="58" t="s">
        <v>795</v>
      </c>
      <c r="F88" s="6">
        <v>12</v>
      </c>
      <c r="G88" s="6">
        <v>2</v>
      </c>
      <c r="H88" s="20">
        <v>5</v>
      </c>
      <c r="I88" s="6">
        <v>7</v>
      </c>
      <c r="J88" s="6">
        <v>2</v>
      </c>
      <c r="L88" s="1">
        <v>29</v>
      </c>
      <c r="M88" s="1">
        <v>11</v>
      </c>
      <c r="O88">
        <f>281+23</f>
        <v>304</v>
      </c>
      <c r="P88">
        <f>176+22</f>
        <v>198</v>
      </c>
      <c r="Q88">
        <v>128</v>
      </c>
      <c r="R88" s="9">
        <f>30.374+11.329+8.05+6.819+5.895+3.855</f>
        <v>66.322000000000003</v>
      </c>
      <c r="S88" s="263">
        <f>664+63+69+79+93+89</f>
        <v>1057</v>
      </c>
      <c r="T88" s="203">
        <f>624.129+(104.975-2.4875)+57.649+65.983+2.142+22.398</f>
        <v>874.7885</v>
      </c>
      <c r="V88">
        <v>870</v>
      </c>
      <c r="W88">
        <f>578+17</f>
        <v>595</v>
      </c>
      <c r="X88">
        <v>350</v>
      </c>
      <c r="Y88" s="9">
        <f>65.473+9.252+6.066+2.742+5.64+8.751+13.028+15.841+18.955-3.449+7.985+0.508+3.989+4.831-0.056-2.948-7.936+2.082+6.269+1.338-2.903-2.503-7.228-4.741+0.787-4.225+1.539+1.009-5.024-4.889</f>
        <v>130.18299999999996</v>
      </c>
      <c r="Z88" s="263">
        <f>921+84+86+93+91+79+77+55+53+96+89+99+92+94+97+3+96+93+94+91+97+96+100+103+101+99+95+99+97+95+95</f>
        <v>3560</v>
      </c>
      <c r="AA88" s="203">
        <f>1158.774+64.763+(110.34-5.17)+49.258+(244.104-79.4027)+66.951+(133.811-16.9055)+36.82+64.365+13.665+89+8.64+73.266+41.665+0+29.801+15.787+47.814+(147.538-23.769)+97.783+18.141+48.859+62.72+29.87+36.39+23.633+18.355+(152.426-26.213)+16.781+19.551</f>
        <v>2769.4107999999987</v>
      </c>
      <c r="AC88">
        <f t="shared" si="76"/>
        <v>521.5</v>
      </c>
      <c r="AD88">
        <f t="shared" si="77"/>
        <v>346.75</v>
      </c>
      <c r="AE88">
        <f t="shared" si="78"/>
        <v>215.5</v>
      </c>
      <c r="AF88">
        <f t="shared" si="79"/>
        <v>98.867750000000001</v>
      </c>
      <c r="AG88">
        <f t="shared" si="80"/>
        <v>1947</v>
      </c>
      <c r="AH88">
        <f t="shared" si="81"/>
        <v>1567.1411999999996</v>
      </c>
      <c r="AI88" s="73">
        <f t="shared" si="82"/>
        <v>24</v>
      </c>
      <c r="AJ88" s="73">
        <f t="shared" si="83"/>
        <v>21.729166666666668</v>
      </c>
      <c r="AK88" s="73">
        <f t="shared" si="84"/>
        <v>14.447916666666666</v>
      </c>
      <c r="AL88" s="73">
        <f t="shared" si="85"/>
        <v>7.2812500000000018</v>
      </c>
      <c r="AM88" s="73">
        <f t="shared" si="86"/>
        <v>2.4199535962877032</v>
      </c>
      <c r="AN88" s="227">
        <f t="shared" si="87"/>
        <v>4.1194895833333334</v>
      </c>
      <c r="AO88" s="227">
        <f t="shared" si="88"/>
        <v>4.7998015676008148</v>
      </c>
      <c r="AP88" s="227">
        <f t="shared" si="89"/>
        <v>2.8216044245329277</v>
      </c>
      <c r="AQ88" s="89">
        <f t="shared" si="90"/>
        <v>6.0179701406662485</v>
      </c>
      <c r="AR88" s="73">
        <f t="shared" si="91"/>
        <v>81.125</v>
      </c>
      <c r="AS88" s="89">
        <f t="shared" si="92"/>
        <v>65.297549999999987</v>
      </c>
      <c r="AT88" s="89">
        <f t="shared" si="93"/>
        <v>8.0806899457905192</v>
      </c>
      <c r="AU88" s="9">
        <v>63</v>
      </c>
      <c r="AV88" s="9">
        <v>30</v>
      </c>
      <c r="AW88" s="20">
        <v>32</v>
      </c>
      <c r="AX88" s="54">
        <f t="shared" si="94"/>
        <v>125</v>
      </c>
      <c r="AZ88" s="49">
        <v>4</v>
      </c>
      <c r="BA88" s="48">
        <f t="shared" si="95"/>
        <v>4</v>
      </c>
      <c r="BB88" s="245">
        <f t="shared" si="96"/>
        <v>0</v>
      </c>
      <c r="BC88" s="36">
        <f t="shared" si="97"/>
        <v>0.9130338693004576</v>
      </c>
      <c r="BD88" s="205">
        <f t="shared" si="98"/>
        <v>1.2023809523809523</v>
      </c>
      <c r="BE88" s="205">
        <f t="shared" si="99"/>
        <v>0.77777777777777779</v>
      </c>
      <c r="BF88" s="205">
        <f t="shared" si="100"/>
        <v>0.7846831315197258</v>
      </c>
      <c r="BG88" s="205">
        <f t="shared" si="101"/>
        <v>0.8148778426551937</v>
      </c>
      <c r="BH88" s="205">
        <f t="shared" si="102"/>
        <v>0.82966313677906378</v>
      </c>
      <c r="BI88" s="205">
        <f t="shared" si="103"/>
        <v>0.11961286616496736</v>
      </c>
      <c r="BJ88" s="205">
        <f t="shared" si="104"/>
        <v>0.84127950709556376</v>
      </c>
      <c r="BK88" s="205">
        <f t="shared" si="105"/>
        <v>0.69965517653100062</v>
      </c>
      <c r="BL88" s="205">
        <f t="shared" si="106"/>
        <v>0.89140200947195258</v>
      </c>
      <c r="BM88" s="205">
        <f t="shared" si="107"/>
        <v>0.99206349206349209</v>
      </c>
      <c r="BN88" s="48">
        <f>50+92</f>
        <v>142</v>
      </c>
      <c r="BO88" s="220">
        <f t="shared" si="108"/>
        <v>267</v>
      </c>
      <c r="BP88" s="220">
        <v>114</v>
      </c>
      <c r="BQ88" s="220">
        <f t="shared" si="109"/>
        <v>381</v>
      </c>
      <c r="BR88" s="205">
        <v>1.6666666666666665</v>
      </c>
      <c r="BS88" s="35">
        <v>0.9130338693004576</v>
      </c>
      <c r="BT88">
        <v>4</v>
      </c>
      <c r="BU88" s="205">
        <v>8.0806899457905192</v>
      </c>
      <c r="BV88" s="34">
        <v>0.7846831315197258</v>
      </c>
      <c r="BW88" s="34">
        <v>0.8148778426551937</v>
      </c>
      <c r="BX88" s="34">
        <f>IF(A88&lt;17, SoC!O$3, IF(A88&lt;33, SoC!O$4, IF(A88&lt;49, SoC!O$5, IF(A88&lt;65, SoC!O$6, IF(A88&lt;81, SoC!O$7, IF(A88&lt;97, SoC!O$8, SoC!O$9))))))</f>
        <v>0.8076740483754814</v>
      </c>
      <c r="BY88" s="205">
        <f t="shared" si="110"/>
        <v>0.95552805783004491</v>
      </c>
      <c r="BZ88" s="205" t="str">
        <f t="shared" si="111"/>
        <v>A</v>
      </c>
      <c r="CA88" s="35">
        <f t="shared" si="112"/>
        <v>8.6684918569187399</v>
      </c>
      <c r="CB88" s="245">
        <f t="shared" si="113"/>
        <v>0</v>
      </c>
      <c r="CC88" s="48">
        <v>84</v>
      </c>
      <c r="CD88" s="58" t="s">
        <v>795</v>
      </c>
      <c r="CE88">
        <v>4</v>
      </c>
      <c r="CF88">
        <v>4</v>
      </c>
      <c r="CG88">
        <v>5</v>
      </c>
      <c r="CH88">
        <v>4</v>
      </c>
      <c r="CI88">
        <v>5</v>
      </c>
      <c r="CJ88">
        <v>5</v>
      </c>
      <c r="CK88">
        <v>5</v>
      </c>
      <c r="CL88">
        <v>5</v>
      </c>
      <c r="CM88">
        <v>4</v>
      </c>
      <c r="CN88">
        <v>4</v>
      </c>
      <c r="CO88">
        <v>4</v>
      </c>
      <c r="CP88">
        <v>2</v>
      </c>
      <c r="CQ88">
        <v>1</v>
      </c>
      <c r="CR88">
        <v>2</v>
      </c>
      <c r="CS88">
        <v>3</v>
      </c>
      <c r="CT88">
        <v>3</v>
      </c>
      <c r="CU88">
        <v>2</v>
      </c>
      <c r="CV88">
        <v>2</v>
      </c>
      <c r="CW88">
        <v>1</v>
      </c>
      <c r="CX88">
        <v>1</v>
      </c>
      <c r="CY88">
        <v>1</v>
      </c>
      <c r="CZ88">
        <v>4</v>
      </c>
      <c r="DA88">
        <v>6</v>
      </c>
      <c r="DB88">
        <v>9</v>
      </c>
      <c r="DC88">
        <v>13</v>
      </c>
      <c r="DD88">
        <v>16</v>
      </c>
      <c r="DE88" s="154">
        <v>32</v>
      </c>
      <c r="DF88">
        <v>73</v>
      </c>
      <c r="DG88">
        <v>29</v>
      </c>
    </row>
    <row r="89" spans="1:111" x14ac:dyDescent="0.35">
      <c r="A89">
        <v>88</v>
      </c>
      <c r="B89" s="58" t="s">
        <v>799</v>
      </c>
      <c r="C89" s="58" t="s">
        <v>1104</v>
      </c>
      <c r="D89" s="58" t="s">
        <v>908</v>
      </c>
      <c r="F89" s="6">
        <v>10</v>
      </c>
      <c r="G89" s="6">
        <v>4</v>
      </c>
      <c r="H89" s="6"/>
      <c r="I89" s="6">
        <v>7</v>
      </c>
      <c r="J89" s="6">
        <v>2</v>
      </c>
      <c r="L89" s="1">
        <v>0</v>
      </c>
      <c r="M89" s="1">
        <v>2</v>
      </c>
      <c r="O89">
        <f>224+22</f>
        <v>246</v>
      </c>
      <c r="P89">
        <f>166+23</f>
        <v>189</v>
      </c>
      <c r="Q89">
        <f>107+11</f>
        <v>118</v>
      </c>
      <c r="R89" s="9">
        <f>14.909+4.428+1.489-3.943-5.895-3.855</f>
        <v>7.1329999999999991</v>
      </c>
      <c r="S89" s="263">
        <f>411+49+68+85+93+89</f>
        <v>795</v>
      </c>
      <c r="T89" s="203">
        <f>327.661+(271.271-97.514)+4.375+73.931+48.592+51.708</f>
        <v>680.024</v>
      </c>
      <c r="V89">
        <v>20</v>
      </c>
      <c r="W89">
        <v>39</v>
      </c>
      <c r="X89">
        <v>14</v>
      </c>
      <c r="Y89" s="9">
        <f>-2.47</f>
        <v>-2.4700000000000002</v>
      </c>
      <c r="Z89" s="263">
        <f>116</f>
        <v>116</v>
      </c>
      <c r="AA89" s="203">
        <f>11.73</f>
        <v>11.73</v>
      </c>
      <c r="AC89">
        <f t="shared" si="76"/>
        <v>251</v>
      </c>
      <c r="AD89">
        <f t="shared" si="77"/>
        <v>198.75</v>
      </c>
      <c r="AE89">
        <f t="shared" si="78"/>
        <v>121.5</v>
      </c>
      <c r="AF89">
        <f t="shared" si="79"/>
        <v>6.5154999999999994</v>
      </c>
      <c r="AG89">
        <f t="shared" si="80"/>
        <v>824</v>
      </c>
      <c r="AH89">
        <f t="shared" si="81"/>
        <v>682.95650000000001</v>
      </c>
      <c r="AI89" s="73">
        <f t="shared" si="82"/>
        <v>14.5</v>
      </c>
      <c r="AJ89" s="73">
        <f t="shared" si="83"/>
        <v>17.310344827586206</v>
      </c>
      <c r="AK89" s="73">
        <f t="shared" si="84"/>
        <v>13.706896551724139</v>
      </c>
      <c r="AL89" s="73">
        <f t="shared" si="85"/>
        <v>3.6034482758620676</v>
      </c>
      <c r="AM89" s="73">
        <f t="shared" si="86"/>
        <v>2.0658436213991771</v>
      </c>
      <c r="AN89" s="227">
        <f t="shared" si="87"/>
        <v>0.44934482758620686</v>
      </c>
      <c r="AO89" s="227">
        <f t="shared" si="88"/>
        <v>0.77672477047928679</v>
      </c>
      <c r="AP89" s="227">
        <f t="shared" si="89"/>
        <v>2.9904134768293207</v>
      </c>
      <c r="AQ89" s="89">
        <f t="shared" si="90"/>
        <v>3.378538638299891</v>
      </c>
      <c r="AR89" s="73">
        <f t="shared" si="91"/>
        <v>56.827586206896555</v>
      </c>
      <c r="AS89" s="89">
        <f t="shared" si="92"/>
        <v>47.100448275862071</v>
      </c>
      <c r="AT89" s="89">
        <f t="shared" si="93"/>
        <v>6.8629766337837745</v>
      </c>
      <c r="AU89" s="9">
        <v>7</v>
      </c>
      <c r="AV89" s="9">
        <v>0</v>
      </c>
      <c r="AX89" s="54">
        <f t="shared" si="94"/>
        <v>7</v>
      </c>
      <c r="AZ89" s="49">
        <v>29</v>
      </c>
      <c r="BA89" s="48">
        <f t="shared" si="95"/>
        <v>29</v>
      </c>
      <c r="BB89" s="245">
        <f t="shared" si="96"/>
        <v>0</v>
      </c>
      <c r="BC89" s="36">
        <f t="shared" si="97"/>
        <v>0.67631751102060256</v>
      </c>
      <c r="BD89" s="205">
        <f t="shared" si="98"/>
        <v>0.7142857142857143</v>
      </c>
      <c r="BE89" s="205">
        <f t="shared" si="99"/>
        <v>0.77777777777777779</v>
      </c>
      <c r="BF89" s="205">
        <f t="shared" si="100"/>
        <v>0.40637714772181854</v>
      </c>
      <c r="BG89" s="205">
        <f t="shared" si="101"/>
        <v>0.88401542928597165</v>
      </c>
      <c r="BH89" s="205">
        <f t="shared" si="102"/>
        <v>0.43829410377253547</v>
      </c>
      <c r="BI89" s="205">
        <f t="shared" si="103"/>
        <v>0.57633983192423921</v>
      </c>
      <c r="BJ89" s="205">
        <f t="shared" si="104"/>
        <v>0.85889641726913624</v>
      </c>
      <c r="BK89" s="205">
        <f t="shared" si="105"/>
        <v>0.46645868975000637</v>
      </c>
      <c r="BL89" s="205">
        <f t="shared" si="106"/>
        <v>0.70640075169294392</v>
      </c>
      <c r="BM89" s="205">
        <f t="shared" si="107"/>
        <v>5.5555555555555552E-2</v>
      </c>
      <c r="BN89" s="48">
        <v>30</v>
      </c>
      <c r="BO89" s="220">
        <f t="shared" si="108"/>
        <v>37</v>
      </c>
      <c r="BP89" s="220">
        <v>65</v>
      </c>
      <c r="BQ89" s="220">
        <f t="shared" si="109"/>
        <v>102</v>
      </c>
      <c r="BR89" s="205">
        <v>-0.33333333333333331</v>
      </c>
      <c r="BS89" s="35">
        <v>0.67631751102060256</v>
      </c>
      <c r="BT89">
        <v>1</v>
      </c>
      <c r="BU89" s="205">
        <v>6.8629766337837745</v>
      </c>
      <c r="BV89" s="34">
        <v>0.40637714772181854</v>
      </c>
      <c r="BW89" s="34">
        <v>0.88401542928597165</v>
      </c>
      <c r="BX89" s="34">
        <f>IF(A89&lt;17, SoC!O$3, IF(A89&lt;33, SoC!O$4, IF(A89&lt;49, SoC!O$5, IF(A89&lt;65, SoC!O$6, IF(A89&lt;81, SoC!O$7, IF(A89&lt;97, SoC!O$8, SoC!O$9))))))</f>
        <v>0.8076740483754814</v>
      </c>
      <c r="BY89" s="205">
        <f t="shared" si="110"/>
        <v>0.82238525705450394</v>
      </c>
      <c r="BZ89" s="205" t="str">
        <f t="shared" si="111"/>
        <v>B-</v>
      </c>
      <c r="CA89" s="35">
        <f t="shared" si="112"/>
        <v>3.3253080353182667</v>
      </c>
      <c r="CB89" s="245">
        <f t="shared" si="113"/>
        <v>0</v>
      </c>
      <c r="CC89" s="48">
        <v>9</v>
      </c>
      <c r="CD89" s="58" t="s">
        <v>908</v>
      </c>
      <c r="CE89">
        <v>29</v>
      </c>
      <c r="CF89">
        <v>29</v>
      </c>
      <c r="CG89">
        <v>29</v>
      </c>
      <c r="CH89">
        <v>29</v>
      </c>
      <c r="CI89">
        <v>29</v>
      </c>
      <c r="CJ89">
        <v>29</v>
      </c>
      <c r="CK89">
        <v>28</v>
      </c>
      <c r="CL89">
        <v>28</v>
      </c>
      <c r="CM89">
        <v>24</v>
      </c>
      <c r="CN89">
        <v>26</v>
      </c>
      <c r="CO89">
        <v>28</v>
      </c>
      <c r="CP89">
        <v>29</v>
      </c>
      <c r="CQ89">
        <v>30</v>
      </c>
      <c r="CR89">
        <v>36</v>
      </c>
      <c r="CS89">
        <v>38</v>
      </c>
      <c r="CT89">
        <v>32</v>
      </c>
      <c r="CU89">
        <v>34</v>
      </c>
      <c r="CV89">
        <v>44</v>
      </c>
      <c r="CW89">
        <v>47</v>
      </c>
      <c r="CX89">
        <v>52</v>
      </c>
      <c r="CY89">
        <v>57</v>
      </c>
      <c r="CZ89">
        <v>62</v>
      </c>
      <c r="DA89">
        <v>69</v>
      </c>
      <c r="DB89">
        <v>85</v>
      </c>
      <c r="DC89">
        <v>56</v>
      </c>
      <c r="DD89">
        <v>29</v>
      </c>
      <c r="DE89" s="154">
        <v>38</v>
      </c>
      <c r="DF89">
        <v>51</v>
      </c>
      <c r="DG89">
        <v>104</v>
      </c>
    </row>
    <row r="90" spans="1:111" x14ac:dyDescent="0.35">
      <c r="A90">
        <v>89</v>
      </c>
      <c r="B90" s="58" t="s">
        <v>799</v>
      </c>
      <c r="C90" s="58" t="s">
        <v>1106</v>
      </c>
      <c r="D90" s="58" t="s">
        <v>790</v>
      </c>
      <c r="F90" s="6">
        <v>11</v>
      </c>
      <c r="G90" s="6">
        <v>2</v>
      </c>
      <c r="H90" s="6"/>
      <c r="I90" s="6">
        <v>7</v>
      </c>
      <c r="J90" s="6">
        <v>2</v>
      </c>
      <c r="L90" s="1">
        <v>7</v>
      </c>
      <c r="M90" s="1">
        <v>6</v>
      </c>
      <c r="O90">
        <f>249+26</f>
        <v>275</v>
      </c>
      <c r="P90">
        <f>181+15</f>
        <v>196</v>
      </c>
      <c r="Q90">
        <v>116</v>
      </c>
      <c r="R90" s="9">
        <f>35.316+5.863+9.06+3.943+5.98</f>
        <v>60.162000000000006</v>
      </c>
      <c r="S90" s="263">
        <f>591+60+59+85+70</f>
        <v>865</v>
      </c>
      <c r="T90" s="203">
        <f>395.852+99.332+91.869+9.524+92.148</f>
        <v>688.72500000000002</v>
      </c>
      <c r="V90">
        <f>235+19</f>
        <v>254</v>
      </c>
      <c r="W90">
        <v>232</v>
      </c>
      <c r="X90">
        <v>109</v>
      </c>
      <c r="Y90" s="9">
        <f>22.112+5.895+3.134+2.706+5.962-7.849-4.041</f>
        <v>27.918999999999997</v>
      </c>
      <c r="Z90" s="263">
        <f>489+73+75+80+75+89+91</f>
        <v>972</v>
      </c>
      <c r="AA90" s="203">
        <f>227.829+(101.962-0.981)+67.917+25.554+99.114+3.746+21.679</f>
        <v>546.81999999999994</v>
      </c>
      <c r="AC90">
        <f t="shared" si="76"/>
        <v>338.5</v>
      </c>
      <c r="AD90">
        <f t="shared" si="77"/>
        <v>254</v>
      </c>
      <c r="AE90">
        <f t="shared" si="78"/>
        <v>143.25</v>
      </c>
      <c r="AF90">
        <f t="shared" si="79"/>
        <v>67.141750000000002</v>
      </c>
      <c r="AG90">
        <f t="shared" si="80"/>
        <v>1108</v>
      </c>
      <c r="AH90">
        <f t="shared" si="81"/>
        <v>825.43000000000006</v>
      </c>
      <c r="AI90" s="73">
        <f t="shared" si="82"/>
        <v>16.25</v>
      </c>
      <c r="AJ90" s="73">
        <f t="shared" si="83"/>
        <v>20.830769230769231</v>
      </c>
      <c r="AK90" s="73">
        <f t="shared" si="84"/>
        <v>15.63076923076923</v>
      </c>
      <c r="AL90" s="73">
        <f t="shared" si="85"/>
        <v>5.2000000000000011</v>
      </c>
      <c r="AM90" s="73">
        <f t="shared" si="86"/>
        <v>2.3630017452006982</v>
      </c>
      <c r="AN90" s="227">
        <f t="shared" si="87"/>
        <v>4.1318000000000001</v>
      </c>
      <c r="AO90" s="227">
        <f t="shared" si="88"/>
        <v>4.8132957905676372</v>
      </c>
      <c r="AP90" s="227">
        <f t="shared" si="89"/>
        <v>0.72745210471618194</v>
      </c>
      <c r="AQ90" s="89">
        <f t="shared" si="90"/>
        <v>4.4882367291856813</v>
      </c>
      <c r="AR90" s="73">
        <f t="shared" si="91"/>
        <v>68.184615384615384</v>
      </c>
      <c r="AS90" s="89">
        <f t="shared" si="92"/>
        <v>50.795692307692313</v>
      </c>
      <c r="AT90" s="89">
        <f t="shared" si="93"/>
        <v>7.1271096741731368</v>
      </c>
      <c r="AU90" s="9">
        <v>14</v>
      </c>
      <c r="AV90" s="9">
        <v>12</v>
      </c>
      <c r="AW90" s="9">
        <v>27</v>
      </c>
      <c r="AX90" s="54">
        <f t="shared" si="94"/>
        <v>53</v>
      </c>
      <c r="AZ90" s="49">
        <v>18</v>
      </c>
      <c r="BA90" s="48">
        <f t="shared" si="95"/>
        <v>18</v>
      </c>
      <c r="BB90" s="245">
        <f t="shared" si="96"/>
        <v>0</v>
      </c>
      <c r="BC90" s="36">
        <f t="shared" si="97"/>
        <v>0.72898829140009713</v>
      </c>
      <c r="BD90" s="205">
        <f t="shared" si="98"/>
        <v>0.9358974358974359</v>
      </c>
      <c r="BE90" s="205">
        <f t="shared" si="99"/>
        <v>0.77777777777777779</v>
      </c>
      <c r="BF90" s="205">
        <f t="shared" si="100"/>
        <v>0.70776916254662459</v>
      </c>
      <c r="BG90" s="205">
        <f t="shared" si="101"/>
        <v>0.70451704411138971</v>
      </c>
      <c r="BH90" s="205">
        <f t="shared" si="102"/>
        <v>0.76671887519798398</v>
      </c>
      <c r="BI90" s="205">
        <f t="shared" si="103"/>
        <v>0.11808091044507518</v>
      </c>
      <c r="BJ90" s="205">
        <f t="shared" si="104"/>
        <v>0.6227338023118284</v>
      </c>
      <c r="BK90" s="205">
        <f t="shared" si="105"/>
        <v>0.56799738468967131</v>
      </c>
      <c r="BL90" s="205">
        <f t="shared" si="106"/>
        <v>0.74652919917825411</v>
      </c>
      <c r="BM90" s="205">
        <f t="shared" si="107"/>
        <v>0.42063492063492064</v>
      </c>
      <c r="BN90" s="48">
        <v>15</v>
      </c>
      <c r="BO90" s="220">
        <f t="shared" si="108"/>
        <v>68</v>
      </c>
      <c r="BP90" s="220">
        <v>79</v>
      </c>
      <c r="BQ90" s="220">
        <f t="shared" si="109"/>
        <v>147</v>
      </c>
      <c r="BR90" s="205">
        <v>0.33333333333333331</v>
      </c>
      <c r="BS90" s="35">
        <v>0.72898829140009713</v>
      </c>
      <c r="BT90">
        <v>2</v>
      </c>
      <c r="BU90" s="205">
        <v>7.1271096741731368</v>
      </c>
      <c r="BV90" s="34">
        <v>0.70776916254662459</v>
      </c>
      <c r="BW90" s="34">
        <v>0.70451704411138971</v>
      </c>
      <c r="BX90" s="34">
        <f>IF(A90&lt;17, SoC!O$3, IF(A90&lt;33, SoC!O$4, IF(A90&lt;49, SoC!O$5, IF(A90&lt;65, SoC!O$6, IF(A90&lt;81, SoC!O$7, IF(A90&lt;97, SoC!O$8, SoC!O$9))))))</f>
        <v>0.8076740483754814</v>
      </c>
      <c r="BY90" s="205">
        <f t="shared" si="110"/>
        <v>0.85380811158017067</v>
      </c>
      <c r="BZ90" s="205" t="str">
        <f t="shared" si="111"/>
        <v>B</v>
      </c>
      <c r="CA90" s="35">
        <f t="shared" si="112"/>
        <v>4.5107901631028398</v>
      </c>
      <c r="CB90" s="245">
        <f t="shared" si="113"/>
        <v>0</v>
      </c>
      <c r="CC90" s="48">
        <v>53</v>
      </c>
      <c r="CD90" s="58" t="s">
        <v>790</v>
      </c>
      <c r="CE90">
        <v>18</v>
      </c>
      <c r="CF90">
        <v>18</v>
      </c>
      <c r="CG90">
        <v>18</v>
      </c>
      <c r="CH90">
        <v>18</v>
      </c>
      <c r="CI90">
        <v>18</v>
      </c>
      <c r="CJ90">
        <v>18</v>
      </c>
      <c r="CK90">
        <v>17</v>
      </c>
      <c r="CL90">
        <v>17</v>
      </c>
      <c r="CM90">
        <v>19</v>
      </c>
      <c r="CN90">
        <v>19</v>
      </c>
      <c r="CO90">
        <v>18</v>
      </c>
      <c r="CP90">
        <v>20</v>
      </c>
      <c r="CQ90">
        <v>20</v>
      </c>
      <c r="CR90">
        <v>15</v>
      </c>
      <c r="CS90">
        <v>15</v>
      </c>
      <c r="CT90">
        <v>17</v>
      </c>
      <c r="CU90">
        <v>19</v>
      </c>
      <c r="CV90">
        <v>18</v>
      </c>
      <c r="CW90">
        <v>22</v>
      </c>
      <c r="CX90">
        <v>24</v>
      </c>
      <c r="CY90">
        <v>23</v>
      </c>
      <c r="CZ90">
        <v>20</v>
      </c>
      <c r="DA90">
        <v>22</v>
      </c>
      <c r="DB90">
        <v>29</v>
      </c>
      <c r="DC90">
        <v>14</v>
      </c>
      <c r="DD90">
        <v>10</v>
      </c>
      <c r="DE90" s="154">
        <v>10</v>
      </c>
      <c r="DF90">
        <v>10</v>
      </c>
      <c r="DG90">
        <v>60</v>
      </c>
    </row>
    <row r="91" spans="1:111" x14ac:dyDescent="0.35">
      <c r="A91">
        <v>90</v>
      </c>
      <c r="B91" s="58" t="s">
        <v>799</v>
      </c>
      <c r="C91" s="58" t="s">
        <v>1106</v>
      </c>
      <c r="D91" s="58" t="s">
        <v>794</v>
      </c>
      <c r="F91" s="6">
        <v>5</v>
      </c>
      <c r="G91" s="6">
        <v>8</v>
      </c>
      <c r="H91" s="6"/>
      <c r="I91" s="6">
        <v>4</v>
      </c>
      <c r="J91" s="6">
        <v>5</v>
      </c>
      <c r="L91" s="1">
        <v>10</v>
      </c>
      <c r="M91" s="1">
        <v>7</v>
      </c>
      <c r="O91">
        <v>208</v>
      </c>
      <c r="P91">
        <v>235</v>
      </c>
      <c r="Q91">
        <v>108</v>
      </c>
      <c r="R91" s="9">
        <f>-8.025+3.696+3.271-6.819-5.98</f>
        <v>-13.857000000000001</v>
      </c>
      <c r="S91" s="263">
        <f>307+42+61+79+70</f>
        <v>559</v>
      </c>
      <c r="T91" s="203">
        <f>276.901+96.499+10.513+9.913+11.009</f>
        <v>404.83499999999998</v>
      </c>
      <c r="V91">
        <v>313</v>
      </c>
      <c r="W91">
        <f>298+16</f>
        <v>314</v>
      </c>
      <c r="X91">
        <v>162</v>
      </c>
      <c r="Y91" s="9">
        <f>-14.399-4.146-0.984-8.751-13.028-0.817+2.83</f>
        <v>-39.294999999999995</v>
      </c>
      <c r="Z91" s="263">
        <f>598+81+79+79+77+61+59</f>
        <v>1034</v>
      </c>
      <c r="AA91" s="203">
        <f>530.879+61.758+44.38+35.7+13.26+4.388+35.436</f>
        <v>725.80100000000016</v>
      </c>
      <c r="AC91">
        <f t="shared" si="76"/>
        <v>286.25</v>
      </c>
      <c r="AD91">
        <f t="shared" si="77"/>
        <v>313.5</v>
      </c>
      <c r="AE91">
        <f t="shared" si="78"/>
        <v>148.5</v>
      </c>
      <c r="AF91">
        <f t="shared" si="79"/>
        <v>-23.68075</v>
      </c>
      <c r="AG91">
        <f t="shared" si="80"/>
        <v>817.5</v>
      </c>
      <c r="AH91">
        <f t="shared" si="81"/>
        <v>586.28525000000002</v>
      </c>
      <c r="AI91" s="73">
        <f t="shared" si="82"/>
        <v>17.25</v>
      </c>
      <c r="AJ91" s="73">
        <f t="shared" si="83"/>
        <v>16.594202898550726</v>
      </c>
      <c r="AK91" s="73">
        <f t="shared" si="84"/>
        <v>18.173913043478262</v>
      </c>
      <c r="AL91" s="73">
        <f t="shared" si="85"/>
        <v>-1.5797101449275353</v>
      </c>
      <c r="AM91" s="73">
        <f t="shared" si="86"/>
        <v>1.9276094276094276</v>
      </c>
      <c r="AN91" s="227">
        <f t="shared" si="87"/>
        <v>-0.68639855072463762</v>
      </c>
      <c r="AO91" s="227">
        <f t="shared" si="88"/>
        <v>-0.46823507084899685</v>
      </c>
      <c r="AP91" s="227">
        <f t="shared" si="89"/>
        <v>-0.42507652335390089</v>
      </c>
      <c r="AQ91" s="89">
        <f t="shared" si="90"/>
        <v>1.8133956624641534</v>
      </c>
      <c r="AR91" s="73">
        <f t="shared" si="91"/>
        <v>47.391304347826086</v>
      </c>
      <c r="AS91" s="89">
        <f t="shared" si="92"/>
        <v>33.987550724637686</v>
      </c>
      <c r="AT91" s="89">
        <f t="shared" si="93"/>
        <v>5.8298842805528901</v>
      </c>
      <c r="AU91" s="9">
        <v>28</v>
      </c>
      <c r="AV91" s="9">
        <v>24</v>
      </c>
      <c r="AW91" s="9">
        <v>20</v>
      </c>
      <c r="AX91" s="54">
        <f t="shared" si="94"/>
        <v>72</v>
      </c>
      <c r="AZ91" s="49">
        <v>58</v>
      </c>
      <c r="BA91" s="48">
        <f t="shared" si="95"/>
        <v>58</v>
      </c>
      <c r="BB91" s="245">
        <f t="shared" si="96"/>
        <v>0</v>
      </c>
      <c r="BC91" s="36">
        <f t="shared" si="97"/>
        <v>0.51288486953437484</v>
      </c>
      <c r="BD91" s="205">
        <f t="shared" si="98"/>
        <v>0.51282051282051289</v>
      </c>
      <c r="BE91" s="205">
        <f t="shared" si="99"/>
        <v>0.44444444444444442</v>
      </c>
      <c r="BF91" s="205">
        <f t="shared" si="100"/>
        <v>0.34506651179469189</v>
      </c>
      <c r="BG91" s="205">
        <f t="shared" si="101"/>
        <v>0.46724031960663803</v>
      </c>
      <c r="BH91" s="205">
        <f t="shared" si="102"/>
        <v>0.28551506169962526</v>
      </c>
      <c r="BI91" s="205">
        <f t="shared" si="103"/>
        <v>0.71767611743309256</v>
      </c>
      <c r="BJ91" s="205">
        <f t="shared" si="104"/>
        <v>0.50245593191935889</v>
      </c>
      <c r="BK91" s="205">
        <f t="shared" si="105"/>
        <v>0.30792000754423526</v>
      </c>
      <c r="BL91" s="205">
        <f t="shared" si="106"/>
        <v>0.54944805776646821</v>
      </c>
      <c r="BM91" s="205">
        <f t="shared" si="107"/>
        <v>0.5714285714285714</v>
      </c>
      <c r="BN91" s="48">
        <v>5</v>
      </c>
      <c r="BO91" s="220">
        <f t="shared" si="108"/>
        <v>77</v>
      </c>
      <c r="BP91" s="220">
        <v>32</v>
      </c>
      <c r="BQ91" s="220">
        <f t="shared" si="109"/>
        <v>109</v>
      </c>
      <c r="BR91" s="205">
        <v>-2</v>
      </c>
      <c r="BS91" s="35">
        <v>0.51288486953437484</v>
      </c>
      <c r="BT91">
        <v>3</v>
      </c>
      <c r="BU91" s="205">
        <v>5.8298842805528901</v>
      </c>
      <c r="BV91" s="34">
        <v>0.34506651179469189</v>
      </c>
      <c r="BW91" s="34">
        <v>0.46724031960663803</v>
      </c>
      <c r="BX91" s="34">
        <f>IF(A91&lt;17, SoC!O$3, IF(A91&lt;33, SoC!O$4, IF(A91&lt;49, SoC!O$5, IF(A91&lt;65, SoC!O$6, IF(A91&lt;81, SoC!O$7, IF(A91&lt;97, SoC!O$8, SoC!O$9))))))</f>
        <v>0.8076740483754814</v>
      </c>
      <c r="BY91" s="205">
        <f t="shared" si="110"/>
        <v>0.71615980725978667</v>
      </c>
      <c r="BZ91" s="205" t="str">
        <f t="shared" si="111"/>
        <v>C-</v>
      </c>
      <c r="CA91" s="35">
        <f t="shared" si="112"/>
        <v>-0.45989097102173032</v>
      </c>
      <c r="CB91" s="245">
        <f t="shared" si="113"/>
        <v>0</v>
      </c>
      <c r="CC91" s="48">
        <v>65</v>
      </c>
      <c r="CD91" s="58" t="s">
        <v>794</v>
      </c>
      <c r="CE91">
        <v>58</v>
      </c>
      <c r="CF91">
        <v>58</v>
      </c>
      <c r="CG91">
        <v>58</v>
      </c>
      <c r="CH91">
        <v>58</v>
      </c>
      <c r="CI91">
        <v>58</v>
      </c>
      <c r="CJ91">
        <v>58</v>
      </c>
      <c r="CK91">
        <v>58</v>
      </c>
      <c r="CL91">
        <v>58</v>
      </c>
      <c r="CM91">
        <v>59</v>
      </c>
      <c r="CN91">
        <v>58</v>
      </c>
      <c r="CO91">
        <v>58</v>
      </c>
      <c r="CP91">
        <v>52</v>
      </c>
      <c r="CQ91">
        <v>50</v>
      </c>
      <c r="CR91">
        <v>43</v>
      </c>
      <c r="CS91">
        <v>42</v>
      </c>
      <c r="CT91">
        <v>41</v>
      </c>
      <c r="CU91">
        <v>41</v>
      </c>
      <c r="CV91">
        <v>48</v>
      </c>
      <c r="CW91">
        <v>55</v>
      </c>
      <c r="CX91">
        <v>53</v>
      </c>
      <c r="CY91">
        <v>53</v>
      </c>
      <c r="CZ91">
        <v>61</v>
      </c>
      <c r="DA91">
        <v>80</v>
      </c>
      <c r="DB91">
        <v>101</v>
      </c>
      <c r="DC91">
        <v>106</v>
      </c>
      <c r="DD91">
        <v>104</v>
      </c>
      <c r="DE91" s="154">
        <v>98</v>
      </c>
      <c r="DF91">
        <v>74</v>
      </c>
      <c r="DG91">
        <v>48</v>
      </c>
    </row>
    <row r="92" spans="1:111" ht="13.75" customHeight="1" x14ac:dyDescent="0.35">
      <c r="A92">
        <v>91</v>
      </c>
      <c r="B92" s="58" t="s">
        <v>799</v>
      </c>
      <c r="C92" s="58" t="s">
        <v>1106</v>
      </c>
      <c r="D92" s="58" t="s">
        <v>792</v>
      </c>
      <c r="F92" s="6">
        <v>3</v>
      </c>
      <c r="G92" s="6">
        <v>10</v>
      </c>
      <c r="H92" s="6"/>
      <c r="I92" s="6">
        <v>2</v>
      </c>
      <c r="J92" s="6">
        <v>7</v>
      </c>
      <c r="L92" s="1">
        <v>0</v>
      </c>
      <c r="M92" s="1">
        <v>9</v>
      </c>
      <c r="O92">
        <v>208</v>
      </c>
      <c r="P92">
        <v>258</v>
      </c>
      <c r="Q92">
        <v>102</v>
      </c>
      <c r="R92" s="9">
        <f>-17.432-7.086-9.078+0.732-2.294</f>
        <v>-35.158000000000001</v>
      </c>
      <c r="S92" s="263">
        <f>468+39+57+12+29</f>
        <v>605</v>
      </c>
      <c r="T92" s="203">
        <f>191.303+8.289+37.981+(167.123-33.5615)+0</f>
        <v>371.1345</v>
      </c>
      <c r="V92">
        <v>113</v>
      </c>
      <c r="W92">
        <v>196</v>
      </c>
      <c r="X92">
        <v>62</v>
      </c>
      <c r="Y92" s="9">
        <f>-56.119</f>
        <v>-56.119</v>
      </c>
      <c r="Z92" s="263">
        <f>528</f>
        <v>528</v>
      </c>
      <c r="AA92" s="203">
        <f>76.336</f>
        <v>76.335999999999999</v>
      </c>
      <c r="AC92">
        <f t="shared" si="76"/>
        <v>236.25</v>
      </c>
      <c r="AD92">
        <f t="shared" si="77"/>
        <v>307</v>
      </c>
      <c r="AE92">
        <f t="shared" si="78"/>
        <v>117.5</v>
      </c>
      <c r="AF92">
        <f t="shared" si="79"/>
        <v>-49.187750000000001</v>
      </c>
      <c r="AG92">
        <f t="shared" si="80"/>
        <v>737</v>
      </c>
      <c r="AH92">
        <f t="shared" si="81"/>
        <v>390.21850000000001</v>
      </c>
      <c r="AI92" s="73">
        <f t="shared" si="82"/>
        <v>15.25</v>
      </c>
      <c r="AJ92" s="73">
        <f t="shared" si="83"/>
        <v>15.491803278688524</v>
      </c>
      <c r="AK92" s="73">
        <f t="shared" si="84"/>
        <v>20.131147540983605</v>
      </c>
      <c r="AL92" s="73">
        <f t="shared" si="85"/>
        <v>-4.6393442622950811</v>
      </c>
      <c r="AM92" s="73">
        <f t="shared" si="86"/>
        <v>2.0106382978723403</v>
      </c>
      <c r="AN92" s="227">
        <f t="shared" si="87"/>
        <v>-1.6127131147540985</v>
      </c>
      <c r="AO92" s="227">
        <f t="shared" si="88"/>
        <v>-1.4836267998937662</v>
      </c>
      <c r="AP92" s="227">
        <f t="shared" si="89"/>
        <v>-1.5430043476472166</v>
      </c>
      <c r="AQ92" s="89">
        <f t="shared" si="90"/>
        <v>1.2355104776993311</v>
      </c>
      <c r="AR92" s="73">
        <f t="shared" si="91"/>
        <v>48.327868852459019</v>
      </c>
      <c r="AS92" s="89">
        <f t="shared" si="92"/>
        <v>25.588098360655739</v>
      </c>
      <c r="AT92" s="89">
        <f t="shared" si="93"/>
        <v>5.0584679855323529</v>
      </c>
      <c r="AU92" s="9">
        <v>28</v>
      </c>
      <c r="AV92" s="9">
        <v>6</v>
      </c>
      <c r="AW92" s="20">
        <v>11</v>
      </c>
      <c r="AX92" s="54">
        <f t="shared" si="94"/>
        <v>45</v>
      </c>
      <c r="AZ92" s="49">
        <v>88</v>
      </c>
      <c r="BA92" s="48">
        <f t="shared" si="95"/>
        <v>88</v>
      </c>
      <c r="BB92" s="245">
        <f t="shared" si="96"/>
        <v>0</v>
      </c>
      <c r="BC92" s="36">
        <f t="shared" si="97"/>
        <v>0.36669542438981945</v>
      </c>
      <c r="BD92" s="205">
        <f t="shared" si="98"/>
        <v>0.23076923076923078</v>
      </c>
      <c r="BE92" s="205">
        <f t="shared" si="99"/>
        <v>0.22222222222222221</v>
      </c>
      <c r="BF92" s="205">
        <f t="shared" si="100"/>
        <v>0.25068742435513247</v>
      </c>
      <c r="BG92" s="205">
        <f t="shared" si="101"/>
        <v>0.2846292583151131</v>
      </c>
      <c r="BH92" s="205">
        <f t="shared" si="102"/>
        <v>0.37728013744099642</v>
      </c>
      <c r="BI92" s="205">
        <f t="shared" si="103"/>
        <v>0.8329502737195178</v>
      </c>
      <c r="BJ92" s="205">
        <f t="shared" si="104"/>
        <v>0.38578900089167217</v>
      </c>
      <c r="BK92" s="205">
        <f t="shared" si="105"/>
        <v>0.24081115304783651</v>
      </c>
      <c r="BL92" s="205">
        <f t="shared" si="106"/>
        <v>0.43225053397916835</v>
      </c>
      <c r="BM92" s="205">
        <f t="shared" si="107"/>
        <v>0.35714285714285715</v>
      </c>
      <c r="BN92" s="48">
        <v>5</v>
      </c>
      <c r="BO92" s="220">
        <f t="shared" si="108"/>
        <v>50</v>
      </c>
      <c r="BP92" s="220">
        <v>11</v>
      </c>
      <c r="BQ92" s="220">
        <f t="shared" si="109"/>
        <v>61</v>
      </c>
      <c r="BR92" s="205">
        <v>-0.66666666666666663</v>
      </c>
      <c r="BS92" s="35">
        <v>0.36669542438981945</v>
      </c>
      <c r="BT92">
        <v>4</v>
      </c>
      <c r="BU92" s="205">
        <v>5.0584679855323529</v>
      </c>
      <c r="BV92" s="34">
        <v>0.25068742435513247</v>
      </c>
      <c r="BW92" s="34">
        <v>0.2846292583151131</v>
      </c>
      <c r="BX92" s="34">
        <f>IF(A92&lt;17, SoC!O$3, IF(A92&lt;33, SoC!O$4, IF(A92&lt;49, SoC!O$5, IF(A92&lt;65, SoC!O$6, IF(A92&lt;81, SoC!O$7, IF(A92&lt;97, SoC!O$8, SoC!O$9))))))</f>
        <v>0.8076740483754814</v>
      </c>
      <c r="BY92" s="205">
        <f t="shared" si="110"/>
        <v>0.60555381626228688</v>
      </c>
      <c r="BZ92" s="205" t="str">
        <f t="shared" si="111"/>
        <v>D-</v>
      </c>
      <c r="CA92" s="35">
        <f t="shared" si="112"/>
        <v>-3.769388021423107</v>
      </c>
      <c r="CB92" s="245">
        <f t="shared" si="113"/>
        <v>0</v>
      </c>
      <c r="CC92" s="48">
        <v>85</v>
      </c>
      <c r="CD92" s="58" t="s">
        <v>792</v>
      </c>
      <c r="CE92">
        <v>88</v>
      </c>
      <c r="CF92">
        <v>88</v>
      </c>
      <c r="CG92">
        <v>88</v>
      </c>
      <c r="CH92">
        <v>88</v>
      </c>
      <c r="CI92">
        <v>88</v>
      </c>
      <c r="CJ92">
        <v>88</v>
      </c>
      <c r="CK92">
        <v>88</v>
      </c>
      <c r="CL92">
        <v>88</v>
      </c>
      <c r="CM92">
        <v>88</v>
      </c>
      <c r="CN92">
        <v>88</v>
      </c>
      <c r="CO92">
        <v>88</v>
      </c>
      <c r="CP92">
        <v>85</v>
      </c>
      <c r="CQ92">
        <v>85</v>
      </c>
      <c r="CR92">
        <v>101</v>
      </c>
      <c r="CS92">
        <v>101</v>
      </c>
      <c r="CT92">
        <v>96</v>
      </c>
      <c r="CU92">
        <v>97</v>
      </c>
      <c r="CV92">
        <v>93</v>
      </c>
      <c r="CW92">
        <v>92</v>
      </c>
      <c r="CX92">
        <v>94</v>
      </c>
      <c r="CY92">
        <v>88</v>
      </c>
      <c r="CZ92">
        <v>80</v>
      </c>
      <c r="DA92">
        <v>83</v>
      </c>
      <c r="DB92">
        <v>71</v>
      </c>
      <c r="DC92">
        <v>47</v>
      </c>
      <c r="DD92">
        <v>38</v>
      </c>
      <c r="DE92" s="154">
        <v>44</v>
      </c>
      <c r="DF92">
        <v>85</v>
      </c>
      <c r="DG92">
        <v>28</v>
      </c>
    </row>
    <row r="93" spans="1:111" x14ac:dyDescent="0.35">
      <c r="A93">
        <v>92</v>
      </c>
      <c r="B93" s="58" t="s">
        <v>799</v>
      </c>
      <c r="C93" s="58" t="s">
        <v>1106</v>
      </c>
      <c r="D93" s="58" t="s">
        <v>791</v>
      </c>
      <c r="F93" s="6">
        <v>6</v>
      </c>
      <c r="G93" s="6">
        <v>7</v>
      </c>
      <c r="H93" s="6"/>
      <c r="I93" s="6">
        <v>5</v>
      </c>
      <c r="J93" s="6">
        <v>4</v>
      </c>
      <c r="L93" s="1">
        <v>2</v>
      </c>
      <c r="M93" s="1">
        <v>2</v>
      </c>
      <c r="O93">
        <f>192+17</f>
        <v>209</v>
      </c>
      <c r="P93">
        <v>223</v>
      </c>
      <c r="Q93">
        <v>116</v>
      </c>
      <c r="R93" s="9">
        <f>-10.513-0.225+0.303-5.463+2.294</f>
        <v>-13.603999999999999</v>
      </c>
      <c r="S93" s="263">
        <f>476+23+34+60+29</f>
        <v>622</v>
      </c>
      <c r="T93" s="203">
        <f>174.658+32.506+7.179+45.92+66.921</f>
        <v>327.18399999999997</v>
      </c>
      <c r="V93">
        <v>70</v>
      </c>
      <c r="W93">
        <v>77</v>
      </c>
      <c r="X93">
        <v>40</v>
      </c>
      <c r="Y93" s="9">
        <f>-12.188</f>
        <v>-12.188000000000001</v>
      </c>
      <c r="Z93" s="263">
        <f>210</f>
        <v>210</v>
      </c>
      <c r="AA93" s="203">
        <f>171.965</f>
        <v>171.965</v>
      </c>
      <c r="AC93">
        <f t="shared" si="76"/>
        <v>226.5</v>
      </c>
      <c r="AD93">
        <f t="shared" si="77"/>
        <v>242.25</v>
      </c>
      <c r="AE93">
        <f t="shared" si="78"/>
        <v>126</v>
      </c>
      <c r="AF93">
        <f t="shared" si="79"/>
        <v>-16.651</v>
      </c>
      <c r="AG93">
        <f t="shared" si="80"/>
        <v>674.5</v>
      </c>
      <c r="AH93">
        <f t="shared" si="81"/>
        <v>370.17524999999995</v>
      </c>
      <c r="AI93" s="73">
        <f t="shared" si="82"/>
        <v>14</v>
      </c>
      <c r="AJ93" s="73">
        <f t="shared" si="83"/>
        <v>16.178571428571427</v>
      </c>
      <c r="AK93" s="73">
        <f t="shared" si="84"/>
        <v>17.303571428571427</v>
      </c>
      <c r="AL93" s="73">
        <f t="shared" si="85"/>
        <v>-1.125</v>
      </c>
      <c r="AM93" s="73">
        <f t="shared" si="86"/>
        <v>1.7976190476190477</v>
      </c>
      <c r="AN93" s="227">
        <f t="shared" si="87"/>
        <v>-0.59467857142857139</v>
      </c>
      <c r="AO93" s="227">
        <f t="shared" si="88"/>
        <v>-0.36769502540238186</v>
      </c>
      <c r="AP93" s="227">
        <f t="shared" si="89"/>
        <v>-0.16262640316904675</v>
      </c>
      <c r="AQ93" s="89">
        <f t="shared" si="90"/>
        <v>1.9333863131238225</v>
      </c>
      <c r="AR93" s="73">
        <f t="shared" si="91"/>
        <v>48.178571428571431</v>
      </c>
      <c r="AS93" s="89">
        <f t="shared" si="92"/>
        <v>26.441089285714281</v>
      </c>
      <c r="AT93" s="89">
        <f t="shared" si="93"/>
        <v>5.1420899725417373</v>
      </c>
      <c r="AU93" s="9">
        <v>7</v>
      </c>
      <c r="AV93" s="9">
        <v>12</v>
      </c>
      <c r="AX93" s="54">
        <f t="shared" si="94"/>
        <v>19</v>
      </c>
      <c r="AZ93" s="49">
        <v>65</v>
      </c>
      <c r="BA93" s="48">
        <f t="shared" si="95"/>
        <v>65</v>
      </c>
      <c r="BB93" s="245">
        <f t="shared" si="96"/>
        <v>0</v>
      </c>
      <c r="BC93" s="36">
        <f t="shared" si="97"/>
        <v>0.47981404962459628</v>
      </c>
      <c r="BD93" s="205">
        <f t="shared" si="98"/>
        <v>0.48717948717948717</v>
      </c>
      <c r="BE93" s="205">
        <f t="shared" si="99"/>
        <v>0.55555555555555558</v>
      </c>
      <c r="BF93" s="205">
        <f t="shared" si="100"/>
        <v>0.3094833002795136</v>
      </c>
      <c r="BG93" s="205">
        <f t="shared" si="101"/>
        <v>0.5484436737202566</v>
      </c>
      <c r="BH93" s="205">
        <f t="shared" si="102"/>
        <v>0.14184723835462812</v>
      </c>
      <c r="BI93" s="205">
        <f t="shared" si="103"/>
        <v>0.70626212953035439</v>
      </c>
      <c r="BJ93" s="205">
        <f t="shared" si="104"/>
        <v>0.52984522253762412</v>
      </c>
      <c r="BK93" s="205">
        <f t="shared" si="105"/>
        <v>0.32105918646001808</v>
      </c>
      <c r="BL93" s="205">
        <f t="shared" si="106"/>
        <v>0.44495481553885807</v>
      </c>
      <c r="BM93" s="205">
        <f t="shared" si="107"/>
        <v>0.15079365079365079</v>
      </c>
      <c r="BN93" s="48">
        <v>10</v>
      </c>
      <c r="BO93" s="220">
        <f t="shared" si="108"/>
        <v>29</v>
      </c>
      <c r="BP93" s="220">
        <v>26</v>
      </c>
      <c r="BQ93" s="220">
        <f t="shared" si="109"/>
        <v>55</v>
      </c>
      <c r="BR93" s="205">
        <v>0</v>
      </c>
      <c r="BS93" s="35">
        <v>0.47981404962459628</v>
      </c>
      <c r="BT93">
        <v>1</v>
      </c>
      <c r="BU93" s="205">
        <v>5.1420899725417373</v>
      </c>
      <c r="BV93" s="34">
        <v>0.3094833002795136</v>
      </c>
      <c r="BW93" s="34">
        <v>0.5484436737202566</v>
      </c>
      <c r="BX93" s="34">
        <f>IF(A93&lt;17, SoC!O$3, IF(A93&lt;33, SoC!O$4, IF(A93&lt;49, SoC!O$5, IF(A93&lt;65, SoC!O$6, IF(A93&lt;81, SoC!O$7, IF(A93&lt;97, SoC!O$8, SoC!O$9))))))</f>
        <v>0.8076740483754814</v>
      </c>
      <c r="BY93" s="205">
        <f t="shared" si="110"/>
        <v>0.69268611190393903</v>
      </c>
      <c r="BZ93" s="205" t="str">
        <f t="shared" si="111"/>
        <v>D+</v>
      </c>
      <c r="CA93" s="35">
        <f t="shared" si="112"/>
        <v>-1.4652045232228779</v>
      </c>
      <c r="CB93" s="245">
        <f t="shared" si="113"/>
        <v>0</v>
      </c>
      <c r="CC93" s="48">
        <v>27</v>
      </c>
      <c r="CD93" s="58" t="s">
        <v>791</v>
      </c>
      <c r="CE93">
        <v>65</v>
      </c>
      <c r="CF93">
        <v>65</v>
      </c>
      <c r="CG93">
        <v>65</v>
      </c>
      <c r="CH93">
        <v>65</v>
      </c>
      <c r="CI93">
        <v>65</v>
      </c>
      <c r="CJ93">
        <v>65</v>
      </c>
      <c r="CK93">
        <v>64</v>
      </c>
      <c r="CL93">
        <v>64</v>
      </c>
      <c r="CM93">
        <v>64</v>
      </c>
      <c r="CN93">
        <v>64</v>
      </c>
      <c r="CO93">
        <v>65</v>
      </c>
      <c r="CP93">
        <v>70</v>
      </c>
      <c r="CQ93">
        <v>70</v>
      </c>
      <c r="CR93">
        <v>80</v>
      </c>
      <c r="CS93">
        <v>80</v>
      </c>
      <c r="CT93">
        <v>79</v>
      </c>
      <c r="CU93">
        <v>78</v>
      </c>
      <c r="CV93">
        <v>85</v>
      </c>
      <c r="CW93">
        <v>79</v>
      </c>
      <c r="CX93">
        <v>85</v>
      </c>
      <c r="CY93">
        <v>86</v>
      </c>
      <c r="CZ93">
        <v>69</v>
      </c>
      <c r="DA93">
        <v>66</v>
      </c>
      <c r="DB93">
        <v>64</v>
      </c>
      <c r="DC93">
        <v>68</v>
      </c>
      <c r="DD93">
        <v>51</v>
      </c>
      <c r="DE93" s="154">
        <v>29</v>
      </c>
      <c r="DF93">
        <v>45</v>
      </c>
      <c r="DG93">
        <v>86</v>
      </c>
    </row>
    <row r="94" spans="1:111" x14ac:dyDescent="0.35">
      <c r="A94">
        <v>93</v>
      </c>
      <c r="B94" s="58" t="s">
        <v>799</v>
      </c>
      <c r="C94" s="58" t="s">
        <v>1105</v>
      </c>
      <c r="D94" s="58" t="s">
        <v>909</v>
      </c>
      <c r="F94" s="6">
        <v>5</v>
      </c>
      <c r="G94" s="6">
        <v>8</v>
      </c>
      <c r="H94" s="6"/>
      <c r="I94" s="6">
        <v>4</v>
      </c>
      <c r="J94" s="6">
        <v>5</v>
      </c>
      <c r="L94" s="1">
        <v>0</v>
      </c>
      <c r="M94" s="1">
        <v>2</v>
      </c>
      <c r="O94">
        <f>176+23</f>
        <v>199</v>
      </c>
      <c r="P94">
        <f>232+15</f>
        <v>247</v>
      </c>
      <c r="Q94">
        <f>94+14</f>
        <v>108</v>
      </c>
      <c r="R94" s="9">
        <f>-10.585-11.329+3.286+1.677-2.316</f>
        <v>-19.266999999999999</v>
      </c>
      <c r="S94" s="263">
        <f>387+63+18+17+18</f>
        <v>503</v>
      </c>
      <c r="T94" s="203">
        <f>197.166+11.881+6.238+5.302+65.709</f>
        <v>286.29599999999999</v>
      </c>
      <c r="V94">
        <v>27</v>
      </c>
      <c r="W94">
        <v>43</v>
      </c>
      <c r="X94">
        <v>12</v>
      </c>
      <c r="Y94" s="9">
        <f>6.363</f>
        <v>6.3630000000000004</v>
      </c>
      <c r="Z94" s="263">
        <f>69</f>
        <v>69</v>
      </c>
      <c r="AA94" s="203">
        <f>11.1</f>
        <v>11.1</v>
      </c>
      <c r="AC94">
        <f t="shared" si="76"/>
        <v>205.75</v>
      </c>
      <c r="AD94">
        <f t="shared" si="77"/>
        <v>257.75</v>
      </c>
      <c r="AE94">
        <f t="shared" si="78"/>
        <v>111</v>
      </c>
      <c r="AF94">
        <f t="shared" si="79"/>
        <v>-17.67625</v>
      </c>
      <c r="AG94">
        <f t="shared" si="80"/>
        <v>520.25</v>
      </c>
      <c r="AH94">
        <f t="shared" si="81"/>
        <v>289.07099999999997</v>
      </c>
      <c r="AI94" s="73">
        <f t="shared" si="82"/>
        <v>13.5</v>
      </c>
      <c r="AJ94" s="73">
        <f t="shared" si="83"/>
        <v>15.24074074074074</v>
      </c>
      <c r="AK94" s="73">
        <f t="shared" si="84"/>
        <v>19.092592592592592</v>
      </c>
      <c r="AL94" s="73">
        <f t="shared" si="85"/>
        <v>-3.8518518518518512</v>
      </c>
      <c r="AM94" s="73">
        <f t="shared" si="86"/>
        <v>1.8536036036036037</v>
      </c>
      <c r="AN94" s="227">
        <f t="shared" si="87"/>
        <v>-0.65467592592592594</v>
      </c>
      <c r="AO94" s="227">
        <f t="shared" si="88"/>
        <v>-0.43346190404906526</v>
      </c>
      <c r="AP94" s="227">
        <f t="shared" si="89"/>
        <v>-2.7637140218768601</v>
      </c>
      <c r="AQ94" s="89">
        <f t="shared" si="90"/>
        <v>1.1182335930338678</v>
      </c>
      <c r="AR94" s="73">
        <f t="shared" si="91"/>
        <v>38.537037037037038</v>
      </c>
      <c r="AS94" s="89">
        <f t="shared" si="92"/>
        <v>21.412666666666663</v>
      </c>
      <c r="AT94" s="89">
        <f t="shared" si="93"/>
        <v>4.6273822693469642</v>
      </c>
      <c r="AU94" s="9">
        <v>14</v>
      </c>
      <c r="AV94" s="9">
        <v>0</v>
      </c>
      <c r="AX94" s="54">
        <f t="shared" si="94"/>
        <v>14</v>
      </c>
      <c r="AZ94" s="49">
        <v>87</v>
      </c>
      <c r="BA94" s="48">
        <f t="shared" si="95"/>
        <v>87</v>
      </c>
      <c r="BB94" s="245">
        <f t="shared" si="96"/>
        <v>0</v>
      </c>
      <c r="BC94" s="36">
        <f t="shared" si="97"/>
        <v>0.37806572026558405</v>
      </c>
      <c r="BD94" s="205">
        <f t="shared" si="98"/>
        <v>0.38461538461538464</v>
      </c>
      <c r="BE94" s="205">
        <f t="shared" si="99"/>
        <v>0.44444444444444442</v>
      </c>
      <c r="BF94" s="205">
        <f t="shared" si="100"/>
        <v>0.22919335560288329</v>
      </c>
      <c r="BG94" s="205">
        <f t="shared" si="101"/>
        <v>0.38152700949259055</v>
      </c>
      <c r="BH94" s="205">
        <f t="shared" si="102"/>
        <v>0.20372242711730837</v>
      </c>
      <c r="BI94" s="205">
        <f t="shared" si="103"/>
        <v>0.71372843167831479</v>
      </c>
      <c r="BJ94" s="205">
        <f t="shared" si="104"/>
        <v>0.25839575754145261</v>
      </c>
      <c r="BK94" s="205">
        <f t="shared" si="105"/>
        <v>0.226175310846781</v>
      </c>
      <c r="BL94" s="205">
        <f t="shared" si="106"/>
        <v>0.36675777889592592</v>
      </c>
      <c r="BM94" s="205">
        <f t="shared" si="107"/>
        <v>0.1111111111111111</v>
      </c>
      <c r="BN94" s="48">
        <v>5</v>
      </c>
      <c r="BO94" s="220">
        <f t="shared" si="108"/>
        <v>19</v>
      </c>
      <c r="BP94" s="220">
        <v>11</v>
      </c>
      <c r="BQ94" s="220">
        <f t="shared" si="109"/>
        <v>30</v>
      </c>
      <c r="BR94" s="205">
        <v>2</v>
      </c>
      <c r="BS94" s="35">
        <v>0.37806572026558405</v>
      </c>
      <c r="BT94">
        <v>2</v>
      </c>
      <c r="BU94" s="205">
        <v>4.6273822693469642</v>
      </c>
      <c r="BV94" s="34">
        <v>0.22919335560288329</v>
      </c>
      <c r="BW94" s="34">
        <v>0.38152700949259055</v>
      </c>
      <c r="BX94" s="34">
        <f>IF(A94&lt;17, SoC!O$3, IF(A94&lt;33, SoC!O$4, IF(A94&lt;49, SoC!O$5, IF(A94&lt;65, SoC!O$6, IF(A94&lt;81, SoC!O$7, IF(A94&lt;97, SoC!O$8, SoC!O$9))))))</f>
        <v>0.8076740483754814</v>
      </c>
      <c r="BY94" s="205">
        <f t="shared" si="110"/>
        <v>0.61487049064464305</v>
      </c>
      <c r="BZ94" s="205" t="str">
        <f t="shared" si="111"/>
        <v>D-</v>
      </c>
      <c r="CA94" s="35">
        <f t="shared" si="112"/>
        <v>-3.7575249620005091</v>
      </c>
      <c r="CB94" s="245">
        <f t="shared" si="113"/>
        <v>0</v>
      </c>
      <c r="CC94" s="48">
        <v>43</v>
      </c>
      <c r="CD94" s="58" t="s">
        <v>909</v>
      </c>
      <c r="CE94">
        <v>87</v>
      </c>
      <c r="CF94">
        <v>87</v>
      </c>
      <c r="CG94">
        <v>87</v>
      </c>
      <c r="CH94">
        <v>87</v>
      </c>
      <c r="CI94">
        <v>87</v>
      </c>
      <c r="CJ94">
        <v>87</v>
      </c>
      <c r="CK94">
        <v>87</v>
      </c>
      <c r="CL94">
        <v>87</v>
      </c>
      <c r="CM94">
        <v>87</v>
      </c>
      <c r="CN94">
        <v>87</v>
      </c>
      <c r="CO94">
        <v>87</v>
      </c>
      <c r="CP94">
        <v>97</v>
      </c>
      <c r="CQ94">
        <v>97</v>
      </c>
      <c r="CR94">
        <v>91</v>
      </c>
      <c r="CS94">
        <v>91</v>
      </c>
      <c r="CT94">
        <v>86</v>
      </c>
      <c r="CU94">
        <v>85</v>
      </c>
      <c r="CV94">
        <v>79</v>
      </c>
      <c r="CW94">
        <v>81</v>
      </c>
      <c r="CX94">
        <v>87</v>
      </c>
      <c r="CY94">
        <v>89</v>
      </c>
      <c r="CZ94">
        <v>87</v>
      </c>
      <c r="DA94">
        <v>75</v>
      </c>
      <c r="DB94">
        <v>75</v>
      </c>
      <c r="DC94">
        <v>59</v>
      </c>
      <c r="DD94">
        <v>73</v>
      </c>
      <c r="DE94" s="154">
        <v>58</v>
      </c>
      <c r="DF94">
        <v>107</v>
      </c>
      <c r="DG94">
        <v>70</v>
      </c>
    </row>
    <row r="95" spans="1:111" x14ac:dyDescent="0.35">
      <c r="A95">
        <v>94</v>
      </c>
      <c r="B95" s="58" t="s">
        <v>799</v>
      </c>
      <c r="C95" s="58" t="s">
        <v>1105</v>
      </c>
      <c r="D95" s="58" t="s">
        <v>787</v>
      </c>
      <c r="F95" s="6">
        <v>5</v>
      </c>
      <c r="G95" s="6">
        <v>8</v>
      </c>
      <c r="H95" s="6"/>
      <c r="I95" s="6">
        <v>4</v>
      </c>
      <c r="J95" s="6">
        <v>5</v>
      </c>
      <c r="L95" s="1">
        <v>6</v>
      </c>
      <c r="M95" s="1">
        <v>4</v>
      </c>
      <c r="O95">
        <v>237</v>
      </c>
      <c r="P95">
        <f>192+19</f>
        <v>211</v>
      </c>
      <c r="Q95">
        <v>116</v>
      </c>
      <c r="R95" s="9">
        <f>11.34-2.863+2.316+5.207+0.895</f>
        <v>16.895</v>
      </c>
      <c r="S95" s="263">
        <f>524+70+54+27+63</f>
        <v>738</v>
      </c>
      <c r="T95" s="203">
        <f>293.556+16.319+11.907+59.559+24.83</f>
        <v>406.17099999999999</v>
      </c>
      <c r="V95">
        <f>169+25</f>
        <v>194</v>
      </c>
      <c r="W95">
        <f>132+33</f>
        <v>165</v>
      </c>
      <c r="X95">
        <f>90+16</f>
        <v>106</v>
      </c>
      <c r="Y95" s="9">
        <f>6.521-3.33-6.06</f>
        <v>-2.8689999999999998</v>
      </c>
      <c r="Z95" s="263">
        <f>441+74+74</f>
        <v>589</v>
      </c>
      <c r="AA95" s="203">
        <f>395.842+14.589+29.513</f>
        <v>439.94399999999996</v>
      </c>
      <c r="AC95">
        <f t="shared" si="76"/>
        <v>285.5</v>
      </c>
      <c r="AD95">
        <f t="shared" si="77"/>
        <v>252.25</v>
      </c>
      <c r="AE95">
        <f t="shared" si="78"/>
        <v>142.5</v>
      </c>
      <c r="AF95">
        <f t="shared" si="79"/>
        <v>16.17775</v>
      </c>
      <c r="AG95">
        <f t="shared" si="80"/>
        <v>885.25</v>
      </c>
      <c r="AH95">
        <f t="shared" si="81"/>
        <v>516.15699999999993</v>
      </c>
      <c r="AI95" s="73">
        <f t="shared" si="82"/>
        <v>15.5</v>
      </c>
      <c r="AJ95" s="73">
        <f t="shared" si="83"/>
        <v>18.419354838709676</v>
      </c>
      <c r="AK95" s="73">
        <f t="shared" si="84"/>
        <v>16.274193548387096</v>
      </c>
      <c r="AL95" s="73">
        <f t="shared" si="85"/>
        <v>2.1451612903225801</v>
      </c>
      <c r="AM95" s="73">
        <f t="shared" si="86"/>
        <v>2.0035087719298246</v>
      </c>
      <c r="AN95" s="227">
        <f t="shared" si="87"/>
        <v>1.0437258064516128</v>
      </c>
      <c r="AO95" s="227">
        <f t="shared" si="88"/>
        <v>1.4282631930385943</v>
      </c>
      <c r="AP95" s="227">
        <f t="shared" si="89"/>
        <v>0.90916679057747651</v>
      </c>
      <c r="AQ95" s="89">
        <f t="shared" si="90"/>
        <v>3.0528087429918607</v>
      </c>
      <c r="AR95" s="73">
        <f t="shared" si="91"/>
        <v>57.112903225806448</v>
      </c>
      <c r="AS95" s="89">
        <f t="shared" si="92"/>
        <v>33.300451612903224</v>
      </c>
      <c r="AT95" s="89">
        <f t="shared" si="93"/>
        <v>5.7706543487635109</v>
      </c>
      <c r="AU95" s="9">
        <v>35</v>
      </c>
      <c r="AV95" s="9">
        <v>12</v>
      </c>
      <c r="AX95" s="54">
        <f t="shared" si="94"/>
        <v>47</v>
      </c>
      <c r="AZ95" s="49">
        <v>55</v>
      </c>
      <c r="BA95" s="48">
        <f t="shared" si="95"/>
        <v>55</v>
      </c>
      <c r="BB95" s="245">
        <f t="shared" si="96"/>
        <v>0</v>
      </c>
      <c r="BC95" s="36">
        <f t="shared" si="97"/>
        <v>0.52673812638066142</v>
      </c>
      <c r="BD95" s="205">
        <f t="shared" si="98"/>
        <v>0.46153846153846156</v>
      </c>
      <c r="BE95" s="205">
        <f t="shared" si="99"/>
        <v>0.44444444444444442</v>
      </c>
      <c r="BF95" s="205">
        <f t="shared" si="100"/>
        <v>0.50132216668350127</v>
      </c>
      <c r="BG95" s="205">
        <f t="shared" si="101"/>
        <v>0.64448519935761461</v>
      </c>
      <c r="BH95" s="205">
        <f t="shared" si="102"/>
        <v>0.3694004507001874</v>
      </c>
      <c r="BI95" s="205">
        <f t="shared" si="103"/>
        <v>0.50237277093648802</v>
      </c>
      <c r="BJ95" s="205">
        <f t="shared" si="104"/>
        <v>0.64169754421126524</v>
      </c>
      <c r="BK95" s="205">
        <f t="shared" si="105"/>
        <v>0.43529115132246243</v>
      </c>
      <c r="BL95" s="205">
        <f t="shared" si="106"/>
        <v>0.54044954245817922</v>
      </c>
      <c r="BM95" s="205">
        <f t="shared" si="107"/>
        <v>0.37301587301587302</v>
      </c>
      <c r="BN95" s="48">
        <v>5</v>
      </c>
      <c r="BO95" s="220">
        <f t="shared" si="108"/>
        <v>52</v>
      </c>
      <c r="BP95" s="220">
        <v>35</v>
      </c>
      <c r="BQ95" s="220">
        <f t="shared" si="109"/>
        <v>87</v>
      </c>
      <c r="BR95" s="205">
        <v>0.33333333333333331</v>
      </c>
      <c r="BS95" s="35">
        <v>0.52673812638066142</v>
      </c>
      <c r="BT95">
        <v>2</v>
      </c>
      <c r="BU95" s="205">
        <v>5.7706543487635109</v>
      </c>
      <c r="BV95" s="34">
        <v>0.50132216668350127</v>
      </c>
      <c r="BW95" s="34">
        <v>0.64448519935761461</v>
      </c>
      <c r="BX95" s="34">
        <f>IF(A95&lt;17, SoC!O$3, IF(A95&lt;33, SoC!O$4, IF(A95&lt;49, SoC!O$5, IF(A95&lt;65, SoC!O$6, IF(A95&lt;81, SoC!O$7, IF(A95&lt;97, SoC!O$8, SoC!O$9))))))</f>
        <v>0.8076740483754814</v>
      </c>
      <c r="BY95" s="205">
        <f t="shared" si="110"/>
        <v>0.72576726736651709</v>
      </c>
      <c r="BZ95" s="205" t="str">
        <f t="shared" si="111"/>
        <v>C-</v>
      </c>
      <c r="CA95" s="35">
        <f t="shared" si="112"/>
        <v>-0.21244079999068832</v>
      </c>
      <c r="CB95" s="245">
        <f t="shared" si="113"/>
        <v>0</v>
      </c>
      <c r="CC95" s="48">
        <v>48</v>
      </c>
      <c r="CD95" s="58" t="s">
        <v>787</v>
      </c>
      <c r="CE95">
        <v>55</v>
      </c>
      <c r="CF95">
        <v>55</v>
      </c>
      <c r="CG95">
        <v>55</v>
      </c>
      <c r="CH95">
        <v>55</v>
      </c>
      <c r="CI95">
        <v>55</v>
      </c>
      <c r="CJ95">
        <v>55</v>
      </c>
      <c r="CK95">
        <v>55</v>
      </c>
      <c r="CL95">
        <v>55</v>
      </c>
      <c r="CM95">
        <v>55</v>
      </c>
      <c r="CN95">
        <v>55</v>
      </c>
      <c r="CO95">
        <v>56</v>
      </c>
      <c r="CP95">
        <v>48</v>
      </c>
      <c r="CQ95">
        <v>47</v>
      </c>
      <c r="CR95">
        <v>57</v>
      </c>
      <c r="CS95">
        <v>57</v>
      </c>
      <c r="CT95">
        <v>54</v>
      </c>
      <c r="CU95">
        <v>50</v>
      </c>
      <c r="CV95">
        <v>42</v>
      </c>
      <c r="CW95">
        <v>39</v>
      </c>
      <c r="CX95">
        <v>35</v>
      </c>
      <c r="CY95">
        <v>42</v>
      </c>
      <c r="CZ95">
        <v>45</v>
      </c>
      <c r="DA95">
        <v>39</v>
      </c>
      <c r="DB95">
        <v>54</v>
      </c>
      <c r="DC95">
        <v>60</v>
      </c>
      <c r="DD95">
        <v>33</v>
      </c>
      <c r="DE95" s="154">
        <v>41</v>
      </c>
      <c r="DF95">
        <v>11</v>
      </c>
      <c r="DG95">
        <v>65</v>
      </c>
    </row>
    <row r="96" spans="1:111" x14ac:dyDescent="0.35">
      <c r="A96">
        <v>95</v>
      </c>
      <c r="B96" s="58" t="s">
        <v>799</v>
      </c>
      <c r="C96" s="58" t="s">
        <v>1105</v>
      </c>
      <c r="D96" s="58" t="s">
        <v>789</v>
      </c>
      <c r="F96" s="6">
        <v>4</v>
      </c>
      <c r="G96" s="6">
        <v>9</v>
      </c>
      <c r="H96" s="6"/>
      <c r="I96" s="6">
        <v>1</v>
      </c>
      <c r="J96" s="6">
        <v>8</v>
      </c>
      <c r="L96" s="1">
        <v>3</v>
      </c>
      <c r="M96" s="1">
        <v>2</v>
      </c>
      <c r="O96">
        <v>177</v>
      </c>
      <c r="P96">
        <f>195+23</f>
        <v>218</v>
      </c>
      <c r="Q96">
        <v>107</v>
      </c>
      <c r="R96" s="9">
        <f>-18.098-4.428-2.111+2.199+2.316</f>
        <v>-20.122000000000003</v>
      </c>
      <c r="S96" s="263">
        <f>394+49+45+23+18</f>
        <v>529</v>
      </c>
      <c r="T96" s="203">
        <f>224.762+0.81+25.243+7.016+6.855</f>
        <v>264.68600000000004</v>
      </c>
      <c r="V96">
        <v>80</v>
      </c>
      <c r="W96">
        <v>82</v>
      </c>
      <c r="X96">
        <v>43</v>
      </c>
      <c r="Y96" s="9">
        <f>-6.963</f>
        <v>-6.9630000000000001</v>
      </c>
      <c r="Z96" s="263">
        <f>189</f>
        <v>189</v>
      </c>
      <c r="AA96" s="203">
        <f>252.893</f>
        <v>252.893</v>
      </c>
      <c r="AC96">
        <f t="shared" si="76"/>
        <v>197</v>
      </c>
      <c r="AD96">
        <f t="shared" si="77"/>
        <v>238.5</v>
      </c>
      <c r="AE96">
        <f t="shared" si="78"/>
        <v>117.75</v>
      </c>
      <c r="AF96">
        <f t="shared" si="79"/>
        <v>-21.862750000000002</v>
      </c>
      <c r="AG96">
        <f t="shared" si="80"/>
        <v>576.25</v>
      </c>
      <c r="AH96">
        <f t="shared" si="81"/>
        <v>327.90925000000004</v>
      </c>
      <c r="AI96" s="73">
        <f t="shared" si="82"/>
        <v>14.25</v>
      </c>
      <c r="AJ96" s="73">
        <f t="shared" si="83"/>
        <v>13.824561403508772</v>
      </c>
      <c r="AK96" s="73">
        <f t="shared" si="84"/>
        <v>16.736842105263158</v>
      </c>
      <c r="AL96" s="73">
        <f t="shared" si="85"/>
        <v>-2.9122807017543852</v>
      </c>
      <c r="AM96" s="73">
        <f t="shared" si="86"/>
        <v>1.6730360934182591</v>
      </c>
      <c r="AN96" s="227">
        <f t="shared" si="87"/>
        <v>-0.76711403508771936</v>
      </c>
      <c r="AO96" s="227">
        <f t="shared" si="88"/>
        <v>-0.5567123963825602</v>
      </c>
      <c r="AP96" s="227">
        <f t="shared" si="89"/>
        <v>-1.5884542702841058</v>
      </c>
      <c r="AQ96" s="89">
        <f t="shared" si="90"/>
        <v>1.3297079885842176</v>
      </c>
      <c r="AR96" s="73">
        <f t="shared" si="91"/>
        <v>40.438596491228068</v>
      </c>
      <c r="AS96" s="89">
        <f t="shared" si="92"/>
        <v>23.011175438596496</v>
      </c>
      <c r="AT96" s="89">
        <f t="shared" si="93"/>
        <v>4.7969965018328393</v>
      </c>
      <c r="AU96" s="9">
        <v>21</v>
      </c>
      <c r="AV96" s="9">
        <v>0</v>
      </c>
      <c r="AX96" s="54">
        <f t="shared" si="94"/>
        <v>21</v>
      </c>
      <c r="AZ96" s="49">
        <v>96</v>
      </c>
      <c r="BA96" s="48">
        <f t="shared" si="95"/>
        <v>96</v>
      </c>
      <c r="BB96" s="245">
        <f t="shared" si="96"/>
        <v>0</v>
      </c>
      <c r="BC96" s="36">
        <f t="shared" si="97"/>
        <v>0.33787039714301537</v>
      </c>
      <c r="BD96" s="205">
        <f t="shared" si="98"/>
        <v>0.34615384615384615</v>
      </c>
      <c r="BE96" s="205">
        <f t="shared" si="99"/>
        <v>0.1111111111111111</v>
      </c>
      <c r="BF96" s="205">
        <f t="shared" si="100"/>
        <v>0.10795083057786546</v>
      </c>
      <c r="BG96" s="205">
        <f t="shared" si="101"/>
        <v>0.60131983307993409</v>
      </c>
      <c r="BH96" s="205">
        <f t="shared" si="102"/>
        <v>4.155804132792866E-3</v>
      </c>
      <c r="BI96" s="205">
        <f t="shared" si="103"/>
        <v>0.72772066355221032</v>
      </c>
      <c r="BJ96" s="205">
        <f t="shared" si="104"/>
        <v>0.3810458476448661</v>
      </c>
      <c r="BK96" s="205">
        <f t="shared" si="105"/>
        <v>0.25227350878558813</v>
      </c>
      <c r="BL96" s="205">
        <f t="shared" si="106"/>
        <v>0.39252644384991003</v>
      </c>
      <c r="BM96" s="205">
        <f t="shared" si="107"/>
        <v>0.16666666666666666</v>
      </c>
      <c r="BN96" s="48">
        <v>5</v>
      </c>
      <c r="BO96" s="220">
        <f t="shared" si="108"/>
        <v>26</v>
      </c>
      <c r="BP96" s="220">
        <v>7</v>
      </c>
      <c r="BQ96" s="220">
        <f t="shared" si="109"/>
        <v>33</v>
      </c>
      <c r="BR96" s="205">
        <v>1</v>
      </c>
      <c r="BS96" s="35">
        <v>0.33787039714301537</v>
      </c>
      <c r="BT96">
        <v>1</v>
      </c>
      <c r="BU96" s="205">
        <v>4.7969965018328393</v>
      </c>
      <c r="BV96" s="34">
        <v>0.10795083057786546</v>
      </c>
      <c r="BW96" s="34">
        <v>0.60131983307993409</v>
      </c>
      <c r="BX96" s="34">
        <f>IF(A96&lt;17, SoC!O$3, IF(A96&lt;33, SoC!O$4, IF(A96&lt;49, SoC!O$5, IF(A96&lt;65, SoC!O$6, IF(A96&lt;81, SoC!O$7, IF(A96&lt;97, SoC!O$8, SoC!O$9))))))</f>
        <v>0.8076740483754814</v>
      </c>
      <c r="BY96" s="205">
        <f t="shared" si="110"/>
        <v>0.58126620161765419</v>
      </c>
      <c r="BZ96" s="205" t="str">
        <f t="shared" si="111"/>
        <v>F+</v>
      </c>
      <c r="CA96" s="35">
        <f t="shared" si="112"/>
        <v>-4.4766243082089456</v>
      </c>
      <c r="CB96" s="245">
        <f t="shared" si="113"/>
        <v>0</v>
      </c>
      <c r="CC96" s="48">
        <v>25</v>
      </c>
      <c r="CD96" s="58" t="s">
        <v>789</v>
      </c>
      <c r="CE96">
        <v>96</v>
      </c>
      <c r="CF96">
        <v>96</v>
      </c>
      <c r="CG96">
        <v>96</v>
      </c>
      <c r="CH96">
        <v>96</v>
      </c>
      <c r="CI96">
        <v>96</v>
      </c>
      <c r="CJ96">
        <v>96</v>
      </c>
      <c r="CK96">
        <v>96</v>
      </c>
      <c r="CL96">
        <v>96</v>
      </c>
      <c r="CM96">
        <v>96</v>
      </c>
      <c r="CN96">
        <v>96</v>
      </c>
      <c r="CO96">
        <v>96</v>
      </c>
      <c r="CP96">
        <v>91</v>
      </c>
      <c r="CQ96">
        <v>91</v>
      </c>
      <c r="CR96">
        <v>82</v>
      </c>
      <c r="CS96">
        <v>82</v>
      </c>
      <c r="CT96">
        <v>80</v>
      </c>
      <c r="CU96">
        <v>80</v>
      </c>
      <c r="CV96">
        <v>75</v>
      </c>
      <c r="CW96">
        <v>75</v>
      </c>
      <c r="CX96">
        <v>77</v>
      </c>
      <c r="CY96">
        <v>77</v>
      </c>
      <c r="CZ96">
        <v>72</v>
      </c>
      <c r="DA96">
        <v>78</v>
      </c>
      <c r="DB96">
        <v>79</v>
      </c>
      <c r="DC96">
        <v>97</v>
      </c>
      <c r="DD96">
        <v>84</v>
      </c>
      <c r="DE96" s="154">
        <v>103</v>
      </c>
      <c r="DF96">
        <v>88</v>
      </c>
      <c r="DG96">
        <v>88</v>
      </c>
    </row>
    <row r="97" spans="1:111" x14ac:dyDescent="0.35">
      <c r="A97">
        <v>96</v>
      </c>
      <c r="B97" s="58" t="s">
        <v>799</v>
      </c>
      <c r="C97" s="58" t="s">
        <v>1105</v>
      </c>
      <c r="D97" s="58" t="s">
        <v>788</v>
      </c>
      <c r="F97" s="6">
        <v>7</v>
      </c>
      <c r="G97" s="6">
        <v>6</v>
      </c>
      <c r="H97" s="6"/>
      <c r="I97" s="6">
        <v>5</v>
      </c>
      <c r="J97" s="6">
        <v>4</v>
      </c>
      <c r="L97" s="1">
        <v>4</v>
      </c>
      <c r="M97" s="1">
        <v>9</v>
      </c>
      <c r="O97">
        <v>220</v>
      </c>
      <c r="P97">
        <v>198</v>
      </c>
      <c r="Q97">
        <v>111</v>
      </c>
      <c r="R97" s="9">
        <f>4.767+4.462-1.9+0.816-0.895</f>
        <v>7.25</v>
      </c>
      <c r="S97" s="263">
        <f>601+44+64+56+63</f>
        <v>828</v>
      </c>
      <c r="T97" s="203">
        <f>315.452+7.031+88.964+58.757+22.613</f>
        <v>492.81700000000001</v>
      </c>
      <c r="V97">
        <f>187+17</f>
        <v>204</v>
      </c>
      <c r="W97">
        <v>242</v>
      </c>
      <c r="X97">
        <v>112</v>
      </c>
      <c r="Y97" s="9">
        <f>-10.103-10.982-8.429-2.706-5.962</f>
        <v>-38.182000000000002</v>
      </c>
      <c r="Z97" s="263">
        <f>654+73+74+80+75</f>
        <v>956</v>
      </c>
      <c r="AA97" s="203">
        <f>234.529+36.453+12.891+37.715+9.579</f>
        <v>331.16699999999997</v>
      </c>
      <c r="AC97">
        <f t="shared" si="76"/>
        <v>271</v>
      </c>
      <c r="AD97">
        <f t="shared" si="77"/>
        <v>258.5</v>
      </c>
      <c r="AE97">
        <f t="shared" si="78"/>
        <v>139</v>
      </c>
      <c r="AF97">
        <f t="shared" si="79"/>
        <v>-2.2955000000000005</v>
      </c>
      <c r="AG97">
        <f t="shared" si="80"/>
        <v>1067</v>
      </c>
      <c r="AH97">
        <f t="shared" si="81"/>
        <v>575.60874999999999</v>
      </c>
      <c r="AI97" s="73">
        <f t="shared" si="82"/>
        <v>16.25</v>
      </c>
      <c r="AJ97" s="73">
        <f t="shared" si="83"/>
        <v>16.676923076923078</v>
      </c>
      <c r="AK97" s="73">
        <f t="shared" si="84"/>
        <v>15.907692307692308</v>
      </c>
      <c r="AL97" s="73">
        <f t="shared" si="85"/>
        <v>0.76923076923077005</v>
      </c>
      <c r="AM97" s="73">
        <f t="shared" si="86"/>
        <v>1.9496402877697843</v>
      </c>
      <c r="AN97" s="227">
        <f t="shared" si="87"/>
        <v>-7.0630769230769247E-2</v>
      </c>
      <c r="AO97" s="227">
        <f t="shared" si="88"/>
        <v>0.2067467729226351</v>
      </c>
      <c r="AP97" s="227">
        <f t="shared" si="89"/>
        <v>0.70117276738483714</v>
      </c>
      <c r="AQ97" s="89">
        <f t="shared" si="90"/>
        <v>3.1299768488603013</v>
      </c>
      <c r="AR97" s="73">
        <f t="shared" si="91"/>
        <v>65.661538461538456</v>
      </c>
      <c r="AS97" s="89">
        <f t="shared" si="92"/>
        <v>35.422076923076922</v>
      </c>
      <c r="AT97" s="89">
        <f t="shared" si="93"/>
        <v>5.9516448922190346</v>
      </c>
      <c r="AU97" s="9">
        <v>35</v>
      </c>
      <c r="AV97" s="9">
        <v>18</v>
      </c>
      <c r="AW97" s="20">
        <v>20</v>
      </c>
      <c r="AX97" s="54">
        <f t="shared" si="94"/>
        <v>73</v>
      </c>
      <c r="AZ97" s="49">
        <v>43</v>
      </c>
      <c r="BA97" s="48">
        <f t="shared" si="95"/>
        <v>43</v>
      </c>
      <c r="BB97" s="245">
        <f t="shared" si="96"/>
        <v>0</v>
      </c>
      <c r="BC97" s="36">
        <f t="shared" si="97"/>
        <v>0.58566817024009854</v>
      </c>
      <c r="BD97" s="205">
        <f t="shared" si="98"/>
        <v>0.58974358974358976</v>
      </c>
      <c r="BE97" s="205">
        <f t="shared" si="99"/>
        <v>0.55555555555555558</v>
      </c>
      <c r="BF97" s="205">
        <f t="shared" si="100"/>
        <v>0.35214838556075501</v>
      </c>
      <c r="BG97" s="205">
        <f t="shared" si="101"/>
        <v>0.67867996785021989</v>
      </c>
      <c r="BH97" s="205">
        <f t="shared" si="102"/>
        <v>0.3098639844883016</v>
      </c>
      <c r="BI97" s="205">
        <f t="shared" si="103"/>
        <v>0.64104760025713681</v>
      </c>
      <c r="BJ97" s="205">
        <f t="shared" si="104"/>
        <v>0.61999129106086515</v>
      </c>
      <c r="BK97" s="205">
        <f t="shared" si="105"/>
        <v>0.44274241638214262</v>
      </c>
      <c r="BL97" s="205">
        <f t="shared" si="106"/>
        <v>0.56794655497765212</v>
      </c>
      <c r="BM97" s="205">
        <f t="shared" si="107"/>
        <v>0.57936507936507942</v>
      </c>
      <c r="BN97" s="48">
        <v>10</v>
      </c>
      <c r="BO97" s="220">
        <f t="shared" si="108"/>
        <v>83</v>
      </c>
      <c r="BP97" s="220">
        <v>47</v>
      </c>
      <c r="BQ97" s="220">
        <f t="shared" si="109"/>
        <v>130</v>
      </c>
      <c r="BR97" s="205">
        <v>0</v>
      </c>
      <c r="BS97" s="35">
        <v>0.58566817024009854</v>
      </c>
      <c r="BT97">
        <v>5</v>
      </c>
      <c r="BU97" s="205">
        <v>5.9516448922190346</v>
      </c>
      <c r="BV97" s="34">
        <v>0.35214838556075501</v>
      </c>
      <c r="BW97" s="34">
        <v>0.67867996785021989</v>
      </c>
      <c r="BX97" s="34">
        <f>IF(A97&lt;17, SoC!O$3, IF(A97&lt;33, SoC!O$4, IF(A97&lt;49, SoC!O$5, IF(A97&lt;65, SoC!O$6, IF(A97&lt;81, SoC!O$7, IF(A97&lt;97, SoC!O$8, SoC!O$9))))))</f>
        <v>0.8076740483754814</v>
      </c>
      <c r="BY97" s="205">
        <f t="shared" si="110"/>
        <v>0.76528959893631021</v>
      </c>
      <c r="BZ97" s="205" t="str">
        <f t="shared" si="111"/>
        <v>C</v>
      </c>
      <c r="CA97" s="35">
        <f t="shared" si="112"/>
        <v>1.0566553489258159</v>
      </c>
      <c r="CB97" s="245">
        <f t="shared" si="113"/>
        <v>0</v>
      </c>
      <c r="CC97" s="48">
        <v>118</v>
      </c>
      <c r="CD97" s="58" t="s">
        <v>788</v>
      </c>
      <c r="CE97">
        <v>43</v>
      </c>
      <c r="CF97">
        <v>43</v>
      </c>
      <c r="CG97">
        <v>43</v>
      </c>
      <c r="CH97">
        <v>43</v>
      </c>
      <c r="CI97">
        <v>43</v>
      </c>
      <c r="CJ97">
        <v>43</v>
      </c>
      <c r="CK97">
        <v>43</v>
      </c>
      <c r="CL97">
        <v>43</v>
      </c>
      <c r="CM97">
        <v>43</v>
      </c>
      <c r="CN97">
        <v>43</v>
      </c>
      <c r="CO97">
        <v>42</v>
      </c>
      <c r="CP97">
        <v>45</v>
      </c>
      <c r="CQ97">
        <v>45</v>
      </c>
      <c r="CR97">
        <v>55</v>
      </c>
      <c r="CS97">
        <v>55</v>
      </c>
      <c r="CT97">
        <v>60</v>
      </c>
      <c r="CU97">
        <v>60</v>
      </c>
      <c r="CV97">
        <v>51</v>
      </c>
      <c r="CW97">
        <v>44</v>
      </c>
      <c r="CX97">
        <v>39</v>
      </c>
      <c r="CY97">
        <v>34</v>
      </c>
      <c r="CZ97">
        <v>54</v>
      </c>
      <c r="DA97">
        <v>40</v>
      </c>
      <c r="DB97">
        <v>28</v>
      </c>
      <c r="DC97">
        <v>37</v>
      </c>
      <c r="DD97">
        <v>20</v>
      </c>
      <c r="DE97" s="154">
        <v>46</v>
      </c>
      <c r="DF97">
        <v>22</v>
      </c>
      <c r="DG97">
        <v>17</v>
      </c>
    </row>
    <row r="98" spans="1:111" x14ac:dyDescent="0.35">
      <c r="A98">
        <v>97</v>
      </c>
      <c r="B98" s="69" t="s">
        <v>1296</v>
      </c>
      <c r="C98" s="69" t="s">
        <v>1107</v>
      </c>
      <c r="D98" s="69" t="s">
        <v>958</v>
      </c>
      <c r="F98" s="6">
        <v>4</v>
      </c>
      <c r="G98" s="6">
        <v>9</v>
      </c>
      <c r="H98" s="6"/>
      <c r="I98" s="6">
        <v>2</v>
      </c>
      <c r="J98" s="6">
        <v>7</v>
      </c>
      <c r="L98" s="1">
        <v>1</v>
      </c>
      <c r="M98" s="1">
        <v>2</v>
      </c>
      <c r="O98">
        <v>195</v>
      </c>
      <c r="P98">
        <v>226</v>
      </c>
      <c r="Q98">
        <v>104</v>
      </c>
      <c r="R98" s="9">
        <f>-17.398+2.226-0.729-6.443+4.398</f>
        <v>-17.946000000000002</v>
      </c>
      <c r="S98" s="263">
        <f>412+29+53+62+23</f>
        <v>579</v>
      </c>
      <c r="T98" s="203">
        <f>396.6693+43.201+0+18.026+3.56</f>
        <v>461.45630000000006</v>
      </c>
      <c r="V98">
        <v>47</v>
      </c>
      <c r="W98">
        <v>65</v>
      </c>
      <c r="X98">
        <v>23</v>
      </c>
      <c r="Y98" s="9">
        <f>-11.296</f>
        <v>-11.295999999999999</v>
      </c>
      <c r="Z98" s="263">
        <f>154</f>
        <v>154</v>
      </c>
      <c r="AA98" s="203">
        <f>56.612</f>
        <v>56.612000000000002</v>
      </c>
      <c r="AC98">
        <f t="shared" ref="AC98:AC113" si="114">O98+((1/4)*V98)</f>
        <v>206.75</v>
      </c>
      <c r="AD98">
        <f t="shared" ref="AD98:AD113" si="115">P98+((1/4)*W98)</f>
        <v>242.25</v>
      </c>
      <c r="AE98">
        <f t="shared" ref="AE98:AE113" si="116">Q98+((1/4)*X98)</f>
        <v>109.75</v>
      </c>
      <c r="AF98">
        <f t="shared" ref="AF98:AF113" si="117">R98+((1/4)*Y98)</f>
        <v>-20.770000000000003</v>
      </c>
      <c r="AG98">
        <f t="shared" ref="AG98:AG113" si="118">S98+((1/4)*Z98)</f>
        <v>617.5</v>
      </c>
      <c r="AH98">
        <f t="shared" ref="AH98:AH113" si="119">T98+((1/4)*AA98)</f>
        <v>475.60930000000008</v>
      </c>
      <c r="AI98" s="73">
        <f t="shared" ref="AI98:AI113" si="120">F98+G98+((1/4)*(L98+M98))</f>
        <v>13.75</v>
      </c>
      <c r="AJ98" s="73">
        <f t="shared" ref="AJ98:AJ113" si="121">IFERROR(AC98/AI98, 0)</f>
        <v>15.036363636363637</v>
      </c>
      <c r="AK98" s="73">
        <f t="shared" ref="AK98:AK113" si="122">IFERROR(AD98/AI98, 0)</f>
        <v>17.618181818181817</v>
      </c>
      <c r="AL98" s="73">
        <f t="shared" ref="AL98:AL113" si="123">AJ98-AK98</f>
        <v>-2.5818181818181802</v>
      </c>
      <c r="AM98" s="73">
        <f t="shared" ref="AM98:AM113" si="124">IFERROR(AC98/AE98, 0)</f>
        <v>1.8838268792710706</v>
      </c>
      <c r="AN98" s="227">
        <f t="shared" ref="AN98:AN113" si="125">IF((AF98)&lt;0, (AF98/2), AF98)/AI98</f>
        <v>-0.75527272727272743</v>
      </c>
      <c r="AO98" s="227">
        <f t="shared" ref="AO98:AO113" si="126">(AN98-(SMALL(AN:AN,1)))*(2-(1-((1-BX98)/2)))+MIN(AN:AN)</f>
        <v>-0.5825016849091238</v>
      </c>
      <c r="AP98" s="227">
        <f t="shared" ref="AP98:AP113" si="127">AL98-(IF(AVERAGE(AN98:AO98)&lt;0, AVERAGE(AN98:AO98)*2, AVERAGE(AN98:AO98)))</f>
        <v>-1.2440437696363289</v>
      </c>
      <c r="AQ98" s="89">
        <f t="shared" ref="AQ98:AQ113" si="128">(AVERAGE((AL98-MIN(AL:AL))*AR98, SQRT((AL98-MIN(AL:AL))*AR98))/100)*BX98</f>
        <v>1.601144068555433</v>
      </c>
      <c r="AR98" s="73">
        <f t="shared" ref="AR98:AR113" si="129">(AG98/AI98)</f>
        <v>44.909090909090907</v>
      </c>
      <c r="AS98" s="89">
        <f t="shared" ref="AS98:AS113" si="130">IFERROR(AH98/AI98,0)</f>
        <v>34.589767272727279</v>
      </c>
      <c r="AT98" s="89">
        <f t="shared" ref="AT98:AT113" si="131">IFERROR(IF(SQRT(AS98)&gt;10, 10, SQRT(AS98)), 0)</f>
        <v>5.8813065957087529</v>
      </c>
      <c r="AU98" s="9">
        <v>14</v>
      </c>
      <c r="AV98" s="9">
        <v>0</v>
      </c>
      <c r="AX98" s="54">
        <f t="shared" ref="AX98:AX113" si="132">SUM(AU98:AW98)</f>
        <v>14</v>
      </c>
      <c r="AZ98" s="49">
        <v>85</v>
      </c>
      <c r="BA98" s="48">
        <f t="shared" ref="BA98:BA113" si="133">_xlfn.RANK.EQ(BC98,BC:BC, 0)</f>
        <v>85</v>
      </c>
      <c r="BB98" s="245">
        <f t="shared" ref="BB98:BB113" si="134">AZ98-BA98</f>
        <v>0</v>
      </c>
      <c r="BC98" s="36">
        <f t="shared" ref="BC98:BC113" si="135">((BD98*2.25)+(BE98*1.5)+(BF98*1)+(BG98*1)+(BH98*0.75)+(BI98*1)+(BJ98*1)+(BK98*0.75)+(BL98*1)+(BM98*0.75)+(BN98/LARGE(BN:BN,1))*(3/15))/(10+(9/30))</f>
        <v>0.38554161843004908</v>
      </c>
      <c r="BD98" s="205">
        <f t="shared" ref="BD98:BD113" si="136">IFERROR(IF((F98+G98)=1, IF(F98=0, 0.333, IF(F98=1, 0.666, 0)), IF((F98+G98)=2, IF(F98=0, 0.166, IF(F98=1, 0.5, IF(F98=2, 0.833, 0))),  (F98+(L98/6))/(F98+G98))), 0)</f>
        <v>0.32051282051282054</v>
      </c>
      <c r="BE98" s="205">
        <f t="shared" ref="BE98:BE113" si="137">IFERROR(IF((I98+J98)=1, IF(I98=0, 0.333, IF(I98=1, 0.666, 0)), IF((I98+J98)=2, IF(I98=0, 0.166, IF(I98=1, 0.5, IF(I98=2, 0.833, 0))), (I98/(I98+J98)))), 0)</f>
        <v>0.22222222222222221</v>
      </c>
      <c r="BF98" s="205">
        <f t="shared" ref="BF98:BF113" si="138">(AJ98-(SMALL(AJ:AJ, 1)))/((LARGE(AJ:AJ, 1))-(SMALL(AJ:AJ, 1)))</f>
        <v>0.21169613929663883</v>
      </c>
      <c r="BG98" s="205">
        <f t="shared" ref="BG98:BG113" si="139">1-(AK98-SMALL(AK:AK,1))/(LARGE(AK:AK,1)-SMALL(AK:AK,1))</f>
        <v>0.51909035033804574</v>
      </c>
      <c r="BH98" s="205">
        <f t="shared" ref="BH98:BH113" si="140">(AM98-SMALL(AM:AM,1))/(LARGE(AM:AM,1)-SMALL(AM:AM,1))</f>
        <v>0.23712576227043386</v>
      </c>
      <c r="BI98" s="205">
        <f t="shared" ref="BI98:BI113" si="141">1-(AO98-SMALL(AO:AO,1))/(LARGE(AO:AO,1)-SMALL(AO:AO,1))</f>
        <v>0.73064843850949068</v>
      </c>
      <c r="BJ98" s="205">
        <f t="shared" ref="BJ98:BJ113" si="142">(AP98+ABS(MIN(AP:AP)))/(MAX(AP:AP)+ABS(MIN(AP:AP)))</f>
        <v>0.4169885223427478</v>
      </c>
      <c r="BK98" s="205">
        <f t="shared" ref="BK98:BK113" si="143">AVERAGE(AQ98/MAX(AQ:AQ), SQRT(AQ98/MAX(AQ:AQ)))</f>
        <v>0.28408442437203851</v>
      </c>
      <c r="BL98" s="205">
        <f t="shared" ref="BL98:BL113" si="144">AVERAGE(AT98/MAX(AT:AT), (AT98-SMALL(AT:AT,1))/(LARGE(AT:AT,1)-SMALL(AT:AT,1)))</f>
        <v>0.55726039987354914</v>
      </c>
      <c r="BM98" s="205">
        <f t="shared" ref="BM98:BM113" si="145">IFERROR(AX98/MAX(AX:AX), 0)</f>
        <v>0.1111111111111111</v>
      </c>
      <c r="BN98" s="48">
        <v>5</v>
      </c>
      <c r="BO98" s="220">
        <f t="shared" ref="BO98:BO113" si="146">BN98+AX98</f>
        <v>19</v>
      </c>
      <c r="BP98" s="220">
        <v>12</v>
      </c>
      <c r="BQ98" s="220">
        <f t="shared" ref="BQ98:BQ113" si="147">BO98+BP98</f>
        <v>31</v>
      </c>
      <c r="BR98" s="205">
        <v>0.33333333333333331</v>
      </c>
      <c r="BS98" s="35">
        <v>0.38554161843004908</v>
      </c>
      <c r="BT98">
        <v>1</v>
      </c>
      <c r="BU98" s="205">
        <v>5.8813065957087529</v>
      </c>
      <c r="BV98" s="34">
        <v>0.21169613929663883</v>
      </c>
      <c r="BW98" s="34">
        <v>0.51909035033804574</v>
      </c>
      <c r="BX98" s="34">
        <f>IF(A98&lt;17, SoC!O$3, IF(A98&lt;33, SoC!O$4, IF(A98&lt;49, SoC!O$5, IF(A98&lt;65, SoC!O$6, IF(A98&lt;81, SoC!O$7, IF(A98&lt;97, SoC!O$8, SoC!O$9))))))</f>
        <v>0.84292189346881985</v>
      </c>
      <c r="BY98" s="205">
        <f t="shared" ref="BY98:BY113" si="148">SQRT(BS98)</f>
        <v>0.62091997747700878</v>
      </c>
      <c r="BZ98" s="205" t="str">
        <f t="shared" ref="BZ98:BZ113" si="149">IF(BY98&lt;(15/30), "F", IF(BY98&lt;(18/30), "F+", IF(BY98&lt;(19/30), "D-", IF(BY98&lt;(20/30), "D", IF(BY98&lt;(21/30), "D+", IF(BY98&lt;(22/30), "C-", IF(BY98&lt;(23/30), "C", IF(BY98&lt;(24/30), "C+", IF(BY98&lt;(25/30), "B-", IF(BY98&lt;(26/30), "B", IF(BY98&lt;(27/30), "B+", IF(BY98&lt;(28/30), "A-", IF(BY98&lt;(29/30), "A", "A+")))))))))))))</f>
        <v>D-</v>
      </c>
      <c r="CA98" s="35">
        <f t="shared" ref="CA98:CA113" si="150">(((BS98-$CA$1)/0.15)*3)+((BU98-$BZ$1)/2)</f>
        <v>-2.9810448355303141</v>
      </c>
      <c r="CB98" s="245">
        <f t="shared" ref="CB98:CB113" si="151">CF98-CE98</f>
        <v>0</v>
      </c>
      <c r="CC98" s="48">
        <v>29</v>
      </c>
      <c r="CD98" s="69" t="s">
        <v>958</v>
      </c>
      <c r="CE98">
        <v>85</v>
      </c>
      <c r="CF98">
        <v>85</v>
      </c>
      <c r="CG98">
        <v>85</v>
      </c>
      <c r="CH98">
        <v>85</v>
      </c>
      <c r="CI98">
        <v>85</v>
      </c>
      <c r="CJ98">
        <v>85</v>
      </c>
      <c r="CK98">
        <v>85</v>
      </c>
      <c r="CL98">
        <v>85</v>
      </c>
      <c r="CM98">
        <v>85</v>
      </c>
      <c r="CN98">
        <v>85</v>
      </c>
      <c r="CO98">
        <v>85</v>
      </c>
      <c r="CP98">
        <v>75</v>
      </c>
      <c r="CQ98">
        <v>75</v>
      </c>
      <c r="CR98">
        <v>74</v>
      </c>
      <c r="CS98">
        <v>74</v>
      </c>
      <c r="CT98">
        <v>68</v>
      </c>
      <c r="CU98">
        <v>69</v>
      </c>
      <c r="CV98">
        <v>76</v>
      </c>
      <c r="CW98">
        <v>77</v>
      </c>
      <c r="CX98">
        <v>75</v>
      </c>
      <c r="CY98">
        <v>76</v>
      </c>
      <c r="CZ98">
        <v>71</v>
      </c>
      <c r="DA98">
        <v>68</v>
      </c>
      <c r="DB98">
        <v>69</v>
      </c>
      <c r="DC98">
        <v>92</v>
      </c>
      <c r="DD98">
        <v>72</v>
      </c>
      <c r="DE98" s="154">
        <v>96</v>
      </c>
      <c r="DF98">
        <v>82</v>
      </c>
      <c r="DG98">
        <v>84</v>
      </c>
    </row>
    <row r="99" spans="1:111" x14ac:dyDescent="0.35">
      <c r="A99">
        <v>98</v>
      </c>
      <c r="B99" s="69" t="s">
        <v>1296</v>
      </c>
      <c r="C99" s="69" t="s">
        <v>1107</v>
      </c>
      <c r="D99" s="69" t="s">
        <v>959</v>
      </c>
      <c r="F99" s="6">
        <v>2</v>
      </c>
      <c r="G99" s="6">
        <v>11</v>
      </c>
      <c r="H99" s="6"/>
      <c r="I99" s="6">
        <v>2</v>
      </c>
      <c r="J99" s="6">
        <v>7</v>
      </c>
      <c r="L99" s="1">
        <v>4</v>
      </c>
      <c r="M99" s="1">
        <v>6</v>
      </c>
      <c r="O99">
        <v>186</v>
      </c>
      <c r="P99">
        <v>253</v>
      </c>
      <c r="Q99">
        <v>113</v>
      </c>
      <c r="R99" s="9">
        <f>-34.808-12.781-7.354-6.305-4.398</f>
        <v>-65.646000000000001</v>
      </c>
      <c r="S99" s="263">
        <f>402+49+38+22+23</f>
        <v>534</v>
      </c>
      <c r="T99" s="203">
        <f>90.479+27.24+19.642+81.717+82.363</f>
        <v>301.44099999999997</v>
      </c>
      <c r="V99">
        <f>157+15</f>
        <v>172</v>
      </c>
      <c r="W99">
        <f>207+25</f>
        <v>232</v>
      </c>
      <c r="X99">
        <v>89</v>
      </c>
      <c r="Y99" s="9">
        <f>-38.645-2.223-4.828</f>
        <v>-45.696000000000005</v>
      </c>
      <c r="Z99" s="263">
        <f>277+23+21</f>
        <v>321</v>
      </c>
      <c r="AA99" s="203">
        <f>195.841+3.167+4.227</f>
        <v>203.23500000000001</v>
      </c>
      <c r="AC99">
        <f t="shared" si="114"/>
        <v>229</v>
      </c>
      <c r="AD99">
        <f t="shared" si="115"/>
        <v>311</v>
      </c>
      <c r="AE99">
        <f t="shared" si="116"/>
        <v>135.25</v>
      </c>
      <c r="AF99">
        <f t="shared" si="117"/>
        <v>-77.070000000000007</v>
      </c>
      <c r="AG99">
        <f t="shared" si="118"/>
        <v>614.25</v>
      </c>
      <c r="AH99">
        <f t="shared" si="119"/>
        <v>352.24974999999995</v>
      </c>
      <c r="AI99" s="73">
        <f t="shared" si="120"/>
        <v>15.5</v>
      </c>
      <c r="AJ99" s="73">
        <f t="shared" si="121"/>
        <v>14.774193548387096</v>
      </c>
      <c r="AK99" s="73">
        <f t="shared" si="122"/>
        <v>20.06451612903226</v>
      </c>
      <c r="AL99" s="73">
        <f t="shared" si="123"/>
        <v>-5.2903225806451637</v>
      </c>
      <c r="AM99" s="73">
        <f t="shared" si="124"/>
        <v>1.6931608133086875</v>
      </c>
      <c r="AN99" s="227">
        <f t="shared" si="125"/>
        <v>-2.4861290322580647</v>
      </c>
      <c r="AO99" s="227">
        <f t="shared" si="126"/>
        <v>-2.4492978054267867</v>
      </c>
      <c r="AP99" s="227">
        <f t="shared" si="127"/>
        <v>-0.35489574296031279</v>
      </c>
      <c r="AQ99" s="89">
        <f t="shared" si="128"/>
        <v>0.9511045576717696</v>
      </c>
      <c r="AR99" s="73">
        <f t="shared" si="129"/>
        <v>39.62903225806452</v>
      </c>
      <c r="AS99" s="89">
        <f t="shared" si="130"/>
        <v>22.725790322580643</v>
      </c>
      <c r="AT99" s="89">
        <f t="shared" si="131"/>
        <v>4.7671574677768556</v>
      </c>
      <c r="AU99" s="9">
        <v>28</v>
      </c>
      <c r="AV99" s="9">
        <v>12</v>
      </c>
      <c r="AW99" s="9">
        <v>11</v>
      </c>
      <c r="AX99" s="54">
        <f t="shared" si="132"/>
        <v>51</v>
      </c>
      <c r="AZ99" s="49">
        <v>95</v>
      </c>
      <c r="BA99" s="48">
        <f t="shared" si="133"/>
        <v>95</v>
      </c>
      <c r="BB99" s="245">
        <f t="shared" si="134"/>
        <v>0</v>
      </c>
      <c r="BC99" s="36">
        <f t="shared" si="135"/>
        <v>0.34939103505705549</v>
      </c>
      <c r="BD99" s="205">
        <f t="shared" si="136"/>
        <v>0.20512820512820512</v>
      </c>
      <c r="BE99" s="205">
        <f t="shared" si="137"/>
        <v>0.22222222222222221</v>
      </c>
      <c r="BF99" s="205">
        <f t="shared" si="138"/>
        <v>0.18925112642529204</v>
      </c>
      <c r="BG99" s="205">
        <f t="shared" si="139"/>
        <v>0.29084600590836085</v>
      </c>
      <c r="BH99" s="205">
        <f t="shared" si="140"/>
        <v>2.6398024690187896E-2</v>
      </c>
      <c r="BI99" s="205">
        <f t="shared" si="141"/>
        <v>0.94257979622686017</v>
      </c>
      <c r="BJ99" s="205">
        <f t="shared" si="142"/>
        <v>0.5097799971118715</v>
      </c>
      <c r="BK99" s="205">
        <f t="shared" si="143"/>
        <v>0.20449224290314785</v>
      </c>
      <c r="BL99" s="205">
        <f t="shared" si="144"/>
        <v>0.38799314461039491</v>
      </c>
      <c r="BM99" s="205">
        <f t="shared" si="145"/>
        <v>0.40476190476190477</v>
      </c>
      <c r="BN99" s="48">
        <v>5</v>
      </c>
      <c r="BO99" s="220">
        <f t="shared" si="146"/>
        <v>56</v>
      </c>
      <c r="BP99" s="220">
        <v>7</v>
      </c>
      <c r="BQ99" s="220">
        <f t="shared" si="147"/>
        <v>63</v>
      </c>
      <c r="BR99" s="205">
        <v>0.66666666666666663</v>
      </c>
      <c r="BS99" s="35">
        <v>0.34939103505705549</v>
      </c>
      <c r="BT99">
        <v>4</v>
      </c>
      <c r="BU99" s="205">
        <v>4.7671574677768556</v>
      </c>
      <c r="BV99" s="34">
        <v>0.18925112642529204</v>
      </c>
      <c r="BW99" s="34">
        <v>0.29084600590836085</v>
      </c>
      <c r="BX99" s="34">
        <f>IF(A99&lt;17, SoC!O$3, IF(A99&lt;33, SoC!O$4, IF(A99&lt;49, SoC!O$5, IF(A99&lt;65, SoC!O$6, IF(A99&lt;81, SoC!O$7, IF(A99&lt;97, SoC!O$8, SoC!O$9))))))</f>
        <v>0.84292189346881985</v>
      </c>
      <c r="BY99" s="205">
        <f t="shared" si="148"/>
        <v>0.59109308493422208</v>
      </c>
      <c r="BZ99" s="205" t="str">
        <f t="shared" si="149"/>
        <v>F+</v>
      </c>
      <c r="CA99" s="35">
        <f t="shared" si="150"/>
        <v>-4.2611310669561346</v>
      </c>
      <c r="CB99" s="245">
        <f t="shared" si="151"/>
        <v>0</v>
      </c>
      <c r="CC99" s="48">
        <v>86</v>
      </c>
      <c r="CD99" s="69" t="s">
        <v>959</v>
      </c>
      <c r="CE99">
        <v>95</v>
      </c>
      <c r="CF99">
        <v>95</v>
      </c>
      <c r="CG99">
        <v>95</v>
      </c>
      <c r="CH99">
        <v>95</v>
      </c>
      <c r="CI99">
        <v>95</v>
      </c>
      <c r="CJ99">
        <v>95</v>
      </c>
      <c r="CK99">
        <v>95</v>
      </c>
      <c r="CL99">
        <v>95</v>
      </c>
      <c r="CM99">
        <v>95</v>
      </c>
      <c r="CN99">
        <v>95</v>
      </c>
      <c r="CO99">
        <v>95</v>
      </c>
      <c r="CP99">
        <v>105</v>
      </c>
      <c r="CQ99">
        <v>104</v>
      </c>
      <c r="CR99">
        <v>109</v>
      </c>
      <c r="CS99">
        <v>109</v>
      </c>
      <c r="CT99">
        <v>106</v>
      </c>
      <c r="CU99">
        <v>106</v>
      </c>
      <c r="CV99">
        <v>106</v>
      </c>
      <c r="CW99">
        <v>107</v>
      </c>
      <c r="CX99">
        <v>106</v>
      </c>
      <c r="CY99">
        <v>104</v>
      </c>
      <c r="CZ99">
        <v>93</v>
      </c>
      <c r="DA99">
        <v>97</v>
      </c>
      <c r="DB99">
        <v>106</v>
      </c>
      <c r="DC99">
        <v>98</v>
      </c>
      <c r="DD99">
        <v>94</v>
      </c>
      <c r="DE99" s="154">
        <v>83</v>
      </c>
      <c r="DF99">
        <v>60</v>
      </c>
      <c r="DG99">
        <v>27</v>
      </c>
    </row>
    <row r="100" spans="1:111" x14ac:dyDescent="0.35">
      <c r="A100">
        <v>99</v>
      </c>
      <c r="B100" s="69" t="s">
        <v>1296</v>
      </c>
      <c r="C100" s="69" t="s">
        <v>1107</v>
      </c>
      <c r="D100" s="69" t="s">
        <v>1301</v>
      </c>
      <c r="F100" s="6">
        <v>10</v>
      </c>
      <c r="G100" s="6">
        <v>3</v>
      </c>
      <c r="H100" s="6"/>
      <c r="I100" s="6">
        <v>7</v>
      </c>
      <c r="J100" s="6">
        <v>2</v>
      </c>
      <c r="L100" s="1">
        <v>4</v>
      </c>
      <c r="M100" s="1">
        <v>2</v>
      </c>
      <c r="O100">
        <f>216+17</f>
        <v>233</v>
      </c>
      <c r="P100">
        <v>190</v>
      </c>
      <c r="Q100">
        <v>110</v>
      </c>
      <c r="R100" s="9">
        <f>32.183+0.871+0.729+8.423+0.929</f>
        <v>43.135000000000005</v>
      </c>
      <c r="S100" s="263">
        <f>547+72+53+34+74</f>
        <v>780</v>
      </c>
      <c r="T100" s="203">
        <f>251.132+16.548+(164.323-32.1615)+71.971+69.535</f>
        <v>541.34749999999997</v>
      </c>
      <c r="V100">
        <v>96</v>
      </c>
      <c r="W100">
        <v>94</v>
      </c>
      <c r="X100">
        <v>49</v>
      </c>
      <c r="Y100" s="9">
        <f>4.263</f>
        <v>4.2629999999999999</v>
      </c>
      <c r="Z100" s="263">
        <f>451</f>
        <v>451</v>
      </c>
      <c r="AA100" s="203">
        <f>338.244</f>
        <v>338.24400000000003</v>
      </c>
      <c r="AC100">
        <f t="shared" si="114"/>
        <v>257</v>
      </c>
      <c r="AD100">
        <f t="shared" si="115"/>
        <v>213.5</v>
      </c>
      <c r="AE100">
        <f t="shared" si="116"/>
        <v>122.25</v>
      </c>
      <c r="AF100">
        <f t="shared" si="117"/>
        <v>44.200750000000006</v>
      </c>
      <c r="AG100">
        <f t="shared" si="118"/>
        <v>892.75</v>
      </c>
      <c r="AH100">
        <f t="shared" si="119"/>
        <v>625.9085</v>
      </c>
      <c r="AI100" s="73">
        <f t="shared" si="120"/>
        <v>14.5</v>
      </c>
      <c r="AJ100" s="73">
        <f t="shared" si="121"/>
        <v>17.724137931034484</v>
      </c>
      <c r="AK100" s="73">
        <f t="shared" si="122"/>
        <v>14.724137931034482</v>
      </c>
      <c r="AL100" s="73">
        <f t="shared" si="123"/>
        <v>3.0000000000000018</v>
      </c>
      <c r="AM100" s="73">
        <f t="shared" si="124"/>
        <v>2.1022494887525562</v>
      </c>
      <c r="AN100" s="227">
        <f t="shared" si="125"/>
        <v>3.0483275862068968</v>
      </c>
      <c r="AO100" s="227">
        <f t="shared" si="126"/>
        <v>3.5198297961918916</v>
      </c>
      <c r="AP100" s="227">
        <f t="shared" si="127"/>
        <v>-0.28407869119939244</v>
      </c>
      <c r="AQ100" s="89">
        <f t="shared" si="128"/>
        <v>3.6558091284758927</v>
      </c>
      <c r="AR100" s="73">
        <f t="shared" si="129"/>
        <v>61.568965517241381</v>
      </c>
      <c r="AS100" s="89">
        <f t="shared" si="130"/>
        <v>43.166103448275862</v>
      </c>
      <c r="AT100" s="89">
        <f t="shared" si="131"/>
        <v>6.5700915859884219</v>
      </c>
      <c r="AU100" s="9">
        <v>21</v>
      </c>
      <c r="AV100" s="9">
        <v>12</v>
      </c>
      <c r="AX100" s="54">
        <f t="shared" si="132"/>
        <v>33</v>
      </c>
      <c r="AZ100" s="49">
        <v>36</v>
      </c>
      <c r="BA100" s="48">
        <f t="shared" si="133"/>
        <v>36</v>
      </c>
      <c r="BB100" s="245">
        <f t="shared" si="134"/>
        <v>0</v>
      </c>
      <c r="BC100" s="36">
        <f t="shared" si="135"/>
        <v>0.64327405271646154</v>
      </c>
      <c r="BD100" s="205">
        <f t="shared" si="136"/>
        <v>0.82051282051282048</v>
      </c>
      <c r="BE100" s="205">
        <f t="shared" si="137"/>
        <v>0.77777777777777779</v>
      </c>
      <c r="BF100" s="205">
        <f t="shared" si="138"/>
        <v>0.44180297224914666</v>
      </c>
      <c r="BG100" s="205">
        <f t="shared" si="139"/>
        <v>0.78910624589364819</v>
      </c>
      <c r="BH100" s="205">
        <f t="shared" si="140"/>
        <v>0.47853055603949363</v>
      </c>
      <c r="BI100" s="205">
        <f t="shared" si="141"/>
        <v>0.26492394345570947</v>
      </c>
      <c r="BJ100" s="205">
        <f t="shared" si="142"/>
        <v>0.51717046357476526</v>
      </c>
      <c r="BK100" s="205">
        <f t="shared" si="143"/>
        <v>0.49244617540927155</v>
      </c>
      <c r="BL100" s="205">
        <f t="shared" si="144"/>
        <v>0.66190415163729366</v>
      </c>
      <c r="BM100" s="205">
        <f t="shared" si="145"/>
        <v>0.26190476190476192</v>
      </c>
      <c r="BN100" s="48">
        <v>10</v>
      </c>
      <c r="BO100" s="220">
        <f t="shared" si="146"/>
        <v>43</v>
      </c>
      <c r="BP100" s="220">
        <v>57</v>
      </c>
      <c r="BQ100" s="220">
        <f t="shared" si="147"/>
        <v>100</v>
      </c>
      <c r="BR100" s="205">
        <v>1</v>
      </c>
      <c r="BS100" s="35">
        <v>0.64327405271646154</v>
      </c>
      <c r="BT100">
        <v>2</v>
      </c>
      <c r="BU100" s="205">
        <v>6.5700915859884219</v>
      </c>
      <c r="BV100" s="34">
        <v>0.44180297224914666</v>
      </c>
      <c r="BW100" s="34">
        <v>0.78910624589364819</v>
      </c>
      <c r="BX100" s="34">
        <f>IF(A100&lt;17, SoC!O$3, IF(A100&lt;33, SoC!O$4, IF(A100&lt;49, SoC!O$5, IF(A100&lt;65, SoC!O$6, IF(A100&lt;81, SoC!O$7, IF(A100&lt;97, SoC!O$8, SoC!O$9))))))</f>
        <v>0.84292189346881985</v>
      </c>
      <c r="BY100" s="205">
        <f t="shared" si="148"/>
        <v>0.8020436725742941</v>
      </c>
      <c r="BZ100" s="205" t="str">
        <f t="shared" si="149"/>
        <v>B-</v>
      </c>
      <c r="CA100" s="35">
        <f t="shared" si="150"/>
        <v>2.5179963453377701</v>
      </c>
      <c r="CB100" s="245">
        <f t="shared" si="151"/>
        <v>0</v>
      </c>
      <c r="CC100" s="48">
        <v>60</v>
      </c>
      <c r="CD100" s="69" t="s">
        <v>1301</v>
      </c>
      <c r="CE100">
        <v>36</v>
      </c>
      <c r="CF100">
        <v>36</v>
      </c>
      <c r="CG100">
        <v>36</v>
      </c>
      <c r="CH100">
        <v>36</v>
      </c>
      <c r="CI100">
        <v>36</v>
      </c>
      <c r="CJ100">
        <v>36</v>
      </c>
      <c r="CK100">
        <v>36</v>
      </c>
      <c r="CL100">
        <v>36</v>
      </c>
      <c r="CM100">
        <v>36</v>
      </c>
      <c r="CN100">
        <v>36</v>
      </c>
      <c r="CO100">
        <v>36</v>
      </c>
      <c r="CP100">
        <v>33</v>
      </c>
      <c r="CQ100">
        <v>33</v>
      </c>
      <c r="CR100">
        <v>39</v>
      </c>
      <c r="CS100">
        <v>40</v>
      </c>
      <c r="CT100">
        <v>48</v>
      </c>
      <c r="CU100">
        <v>48</v>
      </c>
      <c r="CV100">
        <v>34</v>
      </c>
      <c r="CW100">
        <v>28</v>
      </c>
      <c r="CX100">
        <v>31</v>
      </c>
      <c r="CY100">
        <v>31</v>
      </c>
      <c r="CZ100">
        <v>22</v>
      </c>
      <c r="DA100">
        <v>16</v>
      </c>
      <c r="DB100">
        <v>25</v>
      </c>
      <c r="DC100">
        <v>51</v>
      </c>
      <c r="DD100">
        <v>37</v>
      </c>
      <c r="DE100" s="154">
        <v>14</v>
      </c>
      <c r="DF100">
        <v>33</v>
      </c>
      <c r="DG100">
        <v>53</v>
      </c>
    </row>
    <row r="101" spans="1:111" x14ac:dyDescent="0.35">
      <c r="A101">
        <v>100</v>
      </c>
      <c r="B101" s="69" t="s">
        <v>1296</v>
      </c>
      <c r="C101" s="69" t="s">
        <v>1107</v>
      </c>
      <c r="D101" s="69" t="s">
        <v>1302</v>
      </c>
      <c r="F101" s="6">
        <v>9</v>
      </c>
      <c r="G101" s="6">
        <v>4</v>
      </c>
      <c r="H101" s="6"/>
      <c r="I101" s="6">
        <v>7</v>
      </c>
      <c r="J101" s="6">
        <v>2</v>
      </c>
      <c r="L101" s="1">
        <v>5</v>
      </c>
      <c r="M101" s="1">
        <v>7</v>
      </c>
      <c r="O101">
        <f>189+12</f>
        <v>201</v>
      </c>
      <c r="P101">
        <v>187</v>
      </c>
      <c r="Q101">
        <v>97</v>
      </c>
      <c r="R101" s="9">
        <f>16.321-6.555+7.354+7.199-0.929</f>
        <v>23.390000000000004</v>
      </c>
      <c r="S101" s="263">
        <f>526+88+38+39+74</f>
        <v>765</v>
      </c>
      <c r="T101" s="203">
        <f>189.616+38.23+33.287+60.608+14.376</f>
        <v>336.11699999999996</v>
      </c>
      <c r="V101">
        <f>175+25</f>
        <v>200</v>
      </c>
      <c r="W101">
        <f>195+11</f>
        <v>206</v>
      </c>
      <c r="X101">
        <f>89+12</f>
        <v>101</v>
      </c>
      <c r="Y101" s="9">
        <f>-17.446-1.26+1.337</f>
        <v>-17.369000000000003</v>
      </c>
      <c r="Z101" s="263">
        <f>784+70+70</f>
        <v>924</v>
      </c>
      <c r="AA101" s="203">
        <f>375.023+9.023+(143.131-21.5655)</f>
        <v>505.61150000000004</v>
      </c>
      <c r="AC101">
        <f t="shared" si="114"/>
        <v>251</v>
      </c>
      <c r="AD101">
        <f t="shared" si="115"/>
        <v>238.5</v>
      </c>
      <c r="AE101">
        <f t="shared" si="116"/>
        <v>122.25</v>
      </c>
      <c r="AF101">
        <f t="shared" si="117"/>
        <v>19.047750000000004</v>
      </c>
      <c r="AG101">
        <f t="shared" si="118"/>
        <v>996</v>
      </c>
      <c r="AH101">
        <f t="shared" si="119"/>
        <v>462.51987499999996</v>
      </c>
      <c r="AI101" s="73">
        <f t="shared" si="120"/>
        <v>16</v>
      </c>
      <c r="AJ101" s="73">
        <f t="shared" si="121"/>
        <v>15.6875</v>
      </c>
      <c r="AK101" s="73">
        <f t="shared" si="122"/>
        <v>14.90625</v>
      </c>
      <c r="AL101" s="73">
        <f t="shared" si="123"/>
        <v>0.78125</v>
      </c>
      <c r="AM101" s="73">
        <f t="shared" si="124"/>
        <v>2.0531697341513291</v>
      </c>
      <c r="AN101" s="227">
        <f t="shared" si="125"/>
        <v>1.1904843750000003</v>
      </c>
      <c r="AO101" s="227">
        <f t="shared" si="126"/>
        <v>1.5160733380609024</v>
      </c>
      <c r="AP101" s="227">
        <f t="shared" si="127"/>
        <v>-0.57202885653045143</v>
      </c>
      <c r="AQ101" s="89">
        <f t="shared" si="128"/>
        <v>3.1030198063906353</v>
      </c>
      <c r="AR101" s="73">
        <f t="shared" si="129"/>
        <v>62.25</v>
      </c>
      <c r="AS101" s="89">
        <f t="shared" si="130"/>
        <v>28.907492187499997</v>
      </c>
      <c r="AT101" s="89">
        <f t="shared" si="131"/>
        <v>5.3765688117515991</v>
      </c>
      <c r="AU101" s="9">
        <v>28</v>
      </c>
      <c r="AV101" s="9">
        <v>18</v>
      </c>
      <c r="AW101" s="9">
        <v>11</v>
      </c>
      <c r="AX101" s="54">
        <f t="shared" si="132"/>
        <v>57</v>
      </c>
      <c r="AZ101" s="49">
        <v>37</v>
      </c>
      <c r="BA101" s="48">
        <f t="shared" si="133"/>
        <v>37</v>
      </c>
      <c r="BB101" s="245">
        <f t="shared" si="134"/>
        <v>0</v>
      </c>
      <c r="BC101" s="36">
        <f t="shared" si="135"/>
        <v>0.61836803082913705</v>
      </c>
      <c r="BD101" s="205">
        <f t="shared" si="136"/>
        <v>0.7564102564102565</v>
      </c>
      <c r="BE101" s="205">
        <f t="shared" si="137"/>
        <v>0.77777777777777779</v>
      </c>
      <c r="BF101" s="205">
        <f t="shared" si="138"/>
        <v>0.26744149215370405</v>
      </c>
      <c r="BG101" s="205">
        <f t="shared" si="139"/>
        <v>0.77211508912108173</v>
      </c>
      <c r="BH101" s="205">
        <f t="shared" si="140"/>
        <v>0.42428668419000182</v>
      </c>
      <c r="BI101" s="205">
        <f t="shared" si="141"/>
        <v>0.49240396767436401</v>
      </c>
      <c r="BJ101" s="205">
        <f t="shared" si="142"/>
        <v>0.48711998862632577</v>
      </c>
      <c r="BK101" s="205">
        <f t="shared" si="143"/>
        <v>0.44014444142561587</v>
      </c>
      <c r="BL101" s="205">
        <f t="shared" si="144"/>
        <v>0.48057804454413167</v>
      </c>
      <c r="BM101" s="205">
        <f t="shared" si="145"/>
        <v>0.45238095238095238</v>
      </c>
      <c r="BN101" s="48">
        <v>10</v>
      </c>
      <c r="BO101" s="220">
        <f t="shared" si="146"/>
        <v>67</v>
      </c>
      <c r="BP101" s="220">
        <v>54</v>
      </c>
      <c r="BQ101" s="220">
        <f t="shared" si="147"/>
        <v>121</v>
      </c>
      <c r="BR101" s="205">
        <v>1</v>
      </c>
      <c r="BS101" s="35">
        <v>0.61836803082913705</v>
      </c>
      <c r="BT101">
        <v>4</v>
      </c>
      <c r="BU101" s="205">
        <v>5.3765688117515991</v>
      </c>
      <c r="BV101" s="34">
        <v>0.26744149215370405</v>
      </c>
      <c r="BW101" s="34">
        <v>0.77211508912108173</v>
      </c>
      <c r="BX101" s="34">
        <f>IF(A101&lt;17, SoC!O$3, IF(A101&lt;33, SoC!O$4, IF(A101&lt;49, SoC!O$5, IF(A101&lt;65, SoC!O$6, IF(A101&lt;81, SoC!O$7, IF(A101&lt;97, SoC!O$8, SoC!O$9))))))</f>
        <v>0.84292189346881985</v>
      </c>
      <c r="BY101" s="205">
        <f t="shared" si="148"/>
        <v>0.78636380310206111</v>
      </c>
      <c r="BZ101" s="205" t="str">
        <f t="shared" si="149"/>
        <v>C+</v>
      </c>
      <c r="CA101" s="35">
        <f t="shared" si="150"/>
        <v>1.4231145204728683</v>
      </c>
      <c r="CB101" s="245">
        <f t="shared" si="151"/>
        <v>0</v>
      </c>
      <c r="CC101" s="48">
        <v>90</v>
      </c>
      <c r="CD101" s="69" t="s">
        <v>1302</v>
      </c>
      <c r="CE101">
        <v>37</v>
      </c>
      <c r="CF101">
        <v>37</v>
      </c>
      <c r="CG101">
        <v>37</v>
      </c>
      <c r="CH101">
        <v>37</v>
      </c>
      <c r="CI101">
        <v>37</v>
      </c>
      <c r="CJ101">
        <v>37</v>
      </c>
      <c r="CK101">
        <v>37</v>
      </c>
      <c r="CL101">
        <v>37</v>
      </c>
      <c r="CM101">
        <v>37</v>
      </c>
      <c r="CN101">
        <v>37</v>
      </c>
      <c r="CO101">
        <v>37</v>
      </c>
      <c r="CP101">
        <v>30</v>
      </c>
      <c r="CQ101">
        <v>29</v>
      </c>
      <c r="CR101">
        <v>33</v>
      </c>
      <c r="CS101">
        <v>33</v>
      </c>
      <c r="CT101">
        <v>36</v>
      </c>
      <c r="CU101">
        <v>37</v>
      </c>
      <c r="CV101">
        <v>41</v>
      </c>
      <c r="CW101">
        <v>32</v>
      </c>
      <c r="CX101">
        <v>30</v>
      </c>
      <c r="CY101">
        <v>29</v>
      </c>
      <c r="CZ101">
        <v>37</v>
      </c>
      <c r="DA101">
        <v>41</v>
      </c>
      <c r="DB101">
        <v>47</v>
      </c>
      <c r="DC101">
        <v>55</v>
      </c>
      <c r="DD101">
        <v>47</v>
      </c>
      <c r="DE101" s="154">
        <v>26</v>
      </c>
      <c r="DF101">
        <v>37</v>
      </c>
      <c r="DG101">
        <v>23</v>
      </c>
    </row>
    <row r="102" spans="1:111" x14ac:dyDescent="0.35">
      <c r="A102">
        <v>101</v>
      </c>
      <c r="B102" s="69" t="s">
        <v>1296</v>
      </c>
      <c r="C102" s="69" t="s">
        <v>1108</v>
      </c>
      <c r="D102" s="69" t="s">
        <v>3913</v>
      </c>
      <c r="F102" s="6">
        <v>2</v>
      </c>
      <c r="G102" s="6">
        <v>11</v>
      </c>
      <c r="H102" s="6"/>
      <c r="I102" s="6">
        <v>2</v>
      </c>
      <c r="J102" s="6">
        <v>7</v>
      </c>
      <c r="L102" s="1">
        <v>2</v>
      </c>
      <c r="M102" s="1">
        <v>9</v>
      </c>
      <c r="O102">
        <v>183</v>
      </c>
      <c r="P102">
        <v>229</v>
      </c>
      <c r="Q102">
        <v>101</v>
      </c>
      <c r="R102" s="9">
        <f>-28.138+3.373-6.955-5.694+0.585</f>
        <v>-36.829000000000001</v>
      </c>
      <c r="S102" s="263">
        <f>440+8+47+48+23</f>
        <v>566</v>
      </c>
      <c r="T102" s="203">
        <f>171.073+70.174+27.944+10.66+9.295</f>
        <v>289.14600000000007</v>
      </c>
      <c r="V102">
        <v>166</v>
      </c>
      <c r="W102">
        <v>274</v>
      </c>
      <c r="X102">
        <v>86</v>
      </c>
      <c r="Y102" s="9">
        <f>-84.424</f>
        <v>-84.424000000000007</v>
      </c>
      <c r="Z102" s="263">
        <f>594</f>
        <v>594</v>
      </c>
      <c r="AA102" s="203">
        <f>189.687</f>
        <v>189.68700000000001</v>
      </c>
      <c r="AC102">
        <f t="shared" si="114"/>
        <v>224.5</v>
      </c>
      <c r="AD102">
        <f t="shared" si="115"/>
        <v>297.5</v>
      </c>
      <c r="AE102">
        <f t="shared" si="116"/>
        <v>122.5</v>
      </c>
      <c r="AF102">
        <f t="shared" si="117"/>
        <v>-57.935000000000002</v>
      </c>
      <c r="AG102">
        <f t="shared" si="118"/>
        <v>714.5</v>
      </c>
      <c r="AH102">
        <f t="shared" si="119"/>
        <v>336.56775000000005</v>
      </c>
      <c r="AI102" s="73">
        <f t="shared" si="120"/>
        <v>15.75</v>
      </c>
      <c r="AJ102" s="73">
        <f t="shared" si="121"/>
        <v>14.253968253968255</v>
      </c>
      <c r="AK102" s="73">
        <f t="shared" si="122"/>
        <v>18.888888888888889</v>
      </c>
      <c r="AL102" s="73">
        <f t="shared" si="123"/>
        <v>-4.6349206349206344</v>
      </c>
      <c r="AM102" s="73">
        <f t="shared" si="124"/>
        <v>1.8326530612244898</v>
      </c>
      <c r="AN102" s="227">
        <f t="shared" si="125"/>
        <v>-1.8392063492063493</v>
      </c>
      <c r="AO102" s="227">
        <f t="shared" si="126"/>
        <v>-1.7515664273121541</v>
      </c>
      <c r="AP102" s="227">
        <f t="shared" si="127"/>
        <v>-1.0441478584021313</v>
      </c>
      <c r="AQ102" s="89">
        <f t="shared" si="128"/>
        <v>1.2134125551444863</v>
      </c>
      <c r="AR102" s="73">
        <f t="shared" si="129"/>
        <v>45.365079365079367</v>
      </c>
      <c r="AS102" s="89">
        <f t="shared" si="130"/>
        <v>21.369380952380954</v>
      </c>
      <c r="AT102" s="89">
        <f t="shared" si="131"/>
        <v>4.6227027756909651</v>
      </c>
      <c r="AU102" s="9">
        <v>28</v>
      </c>
      <c r="AV102" s="9">
        <v>18</v>
      </c>
      <c r="AW102" s="20">
        <v>11</v>
      </c>
      <c r="AX102" s="54">
        <f t="shared" si="132"/>
        <v>57</v>
      </c>
      <c r="AZ102" s="49">
        <v>94</v>
      </c>
      <c r="BA102" s="48">
        <f t="shared" si="133"/>
        <v>94</v>
      </c>
      <c r="BB102" s="245">
        <f t="shared" si="134"/>
        <v>0</v>
      </c>
      <c r="BC102" s="36">
        <f t="shared" si="135"/>
        <v>0.35044980818947352</v>
      </c>
      <c r="BD102" s="205">
        <f t="shared" si="136"/>
        <v>0.17948717948717949</v>
      </c>
      <c r="BE102" s="205">
        <f t="shared" si="137"/>
        <v>0.22222222222222221</v>
      </c>
      <c r="BF102" s="205">
        <f t="shared" si="138"/>
        <v>0.14471338560462346</v>
      </c>
      <c r="BG102" s="205">
        <f t="shared" si="139"/>
        <v>0.40053267772997347</v>
      </c>
      <c r="BH102" s="205">
        <f t="shared" si="140"/>
        <v>0.1805674919465122</v>
      </c>
      <c r="BI102" s="205">
        <f t="shared" si="141"/>
        <v>0.86336859760660556</v>
      </c>
      <c r="BJ102" s="205">
        <f t="shared" si="142"/>
        <v>0.43784965665025011</v>
      </c>
      <c r="BK102" s="205">
        <f t="shared" si="143"/>
        <v>0.23808583129593627</v>
      </c>
      <c r="BL102" s="205">
        <f t="shared" si="144"/>
        <v>0.36604684619642047</v>
      </c>
      <c r="BM102" s="205">
        <f t="shared" si="145"/>
        <v>0.45238095238095238</v>
      </c>
      <c r="BN102" s="48">
        <v>5</v>
      </c>
      <c r="BO102" s="220">
        <f t="shared" si="146"/>
        <v>62</v>
      </c>
      <c r="BP102" s="220">
        <v>8</v>
      </c>
      <c r="BQ102" s="220">
        <f t="shared" si="147"/>
        <v>70</v>
      </c>
      <c r="BR102" s="205">
        <v>-2</v>
      </c>
      <c r="BS102" s="35">
        <v>0.35044980818947352</v>
      </c>
      <c r="BT102">
        <v>4</v>
      </c>
      <c r="BU102" s="205">
        <v>4.6227027756909651</v>
      </c>
      <c r="BV102" s="34">
        <v>0.14471338560462346</v>
      </c>
      <c r="BW102" s="34">
        <v>0.40053267772997347</v>
      </c>
      <c r="BX102" s="34">
        <f>IF(A102&lt;17, SoC!O$3, IF(A102&lt;33, SoC!O$4, IF(A102&lt;49, SoC!O$5, IF(A102&lt;65, SoC!O$6, IF(A102&lt;81, SoC!O$7, IF(A102&lt;97, SoC!O$8, SoC!O$9))))))</f>
        <v>0.84292189346881985</v>
      </c>
      <c r="BY102" s="205">
        <f t="shared" si="148"/>
        <v>0.59198801355219477</v>
      </c>
      <c r="BZ102" s="205" t="str">
        <f t="shared" si="149"/>
        <v>F+</v>
      </c>
      <c r="CA102" s="35">
        <f t="shared" si="150"/>
        <v>-4.312182950350719</v>
      </c>
      <c r="CB102" s="245">
        <f t="shared" si="151"/>
        <v>0</v>
      </c>
      <c r="CC102" s="48">
        <v>92</v>
      </c>
      <c r="CD102" s="69" t="s">
        <v>3913</v>
      </c>
      <c r="CE102">
        <v>94</v>
      </c>
      <c r="CF102">
        <v>94</v>
      </c>
      <c r="CG102">
        <v>94</v>
      </c>
      <c r="CH102">
        <v>94</v>
      </c>
      <c r="CI102">
        <v>94</v>
      </c>
      <c r="CJ102">
        <v>94</v>
      </c>
      <c r="CK102">
        <v>94</v>
      </c>
      <c r="CL102">
        <v>94</v>
      </c>
      <c r="CM102">
        <v>94</v>
      </c>
      <c r="CN102">
        <v>93</v>
      </c>
      <c r="CO102">
        <v>93</v>
      </c>
      <c r="CP102">
        <v>90</v>
      </c>
      <c r="CQ102">
        <v>89</v>
      </c>
      <c r="CR102">
        <v>83</v>
      </c>
      <c r="CS102">
        <v>83</v>
      </c>
      <c r="CT102">
        <v>82</v>
      </c>
      <c r="CU102">
        <v>83</v>
      </c>
      <c r="CV102">
        <v>92</v>
      </c>
      <c r="CW102">
        <v>93</v>
      </c>
      <c r="CX102">
        <v>92</v>
      </c>
      <c r="CY102">
        <v>84</v>
      </c>
      <c r="CZ102">
        <v>88</v>
      </c>
      <c r="DA102">
        <v>74</v>
      </c>
      <c r="DB102">
        <v>73</v>
      </c>
      <c r="DC102">
        <v>65</v>
      </c>
      <c r="DD102">
        <v>100</v>
      </c>
      <c r="DE102" s="154">
        <v>92</v>
      </c>
      <c r="DF102">
        <v>64</v>
      </c>
      <c r="DG102">
        <v>21</v>
      </c>
    </row>
    <row r="103" spans="1:111" x14ac:dyDescent="0.35">
      <c r="A103">
        <v>102</v>
      </c>
      <c r="B103" s="69" t="s">
        <v>1296</v>
      </c>
      <c r="C103" s="69" t="s">
        <v>1108</v>
      </c>
      <c r="D103" s="69" t="s">
        <v>1308</v>
      </c>
      <c r="F103" s="6">
        <v>5</v>
      </c>
      <c r="G103" s="6">
        <v>8</v>
      </c>
      <c r="H103" s="6"/>
      <c r="I103" s="6">
        <v>4</v>
      </c>
      <c r="J103" s="6">
        <v>5</v>
      </c>
      <c r="L103" s="1">
        <v>0</v>
      </c>
      <c r="M103" s="1">
        <v>2</v>
      </c>
      <c r="O103">
        <f>165+19</f>
        <v>184</v>
      </c>
      <c r="P103">
        <f>202+12</f>
        <v>214</v>
      </c>
      <c r="Q103">
        <v>105</v>
      </c>
      <c r="R103" s="9">
        <f>-28.183+3.46-5.56-6.668-0.585</f>
        <v>-37.536000000000001</v>
      </c>
      <c r="S103" s="263">
        <f>273+2+45+62+23</f>
        <v>405</v>
      </c>
      <c r="T103" s="203">
        <f>140.901+23.706+(138.398-19.199)+6.836+41.563</f>
        <v>332.20499999999998</v>
      </c>
      <c r="V103">
        <v>10</v>
      </c>
      <c r="W103">
        <v>27</v>
      </c>
      <c r="X103">
        <v>9</v>
      </c>
      <c r="Y103" s="9">
        <f>1.432</f>
        <v>1.4319999999999999</v>
      </c>
      <c r="Z103" s="263">
        <f>34</f>
        <v>34</v>
      </c>
      <c r="AA103" s="203">
        <f>3.369</f>
        <v>3.3690000000000002</v>
      </c>
      <c r="AC103">
        <f t="shared" si="114"/>
        <v>186.5</v>
      </c>
      <c r="AD103">
        <f t="shared" si="115"/>
        <v>220.75</v>
      </c>
      <c r="AE103">
        <f t="shared" si="116"/>
        <v>107.25</v>
      </c>
      <c r="AF103">
        <f t="shared" si="117"/>
        <v>-37.178000000000004</v>
      </c>
      <c r="AG103">
        <f t="shared" si="118"/>
        <v>413.5</v>
      </c>
      <c r="AH103">
        <f t="shared" si="119"/>
        <v>333.04724999999996</v>
      </c>
      <c r="AI103" s="73">
        <f t="shared" si="120"/>
        <v>13.5</v>
      </c>
      <c r="AJ103" s="73">
        <f t="shared" si="121"/>
        <v>13.814814814814815</v>
      </c>
      <c r="AK103" s="73">
        <f t="shared" si="122"/>
        <v>16.351851851851851</v>
      </c>
      <c r="AL103" s="73">
        <f t="shared" si="123"/>
        <v>-2.5370370370370363</v>
      </c>
      <c r="AM103" s="73">
        <f t="shared" si="124"/>
        <v>1.7389277389277389</v>
      </c>
      <c r="AN103" s="227">
        <f t="shared" si="125"/>
        <v>-1.3769629629629632</v>
      </c>
      <c r="AO103" s="227">
        <f t="shared" si="126"/>
        <v>-1.2530188831349318</v>
      </c>
      <c r="AP103" s="227">
        <f t="shared" si="127"/>
        <v>9.2944809060858447E-2</v>
      </c>
      <c r="AQ103" s="89">
        <f t="shared" si="128"/>
        <v>1.1095183578115513</v>
      </c>
      <c r="AR103" s="73">
        <f t="shared" si="129"/>
        <v>30.62962962962963</v>
      </c>
      <c r="AS103" s="89">
        <f t="shared" si="130"/>
        <v>24.670166666666663</v>
      </c>
      <c r="AT103" s="89">
        <f t="shared" si="131"/>
        <v>4.9669071530145059</v>
      </c>
      <c r="AU103" s="9">
        <v>14</v>
      </c>
      <c r="AV103" s="9">
        <v>0</v>
      </c>
      <c r="AX103" s="54">
        <f t="shared" si="132"/>
        <v>14</v>
      </c>
      <c r="AZ103" s="49">
        <v>74</v>
      </c>
      <c r="BA103" s="48">
        <f t="shared" si="133"/>
        <v>74</v>
      </c>
      <c r="BB103" s="245">
        <f t="shared" si="134"/>
        <v>0</v>
      </c>
      <c r="BC103" s="36">
        <f t="shared" si="135"/>
        <v>0.42471573169992277</v>
      </c>
      <c r="BD103" s="205">
        <f t="shared" si="136"/>
        <v>0.38461538461538464</v>
      </c>
      <c r="BE103" s="205">
        <f t="shared" si="137"/>
        <v>0.44444444444444442</v>
      </c>
      <c r="BF103" s="205">
        <f t="shared" si="138"/>
        <v>0.10711640163756937</v>
      </c>
      <c r="BG103" s="205">
        <f t="shared" si="139"/>
        <v>0.63723963668647143</v>
      </c>
      <c r="BH103" s="205">
        <f t="shared" si="140"/>
        <v>7.6980495372773072E-2</v>
      </c>
      <c r="BI103" s="205">
        <f t="shared" si="141"/>
        <v>0.8067700988402593</v>
      </c>
      <c r="BJ103" s="205">
        <f t="shared" si="142"/>
        <v>0.55651663042456612</v>
      </c>
      <c r="BK103" s="205">
        <f t="shared" si="143"/>
        <v>0.22506996411411173</v>
      </c>
      <c r="BL103" s="205">
        <f t="shared" si="144"/>
        <v>0.41834014225389415</v>
      </c>
      <c r="BM103" s="205">
        <f t="shared" si="145"/>
        <v>0.1111111111111111</v>
      </c>
      <c r="BN103" s="48">
        <v>5</v>
      </c>
      <c r="BO103" s="220">
        <f t="shared" si="146"/>
        <v>19</v>
      </c>
      <c r="BP103" s="220">
        <v>19</v>
      </c>
      <c r="BQ103" s="220">
        <f t="shared" si="147"/>
        <v>38</v>
      </c>
      <c r="BR103" s="205">
        <v>-1</v>
      </c>
      <c r="BS103" s="35">
        <v>0.42471573169992277</v>
      </c>
      <c r="BT103">
        <v>2</v>
      </c>
      <c r="BU103" s="205">
        <v>4.9669071530145059</v>
      </c>
      <c r="BV103" s="34">
        <v>0.10711640163756937</v>
      </c>
      <c r="BW103" s="34">
        <v>0.63723963668647143</v>
      </c>
      <c r="BX103" s="34">
        <f>IF(A103&lt;17, SoC!O$3, IF(A103&lt;33, SoC!O$4, IF(A103&lt;49, SoC!O$5, IF(A103&lt;65, SoC!O$6, IF(A103&lt;81, SoC!O$7, IF(A103&lt;97, SoC!O$8, SoC!O$9))))))</f>
        <v>0.84292189346881985</v>
      </c>
      <c r="BY103" s="205">
        <f t="shared" si="148"/>
        <v>0.65170218021725446</v>
      </c>
      <c r="BZ103" s="205" t="str">
        <f t="shared" si="149"/>
        <v>D</v>
      </c>
      <c r="CA103" s="35">
        <f t="shared" si="150"/>
        <v>-2.654762291479964</v>
      </c>
      <c r="CB103" s="245">
        <f t="shared" si="151"/>
        <v>0</v>
      </c>
      <c r="CC103" s="48">
        <v>50</v>
      </c>
      <c r="CD103" s="69" t="s">
        <v>1308</v>
      </c>
      <c r="CE103">
        <v>74</v>
      </c>
      <c r="CF103">
        <v>74</v>
      </c>
      <c r="CG103">
        <v>74</v>
      </c>
      <c r="CH103">
        <v>74</v>
      </c>
      <c r="CI103">
        <v>74</v>
      </c>
      <c r="CJ103">
        <v>74</v>
      </c>
      <c r="CK103">
        <v>74</v>
      </c>
      <c r="CL103">
        <v>74</v>
      </c>
      <c r="CM103">
        <v>74</v>
      </c>
      <c r="CN103">
        <v>74</v>
      </c>
      <c r="CO103">
        <v>74</v>
      </c>
      <c r="CP103">
        <v>83</v>
      </c>
      <c r="CQ103">
        <v>83</v>
      </c>
      <c r="CR103">
        <v>78</v>
      </c>
      <c r="CS103">
        <v>78</v>
      </c>
      <c r="CT103">
        <v>95</v>
      </c>
      <c r="CU103">
        <v>95</v>
      </c>
      <c r="CV103">
        <v>103</v>
      </c>
      <c r="CW103">
        <v>105</v>
      </c>
      <c r="CX103">
        <v>102</v>
      </c>
      <c r="CY103">
        <v>101</v>
      </c>
      <c r="CZ103">
        <v>103</v>
      </c>
      <c r="DA103">
        <v>100</v>
      </c>
      <c r="DB103">
        <v>100</v>
      </c>
      <c r="DC103">
        <v>107</v>
      </c>
      <c r="DD103">
        <v>107</v>
      </c>
      <c r="DE103" s="154">
        <v>90</v>
      </c>
      <c r="DF103">
        <v>89</v>
      </c>
      <c r="DG103">
        <v>63</v>
      </c>
    </row>
    <row r="104" spans="1:111" x14ac:dyDescent="0.35">
      <c r="A104">
        <v>103</v>
      </c>
      <c r="B104" s="69" t="s">
        <v>1296</v>
      </c>
      <c r="C104" s="69" t="s">
        <v>1108</v>
      </c>
      <c r="D104" s="69" t="s">
        <v>960</v>
      </c>
      <c r="F104" s="6">
        <v>9</v>
      </c>
      <c r="G104" s="6">
        <v>4</v>
      </c>
      <c r="H104" s="6"/>
      <c r="I104" s="6">
        <v>7</v>
      </c>
      <c r="J104" s="6">
        <v>2</v>
      </c>
      <c r="L104" s="1">
        <v>6</v>
      </c>
      <c r="M104" s="1">
        <v>5</v>
      </c>
      <c r="O104">
        <f>192+26</f>
        <v>218</v>
      </c>
      <c r="P104">
        <f>169+23</f>
        <v>192</v>
      </c>
      <c r="Q104">
        <v>103</v>
      </c>
      <c r="R104" s="9">
        <f>2.747+0.828+6.955+2.622+5.431</f>
        <v>18.582999999999998</v>
      </c>
      <c r="S104" s="263">
        <f>537+81+47+56+56</f>
        <v>777</v>
      </c>
      <c r="T104" s="203">
        <f>491.657+0+13.937+92.279+48.388</f>
        <v>646.26100000000008</v>
      </c>
      <c r="V104">
        <v>178</v>
      </c>
      <c r="W104">
        <v>180</v>
      </c>
      <c r="X104">
        <v>93</v>
      </c>
      <c r="Y104" s="9">
        <f>9.132-3.499-0.756-0.003+3.809</f>
        <v>8.6829999999999998</v>
      </c>
      <c r="Z104" s="263">
        <f>398+77+76+69+71</f>
        <v>691</v>
      </c>
      <c r="AA104" s="203">
        <f>238.432+40.845+78.648+0+4.844</f>
        <v>362.76899999999995</v>
      </c>
      <c r="AC104">
        <f t="shared" si="114"/>
        <v>262.5</v>
      </c>
      <c r="AD104">
        <f t="shared" si="115"/>
        <v>237</v>
      </c>
      <c r="AE104">
        <f t="shared" si="116"/>
        <v>126.25</v>
      </c>
      <c r="AF104">
        <f t="shared" si="117"/>
        <v>20.753749999999997</v>
      </c>
      <c r="AG104">
        <f t="shared" si="118"/>
        <v>949.75</v>
      </c>
      <c r="AH104">
        <f t="shared" si="119"/>
        <v>736.95325000000003</v>
      </c>
      <c r="AI104" s="73">
        <f t="shared" si="120"/>
        <v>15.75</v>
      </c>
      <c r="AJ104" s="73">
        <f t="shared" si="121"/>
        <v>16.666666666666668</v>
      </c>
      <c r="AK104" s="73">
        <f t="shared" si="122"/>
        <v>15.047619047619047</v>
      </c>
      <c r="AL104" s="73">
        <f t="shared" si="123"/>
        <v>1.6190476190476204</v>
      </c>
      <c r="AM104" s="73">
        <f t="shared" si="124"/>
        <v>2.0792079207920793</v>
      </c>
      <c r="AN104" s="227">
        <f t="shared" si="125"/>
        <v>1.3176984126984126</v>
      </c>
      <c r="AO104" s="227">
        <f t="shared" si="126"/>
        <v>1.6532786458422404</v>
      </c>
      <c r="AP104" s="227">
        <f t="shared" si="127"/>
        <v>0.13355908977729403</v>
      </c>
      <c r="AQ104" s="89">
        <f t="shared" si="128"/>
        <v>3.2245518587551762</v>
      </c>
      <c r="AR104" s="73">
        <f t="shared" si="129"/>
        <v>60.301587301587304</v>
      </c>
      <c r="AS104" s="89">
        <f t="shared" si="130"/>
        <v>46.790682539682543</v>
      </c>
      <c r="AT104" s="89">
        <f t="shared" si="131"/>
        <v>6.8403715205888158</v>
      </c>
      <c r="AU104" s="9">
        <v>42</v>
      </c>
      <c r="AV104" s="9">
        <v>0</v>
      </c>
      <c r="AX104" s="54">
        <f t="shared" si="132"/>
        <v>42</v>
      </c>
      <c r="AZ104" s="49">
        <v>33</v>
      </c>
      <c r="BA104" s="48">
        <f t="shared" si="133"/>
        <v>33</v>
      </c>
      <c r="BB104" s="245">
        <f t="shared" si="134"/>
        <v>0</v>
      </c>
      <c r="BC104" s="36">
        <f t="shared" si="135"/>
        <v>0.6495314910256329</v>
      </c>
      <c r="BD104" s="205">
        <f t="shared" si="136"/>
        <v>0.76923076923076927</v>
      </c>
      <c r="BE104" s="205">
        <f t="shared" si="137"/>
        <v>0.77777777777777779</v>
      </c>
      <c r="BF104" s="205">
        <f t="shared" si="138"/>
        <v>0.35127030956819733</v>
      </c>
      <c r="BG104" s="205">
        <f t="shared" si="139"/>
        <v>0.75892527877776805</v>
      </c>
      <c r="BH104" s="205">
        <f t="shared" si="140"/>
        <v>0.45306457989893201</v>
      </c>
      <c r="BI104" s="205">
        <f t="shared" si="141"/>
        <v>0.47682749049802131</v>
      </c>
      <c r="BJ104" s="205">
        <f t="shared" si="142"/>
        <v>0.56075513615285744</v>
      </c>
      <c r="BK104" s="205">
        <f t="shared" si="143"/>
        <v>0.45181601336809102</v>
      </c>
      <c r="BL104" s="205">
        <f t="shared" si="144"/>
        <v>0.70296646684767716</v>
      </c>
      <c r="BM104" s="205">
        <f t="shared" si="145"/>
        <v>0.33333333333333331</v>
      </c>
      <c r="BN104" s="48">
        <v>10</v>
      </c>
      <c r="BO104" s="220">
        <f t="shared" si="146"/>
        <v>52</v>
      </c>
      <c r="BP104" s="220">
        <v>60</v>
      </c>
      <c r="BQ104" s="220">
        <f t="shared" si="147"/>
        <v>112</v>
      </c>
      <c r="BR104" s="205">
        <v>0.33333333333333331</v>
      </c>
      <c r="BS104" s="35">
        <v>0.6495314910256329</v>
      </c>
      <c r="BT104">
        <v>1</v>
      </c>
      <c r="BU104" s="205">
        <v>6.8403715205888158</v>
      </c>
      <c r="BV104" s="34">
        <v>0.35127030956819733</v>
      </c>
      <c r="BW104" s="34">
        <v>0.75892527877776805</v>
      </c>
      <c r="BX104" s="34">
        <f>IF(A104&lt;17, SoC!O$3, IF(A104&lt;33, SoC!O$4, IF(A104&lt;49, SoC!O$5, IF(A104&lt;65, SoC!O$6, IF(A104&lt;81, SoC!O$7, IF(A104&lt;97, SoC!O$8, SoC!O$9))))))</f>
        <v>0.84292189346881985</v>
      </c>
      <c r="BY104" s="205">
        <f t="shared" si="148"/>
        <v>0.80593516552240907</v>
      </c>
      <c r="BZ104" s="205" t="str">
        <f t="shared" si="149"/>
        <v>B-</v>
      </c>
      <c r="CA104" s="35">
        <f t="shared" si="150"/>
        <v>2.7782850788213937</v>
      </c>
      <c r="CB104" s="245">
        <f t="shared" si="151"/>
        <v>0</v>
      </c>
      <c r="CC104" s="48">
        <v>14</v>
      </c>
      <c r="CD104" s="69" t="s">
        <v>960</v>
      </c>
      <c r="CE104">
        <v>33</v>
      </c>
      <c r="CF104">
        <v>33</v>
      </c>
      <c r="CG104">
        <v>33</v>
      </c>
      <c r="CH104">
        <v>33</v>
      </c>
      <c r="CI104">
        <v>33</v>
      </c>
      <c r="CJ104">
        <v>33</v>
      </c>
      <c r="CK104">
        <v>33</v>
      </c>
      <c r="CL104">
        <v>33</v>
      </c>
      <c r="CM104">
        <v>33</v>
      </c>
      <c r="CN104">
        <v>33</v>
      </c>
      <c r="CO104">
        <v>33</v>
      </c>
      <c r="CP104">
        <v>31</v>
      </c>
      <c r="CQ104">
        <v>31</v>
      </c>
      <c r="CR104">
        <v>34</v>
      </c>
      <c r="CS104">
        <v>34</v>
      </c>
      <c r="CT104">
        <v>38</v>
      </c>
      <c r="CU104">
        <v>42</v>
      </c>
      <c r="CV104">
        <v>31</v>
      </c>
      <c r="CW104">
        <v>30</v>
      </c>
      <c r="CX104">
        <v>26</v>
      </c>
      <c r="CY104">
        <v>33</v>
      </c>
      <c r="CZ104">
        <v>48</v>
      </c>
      <c r="DA104">
        <v>54</v>
      </c>
      <c r="DB104">
        <v>61</v>
      </c>
      <c r="DC104">
        <v>38</v>
      </c>
      <c r="DD104">
        <v>45</v>
      </c>
      <c r="DE104" s="154">
        <v>33</v>
      </c>
      <c r="DF104">
        <v>47</v>
      </c>
      <c r="DG104">
        <v>99</v>
      </c>
    </row>
    <row r="105" spans="1:111" x14ac:dyDescent="0.35">
      <c r="A105">
        <v>104</v>
      </c>
      <c r="B105" s="69" t="s">
        <v>1296</v>
      </c>
      <c r="C105" s="69" t="s">
        <v>1108</v>
      </c>
      <c r="D105" s="69" t="s">
        <v>961</v>
      </c>
      <c r="F105" s="6">
        <v>5</v>
      </c>
      <c r="G105" s="6">
        <v>8</v>
      </c>
      <c r="H105" s="6"/>
      <c r="I105" s="6">
        <v>4</v>
      </c>
      <c r="J105" s="6">
        <v>5</v>
      </c>
      <c r="L105" s="1">
        <v>5</v>
      </c>
      <c r="M105" s="1">
        <v>8</v>
      </c>
      <c r="O105">
        <f>165+23</f>
        <v>188</v>
      </c>
      <c r="P105">
        <f>212+26</f>
        <v>238</v>
      </c>
      <c r="Q105">
        <v>94</v>
      </c>
      <c r="R105" s="9">
        <f>7.784+4.945+5.56-8.459-5.431</f>
        <v>4.3989999999999982</v>
      </c>
      <c r="S105" s="263">
        <f>668+53+45+68+56</f>
        <v>890</v>
      </c>
      <c r="T105" s="203">
        <f>305.565+6.481+1.298+1.944+11.671</f>
        <v>326.959</v>
      </c>
      <c r="V105">
        <v>180</v>
      </c>
      <c r="W105">
        <f>187+27</f>
        <v>214</v>
      </c>
      <c r="X105">
        <v>91</v>
      </c>
      <c r="Y105" s="9">
        <f>10.898-7.241-4.838-7.563-10.161</f>
        <v>-18.905000000000001</v>
      </c>
      <c r="Z105" s="263">
        <f>615+76+78+70+68</f>
        <v>907</v>
      </c>
      <c r="AA105" s="203">
        <f>433.878+3.342+26.283+9.999+7.235</f>
        <v>480.73700000000002</v>
      </c>
      <c r="AC105">
        <f t="shared" si="114"/>
        <v>233</v>
      </c>
      <c r="AD105">
        <f t="shared" si="115"/>
        <v>291.5</v>
      </c>
      <c r="AE105">
        <f t="shared" si="116"/>
        <v>116.75</v>
      </c>
      <c r="AF105">
        <f t="shared" si="117"/>
        <v>-0.32725000000000204</v>
      </c>
      <c r="AG105">
        <f t="shared" si="118"/>
        <v>1116.75</v>
      </c>
      <c r="AH105">
        <f t="shared" si="119"/>
        <v>447.14325000000002</v>
      </c>
      <c r="AI105" s="73">
        <f t="shared" si="120"/>
        <v>16.25</v>
      </c>
      <c r="AJ105" s="73">
        <f t="shared" si="121"/>
        <v>14.338461538461539</v>
      </c>
      <c r="AK105" s="73">
        <f t="shared" si="122"/>
        <v>17.938461538461539</v>
      </c>
      <c r="AL105" s="73">
        <f t="shared" si="123"/>
        <v>-3.5999999999999996</v>
      </c>
      <c r="AM105" s="73">
        <f t="shared" si="124"/>
        <v>1.9957173447537473</v>
      </c>
      <c r="AN105" s="227">
        <f t="shared" si="125"/>
        <v>-1.0069230769230832E-2</v>
      </c>
      <c r="AO105" s="227">
        <f t="shared" si="126"/>
        <v>0.22122938869996522</v>
      </c>
      <c r="AP105" s="227">
        <f t="shared" si="127"/>
        <v>-3.705580078965367</v>
      </c>
      <c r="AQ105" s="89">
        <f t="shared" si="128"/>
        <v>2.1253122011712122</v>
      </c>
      <c r="AR105" s="73">
        <f t="shared" si="129"/>
        <v>68.723076923076917</v>
      </c>
      <c r="AS105" s="89">
        <f t="shared" si="130"/>
        <v>27.516507692307695</v>
      </c>
      <c r="AT105" s="89">
        <f t="shared" si="131"/>
        <v>5.2456179514245695</v>
      </c>
      <c r="AU105" s="9">
        <v>35</v>
      </c>
      <c r="AV105" s="9">
        <v>12</v>
      </c>
      <c r="AW105" s="20">
        <v>23</v>
      </c>
      <c r="AX105" s="54">
        <f t="shared" si="132"/>
        <v>70</v>
      </c>
      <c r="AZ105" s="49">
        <v>72</v>
      </c>
      <c r="BA105" s="48">
        <f t="shared" si="133"/>
        <v>72</v>
      </c>
      <c r="BB105" s="245">
        <f t="shared" si="134"/>
        <v>0</v>
      </c>
      <c r="BC105" s="36">
        <f t="shared" si="135"/>
        <v>0.43959030182509584</v>
      </c>
      <c r="BD105" s="205">
        <f t="shared" si="136"/>
        <v>0.44871794871794868</v>
      </c>
      <c r="BE105" s="205">
        <f t="shared" si="137"/>
        <v>0.44444444444444442</v>
      </c>
      <c r="BF105" s="205">
        <f t="shared" si="138"/>
        <v>0.1519470592575988</v>
      </c>
      <c r="BG105" s="205">
        <f t="shared" si="139"/>
        <v>0.4892080752683089</v>
      </c>
      <c r="BH105" s="205">
        <f t="shared" si="140"/>
        <v>0.36078921821343785</v>
      </c>
      <c r="BI105" s="205">
        <f t="shared" si="141"/>
        <v>0.63940343548131895</v>
      </c>
      <c r="BJ105" s="205">
        <f t="shared" si="142"/>
        <v>0.16010262990673579</v>
      </c>
      <c r="BK105" s="205">
        <f t="shared" si="143"/>
        <v>0.3416377240439839</v>
      </c>
      <c r="BL105" s="205">
        <f t="shared" si="144"/>
        <v>0.46068331757607373</v>
      </c>
      <c r="BM105" s="205">
        <f t="shared" si="145"/>
        <v>0.55555555555555558</v>
      </c>
      <c r="BN105" s="48">
        <v>5</v>
      </c>
      <c r="BO105" s="220">
        <f t="shared" si="146"/>
        <v>75</v>
      </c>
      <c r="BP105" s="220">
        <v>21</v>
      </c>
      <c r="BQ105" s="220">
        <f t="shared" si="147"/>
        <v>96</v>
      </c>
      <c r="BR105" s="205">
        <v>0.33333333333333331</v>
      </c>
      <c r="BS105" s="35">
        <v>0.43959030182509584</v>
      </c>
      <c r="BT105">
        <v>4</v>
      </c>
      <c r="BU105" s="205">
        <v>5.2456179514245695</v>
      </c>
      <c r="BV105" s="34">
        <v>0.1519470592575988</v>
      </c>
      <c r="BW105" s="34">
        <v>0.4892080752683089</v>
      </c>
      <c r="BX105" s="34">
        <f>IF(A105&lt;17, SoC!O$3, IF(A105&lt;33, SoC!O$4, IF(A105&lt;49, SoC!O$5, IF(A105&lt;65, SoC!O$6, IF(A105&lt;81, SoC!O$7, IF(A105&lt;97, SoC!O$8, SoC!O$9))))))</f>
        <v>0.84292189346881985</v>
      </c>
      <c r="BY105" s="205">
        <f t="shared" si="148"/>
        <v>0.66301606453018602</v>
      </c>
      <c r="BZ105" s="205" t="str">
        <f t="shared" si="149"/>
        <v>D</v>
      </c>
      <c r="CA105" s="35">
        <f t="shared" si="150"/>
        <v>-2.217915489771471</v>
      </c>
      <c r="CB105" s="245">
        <f t="shared" si="151"/>
        <v>0</v>
      </c>
      <c r="CC105" s="48">
        <v>91</v>
      </c>
      <c r="CD105" s="69" t="s">
        <v>961</v>
      </c>
      <c r="CE105">
        <v>72</v>
      </c>
      <c r="CF105">
        <v>72</v>
      </c>
      <c r="CG105">
        <v>72</v>
      </c>
      <c r="CH105">
        <v>72</v>
      </c>
      <c r="CI105">
        <v>72</v>
      </c>
      <c r="CJ105">
        <v>72</v>
      </c>
      <c r="CK105">
        <v>72</v>
      </c>
      <c r="CL105">
        <v>72</v>
      </c>
      <c r="CM105">
        <v>72</v>
      </c>
      <c r="CN105">
        <v>72</v>
      </c>
      <c r="CO105">
        <v>72</v>
      </c>
      <c r="CP105">
        <v>69</v>
      </c>
      <c r="CQ105">
        <v>69</v>
      </c>
      <c r="CR105">
        <v>63</v>
      </c>
      <c r="CS105">
        <v>63</v>
      </c>
      <c r="CT105">
        <v>53</v>
      </c>
      <c r="CU105">
        <v>52</v>
      </c>
      <c r="CV105">
        <v>43</v>
      </c>
      <c r="CW105">
        <v>41</v>
      </c>
      <c r="CX105">
        <v>33</v>
      </c>
      <c r="CY105">
        <v>32</v>
      </c>
      <c r="CZ105">
        <v>41</v>
      </c>
      <c r="DA105">
        <v>42</v>
      </c>
      <c r="DB105">
        <v>34</v>
      </c>
      <c r="DC105">
        <v>34</v>
      </c>
      <c r="DD105">
        <v>18</v>
      </c>
      <c r="DE105" s="154">
        <v>5</v>
      </c>
      <c r="DF105">
        <v>5</v>
      </c>
      <c r="DG105">
        <v>22</v>
      </c>
    </row>
    <row r="106" spans="1:111" x14ac:dyDescent="0.35">
      <c r="A106">
        <v>105</v>
      </c>
      <c r="B106" s="69" t="s">
        <v>1296</v>
      </c>
      <c r="C106" s="69" t="s">
        <v>918</v>
      </c>
      <c r="D106" s="69" t="s">
        <v>1343</v>
      </c>
      <c r="F106" s="6">
        <v>4</v>
      </c>
      <c r="G106" s="6">
        <v>9</v>
      </c>
      <c r="H106" s="6"/>
      <c r="I106" s="6">
        <v>2</v>
      </c>
      <c r="J106" s="6">
        <v>7</v>
      </c>
      <c r="L106" s="1">
        <v>2</v>
      </c>
      <c r="M106" s="1">
        <v>2</v>
      </c>
      <c r="O106">
        <v>188</v>
      </c>
      <c r="P106">
        <v>218</v>
      </c>
      <c r="Q106">
        <v>102</v>
      </c>
      <c r="R106" s="9">
        <f>-6.507-2.226-5.308-2.622-10.057</f>
        <v>-26.72</v>
      </c>
      <c r="S106" s="263">
        <f>358+29+60+56+65</f>
        <v>568</v>
      </c>
      <c r="T106" s="203">
        <f>236.097+19.302+(118.102-9.051)+1.805+7.45</f>
        <v>373.70499999999998</v>
      </c>
      <c r="V106">
        <v>49</v>
      </c>
      <c r="W106">
        <v>55</v>
      </c>
      <c r="X106">
        <v>33</v>
      </c>
      <c r="Y106" s="9">
        <f>-9.086</f>
        <v>-9.0860000000000003</v>
      </c>
      <c r="Z106" s="263">
        <f>221</f>
        <v>221</v>
      </c>
      <c r="AA106" s="203">
        <f>91.106</f>
        <v>91.105999999999995</v>
      </c>
      <c r="AC106">
        <f t="shared" si="114"/>
        <v>200.25</v>
      </c>
      <c r="AD106">
        <f t="shared" si="115"/>
        <v>231.75</v>
      </c>
      <c r="AE106">
        <f t="shared" si="116"/>
        <v>110.25</v>
      </c>
      <c r="AF106">
        <f t="shared" si="117"/>
        <v>-28.991499999999998</v>
      </c>
      <c r="AG106">
        <f t="shared" si="118"/>
        <v>623.25</v>
      </c>
      <c r="AH106">
        <f t="shared" si="119"/>
        <v>396.48149999999998</v>
      </c>
      <c r="AI106" s="73">
        <f t="shared" si="120"/>
        <v>14</v>
      </c>
      <c r="AJ106" s="73">
        <f t="shared" si="121"/>
        <v>14.303571428571429</v>
      </c>
      <c r="AK106" s="73">
        <f t="shared" si="122"/>
        <v>16.553571428571427</v>
      </c>
      <c r="AL106" s="73">
        <f t="shared" si="123"/>
        <v>-2.2499999999999982</v>
      </c>
      <c r="AM106" s="73">
        <f t="shared" si="124"/>
        <v>1.8163265306122449</v>
      </c>
      <c r="AN106" s="227">
        <f t="shared" si="125"/>
        <v>-1.0354107142857143</v>
      </c>
      <c r="AO106" s="227">
        <f t="shared" si="126"/>
        <v>-0.88464144420583857</v>
      </c>
      <c r="AP106" s="227">
        <f t="shared" si="127"/>
        <v>-0.32994784150844536</v>
      </c>
      <c r="AQ106" s="89">
        <f t="shared" si="128"/>
        <v>1.6514300264765258</v>
      </c>
      <c r="AR106" s="73">
        <f t="shared" si="129"/>
        <v>44.517857142857146</v>
      </c>
      <c r="AS106" s="89">
        <f t="shared" si="130"/>
        <v>28.320107142857143</v>
      </c>
      <c r="AT106" s="89">
        <f t="shared" si="131"/>
        <v>5.3216639449383818</v>
      </c>
      <c r="AU106" s="9">
        <v>14</v>
      </c>
      <c r="AV106" s="9">
        <v>6</v>
      </c>
      <c r="AX106" s="54">
        <f t="shared" si="132"/>
        <v>20</v>
      </c>
      <c r="AZ106" s="49">
        <v>80</v>
      </c>
      <c r="BA106" s="48">
        <f t="shared" si="133"/>
        <v>80</v>
      </c>
      <c r="BB106" s="245">
        <f t="shared" si="134"/>
        <v>0</v>
      </c>
      <c r="BC106" s="36">
        <f t="shared" si="135"/>
        <v>0.39468378004406374</v>
      </c>
      <c r="BD106" s="205">
        <f t="shared" si="136"/>
        <v>0.33333333333333331</v>
      </c>
      <c r="BE106" s="205">
        <f t="shared" si="137"/>
        <v>0.22222222222222221</v>
      </c>
      <c r="BF106" s="205">
        <f t="shared" si="138"/>
        <v>0.14896003289005871</v>
      </c>
      <c r="BG106" s="205">
        <f t="shared" si="139"/>
        <v>0.61841908859425776</v>
      </c>
      <c r="BH106" s="205">
        <f t="shared" si="140"/>
        <v>0.1625231019231099</v>
      </c>
      <c r="BI106" s="205">
        <f t="shared" si="141"/>
        <v>0.76494939334027079</v>
      </c>
      <c r="BJ106" s="205">
        <f t="shared" si="142"/>
        <v>0.51238355973436045</v>
      </c>
      <c r="BK106" s="205">
        <f t="shared" si="143"/>
        <v>0.28980573212559224</v>
      </c>
      <c r="BL106" s="205">
        <f t="shared" si="144"/>
        <v>0.47223661531076389</v>
      </c>
      <c r="BM106" s="205">
        <f t="shared" si="145"/>
        <v>0.15873015873015872</v>
      </c>
      <c r="BN106" s="48">
        <v>5</v>
      </c>
      <c r="BO106" s="220">
        <f t="shared" si="146"/>
        <v>25</v>
      </c>
      <c r="BP106" s="220">
        <v>15</v>
      </c>
      <c r="BQ106" s="220">
        <f t="shared" si="147"/>
        <v>40</v>
      </c>
      <c r="BR106" s="205">
        <v>-1.3333333333333333</v>
      </c>
      <c r="BS106" s="35">
        <v>0.39468378004406374</v>
      </c>
      <c r="BT106">
        <v>1</v>
      </c>
      <c r="BU106" s="205">
        <v>5.3216639449383818</v>
      </c>
      <c r="BV106" s="34">
        <v>0.14896003289005871</v>
      </c>
      <c r="BW106" s="34">
        <v>0.61841908859425776</v>
      </c>
      <c r="BX106" s="34">
        <f>IF(A106&lt;17, SoC!O$3, IF(A106&lt;33, SoC!O$4, IF(A106&lt;49, SoC!O$5, IF(A106&lt;65, SoC!O$6, IF(A106&lt;81, SoC!O$7, IF(A106&lt;97, SoC!O$8, SoC!O$9))))))</f>
        <v>0.84292189346881985</v>
      </c>
      <c r="BY106" s="205">
        <f t="shared" si="148"/>
        <v>0.62823863304007632</v>
      </c>
      <c r="BZ106" s="205" t="str">
        <f t="shared" si="149"/>
        <v>D-</v>
      </c>
      <c r="CA106" s="35">
        <f t="shared" si="150"/>
        <v>-3.0780229286352068</v>
      </c>
      <c r="CB106" s="245">
        <f t="shared" si="151"/>
        <v>0</v>
      </c>
      <c r="CC106" s="48">
        <v>15</v>
      </c>
      <c r="CD106" s="69" t="s">
        <v>1343</v>
      </c>
      <c r="CE106">
        <v>80</v>
      </c>
      <c r="CF106">
        <v>80</v>
      </c>
      <c r="CG106">
        <v>80</v>
      </c>
      <c r="CH106">
        <v>80</v>
      </c>
      <c r="CI106">
        <v>80</v>
      </c>
      <c r="CJ106">
        <v>80</v>
      </c>
      <c r="CK106">
        <v>80</v>
      </c>
      <c r="CL106">
        <v>80</v>
      </c>
      <c r="CM106">
        <v>80</v>
      </c>
      <c r="CN106">
        <v>81</v>
      </c>
      <c r="CO106">
        <v>78</v>
      </c>
      <c r="CP106">
        <v>72</v>
      </c>
      <c r="CQ106">
        <v>72</v>
      </c>
      <c r="CR106">
        <v>70</v>
      </c>
      <c r="CS106">
        <v>70</v>
      </c>
      <c r="CT106">
        <v>83</v>
      </c>
      <c r="CU106">
        <v>82</v>
      </c>
      <c r="CV106">
        <v>80</v>
      </c>
      <c r="CW106">
        <v>78</v>
      </c>
      <c r="CX106">
        <v>76</v>
      </c>
      <c r="CY106">
        <v>78</v>
      </c>
      <c r="CZ106">
        <v>70</v>
      </c>
      <c r="DA106">
        <v>81</v>
      </c>
      <c r="DB106">
        <v>60</v>
      </c>
      <c r="DC106">
        <v>66</v>
      </c>
      <c r="DD106">
        <v>76</v>
      </c>
      <c r="DE106" s="154">
        <v>97</v>
      </c>
      <c r="DF106">
        <v>91</v>
      </c>
      <c r="DG106">
        <v>98</v>
      </c>
    </row>
    <row r="107" spans="1:111" x14ac:dyDescent="0.35">
      <c r="A107">
        <v>106</v>
      </c>
      <c r="B107" s="69" t="s">
        <v>1296</v>
      </c>
      <c r="C107" s="69" t="s">
        <v>918</v>
      </c>
      <c r="D107" s="69" t="s">
        <v>966</v>
      </c>
      <c r="F107" s="6">
        <v>10</v>
      </c>
      <c r="G107" s="6">
        <v>3</v>
      </c>
      <c r="H107" s="6"/>
      <c r="I107" s="6">
        <v>6</v>
      </c>
      <c r="J107" s="6">
        <v>3</v>
      </c>
      <c r="L107" s="1">
        <v>10</v>
      </c>
      <c r="M107" s="1">
        <v>5</v>
      </c>
      <c r="O107">
        <f>219+14</f>
        <v>233</v>
      </c>
      <c r="P107">
        <f>149+18</f>
        <v>167</v>
      </c>
      <c r="Q107">
        <v>98</v>
      </c>
      <c r="R107" s="9">
        <f>35.436+6.555-1.015+6.668+3.483</f>
        <v>51.126999999999995</v>
      </c>
      <c r="S107" s="263">
        <f>634+88+95+62+85</f>
        <v>964</v>
      </c>
      <c r="T107" s="203">
        <f>535.89+10.023+0+46.566+6.363</f>
        <v>598.8420000000001</v>
      </c>
      <c r="V107">
        <f>271+19</f>
        <v>290</v>
      </c>
      <c r="W107">
        <v>268</v>
      </c>
      <c r="X107">
        <v>122</v>
      </c>
      <c r="Y107" s="9">
        <f>45.067+3.482+1.065-0.773-3.964-2.041+2.548</f>
        <v>45.384</v>
      </c>
      <c r="Z107" s="263">
        <f>762+96+93+94+91+89+88</f>
        <v>1313</v>
      </c>
      <c r="AA107" s="203">
        <f>562.751+17.392+87.594+24.29+0+11.768+(117.689-8.8445)</f>
        <v>812.63950000000011</v>
      </c>
      <c r="AC107">
        <f t="shared" si="114"/>
        <v>305.5</v>
      </c>
      <c r="AD107">
        <f t="shared" si="115"/>
        <v>234</v>
      </c>
      <c r="AE107">
        <f t="shared" si="116"/>
        <v>128.5</v>
      </c>
      <c r="AF107">
        <f t="shared" si="117"/>
        <v>62.472999999999999</v>
      </c>
      <c r="AG107">
        <f t="shared" si="118"/>
        <v>1292.25</v>
      </c>
      <c r="AH107">
        <f t="shared" si="119"/>
        <v>802.00187500000015</v>
      </c>
      <c r="AI107" s="73">
        <f t="shared" si="120"/>
        <v>16.75</v>
      </c>
      <c r="AJ107" s="73">
        <f t="shared" si="121"/>
        <v>18.238805970149254</v>
      </c>
      <c r="AK107" s="73">
        <f t="shared" si="122"/>
        <v>13.970149253731343</v>
      </c>
      <c r="AL107" s="73">
        <f t="shared" si="123"/>
        <v>4.2686567164179117</v>
      </c>
      <c r="AM107" s="73">
        <f t="shared" si="124"/>
        <v>2.377431906614786</v>
      </c>
      <c r="AN107" s="227">
        <f t="shared" si="125"/>
        <v>3.7297313432835821</v>
      </c>
      <c r="AO107" s="227">
        <f t="shared" si="126"/>
        <v>4.2547503592409965</v>
      </c>
      <c r="AP107" s="227">
        <f t="shared" si="127"/>
        <v>0.27641586515562233</v>
      </c>
      <c r="AQ107" s="89">
        <f t="shared" si="128"/>
        <v>4.9833463736494661</v>
      </c>
      <c r="AR107" s="73">
        <f t="shared" si="129"/>
        <v>77.149253731343279</v>
      </c>
      <c r="AS107" s="89">
        <f t="shared" si="130"/>
        <v>47.880708955223888</v>
      </c>
      <c r="AT107" s="89">
        <f t="shared" si="131"/>
        <v>6.9195887851247262</v>
      </c>
      <c r="AU107" s="9">
        <v>35</v>
      </c>
      <c r="AV107" s="9">
        <v>30</v>
      </c>
      <c r="AW107" s="20">
        <v>23</v>
      </c>
      <c r="AX107" s="54">
        <f t="shared" si="132"/>
        <v>88</v>
      </c>
      <c r="AZ107" s="49">
        <v>19</v>
      </c>
      <c r="BA107" s="48">
        <f t="shared" si="133"/>
        <v>19</v>
      </c>
      <c r="BB107" s="245">
        <f t="shared" si="134"/>
        <v>0</v>
      </c>
      <c r="BC107" s="36">
        <f t="shared" si="135"/>
        <v>0.72033639667955618</v>
      </c>
      <c r="BD107" s="205">
        <f t="shared" si="136"/>
        <v>0.89743589743589736</v>
      </c>
      <c r="BE107" s="205">
        <f t="shared" si="137"/>
        <v>0.66666666666666663</v>
      </c>
      <c r="BF107" s="205">
        <f t="shared" si="138"/>
        <v>0.48586494305428096</v>
      </c>
      <c r="BG107" s="205">
        <f t="shared" si="139"/>
        <v>0.85945380656643033</v>
      </c>
      <c r="BH107" s="205">
        <f t="shared" si="140"/>
        <v>0.78266736216319166</v>
      </c>
      <c r="BI107" s="205">
        <f t="shared" si="141"/>
        <v>0.18149077631466126</v>
      </c>
      <c r="BJ107" s="205">
        <f t="shared" si="142"/>
        <v>0.57566366709530603</v>
      </c>
      <c r="BK107" s="205">
        <f t="shared" si="143"/>
        <v>0.61148797922162168</v>
      </c>
      <c r="BL107" s="205">
        <f t="shared" si="144"/>
        <v>0.71500156035651352</v>
      </c>
      <c r="BM107" s="205">
        <f t="shared" si="145"/>
        <v>0.69841269841269837</v>
      </c>
      <c r="BN107" s="48">
        <v>10</v>
      </c>
      <c r="BO107" s="220">
        <f t="shared" si="146"/>
        <v>98</v>
      </c>
      <c r="BP107" s="220">
        <v>78</v>
      </c>
      <c r="BQ107" s="220">
        <f t="shared" si="147"/>
        <v>176</v>
      </c>
      <c r="BR107" s="205">
        <v>0</v>
      </c>
      <c r="BS107" s="35">
        <v>0.72033639667955618</v>
      </c>
      <c r="BT107">
        <v>5</v>
      </c>
      <c r="BU107" s="205">
        <v>6.9195887851247262</v>
      </c>
      <c r="BV107" s="34">
        <v>0.48586494305428096</v>
      </c>
      <c r="BW107" s="34">
        <v>0.85945380656643033</v>
      </c>
      <c r="BX107" s="34">
        <f>IF(A107&lt;17, SoC!O$3, IF(A107&lt;33, SoC!O$4, IF(A107&lt;49, SoC!O$5, IF(A107&lt;65, SoC!O$6, IF(A107&lt;81, SoC!O$7, IF(A107&lt;97, SoC!O$8, SoC!O$9))))))</f>
        <v>0.84292189346881985</v>
      </c>
      <c r="BY107" s="205">
        <f t="shared" si="148"/>
        <v>0.8487263379202723</v>
      </c>
      <c r="BZ107" s="205" t="str">
        <f t="shared" si="149"/>
        <v>B</v>
      </c>
      <c r="CA107" s="35">
        <f t="shared" si="150"/>
        <v>4.2339918241678145</v>
      </c>
      <c r="CB107" s="245">
        <f t="shared" si="151"/>
        <v>0</v>
      </c>
      <c r="CC107" s="48">
        <v>95</v>
      </c>
      <c r="CD107" s="69" t="s">
        <v>966</v>
      </c>
      <c r="CE107">
        <v>19</v>
      </c>
      <c r="CF107">
        <v>19</v>
      </c>
      <c r="CG107">
        <v>19</v>
      </c>
      <c r="CH107">
        <v>19</v>
      </c>
      <c r="CI107">
        <v>19</v>
      </c>
      <c r="CJ107">
        <v>19</v>
      </c>
      <c r="CK107">
        <v>20</v>
      </c>
      <c r="CL107">
        <v>20</v>
      </c>
      <c r="CM107">
        <v>21</v>
      </c>
      <c r="CN107">
        <v>21</v>
      </c>
      <c r="CO107">
        <v>21</v>
      </c>
      <c r="CP107">
        <v>14</v>
      </c>
      <c r="CQ107">
        <v>13</v>
      </c>
      <c r="CR107">
        <v>16</v>
      </c>
      <c r="CS107">
        <v>17</v>
      </c>
      <c r="CT107">
        <v>7</v>
      </c>
      <c r="CU107">
        <v>7</v>
      </c>
      <c r="CV107">
        <v>5</v>
      </c>
      <c r="CW107">
        <v>5</v>
      </c>
      <c r="CX107">
        <v>4</v>
      </c>
      <c r="CY107">
        <v>4</v>
      </c>
      <c r="CZ107">
        <v>5</v>
      </c>
      <c r="DA107">
        <v>5</v>
      </c>
      <c r="DB107">
        <v>5</v>
      </c>
      <c r="DC107">
        <v>7</v>
      </c>
      <c r="DD107">
        <v>6</v>
      </c>
      <c r="DE107" s="154">
        <v>24</v>
      </c>
      <c r="DF107">
        <v>43</v>
      </c>
      <c r="DG107">
        <v>18</v>
      </c>
    </row>
    <row r="108" spans="1:111" x14ac:dyDescent="0.35">
      <c r="A108">
        <v>107</v>
      </c>
      <c r="B108" s="69" t="s">
        <v>1296</v>
      </c>
      <c r="C108" s="69" t="s">
        <v>918</v>
      </c>
      <c r="D108" s="69" t="s">
        <v>1344</v>
      </c>
      <c r="F108" s="6">
        <v>13</v>
      </c>
      <c r="G108" s="6">
        <v>1</v>
      </c>
      <c r="H108" s="15">
        <v>4</v>
      </c>
      <c r="I108" s="6">
        <v>9</v>
      </c>
      <c r="J108" s="6">
        <v>0</v>
      </c>
      <c r="L108" s="1">
        <v>15</v>
      </c>
      <c r="M108" s="1">
        <v>6</v>
      </c>
      <c r="O108">
        <f>288+32</f>
        <v>320</v>
      </c>
      <c r="P108">
        <f>172+13</f>
        <v>185</v>
      </c>
      <c r="Q108">
        <f>118+12</f>
        <v>130</v>
      </c>
      <c r="R108" s="9">
        <f>33.968+12.781+1.015+8.459+10.057+5.153</f>
        <v>71.433000000000007</v>
      </c>
      <c r="S108" s="263">
        <f>656+49+95+68+65+91</f>
        <v>1024</v>
      </c>
      <c r="T108" s="203">
        <f>501.809+49.135+92.998+(177.848-38.924)+(144.509-22.2545)+(139.231-19.6155)</f>
        <v>1024.7360000000001</v>
      </c>
      <c r="V108">
        <f>355+18</f>
        <v>373</v>
      </c>
      <c r="W108">
        <f>278+25</f>
        <v>303</v>
      </c>
      <c r="X108">
        <v>181</v>
      </c>
      <c r="Y108" s="9">
        <f>29.343+2.258-0.479+5.216+1.614-6.855-2.442-4.831+0.056-1.338+2.903+4.566+0.131+0.305+5.072</f>
        <v>35.518999999999998</v>
      </c>
      <c r="Z108" s="263">
        <f>530+90+91+89+92+102+100+94+97+3+97+96+93+96+97+100</f>
        <v>1867</v>
      </c>
      <c r="AA108" s="203">
        <f>332.272+(203.779-52.5193)+22.157+27.068+85.471+48+86.191+8.156+(108.673-4.3365)+5.415+33.535+86.843+74.077+6.798+15.717</f>
        <v>1087.2962</v>
      </c>
      <c r="AC108">
        <f t="shared" si="114"/>
        <v>413.25</v>
      </c>
      <c r="AD108">
        <f t="shared" si="115"/>
        <v>260.75</v>
      </c>
      <c r="AE108">
        <f t="shared" si="116"/>
        <v>175.25</v>
      </c>
      <c r="AF108">
        <f t="shared" si="117"/>
        <v>80.312750000000008</v>
      </c>
      <c r="AG108">
        <f t="shared" si="118"/>
        <v>1490.75</v>
      </c>
      <c r="AH108">
        <f t="shared" si="119"/>
        <v>1296.56005</v>
      </c>
      <c r="AI108" s="73">
        <f t="shared" si="120"/>
        <v>19.25</v>
      </c>
      <c r="AJ108" s="73">
        <f t="shared" si="121"/>
        <v>21.467532467532468</v>
      </c>
      <c r="AK108" s="73">
        <f t="shared" si="122"/>
        <v>13.545454545454545</v>
      </c>
      <c r="AL108" s="73">
        <f t="shared" si="123"/>
        <v>7.9220779220779232</v>
      </c>
      <c r="AM108" s="73">
        <f t="shared" si="124"/>
        <v>2.3580599144079888</v>
      </c>
      <c r="AN108" s="227">
        <f t="shared" si="125"/>
        <v>4.17209090909091</v>
      </c>
      <c r="AO108" s="227">
        <f t="shared" si="126"/>
        <v>4.7318524265498096</v>
      </c>
      <c r="AP108" s="227">
        <f t="shared" si="127"/>
        <v>3.4701062542575638</v>
      </c>
      <c r="AQ108" s="89">
        <f t="shared" si="128"/>
        <v>6.2109788653947309</v>
      </c>
      <c r="AR108" s="73">
        <f t="shared" si="129"/>
        <v>77.441558441558442</v>
      </c>
      <c r="AS108" s="89">
        <f t="shared" si="130"/>
        <v>67.353768831168836</v>
      </c>
      <c r="AT108" s="89">
        <f t="shared" si="131"/>
        <v>8.2069341919604089</v>
      </c>
      <c r="AU108" s="9">
        <v>56</v>
      </c>
      <c r="AV108" s="9">
        <v>6</v>
      </c>
      <c r="AX108" s="54">
        <f t="shared" si="132"/>
        <v>62</v>
      </c>
      <c r="AZ108" s="49">
        <v>5</v>
      </c>
      <c r="BA108" s="48">
        <f t="shared" si="133"/>
        <v>5</v>
      </c>
      <c r="BB108" s="245">
        <f t="shared" si="134"/>
        <v>0</v>
      </c>
      <c r="BC108" s="36">
        <f t="shared" si="135"/>
        <v>0.89541494119186815</v>
      </c>
      <c r="BD108" s="205">
        <f t="shared" si="136"/>
        <v>1.1071428571428572</v>
      </c>
      <c r="BE108" s="205">
        <f t="shared" si="137"/>
        <v>1</v>
      </c>
      <c r="BF108" s="205">
        <f t="shared" si="138"/>
        <v>0.76228399738327512</v>
      </c>
      <c r="BG108" s="205">
        <f t="shared" si="139"/>
        <v>0.89907805777504612</v>
      </c>
      <c r="BH108" s="205">
        <f t="shared" si="140"/>
        <v>0.76125707045996893</v>
      </c>
      <c r="BI108" s="205">
        <f t="shared" si="141"/>
        <v>0.12732691354292913</v>
      </c>
      <c r="BJ108" s="205">
        <f t="shared" si="142"/>
        <v>0.9089571483490495</v>
      </c>
      <c r="BK108" s="205">
        <f t="shared" si="143"/>
        <v>0.71575676885401329</v>
      </c>
      <c r="BL108" s="205">
        <f t="shared" si="144"/>
        <v>0.91058168345474222</v>
      </c>
      <c r="BM108" s="205">
        <f t="shared" si="145"/>
        <v>0.49206349206349204</v>
      </c>
      <c r="BN108" s="48">
        <f>50+60</f>
        <v>110</v>
      </c>
      <c r="BO108" s="220">
        <f t="shared" si="146"/>
        <v>172</v>
      </c>
      <c r="BP108" s="220">
        <v>111</v>
      </c>
      <c r="BQ108" s="220">
        <f t="shared" si="147"/>
        <v>283</v>
      </c>
      <c r="BR108" s="205">
        <v>-0.33333333333333331</v>
      </c>
      <c r="BS108" s="35">
        <v>0.89541494119186815</v>
      </c>
      <c r="BT108">
        <v>2</v>
      </c>
      <c r="BU108" s="205">
        <v>8.2069341919604089</v>
      </c>
      <c r="BV108" s="34">
        <v>0.76228399738327512</v>
      </c>
      <c r="BW108" s="34">
        <v>0.89907805777504612</v>
      </c>
      <c r="BX108" s="34">
        <f>IF(A108&lt;17, SoC!O$3, IF(A108&lt;33, SoC!O$4, IF(A108&lt;49, SoC!O$5, IF(A108&lt;65, SoC!O$6, IF(A108&lt;81, SoC!O$7, IF(A108&lt;97, SoC!O$8, SoC!O$9))))))</f>
        <v>0.84292189346881985</v>
      </c>
      <c r="BY108" s="205">
        <f t="shared" si="148"/>
        <v>0.94626367424300306</v>
      </c>
      <c r="BZ108" s="205" t="str">
        <f t="shared" si="149"/>
        <v>A</v>
      </c>
      <c r="CA108" s="35">
        <f t="shared" si="150"/>
        <v>8.3792354178318966</v>
      </c>
      <c r="CB108" s="245">
        <f t="shared" si="151"/>
        <v>0</v>
      </c>
      <c r="CC108" s="48">
        <v>42</v>
      </c>
      <c r="CD108" s="69" t="s">
        <v>1344</v>
      </c>
      <c r="CE108">
        <v>5</v>
      </c>
      <c r="CF108">
        <v>5</v>
      </c>
      <c r="CG108">
        <v>4</v>
      </c>
      <c r="CH108">
        <v>5</v>
      </c>
      <c r="CI108">
        <v>4</v>
      </c>
      <c r="CJ108">
        <v>4</v>
      </c>
      <c r="CK108">
        <v>4</v>
      </c>
      <c r="CL108">
        <v>4</v>
      </c>
      <c r="CM108">
        <v>5</v>
      </c>
      <c r="CN108">
        <v>5</v>
      </c>
      <c r="CO108">
        <v>5</v>
      </c>
      <c r="CP108">
        <v>6</v>
      </c>
      <c r="CQ108">
        <v>8</v>
      </c>
      <c r="CR108">
        <v>9</v>
      </c>
      <c r="CS108">
        <v>7</v>
      </c>
      <c r="CT108">
        <v>8</v>
      </c>
      <c r="CU108">
        <v>14</v>
      </c>
      <c r="CV108">
        <v>10</v>
      </c>
      <c r="CW108">
        <v>9</v>
      </c>
      <c r="CX108">
        <v>10</v>
      </c>
      <c r="CY108">
        <v>12</v>
      </c>
      <c r="CZ108">
        <v>13</v>
      </c>
      <c r="DA108">
        <v>7</v>
      </c>
      <c r="DB108">
        <v>6</v>
      </c>
      <c r="DC108">
        <v>10</v>
      </c>
      <c r="DD108">
        <v>13</v>
      </c>
      <c r="DE108" s="154">
        <v>12</v>
      </c>
      <c r="DF108">
        <v>26</v>
      </c>
      <c r="DG108">
        <v>71</v>
      </c>
    </row>
    <row r="109" spans="1:111" x14ac:dyDescent="0.35">
      <c r="A109">
        <v>108</v>
      </c>
      <c r="B109" s="69" t="s">
        <v>1296</v>
      </c>
      <c r="C109" s="69" t="s">
        <v>918</v>
      </c>
      <c r="D109" s="69" t="s">
        <v>965</v>
      </c>
      <c r="F109" s="6">
        <v>9</v>
      </c>
      <c r="G109" s="6">
        <v>4</v>
      </c>
      <c r="H109" s="6"/>
      <c r="I109" s="6">
        <v>6</v>
      </c>
      <c r="J109" s="6">
        <v>3</v>
      </c>
      <c r="L109" s="1">
        <v>5</v>
      </c>
      <c r="M109" s="1">
        <v>6</v>
      </c>
      <c r="O109">
        <f>199+18</f>
        <v>217</v>
      </c>
      <c r="P109">
        <f>159+14</f>
        <v>173</v>
      </c>
      <c r="Q109">
        <v>94</v>
      </c>
      <c r="R109" s="9">
        <f>23.062-0.871+5.308+5.694-3.483</f>
        <v>29.710000000000004</v>
      </c>
      <c r="S109" s="263">
        <f>472+72+60+48+85</f>
        <v>737</v>
      </c>
      <c r="T109" s="203">
        <f>523.23+81.979+13.167+19.693+55.865</f>
        <v>693.93400000000008</v>
      </c>
      <c r="V109">
        <f>135+18</f>
        <v>153</v>
      </c>
      <c r="W109">
        <f>146+17</f>
        <v>163</v>
      </c>
      <c r="X109">
        <v>81</v>
      </c>
      <c r="Y109" s="9">
        <f>5.228+1.877-0.908+0.244+3.126</f>
        <v>9.5669999999999984</v>
      </c>
      <c r="Z109" s="263">
        <f>436+75+76+71+68</f>
        <v>726</v>
      </c>
      <c r="AA109" s="203">
        <f>139.768+98.116+20.27+5.756+21.094</f>
        <v>285.00399999999996</v>
      </c>
      <c r="AC109">
        <f t="shared" si="114"/>
        <v>255.25</v>
      </c>
      <c r="AD109">
        <f t="shared" si="115"/>
        <v>213.75</v>
      </c>
      <c r="AE109">
        <f t="shared" si="116"/>
        <v>114.25</v>
      </c>
      <c r="AF109">
        <f t="shared" si="117"/>
        <v>32.101750000000003</v>
      </c>
      <c r="AG109">
        <f t="shared" si="118"/>
        <v>918.5</v>
      </c>
      <c r="AH109">
        <f t="shared" si="119"/>
        <v>765.18500000000006</v>
      </c>
      <c r="AI109" s="73">
        <f t="shared" si="120"/>
        <v>15.75</v>
      </c>
      <c r="AJ109" s="73">
        <f t="shared" si="121"/>
        <v>16.206349206349206</v>
      </c>
      <c r="AK109" s="73">
        <f t="shared" si="122"/>
        <v>13.571428571428571</v>
      </c>
      <c r="AL109" s="73">
        <f t="shared" si="123"/>
        <v>2.6349206349206344</v>
      </c>
      <c r="AM109" s="73">
        <f t="shared" si="124"/>
        <v>2.2341356673960613</v>
      </c>
      <c r="AN109" s="227">
        <f t="shared" si="125"/>
        <v>2.0382063492063494</v>
      </c>
      <c r="AO109" s="227">
        <f t="shared" si="126"/>
        <v>2.4303745935538545</v>
      </c>
      <c r="AP109" s="227">
        <f t="shared" si="127"/>
        <v>0.40063016354053271</v>
      </c>
      <c r="AQ109" s="89">
        <f t="shared" si="128"/>
        <v>3.374587759069644</v>
      </c>
      <c r="AR109" s="73">
        <f t="shared" si="129"/>
        <v>58.317460317460316</v>
      </c>
      <c r="AS109" s="89">
        <f t="shared" si="130"/>
        <v>48.583174603174605</v>
      </c>
      <c r="AT109" s="89">
        <f t="shared" si="131"/>
        <v>6.9701631690495311</v>
      </c>
      <c r="AU109" s="9">
        <v>21</v>
      </c>
      <c r="AV109" s="9">
        <v>6</v>
      </c>
      <c r="AW109" s="9">
        <v>14</v>
      </c>
      <c r="AX109" s="54">
        <f t="shared" si="132"/>
        <v>41</v>
      </c>
      <c r="AZ109" s="49">
        <v>34</v>
      </c>
      <c r="BA109" s="48">
        <f t="shared" si="133"/>
        <v>34</v>
      </c>
      <c r="BB109" s="245">
        <f t="shared" si="134"/>
        <v>0</v>
      </c>
      <c r="BC109" s="36">
        <f t="shared" si="135"/>
        <v>0.64907981641842638</v>
      </c>
      <c r="BD109" s="205">
        <f t="shared" si="136"/>
        <v>0.7564102564102565</v>
      </c>
      <c r="BE109" s="205">
        <f t="shared" si="137"/>
        <v>0.66666666666666663</v>
      </c>
      <c r="BF109" s="205">
        <f t="shared" si="138"/>
        <v>0.31186142275935741</v>
      </c>
      <c r="BG109" s="205">
        <f t="shared" si="139"/>
        <v>0.89665466678373873</v>
      </c>
      <c r="BH109" s="205">
        <f t="shared" si="140"/>
        <v>0.6242936518655392</v>
      </c>
      <c r="BI109" s="205">
        <f t="shared" si="141"/>
        <v>0.38860628762262661</v>
      </c>
      <c r="BJ109" s="205">
        <f t="shared" si="142"/>
        <v>0.58862666941746911</v>
      </c>
      <c r="BK109" s="205">
        <f t="shared" si="143"/>
        <v>0.4660849519006644</v>
      </c>
      <c r="BL109" s="205">
        <f t="shared" si="144"/>
        <v>0.72268508039791679</v>
      </c>
      <c r="BM109" s="205">
        <f t="shared" si="145"/>
        <v>0.32539682539682541</v>
      </c>
      <c r="BN109" s="48">
        <v>10</v>
      </c>
      <c r="BO109" s="220">
        <f t="shared" si="146"/>
        <v>51</v>
      </c>
      <c r="BP109" s="220">
        <v>59</v>
      </c>
      <c r="BQ109" s="220">
        <f t="shared" si="147"/>
        <v>110</v>
      </c>
      <c r="BR109" s="205">
        <v>0</v>
      </c>
      <c r="BS109" s="35">
        <v>0.64907981641842638</v>
      </c>
      <c r="BT109">
        <v>3</v>
      </c>
      <c r="BU109" s="205">
        <v>6.9701631690495311</v>
      </c>
      <c r="BV109" s="34">
        <v>0.31186142275935741</v>
      </c>
      <c r="BW109" s="34">
        <v>0.89665466678373873</v>
      </c>
      <c r="BX109" s="34">
        <f>IF(A109&lt;17, SoC!O$3, IF(A109&lt;33, SoC!O$4, IF(A109&lt;49, SoC!O$5, IF(A109&lt;65, SoC!O$6, IF(A109&lt;81, SoC!O$7, IF(A109&lt;97, SoC!O$8, SoC!O$9))))))</f>
        <v>0.84292189346881985</v>
      </c>
      <c r="BY109" s="205">
        <f t="shared" si="148"/>
        <v>0.80565489908423349</v>
      </c>
      <c r="BZ109" s="205" t="str">
        <f t="shared" si="149"/>
        <v>B-</v>
      </c>
      <c r="CA109" s="35">
        <f t="shared" si="150"/>
        <v>2.834147410907621</v>
      </c>
      <c r="CB109" s="245">
        <f t="shared" si="151"/>
        <v>0</v>
      </c>
      <c r="CC109" s="48">
        <v>80</v>
      </c>
      <c r="CD109" s="69" t="s">
        <v>965</v>
      </c>
      <c r="CE109">
        <v>34</v>
      </c>
      <c r="CF109">
        <v>34</v>
      </c>
      <c r="CG109">
        <v>34</v>
      </c>
      <c r="CH109">
        <v>34</v>
      </c>
      <c r="CI109">
        <v>34</v>
      </c>
      <c r="CJ109">
        <v>34</v>
      </c>
      <c r="CK109">
        <v>34</v>
      </c>
      <c r="CL109">
        <v>34</v>
      </c>
      <c r="CM109">
        <v>35</v>
      </c>
      <c r="CN109">
        <v>34</v>
      </c>
      <c r="CO109">
        <v>34</v>
      </c>
      <c r="CP109">
        <v>35</v>
      </c>
      <c r="CQ109">
        <v>35</v>
      </c>
      <c r="CR109">
        <v>37</v>
      </c>
      <c r="CS109">
        <v>35</v>
      </c>
      <c r="CT109">
        <v>27</v>
      </c>
      <c r="CU109">
        <v>31</v>
      </c>
      <c r="CV109">
        <v>38</v>
      </c>
      <c r="CW109">
        <v>40</v>
      </c>
      <c r="CX109">
        <v>50</v>
      </c>
      <c r="CY109">
        <v>43</v>
      </c>
      <c r="CZ109">
        <v>51</v>
      </c>
      <c r="DA109">
        <v>52</v>
      </c>
      <c r="DB109">
        <v>32</v>
      </c>
      <c r="DC109">
        <v>19</v>
      </c>
      <c r="DD109">
        <v>27</v>
      </c>
      <c r="DE109" s="154">
        <v>51</v>
      </c>
      <c r="DF109">
        <v>71</v>
      </c>
      <c r="DG109">
        <v>33</v>
      </c>
    </row>
    <row r="110" spans="1:111" x14ac:dyDescent="0.35">
      <c r="A110">
        <v>109</v>
      </c>
      <c r="B110" s="69" t="s">
        <v>1296</v>
      </c>
      <c r="C110" s="69" t="s">
        <v>1109</v>
      </c>
      <c r="D110" s="69" t="s">
        <v>962</v>
      </c>
      <c r="F110" s="6">
        <v>10</v>
      </c>
      <c r="G110" s="6">
        <v>4</v>
      </c>
      <c r="H110" s="6"/>
      <c r="I110" s="6">
        <v>8</v>
      </c>
      <c r="J110" s="6">
        <v>1</v>
      </c>
      <c r="L110" s="1">
        <v>10</v>
      </c>
      <c r="M110" s="1">
        <v>6</v>
      </c>
      <c r="O110">
        <f>267+13</f>
        <v>280</v>
      </c>
      <c r="P110">
        <f>192+32</f>
        <v>224</v>
      </c>
      <c r="Q110">
        <f>115+8</f>
        <v>123</v>
      </c>
      <c r="R110" s="9">
        <f>28.482-0.828+12.324+6.443+5.869-5.153</f>
        <v>47.137</v>
      </c>
      <c r="S110" s="263">
        <f>654+81+46+62+60+91</f>
        <v>994</v>
      </c>
      <c r="T110" s="203">
        <f>361.203+(243.902-79.268)+23.407+43.075+82.649+8.682</f>
        <v>683.65000000000009</v>
      </c>
      <c r="V110">
        <f>297+18</f>
        <v>315</v>
      </c>
      <c r="W110">
        <v>264</v>
      </c>
      <c r="X110">
        <v>123</v>
      </c>
      <c r="Y110" s="9">
        <f>66.01+3.814+1.189+2.041-2.548+3.106+6.33</f>
        <v>79.941999999999993</v>
      </c>
      <c r="Z110" s="263">
        <f>719+84+81+89+88+83+77</f>
        <v>1221</v>
      </c>
      <c r="AA110" s="203">
        <f>420.472+3.493+(312.735-126.2179)+52.372+0+17.582+20.695</f>
        <v>701.13109999999995</v>
      </c>
      <c r="AC110">
        <f t="shared" si="114"/>
        <v>358.75</v>
      </c>
      <c r="AD110">
        <f t="shared" si="115"/>
        <v>290</v>
      </c>
      <c r="AE110">
        <f t="shared" si="116"/>
        <v>153.75</v>
      </c>
      <c r="AF110">
        <f t="shared" si="117"/>
        <v>67.122500000000002</v>
      </c>
      <c r="AG110">
        <f t="shared" si="118"/>
        <v>1299.25</v>
      </c>
      <c r="AH110">
        <f t="shared" si="119"/>
        <v>858.93277500000011</v>
      </c>
      <c r="AI110" s="73">
        <f t="shared" si="120"/>
        <v>18</v>
      </c>
      <c r="AJ110" s="73">
        <f t="shared" si="121"/>
        <v>19.930555555555557</v>
      </c>
      <c r="AK110" s="73">
        <f t="shared" si="122"/>
        <v>16.111111111111111</v>
      </c>
      <c r="AL110" s="73">
        <f t="shared" si="123"/>
        <v>3.8194444444444464</v>
      </c>
      <c r="AM110" s="73">
        <f t="shared" si="124"/>
        <v>2.3333333333333335</v>
      </c>
      <c r="AN110" s="227">
        <f t="shared" si="125"/>
        <v>3.7290277777777781</v>
      </c>
      <c r="AO110" s="227">
        <f t="shared" si="126"/>
        <v>4.2539915363664553</v>
      </c>
      <c r="AP110" s="227">
        <f t="shared" si="127"/>
        <v>-0.17206521262767005</v>
      </c>
      <c r="AQ110" s="89">
        <f t="shared" si="128"/>
        <v>4.5281667360731719</v>
      </c>
      <c r="AR110" s="73">
        <f t="shared" si="129"/>
        <v>72.180555555555557</v>
      </c>
      <c r="AS110" s="89">
        <f t="shared" si="130"/>
        <v>47.718487500000009</v>
      </c>
      <c r="AT110" s="89">
        <f t="shared" si="131"/>
        <v>6.9078569397462202</v>
      </c>
      <c r="AU110" s="9">
        <v>28</v>
      </c>
      <c r="AV110" s="9">
        <v>24</v>
      </c>
      <c r="AW110" s="9">
        <v>20</v>
      </c>
      <c r="AX110" s="54">
        <f t="shared" si="132"/>
        <v>72</v>
      </c>
      <c r="AZ110" s="49">
        <v>20</v>
      </c>
      <c r="BA110" s="48">
        <f t="shared" si="133"/>
        <v>20</v>
      </c>
      <c r="BB110" s="245">
        <f t="shared" si="134"/>
        <v>0</v>
      </c>
      <c r="BC110" s="36">
        <f t="shared" si="135"/>
        <v>0.71554018713408607</v>
      </c>
      <c r="BD110" s="205">
        <f t="shared" si="136"/>
        <v>0.83333333333333326</v>
      </c>
      <c r="BE110" s="205">
        <f t="shared" si="137"/>
        <v>0.88888888888888884</v>
      </c>
      <c r="BF110" s="205">
        <f t="shared" si="138"/>
        <v>0.63069970094984129</v>
      </c>
      <c r="BG110" s="205">
        <f t="shared" si="139"/>
        <v>0.65970088096701507</v>
      </c>
      <c r="BH110" s="205">
        <f t="shared" si="140"/>
        <v>0.73392878599751699</v>
      </c>
      <c r="BI110" s="205">
        <f t="shared" si="141"/>
        <v>0.18157692303432771</v>
      </c>
      <c r="BJ110" s="205">
        <f t="shared" si="142"/>
        <v>0.5288601885236538</v>
      </c>
      <c r="BK110" s="205">
        <f t="shared" si="143"/>
        <v>0.57154091256658657</v>
      </c>
      <c r="BL110" s="205">
        <f t="shared" si="144"/>
        <v>0.71321919817841128</v>
      </c>
      <c r="BM110" s="205">
        <f t="shared" si="145"/>
        <v>0.5714285714285714</v>
      </c>
      <c r="BN110" s="48">
        <v>30</v>
      </c>
      <c r="BO110" s="220">
        <f t="shared" si="146"/>
        <v>102</v>
      </c>
      <c r="BP110" s="220">
        <v>77</v>
      </c>
      <c r="BQ110" s="220">
        <f t="shared" si="147"/>
        <v>179</v>
      </c>
      <c r="BR110" s="205">
        <v>1</v>
      </c>
      <c r="BS110" s="35">
        <v>0.71554018713408607</v>
      </c>
      <c r="BT110">
        <v>4</v>
      </c>
      <c r="BU110" s="205">
        <v>6.9078569397462202</v>
      </c>
      <c r="BV110" s="34">
        <v>0.63069970094984129</v>
      </c>
      <c r="BW110" s="34">
        <v>0.65970088096701507</v>
      </c>
      <c r="BX110" s="34">
        <f>IF(A110&lt;17, SoC!O$3, IF(A110&lt;33, SoC!O$4, IF(A110&lt;49, SoC!O$5, IF(A110&lt;65, SoC!O$6, IF(A110&lt;81, SoC!O$7, IF(A110&lt;97, SoC!O$8, SoC!O$9))))))</f>
        <v>0.84292189346881985</v>
      </c>
      <c r="BY110" s="205">
        <f t="shared" si="148"/>
        <v>0.84589608530485949</v>
      </c>
      <c r="BZ110" s="205" t="str">
        <f t="shared" si="149"/>
        <v>B</v>
      </c>
      <c r="CA110" s="35">
        <f t="shared" si="150"/>
        <v>4.1322017105691593</v>
      </c>
      <c r="CB110" s="245">
        <f t="shared" si="151"/>
        <v>0</v>
      </c>
      <c r="CC110" s="48">
        <v>81</v>
      </c>
      <c r="CD110" s="69" t="s">
        <v>962</v>
      </c>
      <c r="CE110">
        <v>20</v>
      </c>
      <c r="CF110">
        <v>20</v>
      </c>
      <c r="CG110">
        <v>20</v>
      </c>
      <c r="CH110">
        <v>20</v>
      </c>
      <c r="CI110">
        <v>20</v>
      </c>
      <c r="CJ110">
        <v>20</v>
      </c>
      <c r="CK110">
        <v>19</v>
      </c>
      <c r="CL110">
        <v>19</v>
      </c>
      <c r="CM110">
        <v>13</v>
      </c>
      <c r="CN110">
        <v>13</v>
      </c>
      <c r="CO110">
        <v>15</v>
      </c>
      <c r="CP110">
        <v>15</v>
      </c>
      <c r="CQ110">
        <v>15</v>
      </c>
      <c r="CR110">
        <v>20</v>
      </c>
      <c r="CS110">
        <v>18</v>
      </c>
      <c r="CT110">
        <v>19</v>
      </c>
      <c r="CU110">
        <v>20</v>
      </c>
      <c r="CV110">
        <v>25</v>
      </c>
      <c r="CW110">
        <v>19</v>
      </c>
      <c r="CX110">
        <v>17</v>
      </c>
      <c r="CY110">
        <v>14</v>
      </c>
      <c r="CZ110">
        <v>14</v>
      </c>
      <c r="DA110">
        <v>8</v>
      </c>
      <c r="DB110">
        <v>13</v>
      </c>
      <c r="DC110">
        <v>15</v>
      </c>
      <c r="DD110">
        <v>36</v>
      </c>
      <c r="DE110" s="154">
        <v>18</v>
      </c>
      <c r="DF110">
        <v>18</v>
      </c>
      <c r="DG110">
        <v>32</v>
      </c>
    </row>
    <row r="111" spans="1:111" x14ac:dyDescent="0.35">
      <c r="A111">
        <v>110</v>
      </c>
      <c r="B111" s="69" t="s">
        <v>1296</v>
      </c>
      <c r="C111" s="69" t="s">
        <v>1109</v>
      </c>
      <c r="D111" s="69" t="s">
        <v>1342</v>
      </c>
      <c r="F111" s="6">
        <v>2</v>
      </c>
      <c r="G111" s="6">
        <v>11</v>
      </c>
      <c r="H111" s="6"/>
      <c r="I111" s="6">
        <v>2</v>
      </c>
      <c r="J111" s="6">
        <v>7</v>
      </c>
      <c r="L111" s="1">
        <v>1</v>
      </c>
      <c r="M111" s="1">
        <v>8</v>
      </c>
      <c r="O111">
        <v>186</v>
      </c>
      <c r="P111">
        <v>290</v>
      </c>
      <c r="Q111">
        <v>102</v>
      </c>
      <c r="R111" s="9">
        <f>-32.084-3.373-12.324-8.423-1.618</f>
        <v>-57.822000000000003</v>
      </c>
      <c r="S111" s="263">
        <f>346+8+46+34+3</f>
        <v>437</v>
      </c>
      <c r="T111" s="203">
        <f>87.663+3.282+41.055+6.424+26.881</f>
        <v>165.30500000000001</v>
      </c>
      <c r="V111">
        <v>105</v>
      </c>
      <c r="W111">
        <v>210</v>
      </c>
      <c r="X111">
        <v>61</v>
      </c>
      <c r="Y111" s="9">
        <f>-48.84</f>
        <v>-48.84</v>
      </c>
      <c r="Z111" s="263">
        <f>327</f>
        <v>327</v>
      </c>
      <c r="AA111" s="203">
        <f>108.387</f>
        <v>108.387</v>
      </c>
      <c r="AC111">
        <f t="shared" si="114"/>
        <v>212.25</v>
      </c>
      <c r="AD111">
        <f t="shared" si="115"/>
        <v>342.5</v>
      </c>
      <c r="AE111">
        <f t="shared" si="116"/>
        <v>117.25</v>
      </c>
      <c r="AF111">
        <f t="shared" si="117"/>
        <v>-70.032000000000011</v>
      </c>
      <c r="AG111">
        <f t="shared" si="118"/>
        <v>518.75</v>
      </c>
      <c r="AH111">
        <f t="shared" si="119"/>
        <v>192.40174999999999</v>
      </c>
      <c r="AI111" s="73">
        <f t="shared" si="120"/>
        <v>15.25</v>
      </c>
      <c r="AJ111" s="73">
        <f t="shared" si="121"/>
        <v>13.918032786885245</v>
      </c>
      <c r="AK111" s="73">
        <f t="shared" si="122"/>
        <v>22.459016393442624</v>
      </c>
      <c r="AL111" s="73">
        <f t="shared" si="123"/>
        <v>-8.5409836065573792</v>
      </c>
      <c r="AM111" s="73">
        <f t="shared" si="124"/>
        <v>1.8102345415778252</v>
      </c>
      <c r="AN111" s="227">
        <f t="shared" si="125"/>
        <v>-2.2961311475409838</v>
      </c>
      <c r="AO111" s="227">
        <f t="shared" si="126"/>
        <v>-2.2443776667215616</v>
      </c>
      <c r="AP111" s="227">
        <f t="shared" si="127"/>
        <v>-4.0004747922948338</v>
      </c>
      <c r="AQ111" s="89">
        <f t="shared" si="128"/>
        <v>0.33322670680680661</v>
      </c>
      <c r="AR111" s="73">
        <f t="shared" si="129"/>
        <v>34.016393442622949</v>
      </c>
      <c r="AS111" s="89">
        <f t="shared" si="130"/>
        <v>12.616508196721311</v>
      </c>
      <c r="AT111" s="89">
        <f t="shared" si="131"/>
        <v>3.5519724374945971</v>
      </c>
      <c r="AU111" s="9">
        <v>28</v>
      </c>
      <c r="AV111" s="9">
        <v>12</v>
      </c>
      <c r="AW111" s="20">
        <v>14</v>
      </c>
      <c r="AX111" s="54">
        <f t="shared" si="132"/>
        <v>54</v>
      </c>
      <c r="AZ111" s="49">
        <v>109</v>
      </c>
      <c r="BA111" s="48">
        <f t="shared" si="133"/>
        <v>109</v>
      </c>
      <c r="BB111" s="245">
        <f t="shared" si="134"/>
        <v>0</v>
      </c>
      <c r="BC111" s="36">
        <f t="shared" si="135"/>
        <v>0.25928709208540607</v>
      </c>
      <c r="BD111" s="205">
        <f t="shared" si="136"/>
        <v>0.16666666666666666</v>
      </c>
      <c r="BE111" s="205">
        <f t="shared" si="137"/>
        <v>0.22222222222222221</v>
      </c>
      <c r="BF111" s="205">
        <f t="shared" si="138"/>
        <v>0.11595314090693416</v>
      </c>
      <c r="BG111" s="205">
        <f t="shared" si="139"/>
        <v>6.7437806684333079E-2</v>
      </c>
      <c r="BH111" s="205">
        <f t="shared" si="140"/>
        <v>0.15579012057109409</v>
      </c>
      <c r="BI111" s="205">
        <f t="shared" si="141"/>
        <v>0.91931587214746624</v>
      </c>
      <c r="BJ111" s="205">
        <f t="shared" si="142"/>
        <v>0.12932742203301933</v>
      </c>
      <c r="BK111" s="205">
        <f t="shared" si="143"/>
        <v>0.10930086464071559</v>
      </c>
      <c r="BL111" s="205">
        <f t="shared" si="144"/>
        <v>0.20337599637050163</v>
      </c>
      <c r="BM111" s="205">
        <f t="shared" si="145"/>
        <v>0.42857142857142855</v>
      </c>
      <c r="BN111" s="48">
        <v>5</v>
      </c>
      <c r="BO111" s="220">
        <f t="shared" si="146"/>
        <v>59</v>
      </c>
      <c r="BP111" s="220">
        <v>1</v>
      </c>
      <c r="BQ111" s="220">
        <f t="shared" si="147"/>
        <v>60</v>
      </c>
      <c r="BR111" s="205">
        <v>0.66666666666666663</v>
      </c>
      <c r="BS111" s="35">
        <v>0.25928709208540607</v>
      </c>
      <c r="BT111">
        <v>4</v>
      </c>
      <c r="BU111" s="205">
        <v>3.5519724374945971</v>
      </c>
      <c r="BV111" s="34">
        <v>0.11595314090693416</v>
      </c>
      <c r="BW111" s="34">
        <v>6.7437806684333079E-2</v>
      </c>
      <c r="BX111" s="34">
        <f>IF(A111&lt;17, SoC!O$3, IF(A111&lt;33, SoC!O$4, IF(A111&lt;49, SoC!O$5, IF(A111&lt;65, SoC!O$6, IF(A111&lt;81, SoC!O$7, IF(A111&lt;97, SoC!O$8, SoC!O$9))))))</f>
        <v>0.84292189346881985</v>
      </c>
      <c r="BY111" s="205">
        <f t="shared" si="148"/>
        <v>0.5092024077765207</v>
      </c>
      <c r="BZ111" s="205" t="str">
        <f t="shared" si="149"/>
        <v>F+</v>
      </c>
      <c r="CA111" s="35">
        <f t="shared" si="150"/>
        <v>-6.6708024415302525</v>
      </c>
      <c r="CB111" s="245">
        <f t="shared" si="151"/>
        <v>0</v>
      </c>
      <c r="CC111" s="48">
        <v>93</v>
      </c>
      <c r="CD111" s="69" t="s">
        <v>1342</v>
      </c>
      <c r="CE111">
        <v>109</v>
      </c>
      <c r="CF111">
        <v>109</v>
      </c>
      <c r="CG111">
        <v>109</v>
      </c>
      <c r="CH111">
        <v>109</v>
      </c>
      <c r="CI111">
        <v>109</v>
      </c>
      <c r="CJ111">
        <v>109</v>
      </c>
      <c r="CK111">
        <v>109</v>
      </c>
      <c r="CL111">
        <v>109</v>
      </c>
      <c r="CM111">
        <v>109</v>
      </c>
      <c r="CN111">
        <v>109</v>
      </c>
      <c r="CO111">
        <v>109</v>
      </c>
      <c r="CP111">
        <v>111</v>
      </c>
      <c r="CQ111">
        <v>111</v>
      </c>
      <c r="CR111">
        <v>110</v>
      </c>
      <c r="CS111">
        <v>110</v>
      </c>
      <c r="CT111">
        <v>108</v>
      </c>
      <c r="CU111">
        <v>108</v>
      </c>
      <c r="CV111">
        <v>108</v>
      </c>
      <c r="CW111">
        <v>109</v>
      </c>
      <c r="CX111">
        <v>109</v>
      </c>
      <c r="CY111">
        <v>108</v>
      </c>
      <c r="CZ111">
        <v>99</v>
      </c>
      <c r="DA111">
        <v>94</v>
      </c>
      <c r="DB111">
        <v>87</v>
      </c>
      <c r="DC111">
        <v>72</v>
      </c>
      <c r="DD111">
        <v>96</v>
      </c>
      <c r="DE111" s="154">
        <v>87</v>
      </c>
      <c r="DF111">
        <v>75</v>
      </c>
      <c r="DG111">
        <v>20</v>
      </c>
    </row>
    <row r="112" spans="1:111" x14ac:dyDescent="0.35">
      <c r="A112">
        <v>111</v>
      </c>
      <c r="B112" s="69" t="s">
        <v>1296</v>
      </c>
      <c r="C112" s="69" t="s">
        <v>1109</v>
      </c>
      <c r="D112" s="69" t="s">
        <v>964</v>
      </c>
      <c r="F112" s="6">
        <v>1</v>
      </c>
      <c r="G112" s="6">
        <v>12</v>
      </c>
      <c r="H112" s="6"/>
      <c r="I112" s="6">
        <v>1</v>
      </c>
      <c r="J112" s="6">
        <v>8</v>
      </c>
      <c r="L112" s="1">
        <v>1</v>
      </c>
      <c r="M112" s="1">
        <v>2</v>
      </c>
      <c r="O112">
        <f>167+19</f>
        <v>186</v>
      </c>
      <c r="P112">
        <v>284</v>
      </c>
      <c r="Q112">
        <v>102</v>
      </c>
      <c r="R112" s="9">
        <f>-42.735-3.46-7.604-7.199+1.618</f>
        <v>-59.379999999999995</v>
      </c>
      <c r="S112" s="263">
        <f>267+2+24+39+3</f>
        <v>335</v>
      </c>
      <c r="T112" s="203">
        <f>103.961+9.837+46.756+7.442+14.893</f>
        <v>182.88900000000001</v>
      </c>
      <c r="V112">
        <v>36</v>
      </c>
      <c r="W112">
        <v>38</v>
      </c>
      <c r="X112">
        <v>23</v>
      </c>
      <c r="Y112" s="9">
        <f>-2.523</f>
        <v>-2.5230000000000001</v>
      </c>
      <c r="Z112" s="263">
        <f>23</f>
        <v>23</v>
      </c>
      <c r="AA112" s="203">
        <f>71.23</f>
        <v>71.23</v>
      </c>
      <c r="AC112">
        <f t="shared" si="114"/>
        <v>195</v>
      </c>
      <c r="AD112">
        <f t="shared" si="115"/>
        <v>293.5</v>
      </c>
      <c r="AE112">
        <f t="shared" si="116"/>
        <v>107.75</v>
      </c>
      <c r="AF112">
        <f t="shared" si="117"/>
        <v>-60.010749999999994</v>
      </c>
      <c r="AG112">
        <f t="shared" si="118"/>
        <v>340.75</v>
      </c>
      <c r="AH112">
        <f t="shared" si="119"/>
        <v>200.69650000000001</v>
      </c>
      <c r="AI112" s="73">
        <f t="shared" si="120"/>
        <v>13.75</v>
      </c>
      <c r="AJ112" s="73">
        <f t="shared" si="121"/>
        <v>14.181818181818182</v>
      </c>
      <c r="AK112" s="73">
        <f t="shared" si="122"/>
        <v>21.345454545454544</v>
      </c>
      <c r="AL112" s="73">
        <f t="shared" si="123"/>
        <v>-7.1636363636363622</v>
      </c>
      <c r="AM112" s="73">
        <f t="shared" si="124"/>
        <v>1.8097447795823667</v>
      </c>
      <c r="AN112" s="227">
        <f t="shared" si="125"/>
        <v>-2.1822090909090908</v>
      </c>
      <c r="AO112" s="227">
        <f t="shared" si="126"/>
        <v>-2.1215082796157305</v>
      </c>
      <c r="AP112" s="227">
        <f t="shared" si="127"/>
        <v>-2.859918993111541</v>
      </c>
      <c r="AQ112" s="89">
        <f t="shared" si="128"/>
        <v>0.39980830672795548</v>
      </c>
      <c r="AR112" s="73">
        <f t="shared" si="129"/>
        <v>24.781818181818181</v>
      </c>
      <c r="AS112" s="89">
        <f t="shared" si="130"/>
        <v>14.596109090909092</v>
      </c>
      <c r="AT112" s="89">
        <f t="shared" si="131"/>
        <v>3.8204854522572247</v>
      </c>
      <c r="AU112" s="9">
        <v>7</v>
      </c>
      <c r="AV112" s="9">
        <v>6</v>
      </c>
      <c r="AX112" s="54">
        <f t="shared" si="132"/>
        <v>13</v>
      </c>
      <c r="AZ112" s="49">
        <v>111</v>
      </c>
      <c r="BA112" s="48">
        <f t="shared" si="133"/>
        <v>111</v>
      </c>
      <c r="BB112" s="245">
        <f t="shared" si="134"/>
        <v>0</v>
      </c>
      <c r="BC112" s="36">
        <f t="shared" si="135"/>
        <v>0.22989935890395857</v>
      </c>
      <c r="BD112" s="205">
        <f t="shared" si="136"/>
        <v>8.9743589743589744E-2</v>
      </c>
      <c r="BE112" s="205">
        <f t="shared" si="137"/>
        <v>0.1111111111111111</v>
      </c>
      <c r="BF112" s="205">
        <f t="shared" si="138"/>
        <v>0.13853644409853563</v>
      </c>
      <c r="BG112" s="205">
        <f t="shared" si="139"/>
        <v>0.17133374308543359</v>
      </c>
      <c r="BH112" s="205">
        <f t="shared" si="140"/>
        <v>0.15524882636263168</v>
      </c>
      <c r="BI112" s="205">
        <f t="shared" si="141"/>
        <v>0.90536690592397795</v>
      </c>
      <c r="BJ112" s="205">
        <f t="shared" si="142"/>
        <v>0.24835580818188446</v>
      </c>
      <c r="BK112" s="205">
        <f t="shared" si="143"/>
        <v>0.12150218795116566</v>
      </c>
      <c r="BL112" s="205">
        <f t="shared" si="144"/>
        <v>0.24416987204823135</v>
      </c>
      <c r="BM112" s="205">
        <f t="shared" si="145"/>
        <v>0.10317460317460317</v>
      </c>
      <c r="BN112" s="48">
        <v>5</v>
      </c>
      <c r="BO112" s="220">
        <f t="shared" si="146"/>
        <v>18</v>
      </c>
      <c r="BP112" s="220">
        <v>1</v>
      </c>
      <c r="BQ112" s="220">
        <f t="shared" si="147"/>
        <v>19</v>
      </c>
      <c r="BR112" s="205">
        <v>0.66666666666666663</v>
      </c>
      <c r="BS112" s="35">
        <v>0.22989935890395857</v>
      </c>
      <c r="BT112">
        <v>1</v>
      </c>
      <c r="BU112" s="205">
        <v>3.8204854522572247</v>
      </c>
      <c r="BV112" s="34">
        <v>0.13853644409853563</v>
      </c>
      <c r="BW112" s="34">
        <v>0.17133374308543359</v>
      </c>
      <c r="BX112" s="34">
        <f>IF(A112&lt;17, SoC!O$3, IF(A112&lt;33, SoC!O$4, IF(A112&lt;49, SoC!O$5, IF(A112&lt;65, SoC!O$6, IF(A112&lt;81, SoC!O$7, IF(A112&lt;97, SoC!O$8, SoC!O$9))))))</f>
        <v>0.84292189346881985</v>
      </c>
      <c r="BY112" s="205">
        <f t="shared" si="148"/>
        <v>0.47947821525483153</v>
      </c>
      <c r="BZ112" s="205" t="str">
        <f t="shared" si="149"/>
        <v>F</v>
      </c>
      <c r="CA112" s="35">
        <f t="shared" si="150"/>
        <v>-7.1243005977778893</v>
      </c>
      <c r="CB112" s="245">
        <f t="shared" si="151"/>
        <v>0</v>
      </c>
      <c r="CC112" s="48">
        <v>22</v>
      </c>
      <c r="CD112" s="69" t="s">
        <v>964</v>
      </c>
      <c r="CE112">
        <v>111</v>
      </c>
      <c r="CF112">
        <v>111</v>
      </c>
      <c r="CG112">
        <v>111</v>
      </c>
      <c r="CH112">
        <v>111</v>
      </c>
      <c r="CI112">
        <v>111</v>
      </c>
      <c r="CJ112">
        <v>111</v>
      </c>
      <c r="CK112">
        <v>111</v>
      </c>
      <c r="CL112">
        <v>111</v>
      </c>
      <c r="CM112">
        <v>111</v>
      </c>
      <c r="CN112">
        <v>111</v>
      </c>
      <c r="CO112">
        <v>111</v>
      </c>
      <c r="CP112">
        <v>109</v>
      </c>
      <c r="CQ112">
        <v>109</v>
      </c>
      <c r="CR112">
        <v>107</v>
      </c>
      <c r="CS112">
        <v>107</v>
      </c>
      <c r="CT112">
        <v>112</v>
      </c>
      <c r="CU112">
        <v>112</v>
      </c>
      <c r="CV112">
        <v>112</v>
      </c>
      <c r="CW112">
        <v>112</v>
      </c>
      <c r="CX112">
        <v>110</v>
      </c>
      <c r="CY112">
        <v>110</v>
      </c>
      <c r="CZ112">
        <v>110</v>
      </c>
      <c r="DA112">
        <v>110</v>
      </c>
      <c r="DB112">
        <v>110</v>
      </c>
      <c r="DC112">
        <v>109</v>
      </c>
      <c r="DD112">
        <v>102</v>
      </c>
      <c r="DE112" s="154">
        <v>100</v>
      </c>
      <c r="DF112">
        <v>98</v>
      </c>
      <c r="DG112">
        <v>91</v>
      </c>
    </row>
    <row r="113" spans="1:111" x14ac:dyDescent="0.35">
      <c r="A113">
        <v>112</v>
      </c>
      <c r="B113" s="69" t="s">
        <v>1296</v>
      </c>
      <c r="C113" s="69" t="s">
        <v>1109</v>
      </c>
      <c r="D113" s="69" t="s">
        <v>963</v>
      </c>
      <c r="F113" s="6">
        <v>4</v>
      </c>
      <c r="G113" s="6">
        <v>9</v>
      </c>
      <c r="H113" s="6"/>
      <c r="I113" s="6">
        <v>3</v>
      </c>
      <c r="J113" s="6">
        <v>6</v>
      </c>
      <c r="L113" s="1">
        <v>0</v>
      </c>
      <c r="M113" s="1">
        <v>2</v>
      </c>
      <c r="O113">
        <f>189+16</f>
        <v>205</v>
      </c>
      <c r="P113">
        <f>208+26</f>
        <v>234</v>
      </c>
      <c r="Q113">
        <v>108</v>
      </c>
      <c r="R113" s="9">
        <f>-0.793-4.945+7.604+6.305-5.869</f>
        <v>2.3019999999999996</v>
      </c>
      <c r="S113" s="263">
        <f>437+53+24+22+60</f>
        <v>596</v>
      </c>
      <c r="T113" s="203">
        <f>261.39+45.565+18.402+4.582+10.342</f>
        <v>340.28099999999995</v>
      </c>
      <c r="V113">
        <v>22</v>
      </c>
      <c r="W113">
        <v>40</v>
      </c>
      <c r="X113">
        <v>13</v>
      </c>
      <c r="Y113" s="9">
        <f>-2.618</f>
        <v>-2.6179999999999999</v>
      </c>
      <c r="Z113" s="263">
        <f>99</f>
        <v>99</v>
      </c>
      <c r="AA113" s="203">
        <f>19.07</f>
        <v>19.07</v>
      </c>
      <c r="AC113">
        <f t="shared" si="114"/>
        <v>210.5</v>
      </c>
      <c r="AD113">
        <f t="shared" si="115"/>
        <v>244</v>
      </c>
      <c r="AE113">
        <f t="shared" si="116"/>
        <v>111.25</v>
      </c>
      <c r="AF113">
        <f t="shared" si="117"/>
        <v>1.6474999999999995</v>
      </c>
      <c r="AG113">
        <f t="shared" si="118"/>
        <v>620.75</v>
      </c>
      <c r="AH113">
        <f t="shared" si="119"/>
        <v>345.04849999999993</v>
      </c>
      <c r="AI113" s="73">
        <f t="shared" si="120"/>
        <v>13.5</v>
      </c>
      <c r="AJ113" s="73">
        <f t="shared" si="121"/>
        <v>15.592592592592593</v>
      </c>
      <c r="AK113" s="73">
        <f t="shared" si="122"/>
        <v>18.074074074074073</v>
      </c>
      <c r="AL113" s="73">
        <f t="shared" si="123"/>
        <v>-2.4814814814814792</v>
      </c>
      <c r="AM113" s="73">
        <f t="shared" si="124"/>
        <v>1.8921348314606741</v>
      </c>
      <c r="AN113" s="227">
        <f t="shared" si="125"/>
        <v>0.122037037037037</v>
      </c>
      <c r="AO113" s="227">
        <f t="shared" si="126"/>
        <v>0.36371115771018792</v>
      </c>
      <c r="AP113" s="227">
        <f t="shared" si="127"/>
        <v>-2.7243555788550915</v>
      </c>
      <c r="AQ113" s="89">
        <f t="shared" si="128"/>
        <v>1.658365254061003</v>
      </c>
      <c r="AR113" s="73">
        <f t="shared" si="129"/>
        <v>45.981481481481481</v>
      </c>
      <c r="AS113" s="89">
        <f t="shared" si="130"/>
        <v>25.559148148148143</v>
      </c>
      <c r="AT113" s="89">
        <f t="shared" si="131"/>
        <v>5.0556056163577621</v>
      </c>
      <c r="AU113" s="9">
        <v>14</v>
      </c>
      <c r="AV113" s="9">
        <v>0</v>
      </c>
      <c r="AX113" s="54">
        <f t="shared" si="132"/>
        <v>14</v>
      </c>
      <c r="AZ113" s="49">
        <v>90</v>
      </c>
      <c r="BA113" s="48">
        <f t="shared" si="133"/>
        <v>90</v>
      </c>
      <c r="BB113" s="245">
        <f t="shared" si="134"/>
        <v>0</v>
      </c>
      <c r="BC113" s="36">
        <f t="shared" si="135"/>
        <v>0.36295148044144598</v>
      </c>
      <c r="BD113" s="205">
        <f t="shared" si="136"/>
        <v>0.30769230769230771</v>
      </c>
      <c r="BE113" s="205">
        <f t="shared" si="137"/>
        <v>0.33333333333333331</v>
      </c>
      <c r="BF113" s="205">
        <f t="shared" si="138"/>
        <v>0.25931624034757123</v>
      </c>
      <c r="BG113" s="205">
        <f t="shared" si="139"/>
        <v>0.47655535067950583</v>
      </c>
      <c r="BH113" s="205">
        <f t="shared" si="140"/>
        <v>0.24630786795873913</v>
      </c>
      <c r="BI113" s="205">
        <f t="shared" si="141"/>
        <v>0.6232279386370595</v>
      </c>
      <c r="BJ113" s="205">
        <f t="shared" si="142"/>
        <v>0.26250320406670613</v>
      </c>
      <c r="BK113" s="205">
        <f t="shared" si="143"/>
        <v>0.29059100450638381</v>
      </c>
      <c r="BL113" s="205">
        <f t="shared" si="144"/>
        <v>0.43181566815951622</v>
      </c>
      <c r="BM113" s="205">
        <f t="shared" si="145"/>
        <v>0.1111111111111111</v>
      </c>
      <c r="BN113" s="48">
        <v>5</v>
      </c>
      <c r="BO113" s="220">
        <f t="shared" si="146"/>
        <v>19</v>
      </c>
      <c r="BP113" s="220">
        <v>10</v>
      </c>
      <c r="BQ113" s="220">
        <f t="shared" si="147"/>
        <v>29</v>
      </c>
      <c r="BR113" s="205">
        <v>1</v>
      </c>
      <c r="BS113" s="35">
        <v>0.36295148044144598</v>
      </c>
      <c r="BT113">
        <v>2</v>
      </c>
      <c r="BU113" s="205">
        <v>5.0556056163577621</v>
      </c>
      <c r="BV113" s="34">
        <v>0.25931624034757123</v>
      </c>
      <c r="BW113" s="34">
        <v>0.47655535067950583</v>
      </c>
      <c r="BX113" s="34">
        <f>IF(A113&lt;17, SoC!O$3, IF(A113&lt;33, SoC!O$4, IF(A113&lt;49, SoC!O$5, IF(A113&lt;65, SoC!O$6, IF(A113&lt;81, SoC!O$7, IF(A113&lt;97, SoC!O$8, SoC!O$9))))))</f>
        <v>0.84292189346881985</v>
      </c>
      <c r="BY113" s="205">
        <f t="shared" si="148"/>
        <v>0.60245454636963769</v>
      </c>
      <c r="BZ113" s="205" t="str">
        <f t="shared" si="149"/>
        <v>D-</v>
      </c>
      <c r="CA113" s="35">
        <f t="shared" si="150"/>
        <v>-3.8456980849778719</v>
      </c>
      <c r="CB113" s="245">
        <f t="shared" si="151"/>
        <v>0</v>
      </c>
      <c r="CC113" s="48">
        <v>56</v>
      </c>
      <c r="CD113" s="69" t="s">
        <v>963</v>
      </c>
      <c r="CE113">
        <v>90</v>
      </c>
      <c r="CF113">
        <v>90</v>
      </c>
      <c r="CG113">
        <v>90</v>
      </c>
      <c r="CH113">
        <v>90</v>
      </c>
      <c r="CI113">
        <v>90</v>
      </c>
      <c r="CJ113">
        <v>90</v>
      </c>
      <c r="CK113">
        <v>90</v>
      </c>
      <c r="CL113">
        <v>90</v>
      </c>
      <c r="CM113">
        <v>90</v>
      </c>
      <c r="CN113">
        <v>90</v>
      </c>
      <c r="CO113">
        <v>90</v>
      </c>
      <c r="CP113">
        <v>84</v>
      </c>
      <c r="CQ113">
        <v>84</v>
      </c>
      <c r="CR113">
        <v>76</v>
      </c>
      <c r="CS113">
        <v>76</v>
      </c>
      <c r="CT113">
        <v>71</v>
      </c>
      <c r="CU113">
        <v>70</v>
      </c>
      <c r="CV113">
        <v>82</v>
      </c>
      <c r="CW113">
        <v>83</v>
      </c>
      <c r="CX113">
        <v>79</v>
      </c>
      <c r="CY113">
        <v>80</v>
      </c>
      <c r="CZ113">
        <v>94</v>
      </c>
      <c r="DA113">
        <v>90</v>
      </c>
      <c r="DB113">
        <v>83</v>
      </c>
      <c r="DC113">
        <v>64</v>
      </c>
      <c r="DD113">
        <v>42</v>
      </c>
      <c r="DE113" s="154">
        <v>47</v>
      </c>
      <c r="DF113">
        <v>12</v>
      </c>
      <c r="DG113">
        <v>57</v>
      </c>
    </row>
    <row r="117" spans="1:111" x14ac:dyDescent="0.35">
      <c r="DE117">
        <f>-(MAX(S:S)+ABS(MIN(S:S)))</f>
        <v>-1451</v>
      </c>
    </row>
    <row r="118" spans="1:111" x14ac:dyDescent="0.35">
      <c r="DE118">
        <f>DE117*1.2</f>
        <v>-1741.2</v>
      </c>
    </row>
  </sheetData>
  <sortState xmlns:xlrd2="http://schemas.microsoft.com/office/spreadsheetml/2017/richdata2" ref="A2:DG118">
    <sortCondition ref="A2:A118"/>
  </sortState>
  <conditionalFormatting sqref="BD2:BD113">
    <cfRule type="cellIs" dxfId="275" priority="14" operator="greaterThan">
      <formula>1</formula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BF11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BG11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11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BH11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:BI11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11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BL11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BL113 BD2:BD113">
    <cfRule type="cellIs" dxfId="274" priority="17" operator="equal">
      <formula>1</formula>
    </cfRule>
  </conditionalFormatting>
  <conditionalFormatting sqref="BM2:BM11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113">
    <cfRule type="cellIs" dxfId="273" priority="15" operator="equal">
      <formula>1</formula>
    </cfRule>
  </conditionalFormatting>
  <conditionalFormatting sqref="BE2:BE113">
    <cfRule type="cellIs" dxfId="272" priority="11" operator="greaterThan">
      <formula>1</formula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:BE113">
    <cfRule type="cellIs" dxfId="271" priority="12" operator="equal">
      <formula>1</formula>
    </cfRule>
  </conditionalFormatting>
  <conditionalFormatting sqref="BB2:BB11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B2:CB11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514632D5-791A-4544-9C1E-7909069D6D53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" operator="equal" id="{22430143-93B5-4B1A-A411-68B1F5D1C3F1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D2:D113 E20 E16</xm:sqref>
        </x14:conditionalFormatting>
        <x14:conditionalFormatting xmlns:xm="http://schemas.microsoft.com/office/excel/2006/main">
          <x14:cfRule type="cellIs" priority="1" operator="equal" id="{4E90D4EA-BEBB-4A28-9108-C07B05510020}">
            <xm:f>'Conf Standings'!$U$44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44CE8B5F-8451-4919-8CBE-8825A7D83BB3}">
            <xm:f>'Conf Standings'!$U$43</xm:f>
            <x14:dxf>
              <fill>
                <patternFill>
                  <bgColor theme="0" tint="-0.14996795556505021"/>
                </patternFill>
              </fill>
            </x14:dxf>
          </x14:cfRule>
          <xm:sqref>AZ2:AZ113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Q53"/>
  <sheetViews>
    <sheetView zoomScaleNormal="100" workbookViewId="0">
      <selection activeCell="J55" sqref="J55"/>
    </sheetView>
  </sheetViews>
  <sheetFormatPr defaultRowHeight="14.5" x14ac:dyDescent="0.35"/>
  <cols>
    <col min="3" max="3" width="17.81640625" customWidth="1"/>
    <col min="5" max="5" width="4.90625" style="235" customWidth="1"/>
    <col min="6" max="6" width="17.81640625" customWidth="1"/>
    <col min="8" max="8" width="17.81640625" customWidth="1"/>
    <col min="10" max="10" width="4.90625" style="235" customWidth="1"/>
    <col min="11" max="11" width="17.81640625" customWidth="1"/>
    <col min="13" max="13" width="17.81640625" customWidth="1"/>
    <col min="15" max="15" width="4.90625" style="235" customWidth="1"/>
    <col min="16" max="16" width="17.81640625" customWidth="1"/>
  </cols>
  <sheetData>
    <row r="2" spans="1:17" x14ac:dyDescent="0.35">
      <c r="B2" s="235" t="s">
        <v>717</v>
      </c>
      <c r="D2" s="235" t="s">
        <v>143</v>
      </c>
      <c r="E2" s="408" t="s">
        <v>302</v>
      </c>
      <c r="F2" s="15" t="s">
        <v>87</v>
      </c>
      <c r="G2" s="236">
        <f>IFERROR(VLOOKUP(F2, Rankings!$D$2:$AZ$31, 49, FALSE), "")</f>
        <v>1</v>
      </c>
      <c r="H2" t="s">
        <v>5002</v>
      </c>
      <c r="I2" t="s">
        <v>5092</v>
      </c>
      <c r="J2" s="235" t="s">
        <v>375</v>
      </c>
      <c r="K2" s="19" t="s">
        <v>36</v>
      </c>
      <c r="L2" s="236" t="str">
        <f>IFERROR(VLOOKUP(K2, Rankings!$D$2:$AZ$31, 49, FALSE), "")</f>
        <v/>
      </c>
      <c r="M2" t="s">
        <v>5093</v>
      </c>
      <c r="N2" t="s">
        <v>5126</v>
      </c>
      <c r="O2" s="235" t="s">
        <v>396</v>
      </c>
      <c r="P2" s="16" t="s">
        <v>60</v>
      </c>
      <c r="Q2" s="236">
        <v>10</v>
      </c>
    </row>
    <row r="3" spans="1:17" x14ac:dyDescent="0.35">
      <c r="B3" s="235" t="s">
        <v>4</v>
      </c>
      <c r="D3" s="235" t="s">
        <v>171</v>
      </c>
      <c r="E3" s="235" t="s">
        <v>303</v>
      </c>
      <c r="F3" s="17" t="s">
        <v>118</v>
      </c>
      <c r="G3" s="236" t="str">
        <f>IFERROR(VLOOKUP(F3, Rankings!$D$2:$AZ$31, 49, FALSE), "")</f>
        <v/>
      </c>
      <c r="H3" s="382">
        <v>1.25</v>
      </c>
      <c r="J3" s="235" t="s">
        <v>309</v>
      </c>
      <c r="K3" s="16" t="s">
        <v>115</v>
      </c>
      <c r="L3" s="236">
        <f>IFERROR(VLOOKUP(K3, Rankings!$D$2:$AZ$31, 49, FALSE), "")</f>
        <v>11</v>
      </c>
      <c r="M3" s="382">
        <v>1.25</v>
      </c>
      <c r="O3" s="235" t="s">
        <v>836</v>
      </c>
      <c r="P3" s="15" t="s">
        <v>77</v>
      </c>
      <c r="Q3" s="236">
        <v>12</v>
      </c>
    </row>
    <row r="4" spans="1:17" x14ac:dyDescent="0.35">
      <c r="B4" s="235" t="s">
        <v>719</v>
      </c>
      <c r="D4" s="235" t="s">
        <v>173</v>
      </c>
      <c r="E4" s="408" t="s">
        <v>304</v>
      </c>
      <c r="F4" s="21" t="s">
        <v>26</v>
      </c>
      <c r="G4" s="236" t="str">
        <f>IFERROR(VLOOKUP(F4, Rankings!$D$2:$AZ$31, 49, FALSE), "")</f>
        <v/>
      </c>
      <c r="H4" s="398">
        <v>48</v>
      </c>
      <c r="I4" t="s">
        <v>5094</v>
      </c>
      <c r="J4" s="235" t="s">
        <v>306</v>
      </c>
      <c r="K4" s="58" t="s">
        <v>795</v>
      </c>
      <c r="L4" s="236" t="str">
        <f>IFERROR(VLOOKUP(K4, Rankings!$D$2:$AZ$31, 49, FALSE), "")</f>
        <v/>
      </c>
      <c r="N4" t="s">
        <v>5127</v>
      </c>
      <c r="O4" s="235" t="s">
        <v>837</v>
      </c>
      <c r="P4" s="16" t="s">
        <v>59</v>
      </c>
      <c r="Q4" s="236">
        <v>13</v>
      </c>
    </row>
    <row r="5" spans="1:17" x14ac:dyDescent="0.35">
      <c r="B5" s="235" t="s">
        <v>707</v>
      </c>
      <c r="D5" s="235" t="s">
        <v>1296</v>
      </c>
      <c r="E5" s="408" t="s">
        <v>305</v>
      </c>
      <c r="F5" s="69" t="s">
        <v>1344</v>
      </c>
      <c r="G5" s="236" t="str">
        <f>IFERROR(VLOOKUP(F5, Rankings!$D$2:$AZ$31, 49, FALSE), "")</f>
        <v/>
      </c>
      <c r="J5" s="235" t="s">
        <v>312</v>
      </c>
      <c r="K5" s="15" t="s">
        <v>77</v>
      </c>
      <c r="L5" s="236">
        <f>IFERROR(VLOOKUP(K5, Rankings!$D$2:$AZ$31, 49, FALSE), "")</f>
        <v>12</v>
      </c>
      <c r="O5" s="235" t="s">
        <v>921</v>
      </c>
      <c r="P5" s="15" t="s">
        <v>78</v>
      </c>
      <c r="Q5" s="236">
        <v>14</v>
      </c>
    </row>
    <row r="6" spans="1:17" x14ac:dyDescent="0.35">
      <c r="B6" s="235" t="s">
        <v>723</v>
      </c>
      <c r="D6" s="235" t="s">
        <v>799</v>
      </c>
      <c r="E6" s="408" t="s">
        <v>306</v>
      </c>
      <c r="F6" s="58" t="s">
        <v>795</v>
      </c>
      <c r="G6" s="236" t="str">
        <f>IFERROR(VLOOKUP(F6, Rankings!$D$2:$AZ$31, 49, FALSE), "")</f>
        <v/>
      </c>
      <c r="I6" t="s">
        <v>5095</v>
      </c>
      <c r="J6" s="235" t="s">
        <v>307</v>
      </c>
      <c r="K6" s="19" t="s">
        <v>41</v>
      </c>
      <c r="L6" s="236" t="str">
        <f>IFERROR(VLOOKUP(K6, Rankings!$D$2:$AZ$31, 49, FALSE), "")</f>
        <v/>
      </c>
      <c r="N6" t="s">
        <v>5128</v>
      </c>
      <c r="O6" s="235" t="s">
        <v>836</v>
      </c>
      <c r="P6" s="15" t="s">
        <v>77</v>
      </c>
      <c r="Q6" s="236">
        <v>12</v>
      </c>
    </row>
    <row r="7" spans="1:17" x14ac:dyDescent="0.35">
      <c r="B7" s="235" t="s">
        <v>5209</v>
      </c>
      <c r="D7" s="235" t="s">
        <v>172</v>
      </c>
      <c r="E7" s="408" t="s">
        <v>307</v>
      </c>
      <c r="F7" s="19" t="s">
        <v>41</v>
      </c>
      <c r="G7" s="236" t="str">
        <f>IFERROR(VLOOKUP(F7, Rankings!$D$2:$AZ$31, 49, FALSE), "")</f>
        <v/>
      </c>
      <c r="J7" s="235" t="s">
        <v>311</v>
      </c>
      <c r="K7" s="16" t="s">
        <v>60</v>
      </c>
      <c r="L7" s="236" t="str">
        <f>IFERROR(VLOOKUP(K7, Rankings!$D$2:$AZ$31, 49, FALSE), "")</f>
        <v/>
      </c>
      <c r="O7" s="235" t="s">
        <v>837</v>
      </c>
      <c r="P7" s="16" t="s">
        <v>59</v>
      </c>
      <c r="Q7" s="236">
        <v>13</v>
      </c>
    </row>
    <row r="8" spans="1:17" x14ac:dyDescent="0.35">
      <c r="B8" s="235" t="s">
        <v>5208</v>
      </c>
      <c r="D8" s="235" t="s">
        <v>173</v>
      </c>
      <c r="E8" s="408" t="s">
        <v>308</v>
      </c>
      <c r="F8" s="21" t="s">
        <v>119</v>
      </c>
      <c r="G8" s="236" t="str">
        <f>IFERROR(VLOOKUP(F8, Rankings!$D$2:$AZ$31, 49, FALSE), "")</f>
        <v/>
      </c>
      <c r="I8" t="s">
        <v>5096</v>
      </c>
      <c r="J8" s="235" t="s">
        <v>308</v>
      </c>
      <c r="K8" s="21" t="s">
        <v>119</v>
      </c>
      <c r="L8" s="236" t="str">
        <f>IFERROR(VLOOKUP(K8, Rankings!$D$2:$AZ$31, 49, FALSE), "")</f>
        <v/>
      </c>
    </row>
    <row r="9" spans="1:17" x14ac:dyDescent="0.35">
      <c r="B9" s="235" t="s">
        <v>714</v>
      </c>
      <c r="D9" s="235" t="s">
        <v>172</v>
      </c>
      <c r="E9" s="408" t="s">
        <v>375</v>
      </c>
      <c r="F9" s="19" t="s">
        <v>36</v>
      </c>
      <c r="G9" s="236" t="str">
        <f>IFERROR(VLOOKUP(F9, Rankings!$D$2:$AZ$31, 49, FALSE), "")</f>
        <v/>
      </c>
      <c r="J9" s="235" t="s">
        <v>310</v>
      </c>
      <c r="K9" s="17" t="s">
        <v>145</v>
      </c>
      <c r="L9" s="236" t="str">
        <f>IFERROR(VLOOKUP(K9, Rankings!$D$2:$AZ$31, 49, FALSE), "")</f>
        <v/>
      </c>
    </row>
    <row r="10" spans="1:17" x14ac:dyDescent="0.35">
      <c r="B10" s="235" t="s">
        <v>706</v>
      </c>
      <c r="D10" s="235" t="s">
        <v>144</v>
      </c>
      <c r="E10" s="408" t="s">
        <v>309</v>
      </c>
      <c r="F10" s="16" t="s">
        <v>115</v>
      </c>
      <c r="G10" s="236">
        <f>IFERROR(VLOOKUP(F10, Rankings!$D$2:$AZ$31, 49, FALSE), "")</f>
        <v>11</v>
      </c>
    </row>
    <row r="11" spans="1:17" x14ac:dyDescent="0.35">
      <c r="B11" s="235" t="s">
        <v>5207</v>
      </c>
      <c r="D11" s="235" t="s">
        <v>171</v>
      </c>
      <c r="E11" s="408" t="s">
        <v>310</v>
      </c>
      <c r="F11" s="17" t="s">
        <v>145</v>
      </c>
      <c r="G11" s="236" t="str">
        <f>IFERROR(VLOOKUP(F11, Rankings!$D$2:$AZ$31, 49, FALSE), "")</f>
        <v/>
      </c>
      <c r="H11" t="s">
        <v>5097</v>
      </c>
      <c r="I11" t="s">
        <v>5098</v>
      </c>
      <c r="J11" s="235" t="s">
        <v>302</v>
      </c>
      <c r="K11" s="15" t="s">
        <v>87</v>
      </c>
      <c r="L11" s="236">
        <f>IFERROR(VLOOKUP(K11, Rankings!$D$2:$AZ$31, 49, FALSE), "")</f>
        <v>1</v>
      </c>
      <c r="N11" s="1" t="s">
        <v>5135</v>
      </c>
    </row>
    <row r="12" spans="1:17" x14ac:dyDescent="0.35">
      <c r="A12" s="235"/>
      <c r="B12" s="235" t="s">
        <v>5206</v>
      </c>
      <c r="C12" s="235" t="s">
        <v>396</v>
      </c>
      <c r="D12" s="235" t="s">
        <v>144</v>
      </c>
      <c r="E12" s="408" t="s">
        <v>311</v>
      </c>
      <c r="F12" s="16" t="s">
        <v>60</v>
      </c>
      <c r="G12" s="236" t="str">
        <f>IFERROR(VLOOKUP(F12, Rankings!$D$2:$AZ$31, 49, FALSE), "")</f>
        <v/>
      </c>
      <c r="H12" s="382">
        <v>1.5</v>
      </c>
      <c r="J12" s="235" t="s">
        <v>375</v>
      </c>
      <c r="K12" s="19" t="s">
        <v>36</v>
      </c>
      <c r="L12" s="236" t="str">
        <f>IFERROR(VLOOKUP(K12, Rankings!$D$2:$AZ$31, 49, FALSE), "")</f>
        <v/>
      </c>
      <c r="N12" t="s">
        <v>5152</v>
      </c>
      <c r="O12" s="63">
        <v>44</v>
      </c>
    </row>
    <row r="13" spans="1:17" ht="15" thickBot="1" x14ac:dyDescent="0.4">
      <c r="A13" s="235"/>
      <c r="B13" s="235" t="s">
        <v>705</v>
      </c>
      <c r="C13" s="235" t="s">
        <v>836</v>
      </c>
      <c r="D13" s="57" t="s">
        <v>143</v>
      </c>
      <c r="E13" s="410" t="s">
        <v>312</v>
      </c>
      <c r="F13" s="399" t="s">
        <v>77</v>
      </c>
      <c r="G13" s="236">
        <f>IFERROR(VLOOKUP(F13, Rankings!$D$2:$AZ$31, 49, FALSE), "")</f>
        <v>12</v>
      </c>
      <c r="H13" s="398">
        <v>52</v>
      </c>
      <c r="I13" t="s">
        <v>5099</v>
      </c>
      <c r="J13" s="235" t="s">
        <v>305</v>
      </c>
      <c r="K13" s="69" t="s">
        <v>1344</v>
      </c>
      <c r="L13" s="236" t="str">
        <f>IFERROR(VLOOKUP(K13, Rankings!$D$2:$AZ$31, 49, FALSE), "")</f>
        <v/>
      </c>
      <c r="N13" t="s">
        <v>5153</v>
      </c>
      <c r="O13" s="63">
        <v>46</v>
      </c>
    </row>
    <row r="14" spans="1:17" x14ac:dyDescent="0.35">
      <c r="A14" s="235"/>
      <c r="B14" s="235" t="s">
        <v>5205</v>
      </c>
      <c r="C14" s="235" t="s">
        <v>837</v>
      </c>
      <c r="D14" s="400" t="s">
        <v>144</v>
      </c>
      <c r="E14" s="400" t="s">
        <v>313</v>
      </c>
      <c r="F14" s="16" t="s">
        <v>59</v>
      </c>
      <c r="J14" s="235" t="s">
        <v>306</v>
      </c>
      <c r="K14" s="58" t="s">
        <v>795</v>
      </c>
      <c r="L14" s="236" t="str">
        <f>IFERROR(VLOOKUP(K14, Rankings!$D$2:$AZ$31, 49, FALSE), "")</f>
        <v/>
      </c>
      <c r="N14" t="s">
        <v>5136</v>
      </c>
      <c r="O14" s="63">
        <v>48</v>
      </c>
    </row>
    <row r="15" spans="1:17" x14ac:dyDescent="0.35">
      <c r="B15" s="235" t="s">
        <v>5204</v>
      </c>
      <c r="C15" s="235" t="s">
        <v>921</v>
      </c>
      <c r="D15" s="400" t="s">
        <v>143</v>
      </c>
      <c r="E15" s="400" t="s">
        <v>376</v>
      </c>
      <c r="F15" s="15" t="s">
        <v>78</v>
      </c>
      <c r="I15" t="s">
        <v>5100</v>
      </c>
      <c r="J15" s="235" t="s">
        <v>304</v>
      </c>
      <c r="K15" s="21" t="s">
        <v>26</v>
      </c>
      <c r="L15" s="236" t="str">
        <f>IFERROR(VLOOKUP(K15, Rankings!$D$2:$AZ$31, 49, FALSE), "")</f>
        <v/>
      </c>
      <c r="N15" t="s">
        <v>5137</v>
      </c>
      <c r="O15" s="63">
        <v>52</v>
      </c>
    </row>
    <row r="16" spans="1:17" x14ac:dyDescent="0.35">
      <c r="J16" s="235" t="s">
        <v>307</v>
      </c>
      <c r="K16" s="19" t="s">
        <v>41</v>
      </c>
      <c r="L16" s="236" t="str">
        <f>IFERROR(VLOOKUP(K16, Rankings!$D$2:$AZ$31, 49, FALSE), "")</f>
        <v/>
      </c>
      <c r="N16" t="s">
        <v>5138</v>
      </c>
      <c r="O16" s="63">
        <v>60</v>
      </c>
    </row>
    <row r="17" spans="1:15" x14ac:dyDescent="0.35">
      <c r="I17" t="s">
        <v>5101</v>
      </c>
      <c r="J17" s="235" t="s">
        <v>303</v>
      </c>
      <c r="K17" s="17" t="s">
        <v>118</v>
      </c>
      <c r="L17" s="236" t="str">
        <f>IFERROR(VLOOKUP(K17, Rankings!$D$2:$AZ$31, 49, FALSE), "")</f>
        <v/>
      </c>
      <c r="N17" t="s">
        <v>5139</v>
      </c>
      <c r="O17" s="63">
        <v>68</v>
      </c>
    </row>
    <row r="18" spans="1:15" x14ac:dyDescent="0.35">
      <c r="J18" s="235" t="s">
        <v>310</v>
      </c>
      <c r="K18" s="17" t="s">
        <v>145</v>
      </c>
      <c r="L18" s="236" t="str">
        <f>IFERROR(VLOOKUP(K18, Rankings!$D$2:$AZ$31, 49, FALSE), "")</f>
        <v/>
      </c>
      <c r="N18" t="s">
        <v>5140</v>
      </c>
      <c r="O18" s="63">
        <v>76</v>
      </c>
    </row>
    <row r="19" spans="1:15" x14ac:dyDescent="0.35">
      <c r="N19" t="s">
        <v>5141</v>
      </c>
      <c r="O19" s="63">
        <v>84</v>
      </c>
    </row>
    <row r="20" spans="1:15" x14ac:dyDescent="0.35">
      <c r="C20" t="s">
        <v>5102</v>
      </c>
      <c r="D20" t="s">
        <v>5103</v>
      </c>
      <c r="E20" s="235" t="s">
        <v>311</v>
      </c>
      <c r="F20" s="16" t="s">
        <v>60</v>
      </c>
      <c r="G20" s="236" t="str">
        <f>IFERROR(VLOOKUP(F20, Rankings!$D$2:$AZ$31, 49, FALSE), "")</f>
        <v/>
      </c>
      <c r="N20" t="s">
        <v>5006</v>
      </c>
      <c r="O20" s="63">
        <v>92</v>
      </c>
    </row>
    <row r="21" spans="1:15" x14ac:dyDescent="0.35">
      <c r="C21" s="382">
        <v>1.5</v>
      </c>
      <c r="E21" s="235" t="s">
        <v>305</v>
      </c>
      <c r="F21" s="69" t="s">
        <v>1344</v>
      </c>
      <c r="G21" s="236" t="str">
        <f>IFERROR(VLOOKUP(F21, Rankings!$D$2:$AZ$31, 49, FALSE), "")</f>
        <v/>
      </c>
      <c r="N21" t="s">
        <v>5142</v>
      </c>
      <c r="O21" s="63">
        <v>100</v>
      </c>
    </row>
    <row r="22" spans="1:15" x14ac:dyDescent="0.35">
      <c r="A22">
        <v>12</v>
      </c>
      <c r="C22" s="398" t="s">
        <v>5174</v>
      </c>
      <c r="D22" t="s">
        <v>5104</v>
      </c>
      <c r="E22" s="235" t="s">
        <v>308</v>
      </c>
      <c r="F22" s="21" t="s">
        <v>119</v>
      </c>
      <c r="G22" s="236" t="str">
        <f>IFERROR(VLOOKUP(F22, Rankings!$D$2:$AZ$31, 49, FALSE), "")</f>
        <v/>
      </c>
    </row>
    <row r="23" spans="1:15" x14ac:dyDescent="0.35">
      <c r="A23">
        <v>11</v>
      </c>
      <c r="E23" s="235" t="s">
        <v>375</v>
      </c>
      <c r="F23" s="19" t="s">
        <v>36</v>
      </c>
      <c r="G23" s="236" t="str">
        <f>IFERROR(VLOOKUP(F23, Rankings!$D$2:$AZ$31, 49, FALSE), "")</f>
        <v/>
      </c>
    </row>
    <row r="24" spans="1:15" x14ac:dyDescent="0.35">
      <c r="A24">
        <v>10</v>
      </c>
      <c r="D24" t="s">
        <v>5105</v>
      </c>
      <c r="E24" s="235" t="s">
        <v>309</v>
      </c>
      <c r="F24" s="16" t="s">
        <v>115</v>
      </c>
      <c r="G24" s="236">
        <f>IFERROR(VLOOKUP(F24, Rankings!$D$2:$AZ$31, 49, FALSE), "")</f>
        <v>11</v>
      </c>
    </row>
    <row r="25" spans="1:15" x14ac:dyDescent="0.35">
      <c r="A25">
        <v>9</v>
      </c>
      <c r="E25" s="235" t="s">
        <v>310</v>
      </c>
      <c r="F25" s="17" t="s">
        <v>145</v>
      </c>
      <c r="G25" s="236" t="str">
        <f>IFERROR(VLOOKUP(F25, Rankings!$D$2:$AZ$31, 49, FALSE), "")</f>
        <v/>
      </c>
    </row>
    <row r="26" spans="1:15" x14ac:dyDescent="0.35">
      <c r="D26" t="s">
        <v>5106</v>
      </c>
      <c r="E26" s="235" t="s">
        <v>312</v>
      </c>
      <c r="F26" s="15" t="s">
        <v>77</v>
      </c>
      <c r="G26" s="236">
        <f>IFERROR(VLOOKUP(F26, Rankings!$D$2:$AZ$31, 49, FALSE), "")</f>
        <v>12</v>
      </c>
    </row>
    <row r="27" spans="1:15" x14ac:dyDescent="0.35">
      <c r="E27" s="235" t="s">
        <v>307</v>
      </c>
      <c r="F27" s="19" t="s">
        <v>41</v>
      </c>
      <c r="G27" s="236" t="str">
        <f>IFERROR(VLOOKUP(F27, Rankings!$D$2:$AZ$31, 49, FALSE), "")</f>
        <v/>
      </c>
    </row>
    <row r="29" spans="1:15" x14ac:dyDescent="0.35">
      <c r="C29" t="s">
        <v>5107</v>
      </c>
      <c r="D29" t="s">
        <v>5108</v>
      </c>
      <c r="E29" s="235" t="s">
        <v>305</v>
      </c>
      <c r="F29" s="69" t="s">
        <v>1344</v>
      </c>
      <c r="G29" s="236" t="str">
        <f>IFERROR(VLOOKUP(F29, Rankings!$D$2:$AZ$31, 49, FALSE), "")</f>
        <v/>
      </c>
      <c r="H29" t="s">
        <v>5109</v>
      </c>
      <c r="I29" t="s">
        <v>5110</v>
      </c>
      <c r="J29" s="235" t="s">
        <v>302</v>
      </c>
      <c r="K29" s="15" t="s">
        <v>87</v>
      </c>
      <c r="L29" s="236">
        <f>IFERROR(VLOOKUP(K29, Rankings!$D$2:$AZ$31, 49, FALSE), "")</f>
        <v>1</v>
      </c>
    </row>
    <row r="30" spans="1:15" x14ac:dyDescent="0.35">
      <c r="A30">
        <v>8</v>
      </c>
      <c r="C30" s="382">
        <v>1.5</v>
      </c>
      <c r="E30" s="235" t="s">
        <v>375</v>
      </c>
      <c r="F30" s="19" t="s">
        <v>36</v>
      </c>
      <c r="G30" s="236" t="str">
        <f>IFERROR(VLOOKUP(F30, Rankings!$D$2:$AZ$31, 49, FALSE), "")</f>
        <v/>
      </c>
      <c r="H30" s="382">
        <v>1.75</v>
      </c>
      <c r="J30" s="235" t="s">
        <v>306</v>
      </c>
      <c r="K30" s="58" t="s">
        <v>795</v>
      </c>
      <c r="L30" s="236" t="str">
        <f>IFERROR(VLOOKUP(K30, Rankings!$D$2:$AZ$31, 49, FALSE), "")</f>
        <v/>
      </c>
    </row>
    <row r="31" spans="1:15" x14ac:dyDescent="0.35">
      <c r="A31">
        <v>7</v>
      </c>
      <c r="C31" s="398">
        <v>60</v>
      </c>
      <c r="D31" t="s">
        <v>5111</v>
      </c>
      <c r="E31" s="235" t="s">
        <v>309</v>
      </c>
      <c r="F31" s="16" t="s">
        <v>115</v>
      </c>
      <c r="G31" s="236">
        <f>IFERROR(VLOOKUP(F31, Rankings!$D$2:$AZ$31, 49, FALSE), "")</f>
        <v>11</v>
      </c>
      <c r="H31" s="398">
        <v>68</v>
      </c>
      <c r="I31" t="s">
        <v>5112</v>
      </c>
      <c r="J31" s="235" t="s">
        <v>303</v>
      </c>
      <c r="K31" s="17" t="s">
        <v>118</v>
      </c>
      <c r="L31" s="236" t="str">
        <f>IFERROR(VLOOKUP(K31, Rankings!$D$2:$AZ$31, 49, FALSE), "")</f>
        <v/>
      </c>
    </row>
    <row r="32" spans="1:15" x14ac:dyDescent="0.35">
      <c r="C32" s="398"/>
      <c r="E32" s="235" t="s">
        <v>312</v>
      </c>
      <c r="F32" s="15" t="s">
        <v>77</v>
      </c>
      <c r="G32" s="236">
        <f>IFERROR(VLOOKUP(F32, Rankings!$D$2:$AZ$31, 49, FALSE), "")</f>
        <v>12</v>
      </c>
      <c r="J32" s="235" t="s">
        <v>304</v>
      </c>
      <c r="K32" s="21" t="s">
        <v>26</v>
      </c>
      <c r="L32" s="236" t="str">
        <f>IFERROR(VLOOKUP(K32, Rankings!$D$2:$AZ$31, 49, FALSE), "")</f>
        <v/>
      </c>
    </row>
    <row r="34" spans="1:12" x14ac:dyDescent="0.35">
      <c r="C34" t="s">
        <v>5113</v>
      </c>
      <c r="D34" t="s">
        <v>5114</v>
      </c>
      <c r="E34" s="235" t="s">
        <v>304</v>
      </c>
      <c r="F34" s="21" t="s">
        <v>26</v>
      </c>
      <c r="G34" s="236" t="str">
        <f>IFERROR(VLOOKUP(F34, Rankings!$D$2:$AZ$31, 49, FALSE), "")</f>
        <v/>
      </c>
    </row>
    <row r="35" spans="1:12" x14ac:dyDescent="0.35">
      <c r="A35">
        <v>6</v>
      </c>
      <c r="C35" s="382">
        <v>1.75</v>
      </c>
      <c r="E35" s="235" t="s">
        <v>375</v>
      </c>
      <c r="F35" s="19" t="s">
        <v>36</v>
      </c>
      <c r="G35" s="236" t="str">
        <f>IFERROR(VLOOKUP(F35, Rankings!$D$2:$AZ$31, 49, FALSE), "")</f>
        <v/>
      </c>
    </row>
    <row r="36" spans="1:12" x14ac:dyDescent="0.35">
      <c r="A36">
        <v>5</v>
      </c>
      <c r="C36" s="398">
        <v>68</v>
      </c>
      <c r="D36" t="s">
        <v>5115</v>
      </c>
      <c r="E36" s="235" t="s">
        <v>302</v>
      </c>
      <c r="F36" s="15" t="s">
        <v>87</v>
      </c>
      <c r="G36" s="236">
        <f>IFERROR(VLOOKUP(F36, Rankings!$D$2:$AZ$31, 49, FALSE), "")</f>
        <v>1</v>
      </c>
    </row>
    <row r="37" spans="1:12" x14ac:dyDescent="0.35">
      <c r="E37" s="235" t="s">
        <v>309</v>
      </c>
      <c r="F37" s="16" t="s">
        <v>115</v>
      </c>
      <c r="G37" s="236">
        <f>IFERROR(VLOOKUP(F37, Rankings!$D$2:$AZ$31, 49, FALSE), "")</f>
        <v>11</v>
      </c>
    </row>
    <row r="39" spans="1:12" x14ac:dyDescent="0.35">
      <c r="A39">
        <v>4</v>
      </c>
      <c r="C39" t="s">
        <v>5116</v>
      </c>
      <c r="D39" t="s">
        <v>5117</v>
      </c>
      <c r="E39" s="235" t="s">
        <v>304</v>
      </c>
      <c r="F39" s="21" t="s">
        <v>26</v>
      </c>
      <c r="G39" s="236" t="str">
        <f>IFERROR(VLOOKUP(F39, Rankings!$D$2:$AZ$31, 49, FALSE), "")</f>
        <v/>
      </c>
      <c r="H39" t="s">
        <v>5118</v>
      </c>
      <c r="I39" t="s">
        <v>5119</v>
      </c>
      <c r="J39" s="235" t="s">
        <v>306</v>
      </c>
      <c r="K39" s="58" t="s">
        <v>795</v>
      </c>
      <c r="L39" s="236" t="str">
        <f>IFERROR(VLOOKUP(K39, Rankings!$D$2:$AZ$31, 49, FALSE), "")</f>
        <v/>
      </c>
    </row>
    <row r="40" spans="1:12" x14ac:dyDescent="0.35">
      <c r="C40" s="382">
        <v>1.75</v>
      </c>
      <c r="E40" s="235" t="s">
        <v>302</v>
      </c>
      <c r="F40" s="15" t="s">
        <v>87</v>
      </c>
      <c r="G40" s="236">
        <f>IFERROR(VLOOKUP(F40, Rankings!$D$2:$AZ$31, 49, FALSE), "")</f>
        <v>1</v>
      </c>
      <c r="H40" s="382">
        <v>2</v>
      </c>
      <c r="J40" s="235" t="s">
        <v>303</v>
      </c>
      <c r="K40" s="17" t="s">
        <v>118</v>
      </c>
      <c r="L40" s="236" t="str">
        <f>IFERROR(VLOOKUP(K40, Rankings!$D$2:$AZ$31, 49, FALSE), "")</f>
        <v/>
      </c>
    </row>
    <row r="41" spans="1:12" x14ac:dyDescent="0.35">
      <c r="C41" s="398">
        <v>76</v>
      </c>
      <c r="H41" s="398">
        <v>84</v>
      </c>
    </row>
    <row r="42" spans="1:12" x14ac:dyDescent="0.35">
      <c r="C42" s="404"/>
      <c r="H42" s="404"/>
    </row>
    <row r="43" spans="1:12" x14ac:dyDescent="0.35">
      <c r="A43">
        <v>3</v>
      </c>
      <c r="C43" t="s">
        <v>5120</v>
      </c>
      <c r="D43" t="s">
        <v>5121</v>
      </c>
      <c r="E43" s="235" t="s">
        <v>303</v>
      </c>
      <c r="F43" s="17" t="s">
        <v>118</v>
      </c>
      <c r="G43" s="236" t="str">
        <f>IFERROR(VLOOKUP(F43, Rankings!$D$2:$AZ$31, 49, FALSE), "")</f>
        <v/>
      </c>
    </row>
    <row r="44" spans="1:12" x14ac:dyDescent="0.35">
      <c r="C44" s="382">
        <v>2</v>
      </c>
      <c r="E44" s="235" t="s">
        <v>304</v>
      </c>
      <c r="F44" s="21" t="s">
        <v>26</v>
      </c>
      <c r="G44" s="236" t="str">
        <f>IFERROR(VLOOKUP(F44, Rankings!$D$2:$AZ$31, 49, FALSE), "")</f>
        <v/>
      </c>
    </row>
    <row r="45" spans="1:12" x14ac:dyDescent="0.35">
      <c r="C45" s="398">
        <v>84</v>
      </c>
    </row>
    <row r="46" spans="1:12" x14ac:dyDescent="0.35">
      <c r="H46" t="s">
        <v>5122</v>
      </c>
      <c r="I46" t="s">
        <v>5123</v>
      </c>
      <c r="J46" s="235" t="s">
        <v>306</v>
      </c>
      <c r="K46" s="58" t="s">
        <v>795</v>
      </c>
      <c r="L46" s="236" t="str">
        <f>IFERROR(VLOOKUP(K46, Rankings!$D$2:$AZ$31, 49, FALSE), "")</f>
        <v/>
      </c>
    </row>
    <row r="47" spans="1:12" x14ac:dyDescent="0.35">
      <c r="H47" s="382">
        <v>2.25</v>
      </c>
      <c r="I47" s="237" t="s">
        <v>6</v>
      </c>
      <c r="J47" s="235" t="s">
        <v>303</v>
      </c>
      <c r="K47" s="17" t="s">
        <v>118</v>
      </c>
      <c r="L47" s="236" t="str">
        <f>IFERROR(VLOOKUP(K47, Rankings!$D$2:$AZ$31, 49, FALSE), "")</f>
        <v/>
      </c>
    </row>
    <row r="48" spans="1:12" x14ac:dyDescent="0.35">
      <c r="A48">
        <v>2</v>
      </c>
      <c r="H48" s="398">
        <v>92</v>
      </c>
    </row>
    <row r="49" spans="1:11" x14ac:dyDescent="0.35">
      <c r="A49">
        <v>1</v>
      </c>
      <c r="C49" t="s">
        <v>5124</v>
      </c>
      <c r="D49" t="s">
        <v>5125</v>
      </c>
      <c r="E49" s="235" t="s">
        <v>303</v>
      </c>
      <c r="F49" s="17" t="s">
        <v>118</v>
      </c>
      <c r="G49" s="236" t="str">
        <f>IFERROR(VLOOKUP(F49, Rankings!$D$2:$AZ$31, 49, FALSE), "")</f>
        <v/>
      </c>
    </row>
    <row r="50" spans="1:11" x14ac:dyDescent="0.35">
      <c r="C50" s="382">
        <v>2.25</v>
      </c>
      <c r="E50" s="235" t="s">
        <v>306</v>
      </c>
      <c r="F50" s="58" t="s">
        <v>795</v>
      </c>
      <c r="G50" s="236" t="str">
        <f>IFERROR(VLOOKUP(F50, Rankings!$D$2:$AZ$31, 49, FALSE), "")</f>
        <v/>
      </c>
    </row>
    <row r="51" spans="1:11" x14ac:dyDescent="0.35">
      <c r="C51" s="398" t="s">
        <v>5264</v>
      </c>
    </row>
    <row r="52" spans="1:11" x14ac:dyDescent="0.35">
      <c r="H52" t="s">
        <v>2597</v>
      </c>
      <c r="J52" s="235" t="s">
        <v>303</v>
      </c>
      <c r="K52" s="17" t="s">
        <v>118</v>
      </c>
    </row>
    <row r="53" spans="1:11" x14ac:dyDescent="0.35">
      <c r="H53" s="412">
        <v>100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1" operator="equal" id="{7EB6CAAB-4FAE-4761-8CCC-B9EB2E4F93BA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02" operator="equal" id="{C424BEC6-C62F-4C69-AC2C-8B4340A4048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F2:F15</xm:sqref>
        </x14:conditionalFormatting>
        <x14:conditionalFormatting xmlns:xm="http://schemas.microsoft.com/office/excel/2006/main">
          <x14:cfRule type="cellIs" priority="99" operator="equal" id="{0D3DDD62-2705-48D0-AF07-8340BC69B38E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00" operator="equal" id="{BFD03602-8822-4F98-95A4-8BB21AACEA45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P2:P5</xm:sqref>
        </x14:conditionalFormatting>
        <x14:conditionalFormatting xmlns:xm="http://schemas.microsoft.com/office/excel/2006/main">
          <x14:cfRule type="cellIs" priority="97" operator="equal" id="{5C3A683E-C065-4944-9E31-42CD6065A5B4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98" operator="equal" id="{AFD04940-12ED-4485-BD2E-B714357129BC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cellIs" priority="95" operator="equal" id="{DE1A17E1-E345-4A19-B599-4231AA7A98F3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96" operator="equal" id="{6832297C-2004-4210-BAD2-2E554A64106B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K17</xm:sqref>
        </x14:conditionalFormatting>
        <x14:conditionalFormatting xmlns:xm="http://schemas.microsoft.com/office/excel/2006/main">
          <x14:cfRule type="cellIs" priority="93" operator="equal" id="{14008A09-179A-4113-83AC-253F636E68AC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94" operator="equal" id="{4C81B1AA-48E9-48A6-AC03-E0F1F55BD972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K15</xm:sqref>
        </x14:conditionalFormatting>
        <x14:conditionalFormatting xmlns:xm="http://schemas.microsoft.com/office/excel/2006/main">
          <x14:cfRule type="cellIs" priority="91" operator="equal" id="{E5FB6437-8C8E-407F-828F-782247F6F0D1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92" operator="equal" id="{F85A59AF-39FE-4B14-B43D-55A4960CAB25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cellIs" priority="89" operator="equal" id="{C879C1C0-6749-49A6-9A6E-B3B1D4F6F50E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90" operator="equal" id="{6E5D52F4-6F4C-470E-B487-853884060F03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K4</xm:sqref>
        </x14:conditionalFormatting>
        <x14:conditionalFormatting xmlns:xm="http://schemas.microsoft.com/office/excel/2006/main">
          <x14:cfRule type="cellIs" priority="87" operator="equal" id="{7813C58E-065D-4987-A1C7-81212AA1DF53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88" operator="equal" id="{E529029F-ED53-43A1-8C38-5E19F062BA1D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K6</xm:sqref>
        </x14:conditionalFormatting>
        <x14:conditionalFormatting xmlns:xm="http://schemas.microsoft.com/office/excel/2006/main">
          <x14:cfRule type="cellIs" priority="85" operator="equal" id="{0B5981CA-D836-4A7B-A7DD-D232BCCEF964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86" operator="equal" id="{36FB120A-F757-4473-A79B-4433FC32025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83" operator="equal" id="{A1D3B839-4C93-4803-9865-C54ABE118F47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84" operator="equal" id="{738265C6-F759-45A8-AB26-501AE52D5F80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K2</xm:sqref>
        </x14:conditionalFormatting>
        <x14:conditionalFormatting xmlns:xm="http://schemas.microsoft.com/office/excel/2006/main">
          <x14:cfRule type="cellIs" priority="81" operator="equal" id="{88C6C081-1D5C-4708-820C-B4269CEB933E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82" operator="equal" id="{5A95FBDF-E92A-48EE-B6D8-D9BE33B30D83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K3</xm:sqref>
        </x14:conditionalFormatting>
        <x14:conditionalFormatting xmlns:xm="http://schemas.microsoft.com/office/excel/2006/main">
          <x14:cfRule type="cellIs" priority="79" operator="equal" id="{5EF09F9D-6501-457F-AB45-BB987E32372D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80" operator="equal" id="{1D3621FC-CFB4-405A-A8E3-CDB98E510A8C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K9</xm:sqref>
        </x14:conditionalFormatting>
        <x14:conditionalFormatting xmlns:xm="http://schemas.microsoft.com/office/excel/2006/main">
          <x14:cfRule type="cellIs" priority="77" operator="equal" id="{8F86E63F-7450-402E-AFAE-B1FEA327289F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8" operator="equal" id="{84F028D2-F18D-4100-AD07-6A270AD70A2B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P6</xm:sqref>
        </x14:conditionalFormatting>
        <x14:conditionalFormatting xmlns:xm="http://schemas.microsoft.com/office/excel/2006/main">
          <x14:cfRule type="cellIs" priority="75" operator="equal" id="{91F2D078-3525-49F7-9674-B982BE07F8AF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6" operator="equal" id="{AACC5ED6-5ADD-425F-9905-7FA89F06669C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P7</xm:sqref>
        </x14:conditionalFormatting>
        <x14:conditionalFormatting xmlns:xm="http://schemas.microsoft.com/office/excel/2006/main">
          <x14:cfRule type="cellIs" priority="73" operator="equal" id="{070084DE-3E37-47DD-8DBD-2D1F298C57A0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4" operator="equal" id="{52475D26-0523-4EFE-B6E4-AC50EE38D348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K7</xm:sqref>
        </x14:conditionalFormatting>
        <x14:conditionalFormatting xmlns:xm="http://schemas.microsoft.com/office/excel/2006/main">
          <x14:cfRule type="cellIs" priority="71" operator="equal" id="{05833E89-B2A5-42EF-8DB1-A6E2C4544F26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2" operator="equal" id="{EDE195FB-16FB-4E0D-8D2D-1844E3F0F94D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K5</xm:sqref>
        </x14:conditionalFormatting>
        <x14:conditionalFormatting xmlns:xm="http://schemas.microsoft.com/office/excel/2006/main">
          <x14:cfRule type="cellIs" priority="69" operator="equal" id="{CABB80F7-2932-49BE-97B9-64D3EAD7880F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70" operator="equal" id="{5FFB3CD8-1FF8-429C-A45F-0AFCD2E6F2E4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K12</xm:sqref>
        </x14:conditionalFormatting>
        <x14:conditionalFormatting xmlns:xm="http://schemas.microsoft.com/office/excel/2006/main">
          <x14:cfRule type="cellIs" priority="67" operator="equal" id="{F6DBD05D-2107-4722-A5A1-49776874C794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8" operator="equal" id="{6359DF51-5A93-4A69-896C-0BE98ED50E0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F24</xm:sqref>
        </x14:conditionalFormatting>
        <x14:conditionalFormatting xmlns:xm="http://schemas.microsoft.com/office/excel/2006/main">
          <x14:cfRule type="cellIs" priority="65" operator="equal" id="{A550C2C1-D4E6-4BEE-8544-6508C0890ED3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6" operator="equal" id="{40F8F441-F53C-4A6A-B3A7-E937F941C80F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K14</xm:sqref>
        </x14:conditionalFormatting>
        <x14:conditionalFormatting xmlns:xm="http://schemas.microsoft.com/office/excel/2006/main">
          <x14:cfRule type="cellIs" priority="63" operator="equal" id="{A5F04552-1615-4179-904A-F7A0C7DAB1BF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4" operator="equal" id="{E41A8728-7B4A-401A-8853-6285D2EB76D7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F26</xm:sqref>
        </x14:conditionalFormatting>
        <x14:conditionalFormatting xmlns:xm="http://schemas.microsoft.com/office/excel/2006/main">
          <x14:cfRule type="cellIs" priority="61" operator="equal" id="{3E466C13-7050-4902-B0BF-3E12BCCE23C0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2" operator="equal" id="{2BC5AC66-A9FE-4E6C-9553-9A6FDCFC95D1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K16</xm:sqref>
        </x14:conditionalFormatting>
        <x14:conditionalFormatting xmlns:xm="http://schemas.microsoft.com/office/excel/2006/main">
          <x14:cfRule type="cellIs" priority="59" operator="equal" id="{0359FDA3-1DCC-41E1-8EAC-D2D1AC89FB46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0" operator="equal" id="{DB3F8B2E-9B8C-45D1-BD0F-E1B7214ABF7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cellIs" priority="57" operator="equal" id="{D688BF17-1051-471C-826F-417951D69916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8" operator="equal" id="{6FB73579-1A58-4458-A98C-670712E0DEC1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K18</xm:sqref>
        </x14:conditionalFormatting>
        <x14:conditionalFormatting xmlns:xm="http://schemas.microsoft.com/office/excel/2006/main">
          <x14:cfRule type="cellIs" priority="55" operator="equal" id="{1BF10EFA-B9B6-4D34-AA54-32CF29229051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6" operator="equal" id="{BC085F81-C8BF-4F2D-A1C9-F7BD129B0873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F22</xm:sqref>
        </x14:conditionalFormatting>
        <x14:conditionalFormatting xmlns:xm="http://schemas.microsoft.com/office/excel/2006/main">
          <x14:cfRule type="cellIs" priority="53" operator="equal" id="{FC015256-F5AF-4802-8637-B93835E98713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4" operator="equal" id="{99067176-9C27-443E-AA20-29B00AEAA211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K29</xm:sqref>
        </x14:conditionalFormatting>
        <x14:conditionalFormatting xmlns:xm="http://schemas.microsoft.com/office/excel/2006/main">
          <x14:cfRule type="cellIs" priority="51" operator="equal" id="{08364FC1-8E34-4210-8248-2B689BCBA405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2" operator="equal" id="{4E7BD1C8-EB89-4BE0-A4FB-B2B72F7151B7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F23</xm:sqref>
        </x14:conditionalFormatting>
        <x14:conditionalFormatting xmlns:xm="http://schemas.microsoft.com/office/excel/2006/main">
          <x14:cfRule type="cellIs" priority="49" operator="equal" id="{79D2BCF8-7CD2-4544-8354-685403755D13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50" operator="equal" id="{098343D0-F429-4D66-9669-6D78094B9669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K30</xm:sqref>
        </x14:conditionalFormatting>
        <x14:conditionalFormatting xmlns:xm="http://schemas.microsoft.com/office/excel/2006/main">
          <x14:cfRule type="cellIs" priority="47" operator="equal" id="{79446A1D-F448-4D29-9E1E-3BF98873AB37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8" operator="equal" id="{E4B7D45F-B627-424F-A737-B1F033F70D45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F21</xm:sqref>
        </x14:conditionalFormatting>
        <x14:conditionalFormatting xmlns:xm="http://schemas.microsoft.com/office/excel/2006/main">
          <x14:cfRule type="cellIs" priority="45" operator="equal" id="{53985DD9-580E-4FCF-B299-6CD32234CCC9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6" operator="equal" id="{83D88242-93FC-4EC0-9A52-EBB974438200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K32</xm:sqref>
        </x14:conditionalFormatting>
        <x14:conditionalFormatting xmlns:xm="http://schemas.microsoft.com/office/excel/2006/main">
          <x14:cfRule type="cellIs" priority="43" operator="equal" id="{0EAD6C1C-30BB-4D5F-90D7-1395443020AA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4" operator="equal" id="{1FD4DA83-B287-4B28-A42F-4DFBBB05E7C0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cellIs" priority="41" operator="equal" id="{81959CE1-7A85-4AF4-AD53-EFAFFF5484CC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2" operator="equal" id="{A4C3BBDB-D7A4-4A21-9503-D9ABF222FDC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K31</xm:sqref>
        </x14:conditionalFormatting>
        <x14:conditionalFormatting xmlns:xm="http://schemas.microsoft.com/office/excel/2006/main">
          <x14:cfRule type="cellIs" priority="39" operator="equal" id="{F0C38763-83E6-4F2B-809F-7B657C971F33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0" operator="equal" id="{2F4FE2DE-DAAF-43BA-9012-8B25ABE347AC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F25</xm:sqref>
        </x14:conditionalFormatting>
        <x14:conditionalFormatting xmlns:xm="http://schemas.microsoft.com/office/excel/2006/main">
          <x14:cfRule type="cellIs" priority="37" operator="equal" id="{AC8B2813-02AF-4E59-85E3-2317122F623B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8" operator="equal" id="{B2744B29-82F6-4B10-87E8-32D2E2C32621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F29</xm:sqref>
        </x14:conditionalFormatting>
        <x14:conditionalFormatting xmlns:xm="http://schemas.microsoft.com/office/excel/2006/main">
          <x14:cfRule type="cellIs" priority="35" operator="equal" id="{C6674E16-9B07-4744-8549-B0E91B611915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6" operator="equal" id="{8D927575-18B4-4326-85E1-52B57065482F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F30</xm:sqref>
        </x14:conditionalFormatting>
        <x14:conditionalFormatting xmlns:xm="http://schemas.microsoft.com/office/excel/2006/main">
          <x14:cfRule type="cellIs" priority="33" operator="equal" id="{B31B0B22-EBC0-4E42-93D5-308F4C813B2E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4" operator="equal" id="{DC8BF439-2885-44AA-B765-63919635A3CC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F31</xm:sqref>
        </x14:conditionalFormatting>
        <x14:conditionalFormatting xmlns:xm="http://schemas.microsoft.com/office/excel/2006/main">
          <x14:cfRule type="cellIs" priority="31" operator="equal" id="{36F92F66-2C73-4640-85EC-A3ACD69139C6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2" operator="equal" id="{24A4CBC4-BFEB-44DE-AC9A-B43206961F96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F32</xm:sqref>
        </x14:conditionalFormatting>
        <x14:conditionalFormatting xmlns:xm="http://schemas.microsoft.com/office/excel/2006/main">
          <x14:cfRule type="cellIs" priority="29" operator="equal" id="{BBD0CE9A-45BB-4A1A-B117-D158656009C6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30" operator="equal" id="{DDA8EC83-D7E5-40E3-A95E-FF7808959D6F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F35</xm:sqref>
        </x14:conditionalFormatting>
        <x14:conditionalFormatting xmlns:xm="http://schemas.microsoft.com/office/excel/2006/main">
          <x14:cfRule type="cellIs" priority="27" operator="equal" id="{0031AB88-1127-4A77-9EC5-052EA4945062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8" operator="equal" id="{3ABDEB79-3943-4E2C-830B-D997137276D3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F37</xm:sqref>
        </x14:conditionalFormatting>
        <x14:conditionalFormatting xmlns:xm="http://schemas.microsoft.com/office/excel/2006/main">
          <x14:cfRule type="cellIs" priority="25" operator="equal" id="{50405732-933D-42F6-89E5-2326253FF298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6" operator="equal" id="{3A9DD720-25A1-495A-AD8F-19F3D9ADA67B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K39</xm:sqref>
        </x14:conditionalFormatting>
        <x14:conditionalFormatting xmlns:xm="http://schemas.microsoft.com/office/excel/2006/main">
          <x14:cfRule type="cellIs" priority="23" operator="equal" id="{57A951A7-5684-4274-AA0D-1EE3473F9D3F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4" operator="equal" id="{67138F5A-D70F-4F3F-A2EE-4BF0DDE485A1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cellIs" priority="21" operator="equal" id="{CCBFDBAA-B5D2-4EB1-9503-7A5571968677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2" operator="equal" id="{77AAD313-4F29-41D0-AEDE-A403A06C2AE9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K40</xm:sqref>
        </x14:conditionalFormatting>
        <x14:conditionalFormatting xmlns:xm="http://schemas.microsoft.com/office/excel/2006/main">
          <x14:cfRule type="cellIs" priority="19" operator="equal" id="{28B2A516-583A-4B91-A7DD-6DB5405B535D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0" operator="equal" id="{AA895F96-E2E0-4205-8930-6F9ECF4D23DB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ellIs" priority="17" operator="equal" id="{07042563-19DB-4603-A672-226D984A49AE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8" operator="equal" id="{1D47A714-DBF8-4FBC-B8B8-796C9A38EC6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F39</xm:sqref>
        </x14:conditionalFormatting>
        <x14:conditionalFormatting xmlns:xm="http://schemas.microsoft.com/office/excel/2006/main">
          <x14:cfRule type="cellIs" priority="15" operator="equal" id="{20164B92-869B-47D6-8DF0-41B1302BC3B0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6" operator="equal" id="{BD4E4D7F-9313-4DC4-9B36-0E88C47D152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F40</xm:sqref>
        </x14:conditionalFormatting>
        <x14:conditionalFormatting xmlns:xm="http://schemas.microsoft.com/office/excel/2006/main">
          <x14:cfRule type="cellIs" priority="13" operator="equal" id="{926F2E0B-3CE2-45E3-9B2D-B48DF3C3D917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4" operator="equal" id="{A911C3A8-5890-4E6C-8AB2-E0327DBB488E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F44</xm:sqref>
        </x14:conditionalFormatting>
        <x14:conditionalFormatting xmlns:xm="http://schemas.microsoft.com/office/excel/2006/main">
          <x14:cfRule type="cellIs" priority="11" operator="equal" id="{CC8511C7-58D7-4A7A-AE11-0BA53FB255F4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2" operator="equal" id="{96F46968-2FAB-49E2-9B5B-4F8B851BEAA0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K46</xm:sqref>
        </x14:conditionalFormatting>
        <x14:conditionalFormatting xmlns:xm="http://schemas.microsoft.com/office/excel/2006/main">
          <x14:cfRule type="cellIs" priority="9" operator="equal" id="{A677FFAD-4072-4296-92D5-935000F99E60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0" operator="equal" id="{12A9B301-86CB-4E30-99B2-F5860696C546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F43</xm:sqref>
        </x14:conditionalFormatting>
        <x14:conditionalFormatting xmlns:xm="http://schemas.microsoft.com/office/excel/2006/main">
          <x14:cfRule type="cellIs" priority="7" operator="equal" id="{80DFD038-04E4-4588-84BB-E799042F0981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8" operator="equal" id="{3F493EFD-5724-4614-88B8-EA01BCD9E3F9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K47</xm:sqref>
        </x14:conditionalFormatting>
        <x14:conditionalFormatting xmlns:xm="http://schemas.microsoft.com/office/excel/2006/main">
          <x14:cfRule type="cellIs" priority="5" operator="equal" id="{145B4E17-5FB1-4AF0-BB9C-82B9A2BC4001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" operator="equal" id="{95572628-6DCB-44B1-A625-DC7E2C9A391A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ellIs" priority="3" operator="equal" id="{D910B9D2-C741-4BA2-A95A-3B1576A92E75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4" operator="equal" id="{7AD5ED8F-ACF9-4992-A9EE-CB778D231767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ellIs" priority="1" operator="equal" id="{D3D463C7-0690-4C28-8958-70C3FCD59312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352D6E08-189D-44E4-AD8E-F6F9AF6F2BE5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K52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BI48"/>
  <sheetViews>
    <sheetView zoomScale="79" zoomScaleNormal="79" workbookViewId="0">
      <selection activeCell="U43" sqref="U43"/>
    </sheetView>
  </sheetViews>
  <sheetFormatPr defaultColWidth="8.90625" defaultRowHeight="14.5" x14ac:dyDescent="0.35"/>
  <cols>
    <col min="1" max="1" width="1.6328125" style="1" customWidth="1"/>
    <col min="2" max="2" width="27.90625" style="1" customWidth="1"/>
    <col min="3" max="3" width="3.81640625" style="90" customWidth="1"/>
    <col min="4" max="4" width="4.453125" style="1" hidden="1" customWidth="1"/>
    <col min="5" max="6" width="3" style="90" customWidth="1"/>
    <col min="7" max="7" width="1.36328125" style="90" customWidth="1"/>
    <col min="8" max="9" width="3" style="90" customWidth="1"/>
    <col min="10" max="10" width="3.81640625" style="1" customWidth="1"/>
    <col min="11" max="11" width="27.90625" style="1" customWidth="1"/>
    <col min="12" max="12" width="3.81640625" style="90" customWidth="1"/>
    <col min="13" max="13" width="4.453125" style="1" hidden="1" customWidth="1"/>
    <col min="14" max="15" width="3" style="90" customWidth="1"/>
    <col min="16" max="16" width="1.36328125" style="90" customWidth="1"/>
    <col min="17" max="18" width="3" style="90" customWidth="1"/>
    <col min="19" max="19" width="3.81640625" style="1" customWidth="1"/>
    <col min="20" max="20" width="27.90625" style="1" customWidth="1"/>
    <col min="21" max="21" width="3.81640625" style="90" customWidth="1"/>
    <col min="22" max="22" width="4.453125" style="1" hidden="1" customWidth="1"/>
    <col min="23" max="24" width="3" style="90" customWidth="1"/>
    <col min="25" max="25" width="1.36328125" style="90" customWidth="1"/>
    <col min="26" max="27" width="3" style="90" customWidth="1"/>
    <col min="28" max="28" width="3.81640625" style="1" customWidth="1"/>
    <col min="29" max="29" width="27.90625" style="1" customWidth="1"/>
    <col min="30" max="30" width="3.81640625" style="90" customWidth="1"/>
    <col min="31" max="31" width="4.453125" style="1" hidden="1" customWidth="1"/>
    <col min="32" max="33" width="3" style="90" customWidth="1"/>
    <col min="34" max="34" width="1.36328125" style="90" customWidth="1"/>
    <col min="35" max="36" width="3" style="90" customWidth="1"/>
    <col min="37" max="37" width="3" style="170" customWidth="1"/>
    <col min="38" max="39" width="16.6328125" style="1" customWidth="1"/>
    <col min="40" max="50" width="3.81640625" style="1" customWidth="1"/>
    <col min="51" max="56" width="3.90625" style="1" customWidth="1"/>
    <col min="57" max="60" width="4" style="1" customWidth="1"/>
    <col min="61" max="64" width="3.90625" style="1" customWidth="1"/>
    <col min="65" max="16384" width="8.90625" style="1"/>
  </cols>
  <sheetData>
    <row r="1" spans="2:45" ht="3.65" customHeight="1" thickBot="1" x14ac:dyDescent="0.4">
      <c r="C1" s="91"/>
      <c r="E1" s="91"/>
      <c r="F1" s="91"/>
      <c r="G1" s="91"/>
      <c r="H1" s="91"/>
      <c r="I1" s="91"/>
      <c r="L1" s="91"/>
      <c r="N1" s="91"/>
      <c r="O1" s="91"/>
      <c r="P1" s="91"/>
      <c r="Q1" s="91"/>
      <c r="R1" s="91"/>
      <c r="U1" s="91"/>
      <c r="W1" s="91"/>
      <c r="X1" s="91"/>
      <c r="Y1" s="91"/>
      <c r="Z1" s="91"/>
      <c r="AA1" s="91"/>
      <c r="AD1" s="91"/>
      <c r="AF1" s="91"/>
      <c r="AG1" s="91"/>
      <c r="AH1" s="91"/>
      <c r="AI1" s="91"/>
      <c r="AJ1" s="91"/>
    </row>
    <row r="2" spans="2:45" s="93" customFormat="1" ht="18.5" x14ac:dyDescent="0.45">
      <c r="B2" s="119" t="s">
        <v>8</v>
      </c>
      <c r="C2" s="120" t="s">
        <v>1372</v>
      </c>
      <c r="D2" s="121"/>
      <c r="E2" s="188" t="s">
        <v>5</v>
      </c>
      <c r="F2" s="188" t="s">
        <v>6</v>
      </c>
      <c r="G2" s="188"/>
      <c r="H2" s="188" t="s">
        <v>5</v>
      </c>
      <c r="I2" s="189" t="s">
        <v>6</v>
      </c>
      <c r="K2" s="132" t="s">
        <v>13</v>
      </c>
      <c r="L2" s="120" t="s">
        <v>1372</v>
      </c>
      <c r="M2" s="121"/>
      <c r="N2" s="122" t="s">
        <v>5</v>
      </c>
      <c r="O2" s="122" t="s">
        <v>6</v>
      </c>
      <c r="P2" s="122"/>
      <c r="Q2" s="122" t="s">
        <v>5</v>
      </c>
      <c r="R2" s="123" t="s">
        <v>6</v>
      </c>
      <c r="T2" s="134" t="s">
        <v>15</v>
      </c>
      <c r="U2" s="120" t="s">
        <v>1372</v>
      </c>
      <c r="V2" s="121"/>
      <c r="W2" s="122" t="s">
        <v>5</v>
      </c>
      <c r="X2" s="122" t="s">
        <v>6</v>
      </c>
      <c r="Y2" s="122"/>
      <c r="Z2" s="122" t="s">
        <v>5</v>
      </c>
      <c r="AA2" s="123" t="s">
        <v>6</v>
      </c>
      <c r="AC2" s="136" t="s">
        <v>1023</v>
      </c>
      <c r="AD2" s="120" t="s">
        <v>1372</v>
      </c>
      <c r="AE2" s="121"/>
      <c r="AF2" s="122" t="s">
        <v>5</v>
      </c>
      <c r="AG2" s="122" t="s">
        <v>6</v>
      </c>
      <c r="AH2" s="122"/>
      <c r="AI2" s="122" t="s">
        <v>5</v>
      </c>
      <c r="AJ2" s="123" t="s">
        <v>6</v>
      </c>
      <c r="AK2" s="178"/>
    </row>
    <row r="3" spans="2:45" x14ac:dyDescent="0.35">
      <c r="B3" s="272" t="str">
        <f>CONCATENATE(VLOOKUP($D3, Rankings!$A$2:$J$113, 3, FALSE), " - ", VLOOKUP($D3, Rankings!$A$2:$J$113, 4, FALSE))</f>
        <v>Outer Kanto - Cinnabar Island</v>
      </c>
      <c r="C3" s="116">
        <f>IF((VLOOKUP(D3, Rankings!$A$2:$AZ$113, 52, FALSE)), (VLOOKUP(D3, Rankings!$A$2:$AZ$113, 52, FALSE)), "")</f>
        <v>1</v>
      </c>
      <c r="D3" s="117">
        <v>13</v>
      </c>
      <c r="E3" s="190">
        <f>VLOOKUP(D3, Rankings!$A$2:$J$113, 6, FALSE)</f>
        <v>13</v>
      </c>
      <c r="F3" s="190">
        <f>VLOOKUP(D3, Rankings!$A$2:$J$113, 7, FALSE)</f>
        <v>1</v>
      </c>
      <c r="G3" s="190"/>
      <c r="H3" s="190">
        <f>VLOOKUP(D3, Rankings!$A$2:$J$113, 9, FALSE)</f>
        <v>9</v>
      </c>
      <c r="I3" s="191">
        <f>VLOOKUP(D3, Rankings!$A$2:$J$113, 10, FALSE)</f>
        <v>0</v>
      </c>
      <c r="J3" s="1" t="s">
        <v>4682</v>
      </c>
      <c r="K3" s="124" t="str">
        <f>CONCATENATE(VLOOKUP($M3, Rankings!$A$2:$J$113, 3, FALSE), " - ", VLOOKUP($M3, Rankings!$A$2:$J$113, 4, FALSE))</f>
        <v>Valour - Resort Area</v>
      </c>
      <c r="L3" s="116">
        <f>IF((VLOOKUP(M3, Rankings!$A$2:$AZ$113, 52, FALSE)), (VLOOKUP(M3, Rankings!$A$2:$AZ$113, 52, FALSE)), "")</f>
        <v>3</v>
      </c>
      <c r="M3" s="117">
        <v>42</v>
      </c>
      <c r="N3" s="118">
        <f>VLOOKUP(M3, Rankings!$A$2:$J$113, 6, FALSE)</f>
        <v>13</v>
      </c>
      <c r="O3" s="118">
        <f>VLOOKUP(M3, Rankings!$A$2:$J$113, 7, FALSE)</f>
        <v>1</v>
      </c>
      <c r="P3" s="118"/>
      <c r="Q3" s="118">
        <f>VLOOKUP(M3, Rankings!$A$2:$J$113, 9, FALSE)</f>
        <v>8</v>
      </c>
      <c r="R3" s="125">
        <f>VLOOKUP(M3, Rankings!$A$2:$J$113, 10, FALSE)</f>
        <v>1</v>
      </c>
      <c r="S3" s="1" t="s">
        <v>4682</v>
      </c>
      <c r="T3" s="272" t="str">
        <f>CONCATENATE(VLOOKUP($V3, Rankings!$A$2:$J$113, 3, FALSE), " - ", VLOOKUP($V3, Rankings!$A$2:$J$113, 4, FALSE))</f>
        <v>Central - Lumiose City</v>
      </c>
      <c r="U3" s="116">
        <f>IF((VLOOKUP(V3, Rankings!$A$2:$AZ$113, 52, FALSE)), (VLOOKUP(V3, Rankings!$A$2:$AZ$113, 52, FALSE)), "")</f>
        <v>2</v>
      </c>
      <c r="V3" s="117">
        <v>72</v>
      </c>
      <c r="W3" s="118">
        <f>VLOOKUP(V3, Rankings!$A$2:$J$113, 6, FALSE)</f>
        <v>14</v>
      </c>
      <c r="X3" s="118">
        <f>VLOOKUP(V3, Rankings!$A$2:$J$113, 7, FALSE)</f>
        <v>0</v>
      </c>
      <c r="Y3" s="118"/>
      <c r="Z3" s="118">
        <f>VLOOKUP(V3, Rankings!$A$2:$J$113, 9, FALSE)</f>
        <v>9</v>
      </c>
      <c r="AA3" s="125">
        <f>VLOOKUP(V3, Rankings!$A$2:$J$113, 10, FALSE)</f>
        <v>0</v>
      </c>
      <c r="AB3" s="1" t="s">
        <v>4682</v>
      </c>
      <c r="AC3" s="124" t="str">
        <f>CONCATENATE(VLOOKUP($AE3, Rankings!$A$2:$J$113, 3, FALSE), " - ", VLOOKUP($AE3, Rankings!$A$2:$J$113, 4, FALSE))</f>
        <v>Scotland - South Lakes</v>
      </c>
      <c r="AD3" s="116">
        <f>IF((VLOOKUP(AE3, Rankings!$A$2:$AZ$113, 52, FALSE)), (VLOOKUP(AE3, Rankings!$A$2:$AZ$113, 52, FALSE)), "")</f>
        <v>5</v>
      </c>
      <c r="AE3" s="117">
        <v>107</v>
      </c>
      <c r="AF3" s="118">
        <f>VLOOKUP(AE3, Rankings!$A$2:$J$113, 6, FALSE)</f>
        <v>13</v>
      </c>
      <c r="AG3" s="118">
        <f>VLOOKUP(AE3, Rankings!$A$2:$J$113, 7, FALSE)</f>
        <v>1</v>
      </c>
      <c r="AH3" s="118"/>
      <c r="AI3" s="118">
        <f>VLOOKUP(AE3, Rankings!$A$2:$J$113, 9, FALSE)</f>
        <v>9</v>
      </c>
      <c r="AJ3" s="125">
        <f>VLOOKUP(AE3, Rankings!$A$2:$J$113, 10, FALSE)</f>
        <v>0</v>
      </c>
      <c r="AK3" s="179"/>
      <c r="AL3" s="6"/>
      <c r="AP3" s="6"/>
      <c r="AQ3" s="6"/>
      <c r="AR3" s="6"/>
      <c r="AS3" s="6"/>
    </row>
    <row r="4" spans="2:45" x14ac:dyDescent="0.35">
      <c r="B4" s="124" t="str">
        <f>CONCATENATE(VLOOKUP($D4, Rankings!$A$2:$J$113, 3, FALSE), " - ", VLOOKUP($D4, Rankings!$A$2:$J$113, 4, FALSE))</f>
        <v>West Johto - Olivine City</v>
      </c>
      <c r="C4" s="116">
        <f>IF((VLOOKUP(D4, Rankings!$A$2:$AZ$113, 52, FALSE)), (VLOOKUP(D4, Rankings!$A$2:$AZ$113, 52, FALSE)), "")</f>
        <v>12</v>
      </c>
      <c r="D4" s="117">
        <v>4</v>
      </c>
      <c r="E4" s="190">
        <f>VLOOKUP(D4, Rankings!$A$2:$J$113, 6, FALSE)</f>
        <v>11</v>
      </c>
      <c r="F4" s="190">
        <f>VLOOKUP(D4, Rankings!$A$2:$J$113, 7, FALSE)</f>
        <v>3</v>
      </c>
      <c r="G4" s="190"/>
      <c r="H4" s="190">
        <f>VLOOKUP(D4, Rankings!$A$2:$J$113, 9, FALSE)</f>
        <v>8</v>
      </c>
      <c r="I4" s="191">
        <f>VLOOKUP(D4, Rankings!$A$2:$J$113, 10, FALSE)</f>
        <v>1</v>
      </c>
      <c r="J4" s="1" t="s">
        <v>4682</v>
      </c>
      <c r="K4" s="272" t="str">
        <f>CONCATENATE(VLOOKUP($M4, Rankings!$A$2:$J$113, 3, FALSE), " - ", VLOOKUP($M4, Rankings!$A$2:$J$113, 4, FALSE))</f>
        <v>Valour - Veilstone City</v>
      </c>
      <c r="L4" s="116">
        <f>IF((VLOOKUP(M4, Rankings!$A$2:$AZ$113, 52, FALSE)), (VLOOKUP(M4, Rankings!$A$2:$AZ$113, 52, FALSE)), "")</f>
        <v>7</v>
      </c>
      <c r="M4" s="117">
        <v>44</v>
      </c>
      <c r="N4" s="118">
        <f>VLOOKUP(M4, Rankings!$A$2:$J$113, 6, FALSE)</f>
        <v>11</v>
      </c>
      <c r="O4" s="118">
        <f>VLOOKUP(M4, Rankings!$A$2:$J$113, 7, FALSE)</f>
        <v>3</v>
      </c>
      <c r="P4" s="118"/>
      <c r="Q4" s="118">
        <f>VLOOKUP(M4, Rankings!$A$2:$J$113, 9, FALSE)</f>
        <v>8</v>
      </c>
      <c r="R4" s="125">
        <f>VLOOKUP(M4, Rankings!$A$2:$J$113, 10, FALSE)</f>
        <v>1</v>
      </c>
      <c r="S4" s="1" t="s">
        <v>4682</v>
      </c>
      <c r="T4" s="124" t="str">
        <f>CONCATENATE(VLOOKUP($V4, Rankings!$A$2:$J$113, 3, FALSE), " - ", VLOOKUP($V4, Rankings!$A$2:$J$113, 4, FALSE))</f>
        <v>South - Vaniville Town</v>
      </c>
      <c r="U4" s="116">
        <f>IF((VLOOKUP(V4, Rankings!$A$2:$AZ$113, 52, FALSE)), (VLOOKUP(V4, Rankings!$A$2:$AZ$113, 52, FALSE)), "")</f>
        <v>8</v>
      </c>
      <c r="V4" s="117">
        <v>80</v>
      </c>
      <c r="W4" s="118">
        <f>VLOOKUP(V4, Rankings!$A$2:$J$113, 6, FALSE)</f>
        <v>10</v>
      </c>
      <c r="X4" s="118">
        <f>VLOOKUP(V4, Rankings!$A$2:$J$113, 7, FALSE)</f>
        <v>4</v>
      </c>
      <c r="Y4" s="118"/>
      <c r="Z4" s="118">
        <f>VLOOKUP(V4, Rankings!$A$2:$J$113, 9, FALSE)</f>
        <v>8</v>
      </c>
      <c r="AA4" s="125">
        <f>VLOOKUP(V4, Rankings!$A$2:$J$113, 10, FALSE)</f>
        <v>1</v>
      </c>
      <c r="AB4" s="1" t="s">
        <v>4682</v>
      </c>
      <c r="AC4" s="124" t="str">
        <f>CONCATENATE(VLOOKUP($AE4, Rankings!$A$2:$J$113, 3, FALSE), " - ", VLOOKUP($AE4, Rankings!$A$2:$J$113, 4, FALSE))</f>
        <v>South Wild - Hulbury</v>
      </c>
      <c r="AD4" s="116">
        <f>IF((VLOOKUP(AE4, Rankings!$A$2:$AZ$113, 52, FALSE)), (VLOOKUP(AE4, Rankings!$A$2:$AZ$113, 52, FALSE)), "")</f>
        <v>20</v>
      </c>
      <c r="AE4" s="117">
        <v>109</v>
      </c>
      <c r="AF4" s="118">
        <f>VLOOKUP(AE4, Rankings!$A$2:$J$113, 6, FALSE)</f>
        <v>10</v>
      </c>
      <c r="AG4" s="118">
        <f>VLOOKUP(AE4, Rankings!$A$2:$J$113, 7, FALSE)</f>
        <v>4</v>
      </c>
      <c r="AH4" s="118"/>
      <c r="AI4" s="118">
        <f>VLOOKUP(AE4, Rankings!$A$2:$J$113, 9, FALSE)</f>
        <v>8</v>
      </c>
      <c r="AJ4" s="125">
        <f>VLOOKUP(AE4, Rankings!$A$2:$J$113, 10, FALSE)</f>
        <v>1</v>
      </c>
      <c r="AK4" s="179"/>
      <c r="AL4" s="1" t="s">
        <v>5143</v>
      </c>
      <c r="AM4" s="1" t="s">
        <v>5144</v>
      </c>
    </row>
    <row r="5" spans="2:45" x14ac:dyDescent="0.35">
      <c r="B5" s="124" t="str">
        <f>CONCATENATE(VLOOKUP($D5, Rankings!$A$2:$J$113, 3, FALSE), " - ", VLOOKUP($D5, Rankings!$A$2:$J$113, 4, FALSE))</f>
        <v>East Johto - Violet City</v>
      </c>
      <c r="C5" s="116">
        <f>IF((VLOOKUP(D5, Rankings!$A$2:$AZ$113, 52, FALSE)), (VLOOKUP(D5, Rankings!$A$2:$AZ$113, 52, FALSE)), "")</f>
        <v>15</v>
      </c>
      <c r="D5" s="117">
        <v>8</v>
      </c>
      <c r="E5" s="190">
        <f>VLOOKUP(D5, Rankings!$A$2:$J$113, 6, FALSE)</f>
        <v>10</v>
      </c>
      <c r="F5" s="190">
        <f>VLOOKUP(D5, Rankings!$A$2:$J$113, 7, FALSE)</f>
        <v>3</v>
      </c>
      <c r="G5" s="190"/>
      <c r="H5" s="190">
        <f>VLOOKUP(D5, Rankings!$A$2:$J$113, 9, FALSE)</f>
        <v>7</v>
      </c>
      <c r="I5" s="191">
        <f>VLOOKUP(D5, Rankings!$A$2:$J$113, 10, FALSE)</f>
        <v>2</v>
      </c>
      <c r="J5" s="1" t="s">
        <v>4682</v>
      </c>
      <c r="K5" s="124" t="str">
        <f>CONCATENATE(VLOOKUP($M5, Rankings!$A$2:$J$113, 3, FALSE), " - ", VLOOKUP($M5, Rankings!$A$2:$J$113, 4, FALSE))</f>
        <v>Marsh - Celestic Town</v>
      </c>
      <c r="L5" s="116">
        <f>IF((VLOOKUP(M5, Rankings!$A$2:$AZ$113, 52, FALSE)), (VLOOKUP(M5, Rankings!$A$2:$AZ$113, 52, FALSE)), "")</f>
        <v>24</v>
      </c>
      <c r="M5" s="117">
        <v>45</v>
      </c>
      <c r="N5" s="118">
        <f>VLOOKUP(M5, Rankings!$A$2:$J$113, 6, FALSE)</f>
        <v>10</v>
      </c>
      <c r="O5" s="118">
        <f>VLOOKUP(M5, Rankings!$A$2:$J$113, 7, FALSE)</f>
        <v>3</v>
      </c>
      <c r="P5" s="118"/>
      <c r="Q5" s="118">
        <f>VLOOKUP(M5, Rankings!$A$2:$J$113, 9, FALSE)</f>
        <v>7</v>
      </c>
      <c r="R5" s="125">
        <f>VLOOKUP(M5, Rankings!$A$2:$J$113, 10, FALSE)</f>
        <v>2</v>
      </c>
      <c r="S5" s="1" t="s">
        <v>4682</v>
      </c>
      <c r="T5" s="124" t="str">
        <f>CONCATENATE(VLOOKUP($V5, Rankings!$A$2:$J$113, 3, FALSE), " - ", VLOOKUP($V5, Rankings!$A$2:$J$113, 4, FALSE))</f>
        <v>Central - Laverre City</v>
      </c>
      <c r="U5" s="116">
        <f>IF((VLOOKUP(V5, Rankings!$A$2:$AZ$113, 52, FALSE)), (VLOOKUP(V5, Rankings!$A$2:$AZ$113, 52, FALSE)), "")</f>
        <v>27</v>
      </c>
      <c r="V5" s="117">
        <v>71</v>
      </c>
      <c r="W5" s="118">
        <f>VLOOKUP(V5, Rankings!$A$2:$J$113, 6, FALSE)</f>
        <v>8</v>
      </c>
      <c r="X5" s="118">
        <f>VLOOKUP(V5, Rankings!$A$2:$J$113, 7, FALSE)</f>
        <v>5</v>
      </c>
      <c r="Y5" s="118"/>
      <c r="Z5" s="118">
        <f>VLOOKUP(V5, Rankings!$A$2:$J$113, 9, FALSE)</f>
        <v>7</v>
      </c>
      <c r="AA5" s="125">
        <f>VLOOKUP(V5, Rankings!$A$2:$J$113, 10, FALSE)</f>
        <v>2</v>
      </c>
      <c r="AB5" s="1" t="s">
        <v>4682</v>
      </c>
      <c r="AC5" s="124" t="str">
        <f>CONCATENATE(VLOOKUP($AE5, Rankings!$A$2:$J$113, 3, FALSE), " - ", VLOOKUP($AE5, Rankings!$A$2:$J$113, 4, FALSE))</f>
        <v>London - Wyndon North</v>
      </c>
      <c r="AD5" s="116">
        <f>IF((VLOOKUP(AE5, Rankings!$A$2:$AZ$113, 52, FALSE)), (VLOOKUP(AE5, Rankings!$A$2:$AZ$113, 52, FALSE)), "")</f>
        <v>36</v>
      </c>
      <c r="AE5" s="117">
        <v>99</v>
      </c>
      <c r="AF5" s="118">
        <f>VLOOKUP(AE5, Rankings!$A$2:$J$113, 6, FALSE)</f>
        <v>10</v>
      </c>
      <c r="AG5" s="118">
        <f>VLOOKUP(AE5, Rankings!$A$2:$J$113, 7, FALSE)</f>
        <v>3</v>
      </c>
      <c r="AH5" s="118"/>
      <c r="AI5" s="118">
        <f>VLOOKUP(AE5, Rankings!$A$2:$J$113, 9, FALSE)</f>
        <v>7</v>
      </c>
      <c r="AJ5" s="125">
        <f>VLOOKUP(AE5, Rankings!$A$2:$J$113, 10, FALSE)</f>
        <v>2</v>
      </c>
      <c r="AK5" s="179"/>
      <c r="AL5" s="181" t="s">
        <v>87</v>
      </c>
      <c r="AM5" s="21" t="s">
        <v>119</v>
      </c>
    </row>
    <row r="6" spans="2:45" x14ac:dyDescent="0.35">
      <c r="B6" s="124" t="str">
        <f>CONCATENATE(VLOOKUP($D6, Rankings!$A$2:$J$113, 3, FALSE), " - ", VLOOKUP($D6, Rankings!$A$2:$J$113, 4, FALSE))</f>
        <v>Outer Kanto - Fuchsia City</v>
      </c>
      <c r="C6" s="116">
        <f>IF((VLOOKUP(D6, Rankings!$A$2:$AZ$113, 52, FALSE)), (VLOOKUP(D6, Rankings!$A$2:$AZ$113, 52, FALSE)), "")</f>
        <v>30</v>
      </c>
      <c r="D6" s="117">
        <v>14</v>
      </c>
      <c r="E6" s="190">
        <f>VLOOKUP(D6, Rankings!$A$2:$J$113, 6, FALSE)</f>
        <v>8</v>
      </c>
      <c r="F6" s="190">
        <f>VLOOKUP(D6, Rankings!$A$2:$J$113, 7, FALSE)</f>
        <v>5</v>
      </c>
      <c r="G6" s="190"/>
      <c r="H6" s="190">
        <f>VLOOKUP(D6, Rankings!$A$2:$J$113, 9, FALSE)</f>
        <v>7</v>
      </c>
      <c r="I6" s="191">
        <f>VLOOKUP(D6, Rankings!$A$2:$J$113, 10, FALSE)</f>
        <v>2</v>
      </c>
      <c r="J6" s="237" t="s">
        <v>4683</v>
      </c>
      <c r="K6" s="124" t="str">
        <f>CONCATENATE(VLOOKUP($M6, Rankings!$A$2:$J$113, 3, FALSE), " - ", VLOOKUP($M6, Rankings!$A$2:$J$113, 4, FALSE))</f>
        <v>Coronet - Floaroma City</v>
      </c>
      <c r="L6" s="116">
        <f>IF((VLOOKUP(M6, Rankings!$A$2:$AZ$113, 52, FALSE)), (VLOOKUP(M6, Rankings!$A$2:$AZ$113, 52, FALSE)), "")</f>
        <v>31</v>
      </c>
      <c r="M6" s="117">
        <v>38</v>
      </c>
      <c r="N6" s="118">
        <f>VLOOKUP(M6, Rankings!$A$2:$J$113, 6, FALSE)</f>
        <v>8</v>
      </c>
      <c r="O6" s="118">
        <f>VLOOKUP(M6, Rankings!$A$2:$J$113, 7, FALSE)</f>
        <v>5</v>
      </c>
      <c r="P6" s="118"/>
      <c r="Q6" s="118">
        <f>VLOOKUP(M6, Rankings!$A$2:$J$113, 9, FALSE)</f>
        <v>7</v>
      </c>
      <c r="R6" s="125">
        <f>VLOOKUP(M6, Rankings!$A$2:$J$113, 10, FALSE)</f>
        <v>2</v>
      </c>
      <c r="S6" s="237" t="s">
        <v>4683</v>
      </c>
      <c r="T6" s="124" t="str">
        <f>CONCATENATE(VLOOKUP($V6, Rankings!$A$2:$J$113, 3, FALSE), " - ", VLOOKUP($V6, Rankings!$A$2:$J$113, 4, FALSE))</f>
        <v>Coastal - Geosenge Town</v>
      </c>
      <c r="U6" s="116">
        <f>IF((VLOOKUP(V6, Rankings!$A$2:$AZ$113, 52, FALSE)), (VLOOKUP(V6, Rankings!$A$2:$AZ$113, 52, FALSE)), "")</f>
        <v>32</v>
      </c>
      <c r="V6" s="117">
        <v>67</v>
      </c>
      <c r="W6" s="118">
        <f>VLOOKUP(V6, Rankings!$A$2:$J$113, 6, FALSE)</f>
        <v>8</v>
      </c>
      <c r="X6" s="118">
        <f>VLOOKUP(V6, Rankings!$A$2:$J$113, 7, FALSE)</f>
        <v>5</v>
      </c>
      <c r="Y6" s="118"/>
      <c r="Z6" s="118">
        <f>VLOOKUP(V6, Rankings!$A$2:$J$113, 9, FALSE)</f>
        <v>7</v>
      </c>
      <c r="AA6" s="125">
        <f>VLOOKUP(V6, Rankings!$A$2:$J$113, 10, FALSE)</f>
        <v>2</v>
      </c>
      <c r="AB6" s="237" t="s">
        <v>4683</v>
      </c>
      <c r="AC6" s="124" t="str">
        <f>CONCATENATE(VLOOKUP($AE6, Rankings!$A$2:$J$113, 3, FALSE), " - ", VLOOKUP($AE6, Rankings!$A$2:$J$113, 4, FALSE))</f>
        <v>North Wild - Hammerlocke</v>
      </c>
      <c r="AD6" s="116">
        <f>IF((VLOOKUP(AE6, Rankings!$A$2:$AZ$113, 52, FALSE)), (VLOOKUP(AE6, Rankings!$A$2:$AZ$113, 52, FALSE)), "")</f>
        <v>33</v>
      </c>
      <c r="AE6" s="117">
        <v>103</v>
      </c>
      <c r="AF6" s="118">
        <f>VLOOKUP(AE6, Rankings!$A$2:$J$113, 6, FALSE)</f>
        <v>9</v>
      </c>
      <c r="AG6" s="118">
        <f>VLOOKUP(AE6, Rankings!$A$2:$J$113, 7, FALSE)</f>
        <v>4</v>
      </c>
      <c r="AH6" s="118"/>
      <c r="AI6" s="118">
        <f>VLOOKUP(AE6, Rankings!$A$2:$J$113, 9, FALSE)</f>
        <v>7</v>
      </c>
      <c r="AJ6" s="125">
        <f>VLOOKUP(AE6, Rankings!$A$2:$J$113, 10, FALSE)</f>
        <v>2</v>
      </c>
      <c r="AK6" s="179"/>
      <c r="AL6" s="182" t="s">
        <v>115</v>
      </c>
      <c r="AM6" s="19" t="s">
        <v>36</v>
      </c>
    </row>
    <row r="7" spans="2:45" x14ac:dyDescent="0.35">
      <c r="B7" s="124" t="str">
        <f>CONCATENATE(VLOOKUP($D7, Rankings!$A$2:$J$113, 3, FALSE), " - ", VLOOKUP($D7, Rankings!$A$2:$J$113, 4, FALSE))</f>
        <v>West Johto - Cianwood City</v>
      </c>
      <c r="C7" s="116">
        <f>IF((VLOOKUP(D7, Rankings!$A$2:$AZ$113, 52, FALSE)), (VLOOKUP(D7, Rankings!$A$2:$AZ$113, 52, FALSE)), "")</f>
        <v>14</v>
      </c>
      <c r="D7" s="117">
        <v>1</v>
      </c>
      <c r="E7" s="190">
        <f>VLOOKUP(D7, Rankings!$A$2:$J$113, 6, FALSE)</f>
        <v>10</v>
      </c>
      <c r="F7" s="190">
        <f>VLOOKUP(D7, Rankings!$A$2:$J$113, 7, FALSE)</f>
        <v>3</v>
      </c>
      <c r="G7" s="190"/>
      <c r="H7" s="190">
        <f>VLOOKUP(D7, Rankings!$A$2:$J$113, 9, FALSE)</f>
        <v>6</v>
      </c>
      <c r="I7" s="191">
        <f>VLOOKUP(D7, Rankings!$A$2:$J$113, 10, FALSE)</f>
        <v>3</v>
      </c>
      <c r="J7" s="237" t="s">
        <v>4683</v>
      </c>
      <c r="K7" s="124" t="str">
        <f>CONCATENATE(VLOOKUP($M7, Rankings!$A$2:$J$113, 3, FALSE), " - ", VLOOKUP($M7, Rankings!$A$2:$J$113, 4, FALSE))</f>
        <v>Coronet - Snowpoint City</v>
      </c>
      <c r="L7" s="116">
        <f>IF((VLOOKUP(M7, Rankings!$A$2:$AZ$113, 52, FALSE)), (VLOOKUP(M7, Rankings!$A$2:$AZ$113, 52, FALSE)), "")</f>
        <v>22</v>
      </c>
      <c r="M7" s="117">
        <v>40</v>
      </c>
      <c r="N7" s="118">
        <f>VLOOKUP(M7, Rankings!$A$2:$J$113, 6, FALSE)</f>
        <v>9</v>
      </c>
      <c r="O7" s="118">
        <f>VLOOKUP(M7, Rankings!$A$2:$J$113, 7, FALSE)</f>
        <v>4</v>
      </c>
      <c r="P7" s="118"/>
      <c r="Q7" s="118">
        <f>VLOOKUP(M7, Rankings!$A$2:$J$113, 9, FALSE)</f>
        <v>6</v>
      </c>
      <c r="R7" s="125">
        <f>VLOOKUP(M7, Rankings!$A$2:$J$113, 10, FALSE)</f>
        <v>3</v>
      </c>
      <c r="S7" s="237" t="s">
        <v>4683</v>
      </c>
      <c r="T7" s="124" t="str">
        <f>CONCATENATE(VLOOKUP($V7, Rankings!$A$2:$J$113, 3, FALSE), " - ", VLOOKUP($V7, Rankings!$A$2:$J$113, 4, FALSE))</f>
        <v>Mountain - Anistar City</v>
      </c>
      <c r="U7" s="116">
        <f>IF((VLOOKUP(V7, Rankings!$A$2:$AZ$113, 52, FALSE)), (VLOOKUP(V7, Rankings!$A$2:$AZ$113, 52, FALSE)), "")</f>
        <v>46</v>
      </c>
      <c r="V7" s="117">
        <v>73</v>
      </c>
      <c r="W7" s="118">
        <f>VLOOKUP(V7, Rankings!$A$2:$J$113, 6, FALSE)</f>
        <v>9</v>
      </c>
      <c r="X7" s="118">
        <f>VLOOKUP(V7, Rankings!$A$2:$J$113, 7, FALSE)</f>
        <v>4</v>
      </c>
      <c r="Y7" s="118"/>
      <c r="Z7" s="118">
        <f>VLOOKUP(V7, Rankings!$A$2:$J$113, 9, FALSE)</f>
        <v>6</v>
      </c>
      <c r="AA7" s="125">
        <f>VLOOKUP(V7, Rankings!$A$2:$J$113, 10, FALSE)</f>
        <v>3</v>
      </c>
      <c r="AB7" s="237" t="s">
        <v>4683</v>
      </c>
      <c r="AC7" s="124" t="str">
        <f>CONCATENATE(VLOOKUP($AE7, Rankings!$A$2:$J$113, 3, FALSE), " - ", VLOOKUP($AE7, Rankings!$A$2:$J$113, 4, FALSE))</f>
        <v>London - Wyndon South</v>
      </c>
      <c r="AD7" s="116">
        <f>IF((VLOOKUP(AE7, Rankings!$A$2:$AZ$113, 52, FALSE)), (VLOOKUP(AE7, Rankings!$A$2:$AZ$113, 52, FALSE)), "")</f>
        <v>37</v>
      </c>
      <c r="AE7" s="117">
        <v>100</v>
      </c>
      <c r="AF7" s="118">
        <f>VLOOKUP(AE7, Rankings!$A$2:$J$113, 6, FALSE)</f>
        <v>9</v>
      </c>
      <c r="AG7" s="118">
        <f>VLOOKUP(AE7, Rankings!$A$2:$J$113, 7, FALSE)</f>
        <v>4</v>
      </c>
      <c r="AH7" s="118"/>
      <c r="AI7" s="118">
        <f>VLOOKUP(AE7, Rankings!$A$2:$J$113, 9, FALSE)</f>
        <v>7</v>
      </c>
      <c r="AJ7" s="125">
        <f>VLOOKUP(AE7, Rankings!$A$2:$J$113, 10, FALSE)</f>
        <v>2</v>
      </c>
      <c r="AK7" s="179"/>
      <c r="AL7" s="183" t="s">
        <v>118</v>
      </c>
      <c r="AM7" s="17" t="s">
        <v>145</v>
      </c>
    </row>
    <row r="8" spans="2:45" x14ac:dyDescent="0.35">
      <c r="B8" s="124" t="str">
        <f>CONCATENATE(VLOOKUP($D8, Rankings!$A$2:$J$113, 3, FALSE), " - ", VLOOKUP($D8, Rankings!$A$2:$J$113, 4, FALSE))</f>
        <v>Central Kanto - Vermilion City</v>
      </c>
      <c r="C8" s="116">
        <f>IF((VLOOKUP(D8, Rankings!$A$2:$AZ$113, 52, FALSE)), (VLOOKUP(D8, Rankings!$A$2:$AZ$113, 52, FALSE)), "")</f>
        <v>16</v>
      </c>
      <c r="D8" s="117">
        <v>12</v>
      </c>
      <c r="E8" s="190">
        <f>VLOOKUP(D8, Rankings!$A$2:$J$113, 6, FALSE)</f>
        <v>10</v>
      </c>
      <c r="F8" s="190">
        <f>VLOOKUP(D8, Rankings!$A$2:$J$113, 7, FALSE)</f>
        <v>3</v>
      </c>
      <c r="G8" s="190"/>
      <c r="H8" s="190">
        <f>VLOOKUP(D8, Rankings!$A$2:$J$113, 9, FALSE)</f>
        <v>6</v>
      </c>
      <c r="I8" s="191">
        <f>VLOOKUP(D8, Rankings!$A$2:$J$113, 10, FALSE)</f>
        <v>3</v>
      </c>
      <c r="J8" s="237" t="s">
        <v>4683</v>
      </c>
      <c r="K8" s="124" t="str">
        <f>CONCATENATE(VLOOKUP($M8, Rankings!$A$2:$J$113, 3, FALSE), " - ", VLOOKUP($M8, Rankings!$A$2:$J$113, 4, FALSE))</f>
        <v>Marsh - Solaceon Town</v>
      </c>
      <c r="L8" s="116">
        <f>IF((VLOOKUP(M8, Rankings!$A$2:$AZ$113, 52, FALSE)), (VLOOKUP(M8, Rankings!$A$2:$AZ$113, 52, FALSE)), "")</f>
        <v>28</v>
      </c>
      <c r="M8" s="117">
        <v>48</v>
      </c>
      <c r="N8" s="118">
        <f>VLOOKUP(M8, Rankings!$A$2:$J$113, 6, FALSE)</f>
        <v>8</v>
      </c>
      <c r="O8" s="118">
        <f>VLOOKUP(M8, Rankings!$A$2:$J$113, 7, FALSE)</f>
        <v>5</v>
      </c>
      <c r="P8" s="118"/>
      <c r="Q8" s="118">
        <f>VLOOKUP(M8, Rankings!$A$2:$J$113, 9, FALSE)</f>
        <v>6</v>
      </c>
      <c r="R8" s="125">
        <f>VLOOKUP(M8, Rankings!$A$2:$J$113, 10, FALSE)</f>
        <v>3</v>
      </c>
      <c r="S8" s="237" t="s">
        <v>4683</v>
      </c>
      <c r="T8" s="124" t="str">
        <f>CONCATENATE(VLOOKUP($V8, Rankings!$A$2:$J$113, 3, FALSE), " - ", VLOOKUP($V8, Rankings!$A$2:$J$113, 4, FALSE))</f>
        <v>Coastal - Cyllage City</v>
      </c>
      <c r="U8" s="116">
        <f>IF((VLOOKUP(V8, Rankings!$A$2:$AZ$113, 52, FALSE)), (VLOOKUP(V8, Rankings!$A$2:$AZ$113, 52, FALSE)), "")</f>
        <v>42</v>
      </c>
      <c r="V8" s="117">
        <v>66</v>
      </c>
      <c r="W8" s="118">
        <f>VLOOKUP(V8, Rankings!$A$2:$J$113, 6, FALSE)</f>
        <v>8</v>
      </c>
      <c r="X8" s="118">
        <f>VLOOKUP(V8, Rankings!$A$2:$J$113, 7, FALSE)</f>
        <v>5</v>
      </c>
      <c r="Y8" s="118"/>
      <c r="Z8" s="118">
        <f>VLOOKUP(V8, Rankings!$A$2:$J$113, 9, FALSE)</f>
        <v>5</v>
      </c>
      <c r="AA8" s="125">
        <f>VLOOKUP(V8, Rankings!$A$2:$J$113, 10, FALSE)</f>
        <v>4</v>
      </c>
      <c r="AB8" s="237" t="s">
        <v>4683</v>
      </c>
      <c r="AC8" s="272" t="str">
        <f>CONCATENATE(VLOOKUP($AE8, Rankings!$A$2:$J$113, 3, FALSE), " - ", VLOOKUP($AE8, Rankings!$A$2:$J$113, 4, FALSE))</f>
        <v>Scotland - Postwick</v>
      </c>
      <c r="AD8" s="116">
        <f>IF((VLOOKUP(AE8, Rankings!$A$2:$AZ$113, 52, FALSE)), (VLOOKUP(AE8, Rankings!$A$2:$AZ$113, 52, FALSE)), "")</f>
        <v>19</v>
      </c>
      <c r="AE8" s="117">
        <v>106</v>
      </c>
      <c r="AF8" s="118">
        <f>VLOOKUP(AE8, Rankings!$A$2:$J$113, 6, FALSE)</f>
        <v>10</v>
      </c>
      <c r="AG8" s="118">
        <f>VLOOKUP(AE8, Rankings!$A$2:$J$113, 7, FALSE)</f>
        <v>3</v>
      </c>
      <c r="AH8" s="118"/>
      <c r="AI8" s="118">
        <f>VLOOKUP(AE8, Rankings!$A$2:$J$113, 9, FALSE)</f>
        <v>6</v>
      </c>
      <c r="AJ8" s="125">
        <f>VLOOKUP(AE8, Rankings!$A$2:$J$113, 10, FALSE)</f>
        <v>3</v>
      </c>
      <c r="AK8" s="179"/>
      <c r="AL8" s="184" t="s">
        <v>41</v>
      </c>
      <c r="AM8" s="394" t="s">
        <v>60</v>
      </c>
    </row>
    <row r="9" spans="2:45" x14ac:dyDescent="0.35">
      <c r="B9" s="124" t="str">
        <f>CONCATENATE(VLOOKUP($D9, Rankings!$A$2:$J$113, 3, FALSE), " - ", VLOOKUP($D9, Rankings!$A$2:$J$113, 4, FALSE))</f>
        <v>West Johto - Goldenrod City</v>
      </c>
      <c r="C9" s="116">
        <f>IF((VLOOKUP(D9, Rankings!$A$2:$AZ$113, 52, FALSE)), (VLOOKUP(D9, Rankings!$A$2:$AZ$113, 52, FALSE)), "")</f>
        <v>45</v>
      </c>
      <c r="D9" s="117">
        <v>3</v>
      </c>
      <c r="E9" s="190">
        <f>VLOOKUP(D9, Rankings!$A$2:$J$113, 6, FALSE)</f>
        <v>7</v>
      </c>
      <c r="F9" s="190">
        <f>VLOOKUP(D9, Rankings!$A$2:$J$113, 7, FALSE)</f>
        <v>6</v>
      </c>
      <c r="G9" s="190"/>
      <c r="H9" s="190">
        <f>VLOOKUP(D9, Rankings!$A$2:$J$113, 9, FALSE)</f>
        <v>5</v>
      </c>
      <c r="I9" s="191">
        <f>VLOOKUP(D9, Rankings!$A$2:$J$113, 10, FALSE)</f>
        <v>4</v>
      </c>
      <c r="K9" s="124" t="str">
        <f>CONCATENATE(VLOOKUP($M9, Rankings!$A$2:$J$113, 3, FALSE), " - ", VLOOKUP($M9, Rankings!$A$2:$J$113, 4, FALSE))</f>
        <v>Coronet - Eterna City</v>
      </c>
      <c r="L9" s="116">
        <f>IF((VLOOKUP(M9, Rankings!$A$2:$AZ$113, 52, FALSE)), (VLOOKUP(M9, Rankings!$A$2:$AZ$113, 52, FALSE)), "")</f>
        <v>41</v>
      </c>
      <c r="M9" s="117">
        <v>37</v>
      </c>
      <c r="N9" s="118">
        <f>VLOOKUP(M9, Rankings!$A$2:$J$113, 6, FALSE)</f>
        <v>8</v>
      </c>
      <c r="O9" s="118">
        <f>VLOOKUP(M9, Rankings!$A$2:$J$113, 7, FALSE)</f>
        <v>5</v>
      </c>
      <c r="P9" s="118"/>
      <c r="Q9" s="118">
        <f>VLOOKUP(M9, Rankings!$A$2:$J$113, 9, FALSE)</f>
        <v>5</v>
      </c>
      <c r="R9" s="125">
        <f>VLOOKUP(M9, Rankings!$A$2:$J$113, 10, FALSE)</f>
        <v>4</v>
      </c>
      <c r="T9" s="124" t="str">
        <f>CONCATENATE(VLOOKUP($V9, Rankings!$A$2:$J$113, 3, FALSE), " - ", VLOOKUP($V9, Rankings!$A$2:$J$113, 4, FALSE))</f>
        <v>Mountain - Snowbelle City</v>
      </c>
      <c r="U9" s="116">
        <f>IF((VLOOKUP(V9, Rankings!$A$2:$AZ$113, 52, FALSE)), (VLOOKUP(V9, Rankings!$A$2:$AZ$113, 52, FALSE)), "")</f>
        <v>62</v>
      </c>
      <c r="V9" s="117">
        <v>76</v>
      </c>
      <c r="W9" s="118">
        <f>VLOOKUP(V9, Rankings!$A$2:$J$113, 6, FALSE)</f>
        <v>7</v>
      </c>
      <c r="X9" s="118">
        <f>VLOOKUP(V9, Rankings!$A$2:$J$113, 7, FALSE)</f>
        <v>6</v>
      </c>
      <c r="Y9" s="118"/>
      <c r="Z9" s="118">
        <f>VLOOKUP(V9, Rankings!$A$2:$J$113, 9, FALSE)</f>
        <v>5</v>
      </c>
      <c r="AA9" s="125">
        <f>VLOOKUP(V9, Rankings!$A$2:$J$113, 10, FALSE)</f>
        <v>4</v>
      </c>
      <c r="AC9" s="124" t="str">
        <f>CONCATENATE(VLOOKUP($AE9, Rankings!$A$2:$J$113, 3, FALSE), " - ", VLOOKUP($AE9, Rankings!$A$2:$J$113, 4, FALSE))</f>
        <v>Scotland - Wedgehurst</v>
      </c>
      <c r="AD9" s="116">
        <f>IF((VLOOKUP(AE9, Rankings!$A$2:$AZ$113, 52, FALSE)), (VLOOKUP(AE9, Rankings!$A$2:$AZ$113, 52, FALSE)), "")</f>
        <v>34</v>
      </c>
      <c r="AE9" s="117">
        <v>108</v>
      </c>
      <c r="AF9" s="118">
        <f>VLOOKUP(AE9, Rankings!$A$2:$J$113, 6, FALSE)</f>
        <v>9</v>
      </c>
      <c r="AG9" s="118">
        <f>VLOOKUP(AE9, Rankings!$A$2:$J$113, 7, FALSE)</f>
        <v>4</v>
      </c>
      <c r="AH9" s="118"/>
      <c r="AI9" s="118">
        <f>VLOOKUP(AE9, Rankings!$A$2:$J$113, 9, FALSE)</f>
        <v>6</v>
      </c>
      <c r="AJ9" s="125">
        <f>VLOOKUP(AE9, Rankings!$A$2:$J$113, 10, FALSE)</f>
        <v>3</v>
      </c>
      <c r="AK9" s="179"/>
      <c r="AL9" s="185" t="s">
        <v>26</v>
      </c>
      <c r="AM9" s="395" t="s">
        <v>77</v>
      </c>
    </row>
    <row r="10" spans="2:45" x14ac:dyDescent="0.35">
      <c r="B10" s="124" t="str">
        <f>CONCATENATE(VLOOKUP($D10, Rankings!$A$2:$J$113, 3, FALSE), " - ", VLOOKUP($D10, Rankings!$A$2:$J$113, 4, FALSE))</f>
        <v>East Johto - Azalea Town</v>
      </c>
      <c r="C10" s="116">
        <f>IF((VLOOKUP(D10, Rankings!$A$2:$AZ$113, 52, FALSE)), (VLOOKUP(D10, Rankings!$A$2:$AZ$113, 52, FALSE)), "")</f>
        <v>82</v>
      </c>
      <c r="D10" s="117">
        <v>5</v>
      </c>
      <c r="E10" s="190">
        <f>VLOOKUP(D10, Rankings!$A$2:$J$113, 6, FALSE)</f>
        <v>5</v>
      </c>
      <c r="F10" s="190">
        <f>VLOOKUP(D10, Rankings!$A$2:$J$113, 7, FALSE)</f>
        <v>8</v>
      </c>
      <c r="G10" s="190"/>
      <c r="H10" s="190">
        <f>VLOOKUP(D10, Rankings!$A$2:$J$113, 9, FALSE)</f>
        <v>5</v>
      </c>
      <c r="I10" s="191">
        <f>VLOOKUP(D10, Rankings!$A$2:$J$113, 10, FALSE)</f>
        <v>4</v>
      </c>
      <c r="K10" s="124" t="str">
        <f>CONCATENATE(VLOOKUP($M10, Rankings!$A$2:$J$113, 3, FALSE), " - ", VLOOKUP($M10, Rankings!$A$2:$J$113, 4, FALSE))</f>
        <v>Verity - Sandgem Town</v>
      </c>
      <c r="L10" s="116">
        <f>IF((VLOOKUP(M10, Rankings!$A$2:$AZ$113, 52, FALSE)), (VLOOKUP(M10, Rankings!$A$2:$AZ$113, 52, FALSE)), "")</f>
        <v>61</v>
      </c>
      <c r="M10" s="117">
        <v>35</v>
      </c>
      <c r="N10" s="118">
        <f>VLOOKUP(M10, Rankings!$A$2:$J$113, 6, FALSE)</f>
        <v>7</v>
      </c>
      <c r="O10" s="118">
        <f>VLOOKUP(M10, Rankings!$A$2:$J$113, 7, FALSE)</f>
        <v>6</v>
      </c>
      <c r="P10" s="118"/>
      <c r="Q10" s="118">
        <f>VLOOKUP(M10, Rankings!$A$2:$J$113, 9, FALSE)</f>
        <v>5</v>
      </c>
      <c r="R10" s="125">
        <f>VLOOKUP(M10, Rankings!$A$2:$J$113, 10, FALSE)</f>
        <v>4</v>
      </c>
      <c r="T10" s="124" t="str">
        <f>CONCATENATE(VLOOKUP($V10, Rankings!$A$2:$J$113, 3, FALSE), " - ", VLOOKUP($V10, Rankings!$A$2:$J$113, 4, FALSE))</f>
        <v>South - Aquacorde Town</v>
      </c>
      <c r="U10" s="116">
        <f>IF((VLOOKUP(V10, Rankings!$A$2:$AZ$113, 52, FALSE)), (VLOOKUP(V10, Rankings!$A$2:$AZ$113, 52, FALSE)), "")</f>
        <v>70</v>
      </c>
      <c r="V10" s="117">
        <v>77</v>
      </c>
      <c r="W10" s="118">
        <f>VLOOKUP(V10, Rankings!$A$2:$J$113, 6, FALSE)</f>
        <v>7</v>
      </c>
      <c r="X10" s="118">
        <f>VLOOKUP(V10, Rankings!$A$2:$J$113, 7, FALSE)</f>
        <v>6</v>
      </c>
      <c r="Y10" s="118"/>
      <c r="Z10" s="118">
        <f>VLOOKUP(V10, Rankings!$A$2:$J$113, 9, FALSE)</f>
        <v>4</v>
      </c>
      <c r="AA10" s="125">
        <f>VLOOKUP(V10, Rankings!$A$2:$J$113, 10, FALSE)</f>
        <v>5</v>
      </c>
      <c r="AC10" s="124" t="str">
        <f>CONCATENATE(VLOOKUP($AE10, Rankings!$A$2:$J$113, 3, FALSE), " - ", VLOOKUP($AE10, Rankings!$A$2:$J$113, 4, FALSE))</f>
        <v>North Wild - Spikemuth</v>
      </c>
      <c r="AD10" s="116">
        <f>IF((VLOOKUP(AE10, Rankings!$A$2:$AZ$113, 52, FALSE)), (VLOOKUP(AE10, Rankings!$A$2:$AZ$113, 52, FALSE)), "")</f>
        <v>72</v>
      </c>
      <c r="AE10" s="117">
        <v>104</v>
      </c>
      <c r="AF10" s="118">
        <f>VLOOKUP(AE10, Rankings!$A$2:$J$113, 6, FALSE)</f>
        <v>5</v>
      </c>
      <c r="AG10" s="118">
        <f>VLOOKUP(AE10, Rankings!$A$2:$J$113, 7, FALSE)</f>
        <v>8</v>
      </c>
      <c r="AH10" s="118"/>
      <c r="AI10" s="118">
        <f>VLOOKUP(AE10, Rankings!$A$2:$J$113, 9, FALSE)</f>
        <v>4</v>
      </c>
      <c r="AJ10" s="125">
        <f>VLOOKUP(AE10, Rankings!$A$2:$J$113, 10, FALSE)</f>
        <v>5</v>
      </c>
      <c r="AK10" s="179"/>
      <c r="AL10" s="186" t="s">
        <v>795</v>
      </c>
      <c r="AM10" s="394" t="s">
        <v>59</v>
      </c>
    </row>
    <row r="11" spans="2:45" x14ac:dyDescent="0.35">
      <c r="B11" s="124" t="str">
        <f>CONCATENATE(VLOOKUP($D11, Rankings!$A$2:$J$113, 3, FALSE), " - ", VLOOKUP($D11, Rankings!$A$2:$J$113, 4, FALSE))</f>
        <v>East Johto - Blackthorn City</v>
      </c>
      <c r="C11" s="116">
        <f>IF((VLOOKUP(D11, Rankings!$A$2:$AZ$113, 52, FALSE)), (VLOOKUP(D11, Rankings!$A$2:$AZ$113, 52, FALSE)), "")</f>
        <v>51</v>
      </c>
      <c r="D11" s="117">
        <v>6</v>
      </c>
      <c r="E11" s="190">
        <f>VLOOKUP(D11, Rankings!$A$2:$J$113, 6, FALSE)</f>
        <v>7</v>
      </c>
      <c r="F11" s="190">
        <f>VLOOKUP(D11, Rankings!$A$2:$J$113, 7, FALSE)</f>
        <v>6</v>
      </c>
      <c r="G11" s="190"/>
      <c r="H11" s="190">
        <f>VLOOKUP(D11, Rankings!$A$2:$J$113, 9, FALSE)</f>
        <v>4</v>
      </c>
      <c r="I11" s="191">
        <f>VLOOKUP(D11, Rankings!$A$2:$J$113, 10, FALSE)</f>
        <v>5</v>
      </c>
      <c r="K11" s="124" t="str">
        <f>CONCATENATE(VLOOKUP($M11, Rankings!$A$2:$J$113, 3, FALSE), " - ", VLOOKUP($M11, Rankings!$A$2:$J$113, 4, FALSE))</f>
        <v>Verity - Twinleaf Town</v>
      </c>
      <c r="L11" s="116">
        <f>IF((VLOOKUP(M11, Rankings!$A$2:$AZ$113, 52, FALSE)), (VLOOKUP(M11, Rankings!$A$2:$AZ$113, 52, FALSE)), "")</f>
        <v>44</v>
      </c>
      <c r="M11" s="117">
        <v>36</v>
      </c>
      <c r="N11" s="118">
        <f>VLOOKUP(M11, Rankings!$A$2:$J$113, 6, FALSE)</f>
        <v>6</v>
      </c>
      <c r="O11" s="118">
        <f>VLOOKUP(M11, Rankings!$A$2:$J$113, 7, FALSE)</f>
        <v>7</v>
      </c>
      <c r="P11" s="118"/>
      <c r="Q11" s="118">
        <f>VLOOKUP(M11, Rankings!$A$2:$J$113, 9, FALSE)</f>
        <v>5</v>
      </c>
      <c r="R11" s="125">
        <f>VLOOKUP(M11, Rankings!$A$2:$J$113, 10, FALSE)</f>
        <v>4</v>
      </c>
      <c r="T11" s="124" t="str">
        <f>CONCATENATE(VLOOKUP($V11, Rankings!$A$2:$J$113, 3, FALSE), " - ", VLOOKUP($V11, Rankings!$A$2:$J$113, 4, FALSE))</f>
        <v>Central - Coumarine City</v>
      </c>
      <c r="U11" s="116">
        <f>IF((VLOOKUP(V11, Rankings!$A$2:$AZ$113, 52, FALSE)), (VLOOKUP(V11, Rankings!$A$2:$AZ$113, 52, FALSE)), "")</f>
        <v>47</v>
      </c>
      <c r="V11" s="117">
        <v>70</v>
      </c>
      <c r="W11" s="118">
        <f>VLOOKUP(V11, Rankings!$A$2:$J$113, 6, FALSE)</f>
        <v>6</v>
      </c>
      <c r="X11" s="118">
        <f>VLOOKUP(V11, Rankings!$A$2:$J$113, 7, FALSE)</f>
        <v>7</v>
      </c>
      <c r="Y11" s="118"/>
      <c r="Z11" s="118">
        <f>VLOOKUP(V11, Rankings!$A$2:$J$113, 9, FALSE)</f>
        <v>4</v>
      </c>
      <c r="AA11" s="125">
        <f>VLOOKUP(V11, Rankings!$A$2:$J$113, 10, FALSE)</f>
        <v>5</v>
      </c>
      <c r="AC11" s="124" t="str">
        <f>CONCATENATE(VLOOKUP($AE11, Rankings!$A$2:$J$113, 3, FALSE), " - ", VLOOKUP($AE11, Rankings!$A$2:$J$113, 4, FALSE))</f>
        <v>North Wild - Circhester Bay</v>
      </c>
      <c r="AD11" s="116">
        <f>IF((VLOOKUP(AE11, Rankings!$A$2:$AZ$113, 52, FALSE)), (VLOOKUP(AE11, Rankings!$A$2:$AZ$113, 52, FALSE)), "")</f>
        <v>74</v>
      </c>
      <c r="AE11" s="117">
        <v>102</v>
      </c>
      <c r="AF11" s="118">
        <f>VLOOKUP(AE11, Rankings!$A$2:$J$113, 6, FALSE)</f>
        <v>5</v>
      </c>
      <c r="AG11" s="118">
        <f>VLOOKUP(AE11, Rankings!$A$2:$J$113, 7, FALSE)</f>
        <v>8</v>
      </c>
      <c r="AH11" s="118"/>
      <c r="AI11" s="118">
        <f>VLOOKUP(AE11, Rankings!$A$2:$J$113, 9, FALSE)</f>
        <v>4</v>
      </c>
      <c r="AJ11" s="125">
        <f>VLOOKUP(AE11, Rankings!$A$2:$J$113, 10, FALSE)</f>
        <v>5</v>
      </c>
      <c r="AK11" s="179"/>
      <c r="AL11" s="187" t="s">
        <v>1344</v>
      </c>
      <c r="AM11" s="395" t="s">
        <v>78</v>
      </c>
    </row>
    <row r="12" spans="2:45" x14ac:dyDescent="0.35">
      <c r="B12" s="124" t="str">
        <f>CONCATENATE(VLOOKUP($D12, Rankings!$A$2:$J$113, 3, FALSE), " - ", VLOOKUP($D12, Rankings!$A$2:$J$113, 4, FALSE))</f>
        <v>East Johto - Mahogany Town</v>
      </c>
      <c r="C12" s="116">
        <f>IF((VLOOKUP(D12, Rankings!$A$2:$AZ$113, 52, FALSE)), (VLOOKUP(D12, Rankings!$A$2:$AZ$113, 52, FALSE)), "")</f>
        <v>64</v>
      </c>
      <c r="D12" s="117">
        <v>7</v>
      </c>
      <c r="E12" s="190">
        <f>VLOOKUP(D12, Rankings!$A$2:$J$113, 6, FALSE)</f>
        <v>5</v>
      </c>
      <c r="F12" s="190">
        <f>VLOOKUP(D12, Rankings!$A$2:$J$113, 7, FALSE)</f>
        <v>8</v>
      </c>
      <c r="G12" s="190"/>
      <c r="H12" s="190">
        <f>VLOOKUP(D12, Rankings!$A$2:$J$113, 9, FALSE)</f>
        <v>4</v>
      </c>
      <c r="I12" s="191">
        <f>VLOOKUP(D12, Rankings!$A$2:$J$113, 10, FALSE)</f>
        <v>5</v>
      </c>
      <c r="K12" s="124" t="str">
        <f>CONCATENATE(VLOOKUP($M12, Rankings!$A$2:$J$113, 3, FALSE), " - ", VLOOKUP($M12, Rankings!$A$2:$J$113, 4, FALSE))</f>
        <v>Coronet - Oreburgh City</v>
      </c>
      <c r="L12" s="116">
        <f>IF((VLOOKUP(M12, Rankings!$A$2:$AZ$113, 52, FALSE)), (VLOOKUP(M12, Rankings!$A$2:$AZ$113, 52, FALSE)), "")</f>
        <v>56</v>
      </c>
      <c r="M12" s="117">
        <v>39</v>
      </c>
      <c r="N12" s="118">
        <f>VLOOKUP(M12, Rankings!$A$2:$J$113, 6, FALSE)</f>
        <v>5</v>
      </c>
      <c r="O12" s="118">
        <f>VLOOKUP(M12, Rankings!$A$2:$J$113, 7, FALSE)</f>
        <v>8</v>
      </c>
      <c r="P12" s="118"/>
      <c r="Q12" s="118">
        <f>VLOOKUP(M12, Rankings!$A$2:$J$113, 9, FALSE)</f>
        <v>3</v>
      </c>
      <c r="R12" s="125">
        <f>VLOOKUP(M12, Rankings!$A$2:$J$113, 10, FALSE)</f>
        <v>6</v>
      </c>
      <c r="T12" s="124" t="str">
        <f>CONCATENATE(VLOOKUP($V12, Rankings!$A$2:$J$113, 3, FALSE), " - ", VLOOKUP($V12, Rankings!$A$2:$J$113, 4, FALSE))</f>
        <v>Coastal - Ambrette Town</v>
      </c>
      <c r="U12" s="116">
        <f>IF((VLOOKUP(V12, Rankings!$A$2:$AZ$113, 52, FALSE)), (VLOOKUP(V12, Rankings!$A$2:$AZ$113, 52, FALSE)), "")</f>
        <v>57</v>
      </c>
      <c r="V12" s="117">
        <v>65</v>
      </c>
      <c r="W12" s="118">
        <f>VLOOKUP(V12, Rankings!$A$2:$J$113, 6, FALSE)</f>
        <v>6</v>
      </c>
      <c r="X12" s="118">
        <f>VLOOKUP(V12, Rankings!$A$2:$J$113, 7, FALSE)</f>
        <v>7</v>
      </c>
      <c r="Y12" s="118"/>
      <c r="Z12" s="118">
        <f>VLOOKUP(V12, Rankings!$A$2:$J$113, 9, FALSE)</f>
        <v>4</v>
      </c>
      <c r="AA12" s="125">
        <f>VLOOKUP(V12, Rankings!$A$2:$J$113, 10, FALSE)</f>
        <v>5</v>
      </c>
      <c r="AC12" s="124" t="str">
        <f>CONCATENATE(VLOOKUP($AE12, Rankings!$A$2:$J$113, 3, FALSE), " - ", VLOOKUP($AE12, Rankings!$A$2:$J$113, 4, FALSE))</f>
        <v>South Wild - Turffield</v>
      </c>
      <c r="AD12" s="116">
        <f>IF((VLOOKUP(AE12, Rankings!$A$2:$AZ$113, 52, FALSE)), (VLOOKUP(AE12, Rankings!$A$2:$AZ$113, 52, FALSE)), "")</f>
        <v>90</v>
      </c>
      <c r="AE12" s="117">
        <v>112</v>
      </c>
      <c r="AF12" s="118">
        <f>VLOOKUP(AE12, Rankings!$A$2:$J$113, 6, FALSE)</f>
        <v>4</v>
      </c>
      <c r="AG12" s="118">
        <f>VLOOKUP(AE12, Rankings!$A$2:$J$113, 7, FALSE)</f>
        <v>9</v>
      </c>
      <c r="AH12" s="118"/>
      <c r="AI12" s="118">
        <f>VLOOKUP(AE12, Rankings!$A$2:$J$113, 9, FALSE)</f>
        <v>3</v>
      </c>
      <c r="AJ12" s="125">
        <f>VLOOKUP(AE12, Rankings!$A$2:$J$113, 10, FALSE)</f>
        <v>6</v>
      </c>
      <c r="AK12" s="179"/>
      <c r="AL12" s="6"/>
    </row>
    <row r="13" spans="2:45" x14ac:dyDescent="0.35">
      <c r="B13" s="124" t="str">
        <f>CONCATENATE(VLOOKUP($D13, Rankings!$A$2:$J$113, 3, FALSE), " - ", VLOOKUP($D13, Rankings!$A$2:$J$113, 4, FALSE))</f>
        <v>Central Kanto - Cerulean City</v>
      </c>
      <c r="C13" s="116">
        <f>IF((VLOOKUP(D13, Rankings!$A$2:$AZ$113, 52, FALSE)), (VLOOKUP(D13, Rankings!$A$2:$AZ$113, 52, FALSE)), "")</f>
        <v>73</v>
      </c>
      <c r="D13" s="117">
        <v>10</v>
      </c>
      <c r="E13" s="190">
        <f>VLOOKUP(D13, Rankings!$A$2:$J$113, 6, FALSE)</f>
        <v>5</v>
      </c>
      <c r="F13" s="190">
        <f>VLOOKUP(D13, Rankings!$A$2:$J$113, 7, FALSE)</f>
        <v>8</v>
      </c>
      <c r="G13" s="190"/>
      <c r="H13" s="190">
        <f>VLOOKUP(D13, Rankings!$A$2:$J$113, 9, FALSE)</f>
        <v>3</v>
      </c>
      <c r="I13" s="191">
        <f>VLOOKUP(D13, Rankings!$A$2:$J$113, 10, FALSE)</f>
        <v>6</v>
      </c>
      <c r="K13" s="124" t="str">
        <f>CONCATENATE(VLOOKUP($M13, Rankings!$A$2:$J$113, 3, FALSE), " - ", VLOOKUP($M13, Rankings!$A$2:$J$113, 4, FALSE))</f>
        <v>Verity - Jubilife City</v>
      </c>
      <c r="L13" s="116">
        <f>IF((VLOOKUP(M13, Rankings!$A$2:$AZ$113, 52, FALSE)), (VLOOKUP(M13, Rankings!$A$2:$AZ$113, 52, FALSE)), "")</f>
        <v>63</v>
      </c>
      <c r="M13" s="117">
        <v>34</v>
      </c>
      <c r="N13" s="118">
        <f>VLOOKUP(M13, Rankings!$A$2:$J$113, 6, FALSE)</f>
        <v>5</v>
      </c>
      <c r="O13" s="118">
        <f>VLOOKUP(M13, Rankings!$A$2:$J$113, 7, FALSE)</f>
        <v>8</v>
      </c>
      <c r="P13" s="118"/>
      <c r="Q13" s="118">
        <f>VLOOKUP(M13, Rankings!$A$2:$J$113, 9, FALSE)</f>
        <v>3</v>
      </c>
      <c r="R13" s="125">
        <f>VLOOKUP(M13, Rankings!$A$2:$J$113, 10, FALSE)</f>
        <v>6</v>
      </c>
      <c r="T13" s="124" t="str">
        <f>CONCATENATE(VLOOKUP($V13, Rankings!$A$2:$J$113, 3, FALSE), " - ", VLOOKUP($V13, Rankings!$A$2:$J$113, 4, FALSE))</f>
        <v>Mountain - Couriway Town</v>
      </c>
      <c r="U13" s="116">
        <f>IF((VLOOKUP(V13, Rankings!$A$2:$AZ$113, 52, FALSE)), (VLOOKUP(V13, Rankings!$A$2:$AZ$113, 52, FALSE)), "")</f>
        <v>84</v>
      </c>
      <c r="V13" s="117">
        <v>74</v>
      </c>
      <c r="W13" s="118">
        <f>VLOOKUP(V13, Rankings!$A$2:$J$113, 6, FALSE)</f>
        <v>5</v>
      </c>
      <c r="X13" s="118">
        <f>VLOOKUP(V13, Rankings!$A$2:$J$113, 7, FALSE)</f>
        <v>8</v>
      </c>
      <c r="Y13" s="118"/>
      <c r="Z13" s="118">
        <f>VLOOKUP(V13, Rankings!$A$2:$J$113, 9, FALSE)</f>
        <v>3</v>
      </c>
      <c r="AA13" s="125">
        <f>VLOOKUP(V13, Rankings!$A$2:$J$113, 10, FALSE)</f>
        <v>6</v>
      </c>
      <c r="AC13" s="124" t="str">
        <f>CONCATENATE(VLOOKUP($AE13, Rankings!$A$2:$J$113, 3, FALSE), " - ", VLOOKUP($AE13, Rankings!$A$2:$J$113, 4, FALSE))</f>
        <v>Scotland - Crown Tundra</v>
      </c>
      <c r="AD13" s="116">
        <f>IF((VLOOKUP(AE13, Rankings!$A$2:$AZ$113, 52, FALSE)), (VLOOKUP(AE13, Rankings!$A$2:$AZ$113, 52, FALSE)), "")</f>
        <v>80</v>
      </c>
      <c r="AE13" s="117">
        <v>105</v>
      </c>
      <c r="AF13" s="118">
        <f>VLOOKUP(AE13, Rankings!$A$2:$J$113, 6, FALSE)</f>
        <v>4</v>
      </c>
      <c r="AG13" s="118">
        <f>VLOOKUP(AE13, Rankings!$A$2:$J$113, 7, FALSE)</f>
        <v>9</v>
      </c>
      <c r="AH13" s="118"/>
      <c r="AI13" s="118">
        <f>VLOOKUP(AE13, Rankings!$A$2:$J$113, 9, FALSE)</f>
        <v>2</v>
      </c>
      <c r="AJ13" s="125">
        <f>VLOOKUP(AE13, Rankings!$A$2:$J$113, 10, FALSE)</f>
        <v>7</v>
      </c>
      <c r="AK13" s="179"/>
      <c r="AL13"/>
    </row>
    <row r="14" spans="2:45" x14ac:dyDescent="0.35">
      <c r="B14" s="124" t="str">
        <f>CONCATENATE(VLOOKUP($D14, Rankings!$A$2:$J$113, 3, FALSE), " - ", VLOOKUP($D14, Rankings!$A$2:$J$113, 4, FALSE))</f>
        <v>Central Kanto - Saffron City</v>
      </c>
      <c r="C14" s="116">
        <f>IF((VLOOKUP(D14, Rankings!$A$2:$AZ$113, 52, FALSE)), (VLOOKUP(D14, Rankings!$A$2:$AZ$113, 52, FALSE)), "")</f>
        <v>66</v>
      </c>
      <c r="D14" s="117">
        <v>11</v>
      </c>
      <c r="E14" s="190">
        <f>VLOOKUP(D14, Rankings!$A$2:$J$113, 6, FALSE)</f>
        <v>6</v>
      </c>
      <c r="F14" s="190">
        <f>VLOOKUP(D14, Rankings!$A$2:$J$113, 7, FALSE)</f>
        <v>7</v>
      </c>
      <c r="G14" s="190"/>
      <c r="H14" s="190">
        <f>VLOOKUP(D14, Rankings!$A$2:$J$113, 9, FALSE)</f>
        <v>2</v>
      </c>
      <c r="I14" s="191">
        <f>VLOOKUP(D14, Rankings!$A$2:$J$113, 10, FALSE)</f>
        <v>7</v>
      </c>
      <c r="K14" s="124" t="str">
        <f>CONCATENATE(VLOOKUP($M14, Rankings!$A$2:$J$113, 3, FALSE), " - ", VLOOKUP($M14, Rankings!$A$2:$J$113, 4, FALSE))</f>
        <v>Valour - Sunyshore City</v>
      </c>
      <c r="L14" s="116">
        <f>IF((VLOOKUP(M14, Rankings!$A$2:$AZ$113, 52, FALSE)), (VLOOKUP(M14, Rankings!$A$2:$AZ$113, 52, FALSE)), "")</f>
        <v>79</v>
      </c>
      <c r="M14" s="117">
        <v>43</v>
      </c>
      <c r="N14" s="118">
        <f>VLOOKUP(M14, Rankings!$A$2:$J$113, 6, FALSE)</f>
        <v>4</v>
      </c>
      <c r="O14" s="118">
        <f>VLOOKUP(M14, Rankings!$A$2:$J$113, 7, FALSE)</f>
        <v>9</v>
      </c>
      <c r="P14" s="118"/>
      <c r="Q14" s="118">
        <f>VLOOKUP(M14, Rankings!$A$2:$J$113, 9, FALSE)</f>
        <v>3</v>
      </c>
      <c r="R14" s="125">
        <f>VLOOKUP(M14, Rankings!$A$2:$J$113, 10, FALSE)</f>
        <v>6</v>
      </c>
      <c r="T14" s="124" t="str">
        <f>CONCATENATE(VLOOKUP($V14, Rankings!$A$2:$J$113, 3, FALSE), " - ", VLOOKUP($V14, Rankings!$A$2:$J$113, 4, FALSE))</f>
        <v>Coastal - Shalour City</v>
      </c>
      <c r="U14" s="116">
        <f>IF((VLOOKUP(V14, Rankings!$A$2:$AZ$113, 52, FALSE)), (VLOOKUP(V14, Rankings!$A$2:$AZ$113, 52, FALSE)), "")</f>
        <v>86</v>
      </c>
      <c r="V14" s="117">
        <v>68</v>
      </c>
      <c r="W14" s="118">
        <f>VLOOKUP(V14, Rankings!$A$2:$J$113, 6, FALSE)</f>
        <v>4</v>
      </c>
      <c r="X14" s="118">
        <f>VLOOKUP(V14, Rankings!$A$2:$J$113, 7, FALSE)</f>
        <v>9</v>
      </c>
      <c r="Y14" s="118"/>
      <c r="Z14" s="118">
        <f>VLOOKUP(V14, Rankings!$A$2:$J$113, 9, FALSE)</f>
        <v>3</v>
      </c>
      <c r="AA14" s="125">
        <f>VLOOKUP(V14, Rankings!$A$2:$J$113, 10, FALSE)</f>
        <v>6</v>
      </c>
      <c r="AC14" s="124" t="str">
        <f>CONCATENATE(VLOOKUP($AE14, Rankings!$A$2:$J$113, 3, FALSE), " - ", VLOOKUP($AE14, Rankings!$A$2:$J$113, 4, FALSE))</f>
        <v>London - Ballonlea</v>
      </c>
      <c r="AD14" s="116">
        <f>IF((VLOOKUP(AE14, Rankings!$A$2:$AZ$113, 52, FALSE)), (VLOOKUP(AE14, Rankings!$A$2:$AZ$113, 52, FALSE)), "")</f>
        <v>85</v>
      </c>
      <c r="AE14" s="117">
        <v>97</v>
      </c>
      <c r="AF14" s="118">
        <f>VLOOKUP(AE14, Rankings!$A$2:$J$113, 6, FALSE)</f>
        <v>4</v>
      </c>
      <c r="AG14" s="118">
        <f>VLOOKUP(AE14, Rankings!$A$2:$J$113, 7, FALSE)</f>
        <v>9</v>
      </c>
      <c r="AH14" s="118"/>
      <c r="AI14" s="118">
        <f>VLOOKUP(AE14, Rankings!$A$2:$J$113, 9, FALSE)</f>
        <v>2</v>
      </c>
      <c r="AJ14" s="125">
        <f>VLOOKUP(AE14, Rankings!$A$2:$J$113, 10, FALSE)</f>
        <v>7</v>
      </c>
      <c r="AK14" s="179"/>
      <c r="AL14"/>
      <c r="AP14" s="6"/>
      <c r="AQ14" s="6"/>
      <c r="AR14" s="6"/>
      <c r="AS14" s="6"/>
    </row>
    <row r="15" spans="2:45" x14ac:dyDescent="0.35">
      <c r="B15" s="124" t="str">
        <f>CONCATENATE(VLOOKUP($D15, Rankings!$A$2:$J$113, 3, FALSE), " - ", VLOOKUP($D15, Rankings!$A$2:$J$113, 4, FALSE))</f>
        <v>Central Kanto - Celadon City</v>
      </c>
      <c r="C15" s="116">
        <f>IF((VLOOKUP(D15, Rankings!$A$2:$AZ$113, 52, FALSE)), (VLOOKUP(D15, Rankings!$A$2:$AZ$113, 52, FALSE)), "")</f>
        <v>81</v>
      </c>
      <c r="D15" s="117">
        <v>9</v>
      </c>
      <c r="E15" s="190">
        <f>VLOOKUP(D15, Rankings!$A$2:$J$113, 6, FALSE)</f>
        <v>5</v>
      </c>
      <c r="F15" s="190">
        <f>VLOOKUP(D15, Rankings!$A$2:$J$113, 7, FALSE)</f>
        <v>8</v>
      </c>
      <c r="G15" s="190"/>
      <c r="H15" s="190">
        <f>VLOOKUP(D15, Rankings!$A$2:$J$113, 9, FALSE)</f>
        <v>2</v>
      </c>
      <c r="I15" s="191">
        <f>VLOOKUP(D15, Rankings!$A$2:$J$113, 10, FALSE)</f>
        <v>7</v>
      </c>
      <c r="K15" s="124" t="str">
        <f>CONCATENATE(VLOOKUP($M15, Rankings!$A$2:$J$113, 3, FALSE), " - ", VLOOKUP($M15, Rankings!$A$2:$J$113, 4, FALSE))</f>
        <v>Valour - Fight Area</v>
      </c>
      <c r="L15" s="116">
        <f>IF((VLOOKUP(M15, Rankings!$A$2:$AZ$113, 52, FALSE)), (VLOOKUP(M15, Rankings!$A$2:$AZ$113, 52, FALSE)), "")</f>
        <v>93</v>
      </c>
      <c r="M15" s="117">
        <v>41</v>
      </c>
      <c r="N15" s="118">
        <f>VLOOKUP(M15, Rankings!$A$2:$J$113, 6, FALSE)</f>
        <v>3</v>
      </c>
      <c r="O15" s="118">
        <f>VLOOKUP(M15, Rankings!$A$2:$J$113, 7, FALSE)</f>
        <v>10</v>
      </c>
      <c r="P15" s="118"/>
      <c r="Q15" s="118">
        <f>VLOOKUP(M15, Rankings!$A$2:$J$113, 9, FALSE)</f>
        <v>3</v>
      </c>
      <c r="R15" s="125">
        <f>VLOOKUP(M15, Rankings!$A$2:$J$113, 10, FALSE)</f>
        <v>6</v>
      </c>
      <c r="T15" s="124" t="str">
        <f>CONCATENATE(VLOOKUP($V15, Rankings!$A$2:$J$113, 3, FALSE), " - ", VLOOKUP($V15, Rankings!$A$2:$J$113, 4, FALSE))</f>
        <v>Central - Camphrier Town</v>
      </c>
      <c r="U15" s="116">
        <f>IF((VLOOKUP(V15, Rankings!$A$2:$AZ$113, 52, FALSE)), (VLOOKUP(V15, Rankings!$A$2:$AZ$113, 52, FALSE)), "")</f>
        <v>92</v>
      </c>
      <c r="V15" s="117">
        <v>69</v>
      </c>
      <c r="W15" s="118">
        <f>VLOOKUP(V15, Rankings!$A$2:$J$113, 6, FALSE)</f>
        <v>4</v>
      </c>
      <c r="X15" s="118">
        <f>VLOOKUP(V15, Rankings!$A$2:$J$113, 7, FALSE)</f>
        <v>9</v>
      </c>
      <c r="Y15" s="118"/>
      <c r="Z15" s="118">
        <f>VLOOKUP(V15, Rankings!$A$2:$J$113, 9, FALSE)</f>
        <v>3</v>
      </c>
      <c r="AA15" s="125">
        <f>VLOOKUP(V15, Rankings!$A$2:$J$113, 10, FALSE)</f>
        <v>6</v>
      </c>
      <c r="AC15" s="124" t="str">
        <f>CONCATENATE(VLOOKUP($AE15, Rankings!$A$2:$J$113, 3, FALSE), " - ", VLOOKUP($AE15, Rankings!$A$2:$J$113, 4, FALSE))</f>
        <v>North Wild - City of Circhester</v>
      </c>
      <c r="AD15" s="116">
        <f>IF((VLOOKUP(AE15, Rankings!$A$2:$AZ$113, 52, FALSE)), (VLOOKUP(AE15, Rankings!$A$2:$AZ$113, 52, FALSE)), "")</f>
        <v>94</v>
      </c>
      <c r="AE15" s="117">
        <v>101</v>
      </c>
      <c r="AF15" s="118">
        <f>VLOOKUP(AE15, Rankings!$A$2:$J$113, 6, FALSE)</f>
        <v>2</v>
      </c>
      <c r="AG15" s="118">
        <f>VLOOKUP(AE15, Rankings!$A$2:$J$113, 7, FALSE)</f>
        <v>11</v>
      </c>
      <c r="AH15" s="118"/>
      <c r="AI15" s="118">
        <f>VLOOKUP(AE15, Rankings!$A$2:$J$113, 9, FALSE)</f>
        <v>2</v>
      </c>
      <c r="AJ15" s="125">
        <f>VLOOKUP(AE15, Rankings!$A$2:$J$113, 10, FALSE)</f>
        <v>7</v>
      </c>
      <c r="AK15" s="179"/>
      <c r="AL15"/>
      <c r="AN15" s="6"/>
      <c r="AO15" s="6"/>
      <c r="AP15" s="6"/>
      <c r="AQ15" s="6"/>
      <c r="AR15" s="6"/>
      <c r="AS15" s="6"/>
    </row>
    <row r="16" spans="2:45" x14ac:dyDescent="0.35">
      <c r="B16" s="124" t="str">
        <f>CONCATENATE(VLOOKUP($D16, Rankings!$A$2:$J$113, 3, FALSE), " - ", VLOOKUP($D16, Rankings!$A$2:$J$113, 4, FALSE))</f>
        <v>Outer Kanto - Pewter City</v>
      </c>
      <c r="C16" s="116">
        <f>IF((VLOOKUP(D16, Rankings!$A$2:$AZ$113, 52, FALSE)), (VLOOKUP(D16, Rankings!$A$2:$AZ$113, 52, FALSE)), "")</f>
        <v>100</v>
      </c>
      <c r="D16" s="117">
        <v>15</v>
      </c>
      <c r="E16" s="190">
        <f>VLOOKUP(D16, Rankings!$A$2:$J$113, 6, FALSE)</f>
        <v>3</v>
      </c>
      <c r="F16" s="190">
        <f>VLOOKUP(D16, Rankings!$A$2:$J$113, 7, FALSE)</f>
        <v>10</v>
      </c>
      <c r="G16" s="190"/>
      <c r="H16" s="190">
        <f>VLOOKUP(D16, Rankings!$A$2:$J$113, 9, FALSE)</f>
        <v>2</v>
      </c>
      <c r="I16" s="191">
        <f>VLOOKUP(D16, Rankings!$A$2:$J$113, 10, FALSE)</f>
        <v>7</v>
      </c>
      <c r="K16" s="124" t="str">
        <f>CONCATENATE(VLOOKUP($M16, Rankings!$A$2:$J$113, 3, FALSE), " - ", VLOOKUP($M16, Rankings!$A$2:$J$113, 4, FALSE))</f>
        <v>Marsh - Pastoria City</v>
      </c>
      <c r="L16" s="116">
        <f>IF((VLOOKUP(M16, Rankings!$A$2:$AZ$113, 52, FALSE)), (VLOOKUP(M16, Rankings!$A$2:$AZ$113, 52, FALSE)), "")</f>
        <v>103</v>
      </c>
      <c r="M16" s="117">
        <v>47</v>
      </c>
      <c r="N16" s="118">
        <f>VLOOKUP(M16, Rankings!$A$2:$J$113, 6, FALSE)</f>
        <v>2</v>
      </c>
      <c r="O16" s="118">
        <f>VLOOKUP(M16, Rankings!$A$2:$J$113, 7, FALSE)</f>
        <v>11</v>
      </c>
      <c r="P16" s="118"/>
      <c r="Q16" s="118">
        <f>VLOOKUP(M16, Rankings!$A$2:$J$113, 9, FALSE)</f>
        <v>2</v>
      </c>
      <c r="R16" s="125">
        <f>VLOOKUP(M16, Rankings!$A$2:$J$113, 10, FALSE)</f>
        <v>7</v>
      </c>
      <c r="T16" s="124" t="str">
        <f>CONCATENATE(VLOOKUP($V16, Rankings!$A$2:$J$113, 3, FALSE), " - ", VLOOKUP($V16, Rankings!$A$2:$J$113, 4, FALSE))</f>
        <v>South - Kiloude City</v>
      </c>
      <c r="U16" s="116">
        <f>IF((VLOOKUP(V16, Rankings!$A$2:$AZ$113, 52, FALSE)), (VLOOKUP(V16, Rankings!$A$2:$AZ$113, 52, FALSE)), "")</f>
        <v>89</v>
      </c>
      <c r="V16" s="117">
        <v>78</v>
      </c>
      <c r="W16" s="118">
        <f>VLOOKUP(V16, Rankings!$A$2:$J$113, 6, FALSE)</f>
        <v>4</v>
      </c>
      <c r="X16" s="118">
        <f>VLOOKUP(V16, Rankings!$A$2:$J$113, 7, FALSE)</f>
        <v>9</v>
      </c>
      <c r="Y16" s="118"/>
      <c r="Z16" s="118">
        <f>VLOOKUP(V16, Rankings!$A$2:$J$113, 9, FALSE)</f>
        <v>2</v>
      </c>
      <c r="AA16" s="125">
        <f>VLOOKUP(V16, Rankings!$A$2:$J$113, 10, FALSE)</f>
        <v>7</v>
      </c>
      <c r="AC16" s="124" t="str">
        <f>CONCATENATE(VLOOKUP($AE16, Rankings!$A$2:$J$113, 3, FALSE), " - ", VLOOKUP($AE16, Rankings!$A$2:$J$113, 4, FALSE))</f>
        <v>London - Stow-on-Side</v>
      </c>
      <c r="AD16" s="116">
        <f>IF((VLOOKUP(AE16, Rankings!$A$2:$AZ$113, 52, FALSE)), (VLOOKUP(AE16, Rankings!$A$2:$AZ$113, 52, FALSE)), "")</f>
        <v>95</v>
      </c>
      <c r="AE16" s="117">
        <v>98</v>
      </c>
      <c r="AF16" s="118">
        <f>VLOOKUP(AE16, Rankings!$A$2:$J$113, 6, FALSE)</f>
        <v>2</v>
      </c>
      <c r="AG16" s="118">
        <f>VLOOKUP(AE16, Rankings!$A$2:$J$113, 7, FALSE)</f>
        <v>11</v>
      </c>
      <c r="AH16" s="118"/>
      <c r="AI16" s="118">
        <f>VLOOKUP(AE16, Rankings!$A$2:$J$113, 9, FALSE)</f>
        <v>2</v>
      </c>
      <c r="AJ16" s="125">
        <f>VLOOKUP(AE16, Rankings!$A$2:$J$113, 10, FALSE)</f>
        <v>7</v>
      </c>
      <c r="AK16" s="179"/>
      <c r="AL16"/>
      <c r="AN16" s="6"/>
      <c r="AO16" s="6"/>
      <c r="AP16" s="6"/>
      <c r="AQ16" s="6"/>
      <c r="AR16" s="6"/>
      <c r="AS16" s="6"/>
    </row>
    <row r="17" spans="2:61" x14ac:dyDescent="0.35">
      <c r="B17" s="124" t="str">
        <f>CONCATENATE(VLOOKUP($D17, Rankings!$A$2:$J$113, 3, FALSE), " - ", VLOOKUP($D17, Rankings!$A$2:$J$113, 4, FALSE))</f>
        <v>West Johto - Ecruteak City</v>
      </c>
      <c r="C17" s="116">
        <f>IF((VLOOKUP(D17, Rankings!$A$2:$AZ$113, 52, FALSE)), (VLOOKUP(D17, Rankings!$A$2:$AZ$113, 52, FALSE)), "")</f>
        <v>107</v>
      </c>
      <c r="D17" s="117">
        <v>2</v>
      </c>
      <c r="E17" s="190">
        <f>VLOOKUP(D17, Rankings!$A$2:$J$113, 6, FALSE)</f>
        <v>3</v>
      </c>
      <c r="F17" s="190">
        <f>VLOOKUP(D17, Rankings!$A$2:$J$113, 7, FALSE)</f>
        <v>10</v>
      </c>
      <c r="G17" s="190"/>
      <c r="H17" s="190">
        <f>VLOOKUP(D17, Rankings!$A$2:$J$113, 9, FALSE)</f>
        <v>1</v>
      </c>
      <c r="I17" s="191">
        <f>VLOOKUP(D17, Rankings!$A$2:$J$113, 10, FALSE)</f>
        <v>8</v>
      </c>
      <c r="K17" s="124" t="str">
        <f>CONCATENATE(VLOOKUP($M17, Rankings!$A$2:$J$113, 3, FALSE), " - ", VLOOKUP($M17, Rankings!$A$2:$J$113, 4, FALSE))</f>
        <v>Marsh - Hearthome City</v>
      </c>
      <c r="L17" s="116">
        <f>IF((VLOOKUP(M17, Rankings!$A$2:$AZ$113, 52, FALSE)), (VLOOKUP(M17, Rankings!$A$2:$AZ$113, 52, FALSE)), "")</f>
        <v>99</v>
      </c>
      <c r="M17" s="117">
        <v>46</v>
      </c>
      <c r="N17" s="118">
        <f>VLOOKUP(M17, Rankings!$A$2:$J$113, 6, FALSE)</f>
        <v>4</v>
      </c>
      <c r="O17" s="118">
        <f>VLOOKUP(M17, Rankings!$A$2:$J$113, 7, FALSE)</f>
        <v>9</v>
      </c>
      <c r="P17" s="118"/>
      <c r="Q17" s="118">
        <f>VLOOKUP(M17, Rankings!$A$2:$J$113, 9, FALSE)</f>
        <v>1</v>
      </c>
      <c r="R17" s="125">
        <f>VLOOKUP(M17, Rankings!$A$2:$J$113, 10, FALSE)</f>
        <v>8</v>
      </c>
      <c r="T17" s="124" t="str">
        <f>CONCATENATE(VLOOKUP($V17, Rankings!$A$2:$J$113, 3, FALSE), " - ", VLOOKUP($V17, Rankings!$A$2:$J$113, 4, FALSE))</f>
        <v>Mountain - Dendemille Town</v>
      </c>
      <c r="U17" s="116">
        <f>IF((VLOOKUP(V17, Rankings!$A$2:$AZ$113, 52, FALSE)), (VLOOKUP(V17, Rankings!$A$2:$AZ$113, 52, FALSE)), "")</f>
        <v>110</v>
      </c>
      <c r="V17" s="117">
        <v>75</v>
      </c>
      <c r="W17" s="118">
        <f>VLOOKUP(V17, Rankings!$A$2:$J$113, 6, FALSE)</f>
        <v>2</v>
      </c>
      <c r="X17" s="118">
        <f>VLOOKUP(V17, Rankings!$A$2:$J$113, 7, FALSE)</f>
        <v>11</v>
      </c>
      <c r="Y17" s="118"/>
      <c r="Z17" s="118">
        <f>VLOOKUP(V17, Rankings!$A$2:$J$113, 9, FALSE)</f>
        <v>1</v>
      </c>
      <c r="AA17" s="125">
        <f>VLOOKUP(V17, Rankings!$A$2:$J$113, 10, FALSE)</f>
        <v>8</v>
      </c>
      <c r="AC17" s="124" t="str">
        <f>CONCATENATE(VLOOKUP($AE17, Rankings!$A$2:$J$113, 3, FALSE), " - ", VLOOKUP($AE17, Rankings!$A$2:$J$113, 4, FALSE))</f>
        <v>South Wild - Isle of Armor</v>
      </c>
      <c r="AD17" s="116">
        <f>IF((VLOOKUP(AE17, Rankings!$A$2:$AZ$113, 52, FALSE)), (VLOOKUP(AE17, Rankings!$A$2:$AZ$113, 52, FALSE)), "")</f>
        <v>109</v>
      </c>
      <c r="AE17" s="117">
        <v>110</v>
      </c>
      <c r="AF17" s="118">
        <f>VLOOKUP(AE17, Rankings!$A$2:$J$113, 6, FALSE)</f>
        <v>2</v>
      </c>
      <c r="AG17" s="118">
        <f>VLOOKUP(AE17, Rankings!$A$2:$J$113, 7, FALSE)</f>
        <v>11</v>
      </c>
      <c r="AH17" s="118"/>
      <c r="AI17" s="118">
        <f>VLOOKUP(AE17, Rankings!$A$2:$J$113, 9, FALSE)</f>
        <v>2</v>
      </c>
      <c r="AJ17" s="125">
        <f>VLOOKUP(AE17, Rankings!$A$2:$J$113, 10, FALSE)</f>
        <v>7</v>
      </c>
      <c r="AK17" s="179"/>
      <c r="AL17"/>
      <c r="AN17" s="6"/>
      <c r="AO17" s="6"/>
      <c r="AP17" s="6"/>
      <c r="AQ17" s="6"/>
      <c r="AR17" s="6"/>
      <c r="AS17" s="6"/>
    </row>
    <row r="18" spans="2:61" ht="15" thickBot="1" x14ac:dyDescent="0.4">
      <c r="B18" s="126" t="str">
        <f>CONCATENATE(VLOOKUP($D18, Rankings!$A$2:$J$113, 3, FALSE), " - ", VLOOKUP($D18, Rankings!$A$2:$J$113, 4, FALSE))</f>
        <v>Outer Kanto - Viridian City</v>
      </c>
      <c r="C18" s="127">
        <f>IF((VLOOKUP(D18, Rankings!$A$2:$AZ$113, 52, FALSE)), (VLOOKUP(D18, Rankings!$A$2:$AZ$113, 52, FALSE)), "")</f>
        <v>105</v>
      </c>
      <c r="D18" s="128">
        <v>16</v>
      </c>
      <c r="E18" s="192">
        <f>VLOOKUP(D18, Rankings!$A$2:$J$113, 6, FALSE)</f>
        <v>1</v>
      </c>
      <c r="F18" s="192">
        <f>VLOOKUP(D18, Rankings!$A$2:$J$113, 7, FALSE)</f>
        <v>12</v>
      </c>
      <c r="G18" s="192"/>
      <c r="H18" s="192">
        <f>VLOOKUP(D18, Rankings!$A$2:$J$113, 9, FALSE)</f>
        <v>1</v>
      </c>
      <c r="I18" s="193">
        <f>VLOOKUP(D18, Rankings!$A$2:$J$113, 10, FALSE)</f>
        <v>8</v>
      </c>
      <c r="K18" s="126" t="str">
        <f>CONCATENATE(VLOOKUP($M18, Rankings!$A$2:$J$113, 3, FALSE), " - ", VLOOKUP($M18, Rankings!$A$2:$J$113, 4, FALSE))</f>
        <v>Verity - Canalave City</v>
      </c>
      <c r="L18" s="127">
        <f>IF((VLOOKUP(M18, Rankings!$A$2:$AZ$113, 52, FALSE)), (VLOOKUP(M18, Rankings!$A$2:$AZ$113, 52, FALSE)), "")</f>
        <v>112</v>
      </c>
      <c r="M18" s="128">
        <v>33</v>
      </c>
      <c r="N18" s="129">
        <f>VLOOKUP(M18, Rankings!$A$2:$J$113, 6, FALSE)</f>
        <v>2</v>
      </c>
      <c r="O18" s="129">
        <f>VLOOKUP(M18, Rankings!$A$2:$J$113, 7, FALSE)</f>
        <v>11</v>
      </c>
      <c r="P18" s="129"/>
      <c r="Q18" s="129">
        <f>VLOOKUP(M18, Rankings!$A$2:$J$113, 9, FALSE)</f>
        <v>0</v>
      </c>
      <c r="R18" s="130">
        <f>VLOOKUP(M18, Rankings!$A$2:$J$113, 10, FALSE)</f>
        <v>9</v>
      </c>
      <c r="T18" s="126" t="str">
        <f>CONCATENATE(VLOOKUP($V18, Rankings!$A$2:$J$113, 3, FALSE), " - ", VLOOKUP($V18, Rankings!$A$2:$J$113, 4, FALSE))</f>
        <v>South - Santalune City</v>
      </c>
      <c r="U18" s="127">
        <f>IF((VLOOKUP(V18, Rankings!$A$2:$AZ$113, 52, FALSE)), (VLOOKUP(V18, Rankings!$A$2:$AZ$113, 52, FALSE)), "")</f>
        <v>108</v>
      </c>
      <c r="V18" s="128">
        <v>79</v>
      </c>
      <c r="W18" s="129">
        <f>VLOOKUP(V18, Rankings!$A$2:$J$113, 6, FALSE)</f>
        <v>1</v>
      </c>
      <c r="X18" s="129">
        <f>VLOOKUP(V18, Rankings!$A$2:$J$113, 7, FALSE)</f>
        <v>12</v>
      </c>
      <c r="Y18" s="129"/>
      <c r="Z18" s="129">
        <f>VLOOKUP(V18, Rankings!$A$2:$J$113, 9, FALSE)</f>
        <v>1</v>
      </c>
      <c r="AA18" s="130">
        <f>VLOOKUP(V18, Rankings!$A$2:$J$113, 10, FALSE)</f>
        <v>8</v>
      </c>
      <c r="AC18" s="126" t="str">
        <f>CONCATENATE(VLOOKUP($AE18, Rankings!$A$2:$J$113, 3, FALSE), " - ", VLOOKUP($AE18, Rankings!$A$2:$J$113, 4, FALSE))</f>
        <v>South Wild - Motostoke</v>
      </c>
      <c r="AD18" s="127">
        <f>IF((VLOOKUP(AE18, Rankings!$A$2:$AZ$113, 52, FALSE)), (VLOOKUP(AE18, Rankings!$A$2:$AZ$113, 52, FALSE)), "")</f>
        <v>111</v>
      </c>
      <c r="AE18" s="128">
        <v>111</v>
      </c>
      <c r="AF18" s="129">
        <f>VLOOKUP(AE18, Rankings!$A$2:$J$113, 6, FALSE)</f>
        <v>1</v>
      </c>
      <c r="AG18" s="129">
        <f>VLOOKUP(AE18, Rankings!$A$2:$J$113, 7, FALSE)</f>
        <v>12</v>
      </c>
      <c r="AH18" s="129"/>
      <c r="AI18" s="129">
        <f>VLOOKUP(AE18, Rankings!$A$2:$J$113, 9, FALSE)</f>
        <v>1</v>
      </c>
      <c r="AJ18" s="130">
        <f>VLOOKUP(AE18, Rankings!$A$2:$J$113, 10, FALSE)</f>
        <v>8</v>
      </c>
      <c r="AK18" s="179"/>
      <c r="AL18"/>
      <c r="AN18" s="6"/>
      <c r="AO18" s="6"/>
      <c r="AP18" s="6"/>
      <c r="AQ18" s="6"/>
      <c r="AR18" s="6"/>
      <c r="AS18" s="6"/>
    </row>
    <row r="19" spans="2:61" ht="15" thickBot="1" x14ac:dyDescent="0.4">
      <c r="AL19"/>
      <c r="AN19" s="6"/>
      <c r="AO19" s="6"/>
      <c r="AP19" s="6"/>
      <c r="AQ19" s="6"/>
      <c r="AR19" s="6"/>
      <c r="AS19" s="6"/>
    </row>
    <row r="20" spans="2:61" s="93" customFormat="1" ht="18.5" x14ac:dyDescent="0.45">
      <c r="B20" s="131" t="s">
        <v>116</v>
      </c>
      <c r="C20" s="120" t="s">
        <v>1372</v>
      </c>
      <c r="D20" s="121"/>
      <c r="E20" s="122" t="s">
        <v>5</v>
      </c>
      <c r="F20" s="122" t="s">
        <v>6</v>
      </c>
      <c r="G20" s="122"/>
      <c r="H20" s="122" t="s">
        <v>5</v>
      </c>
      <c r="I20" s="123" t="s">
        <v>6</v>
      </c>
      <c r="K20" s="133" t="s">
        <v>14</v>
      </c>
      <c r="L20" s="120" t="s">
        <v>1372</v>
      </c>
      <c r="M20" s="121"/>
      <c r="N20" s="122" t="s">
        <v>5</v>
      </c>
      <c r="O20" s="122" t="s">
        <v>6</v>
      </c>
      <c r="P20" s="122"/>
      <c r="Q20" s="122" t="s">
        <v>5</v>
      </c>
      <c r="R20" s="123" t="s">
        <v>6</v>
      </c>
      <c r="T20" s="135" t="s">
        <v>782</v>
      </c>
      <c r="U20" s="120" t="s">
        <v>1372</v>
      </c>
      <c r="V20" s="121"/>
      <c r="W20" s="122" t="s">
        <v>5</v>
      </c>
      <c r="X20" s="122" t="s">
        <v>6</v>
      </c>
      <c r="Y20" s="122"/>
      <c r="Z20" s="122" t="s">
        <v>5</v>
      </c>
      <c r="AA20" s="123" t="s">
        <v>6</v>
      </c>
      <c r="AD20" s="94"/>
      <c r="AF20" s="94"/>
      <c r="AG20" s="94"/>
      <c r="AH20" s="94"/>
      <c r="AI20" s="94"/>
      <c r="AJ20" s="94"/>
      <c r="AK20" s="94"/>
      <c r="AN20" s="90"/>
    </row>
    <row r="21" spans="2:61" x14ac:dyDescent="0.35">
      <c r="B21" s="124" t="str">
        <f>CONCATENATE(VLOOKUP($D21, Rankings!$A$2:$J$113, 3, FALSE), " - ", VLOOKUP($D21, Rankings!$A$2:$J$113, 4, FALSE))</f>
        <v>Islands - Ever Grande City</v>
      </c>
      <c r="C21" s="116">
        <f>IF((VLOOKUP(D21, Rankings!$A$2:$AZ$113, 52, FALSE)), (VLOOKUP(D21, Rankings!$A$2:$AZ$113, 52, FALSE)), "")</f>
        <v>11</v>
      </c>
      <c r="D21" s="117">
        <v>25</v>
      </c>
      <c r="E21" s="118">
        <f>VLOOKUP(D21, Rankings!$A$2:$J$113, 6, FALSE)</f>
        <v>12</v>
      </c>
      <c r="F21" s="118">
        <f>VLOOKUP(D21, Rankings!$A$2:$J$113, 7, FALSE)</f>
        <v>2</v>
      </c>
      <c r="G21" s="118"/>
      <c r="H21" s="118">
        <f>VLOOKUP(D21, Rankings!$A$2:$J$113, 9, FALSE)</f>
        <v>7</v>
      </c>
      <c r="I21" s="125">
        <f>VLOOKUP(D21, Rankings!$A$2:$J$113, 10, FALSE)</f>
        <v>2</v>
      </c>
      <c r="J21" s="1" t="s">
        <v>4682</v>
      </c>
      <c r="K21" s="124" t="str">
        <f>CONCATENATE(VLOOKUP($M21, Rankings!$A$2:$J$113, 3, FALSE), " - ", VLOOKUP($M21, Rankings!$A$2:$J$113, 4, FALSE))</f>
        <v>Southeast - Castelia City</v>
      </c>
      <c r="L21" s="116">
        <f>IF((VLOOKUP(M21, Rankings!$A$2:$AZ$113, 52, FALSE)), (VLOOKUP(M21, Rankings!$A$2:$AZ$113, 52, FALSE)), "")</f>
        <v>9</v>
      </c>
      <c r="M21" s="117">
        <v>58</v>
      </c>
      <c r="N21" s="118">
        <f>VLOOKUP(M21, Rankings!$A$2:$J$113, 6, FALSE)</f>
        <v>11</v>
      </c>
      <c r="O21" s="118">
        <f>VLOOKUP(M21, Rankings!$A$2:$J$113, 7, FALSE)</f>
        <v>3</v>
      </c>
      <c r="P21" s="118"/>
      <c r="Q21" s="118">
        <f>VLOOKUP(M21, Rankings!$A$2:$J$113, 9, FALSE)</f>
        <v>7</v>
      </c>
      <c r="R21" s="125">
        <f>VLOOKUP(M21, Rankings!$A$2:$J$113, 10, FALSE)</f>
        <v>2</v>
      </c>
      <c r="S21" s="1" t="s">
        <v>4682</v>
      </c>
      <c r="T21" s="272" t="str">
        <f>CONCATENATE(VLOOKUP($V21, Rankings!$A$2:$J$113, 3, FALSE), " - ", VLOOKUP($V21, Rankings!$A$2:$J$113, 4, FALSE))</f>
        <v>Melemele - Kala'e Bay</v>
      </c>
      <c r="U21" s="116">
        <f>IF((VLOOKUP(V21, Rankings!$A$2:$AZ$113, 52, FALSE)), (VLOOKUP(V21, Rankings!$A$2:$AZ$113, 52, FALSE)), "")</f>
        <v>4</v>
      </c>
      <c r="V21" s="117">
        <v>87</v>
      </c>
      <c r="W21" s="118">
        <f>VLOOKUP(V21, Rankings!$A$2:$J$113, 6, FALSE)</f>
        <v>12</v>
      </c>
      <c r="X21" s="118">
        <f>VLOOKUP(V21, Rankings!$A$2:$J$113, 7, FALSE)</f>
        <v>2</v>
      </c>
      <c r="Y21" s="118"/>
      <c r="Z21" s="118">
        <f>VLOOKUP(V21, Rankings!$A$2:$J$113, 9, FALSE)</f>
        <v>7</v>
      </c>
      <c r="AA21" s="125">
        <f>VLOOKUP(V21, Rankings!$A$2:$J$113, 10, FALSE)</f>
        <v>2</v>
      </c>
      <c r="AC21" s="1" t="s">
        <v>4944</v>
      </c>
      <c r="AJ21" s="1"/>
      <c r="AK21" s="1"/>
      <c r="AN21" s="180" t="s">
        <v>1791</v>
      </c>
      <c r="AQ21" s="180" t="s">
        <v>1371</v>
      </c>
    </row>
    <row r="22" spans="2:61" x14ac:dyDescent="0.35">
      <c r="B22" s="124" t="str">
        <f>CONCATENATE(VLOOKUP($D22, Rankings!$A$2:$J$113, 3, FALSE), " - ", VLOOKUP($D22, Rankings!$A$2:$J$113, 4, FALSE))</f>
        <v>Northwest - Fallarbor Town</v>
      </c>
      <c r="C22" s="116">
        <f>IF((VLOOKUP(D22, Rankings!$A$2:$AZ$113, 52, FALSE)), (VLOOKUP(D22, Rankings!$A$2:$AZ$113, 52, FALSE)), "")</f>
        <v>21</v>
      </c>
      <c r="D22" s="117">
        <v>21</v>
      </c>
      <c r="E22" s="118">
        <f>VLOOKUP(D22, Rankings!$A$2:$J$113, 6, FALSE)</f>
        <v>10</v>
      </c>
      <c r="F22" s="118">
        <f>VLOOKUP(D22, Rankings!$A$2:$J$113, 7, FALSE)</f>
        <v>4</v>
      </c>
      <c r="G22" s="118"/>
      <c r="H22" s="118">
        <f>VLOOKUP(D22, Rankings!$A$2:$J$113, 9, FALSE)</f>
        <v>7</v>
      </c>
      <c r="I22" s="125">
        <f>VLOOKUP(D22, Rankings!$A$2:$J$113, 10, FALSE)</f>
        <v>2</v>
      </c>
      <c r="J22" s="1" t="s">
        <v>4682</v>
      </c>
      <c r="K22" s="272" t="str">
        <f>CONCATENATE(VLOOKUP($M22, Rankings!$A$2:$J$113, 3, FALSE), " - ", VLOOKUP($M22, Rankings!$A$2:$J$113, 4, FALSE))</f>
        <v>Midwest - Virbank City</v>
      </c>
      <c r="L22" s="116">
        <f>IF((VLOOKUP(M22, Rankings!$A$2:$AZ$113, 52, FALSE)), (VLOOKUP(M22, Rankings!$A$2:$AZ$113, 52, FALSE)), "")</f>
        <v>6</v>
      </c>
      <c r="M22" s="117">
        <v>56</v>
      </c>
      <c r="N22" s="118">
        <f>VLOOKUP(M22, Rankings!$A$2:$J$113, 6, FALSE)</f>
        <v>11</v>
      </c>
      <c r="O22" s="118">
        <f>VLOOKUP(M22, Rankings!$A$2:$J$113, 7, FALSE)</f>
        <v>3</v>
      </c>
      <c r="P22" s="118"/>
      <c r="Q22" s="118">
        <f>VLOOKUP(M22, Rankings!$A$2:$J$113, 9, FALSE)</f>
        <v>8</v>
      </c>
      <c r="R22" s="125">
        <f>VLOOKUP(M22, Rankings!$A$2:$J$113, 10, FALSE)</f>
        <v>1</v>
      </c>
      <c r="S22" s="1" t="s">
        <v>4682</v>
      </c>
      <c r="T22" s="124" t="str">
        <f>CONCATENATE(VLOOKUP($V22, Rankings!$A$2:$J$113, 3, FALSE), " - ", VLOOKUP($V22, Rankings!$A$2:$J$113, 4, FALSE))</f>
        <v>Melemele - Ultra Megalopolis</v>
      </c>
      <c r="U22" s="116">
        <f>IF((VLOOKUP(V22, Rankings!$A$2:$AZ$113, 52, FALSE)), (VLOOKUP(V22, Rankings!$A$2:$AZ$113, 52, FALSE)), "")</f>
        <v>29</v>
      </c>
      <c r="V22" s="117">
        <v>88</v>
      </c>
      <c r="W22" s="118">
        <f>VLOOKUP(V22, Rankings!$A$2:$J$113, 6, FALSE)</f>
        <v>10</v>
      </c>
      <c r="X22" s="118">
        <f>VLOOKUP(V22, Rankings!$A$2:$J$113, 7, FALSE)</f>
        <v>4</v>
      </c>
      <c r="Y22" s="118"/>
      <c r="Z22" s="118">
        <f>VLOOKUP(V22, Rankings!$A$2:$J$113, 9, FALSE)</f>
        <v>7</v>
      </c>
      <c r="AA22" s="125">
        <f>VLOOKUP(V22, Rankings!$A$2:$J$113, 10, FALSE)</f>
        <v>2</v>
      </c>
      <c r="AC22" s="1" t="s">
        <v>4945</v>
      </c>
      <c r="AK22" s="1"/>
      <c r="AL22" s="472" t="s">
        <v>8</v>
      </c>
      <c r="AM22" s="472"/>
      <c r="AN22" s="170">
        <f>SUM(E3:E18)-SUM(H3:H18)</f>
        <v>37</v>
      </c>
      <c r="AO22" s="170" t="s">
        <v>719</v>
      </c>
      <c r="AP22" s="170"/>
      <c r="AQ22" s="370">
        <v>5</v>
      </c>
      <c r="AR22" s="375">
        <v>6</v>
      </c>
      <c r="AS22" s="375">
        <v>6</v>
      </c>
      <c r="AT22" s="375">
        <v>6</v>
      </c>
      <c r="AU22" s="375">
        <v>6</v>
      </c>
      <c r="AV22" s="375">
        <v>5</v>
      </c>
      <c r="AW22" s="375">
        <v>5</v>
      </c>
      <c r="AX22" s="375">
        <v>5</v>
      </c>
      <c r="AY22" s="375">
        <v>5</v>
      </c>
      <c r="AZ22" s="375">
        <v>5</v>
      </c>
      <c r="BA22" s="375">
        <v>4</v>
      </c>
      <c r="BB22" s="375">
        <v>4</v>
      </c>
      <c r="BC22" s="375">
        <v>4</v>
      </c>
      <c r="BD22" s="375">
        <v>3</v>
      </c>
      <c r="BE22" s="375">
        <v>3</v>
      </c>
      <c r="BF22" s="375">
        <v>3</v>
      </c>
      <c r="BG22" s="375">
        <v>5</v>
      </c>
      <c r="BH22" s="375">
        <v>3</v>
      </c>
      <c r="BI22" s="375">
        <v>3</v>
      </c>
    </row>
    <row r="23" spans="2:61" x14ac:dyDescent="0.35">
      <c r="B23" s="124" t="str">
        <f>CONCATENATE(VLOOKUP($D23, Rankings!$A$2:$J$113, 3, FALSE), " - ", VLOOKUP($D23, Rankings!$A$2:$J$113, 4, FALSE))</f>
        <v>Seaside - Slateport City</v>
      </c>
      <c r="C23" s="116">
        <f>IF((VLOOKUP(D23, Rankings!$A$2:$AZ$113, 52, FALSE)), (VLOOKUP(D23, Rankings!$A$2:$AZ$113, 52, FALSE)), "")</f>
        <v>10</v>
      </c>
      <c r="D23" s="117">
        <v>32</v>
      </c>
      <c r="E23" s="118">
        <f>VLOOKUP(D23, Rankings!$A$2:$J$113, 6, FALSE)</f>
        <v>10</v>
      </c>
      <c r="F23" s="118">
        <f>VLOOKUP(D23, Rankings!$A$2:$J$113, 7, FALSE)</f>
        <v>3</v>
      </c>
      <c r="G23" s="118"/>
      <c r="H23" s="118">
        <f>VLOOKUP(D23, Rankings!$A$2:$J$113, 9, FALSE)</f>
        <v>7</v>
      </c>
      <c r="I23" s="125">
        <f>VLOOKUP(D23, Rankings!$A$2:$J$113, 10, FALSE)</f>
        <v>2</v>
      </c>
      <c r="J23" s="1" t="s">
        <v>4682</v>
      </c>
      <c r="K23" s="124" t="str">
        <f>CONCATENATE(VLOOKUP($M23, Rankings!$A$2:$J$113, 3, FALSE), " - ", VLOOKUP($M23, Rankings!$A$2:$J$113, 4, FALSE))</f>
        <v>West - Floccesy Town</v>
      </c>
      <c r="L23" s="116">
        <f>IF((VLOOKUP(M23, Rankings!$A$2:$AZ$113, 52, FALSE)), (VLOOKUP(M23, Rankings!$A$2:$AZ$113, 52, FALSE)), "")</f>
        <v>39</v>
      </c>
      <c r="M23" s="117">
        <v>51</v>
      </c>
      <c r="N23" s="118">
        <f>VLOOKUP(M23, Rankings!$A$2:$J$113, 6, FALSE)</f>
        <v>9</v>
      </c>
      <c r="O23" s="118">
        <f>VLOOKUP(M23, Rankings!$A$2:$J$113, 7, FALSE)</f>
        <v>4</v>
      </c>
      <c r="P23" s="118"/>
      <c r="Q23" s="118">
        <f>VLOOKUP(M23, Rankings!$A$2:$J$113, 9, FALSE)</f>
        <v>6</v>
      </c>
      <c r="R23" s="125">
        <f>VLOOKUP(M23, Rankings!$A$2:$J$113, 10, FALSE)</f>
        <v>3</v>
      </c>
      <c r="S23" s="1" t="s">
        <v>4682</v>
      </c>
      <c r="T23" s="124" t="str">
        <f>CONCATENATE(VLOOKUP($V23, Rankings!$A$2:$J$113, 3, FALSE), " - ", VLOOKUP($V23, Rankings!$A$2:$J$113, 4, FALSE))</f>
        <v>Ula'ula - Malie City</v>
      </c>
      <c r="U23" s="116">
        <f>IF((VLOOKUP(V23, Rankings!$A$2:$AZ$113, 52, FALSE)), (VLOOKUP(V23, Rankings!$A$2:$AZ$113, 52, FALSE)), "")</f>
        <v>18</v>
      </c>
      <c r="V23" s="117">
        <v>89</v>
      </c>
      <c r="W23" s="118">
        <f>VLOOKUP(V23, Rankings!$A$2:$J$113, 6, FALSE)</f>
        <v>11</v>
      </c>
      <c r="X23" s="118">
        <f>VLOOKUP(V23, Rankings!$A$2:$J$113, 7, FALSE)</f>
        <v>2</v>
      </c>
      <c r="Y23" s="118"/>
      <c r="Z23" s="118">
        <f>VLOOKUP(V23, Rankings!$A$2:$J$113, 9, FALSE)</f>
        <v>7</v>
      </c>
      <c r="AA23" s="125">
        <f>VLOOKUP(V23, Rankings!$A$2:$J$113, 10, FALSE)</f>
        <v>2</v>
      </c>
      <c r="AC23" s="1" t="s">
        <v>4946</v>
      </c>
      <c r="AK23" s="1"/>
      <c r="AL23" s="473" t="s">
        <v>116</v>
      </c>
      <c r="AM23" s="473"/>
      <c r="AN23" s="170">
        <f>SUM(E21:E36)-SUM(H21:H36)</f>
        <v>39</v>
      </c>
      <c r="AO23" s="170" t="s">
        <v>4</v>
      </c>
      <c r="AP23" s="170"/>
      <c r="AQ23" s="370">
        <v>6</v>
      </c>
      <c r="AR23" s="375">
        <v>5</v>
      </c>
      <c r="AS23" s="375">
        <v>5</v>
      </c>
      <c r="AT23" s="375">
        <v>5</v>
      </c>
      <c r="AU23" s="375">
        <v>5</v>
      </c>
      <c r="AV23" s="375">
        <v>5</v>
      </c>
      <c r="AW23" s="375">
        <v>5</v>
      </c>
      <c r="AX23" s="375">
        <v>4</v>
      </c>
      <c r="AY23" s="375">
        <v>4</v>
      </c>
      <c r="AZ23" s="375">
        <v>5</v>
      </c>
      <c r="BA23" s="375">
        <v>5</v>
      </c>
      <c r="BB23" s="375">
        <v>3</v>
      </c>
      <c r="BC23" s="375">
        <v>3</v>
      </c>
      <c r="BD23" s="375">
        <v>3</v>
      </c>
      <c r="BE23" s="375">
        <v>3</v>
      </c>
      <c r="BF23" s="375">
        <v>5</v>
      </c>
      <c r="BG23" s="375">
        <v>1</v>
      </c>
      <c r="BH23" s="375">
        <v>4</v>
      </c>
      <c r="BI23" s="375">
        <v>3</v>
      </c>
    </row>
    <row r="24" spans="2:61" x14ac:dyDescent="0.35">
      <c r="B24" s="124" t="str">
        <f>CONCATENATE(VLOOKUP($D24, Rankings!$A$2:$J$113, 3, FALSE), " - ", VLOOKUP($D24, Rankings!$A$2:$J$113, 4, FALSE))</f>
        <v>Seaside - Fortree City</v>
      </c>
      <c r="C24" s="116">
        <f>IF((VLOOKUP(D24, Rankings!$A$2:$AZ$113, 52, FALSE)), (VLOOKUP(D24, Rankings!$A$2:$AZ$113, 52, FALSE)), "")</f>
        <v>23</v>
      </c>
      <c r="D24" s="117">
        <v>29</v>
      </c>
      <c r="E24" s="118">
        <f>VLOOKUP(D24, Rankings!$A$2:$J$113, 6, FALSE)</f>
        <v>9</v>
      </c>
      <c r="F24" s="118">
        <f>VLOOKUP(D24, Rankings!$A$2:$J$113, 7, FALSE)</f>
        <v>4</v>
      </c>
      <c r="G24" s="118"/>
      <c r="H24" s="118">
        <f>VLOOKUP(D24, Rankings!$A$2:$J$113, 9, FALSE)</f>
        <v>7</v>
      </c>
      <c r="I24" s="125">
        <f>VLOOKUP(D24, Rankings!$A$2:$J$113, 10, FALSE)</f>
        <v>2</v>
      </c>
      <c r="J24" s="237" t="s">
        <v>4683</v>
      </c>
      <c r="K24" s="124" t="str">
        <f>CONCATENATE(VLOOKUP($M24, Rankings!$A$2:$J$113, 3, FALSE), " - ", VLOOKUP($M24, Rankings!$A$2:$J$113, 4, FALSE))</f>
        <v>West - Anville Town</v>
      </c>
      <c r="L24" s="116">
        <f>IF((VLOOKUP(M24, Rankings!$A$2:$AZ$113, 52, FALSE)), (VLOOKUP(M24, Rankings!$A$2:$AZ$113, 52, FALSE)), "")</f>
        <v>38</v>
      </c>
      <c r="M24" s="117">
        <v>49</v>
      </c>
      <c r="N24" s="118">
        <f>VLOOKUP(M24, Rankings!$A$2:$J$113, 6, FALSE)</f>
        <v>8</v>
      </c>
      <c r="O24" s="118">
        <f>VLOOKUP(M24, Rankings!$A$2:$J$113, 7, FALSE)</f>
        <v>5</v>
      </c>
      <c r="P24" s="118"/>
      <c r="Q24" s="118">
        <f>VLOOKUP(M24, Rankings!$A$2:$J$113, 9, FALSE)</f>
        <v>6</v>
      </c>
      <c r="R24" s="125">
        <f>VLOOKUP(M24, Rankings!$A$2:$J$113, 10, FALSE)</f>
        <v>3</v>
      </c>
      <c r="S24" s="237" t="s">
        <v>4683</v>
      </c>
      <c r="T24" s="124" t="str">
        <f>CONCATENATE(VLOOKUP($V24, Rankings!$A$2:$J$113, 3, FALSE), " - ", VLOOKUP($V24, Rankings!$A$2:$J$113, 4, FALSE))</f>
        <v>Melemele - Iki Town</v>
      </c>
      <c r="U24" s="116">
        <f>IF((VLOOKUP(V24, Rankings!$A$2:$AZ$113, 52, FALSE)), (VLOOKUP(V24, Rankings!$A$2:$AZ$113, 52, FALSE)), "")</f>
        <v>35</v>
      </c>
      <c r="V24" s="117">
        <v>86</v>
      </c>
      <c r="W24" s="118">
        <f>VLOOKUP(V24, Rankings!$A$2:$J$113, 6, FALSE)</f>
        <v>9</v>
      </c>
      <c r="X24" s="118">
        <f>VLOOKUP(V24, Rankings!$A$2:$J$113, 7, FALSE)</f>
        <v>4</v>
      </c>
      <c r="Y24" s="118"/>
      <c r="Z24" s="118">
        <f>VLOOKUP(V24, Rankings!$A$2:$J$113, 9, FALSE)</f>
        <v>7</v>
      </c>
      <c r="AA24" s="125">
        <f>VLOOKUP(V24, Rankings!$A$2:$J$113, 10, FALSE)</f>
        <v>2</v>
      </c>
      <c r="AC24" s="6"/>
      <c r="AK24" s="1"/>
      <c r="AL24" s="474" t="s">
        <v>13</v>
      </c>
      <c r="AM24" s="474"/>
      <c r="AN24" s="170">
        <f>SUM(N3:N18)-SUM(Q3:Q18)</f>
        <v>33</v>
      </c>
      <c r="AO24" s="170"/>
      <c r="AP24" s="170"/>
      <c r="AQ24" s="370">
        <v>4</v>
      </c>
      <c r="AR24" s="375">
        <v>3</v>
      </c>
      <c r="AS24" s="375">
        <v>3</v>
      </c>
      <c r="AT24" s="375">
        <v>4</v>
      </c>
      <c r="AU24" s="375">
        <v>4</v>
      </c>
      <c r="AV24" s="375">
        <v>4</v>
      </c>
      <c r="AW24" s="375">
        <v>4</v>
      </c>
      <c r="AX24" s="375">
        <v>5</v>
      </c>
      <c r="AY24" s="375">
        <v>3</v>
      </c>
      <c r="AZ24" s="375">
        <v>2</v>
      </c>
      <c r="BA24" s="375">
        <v>3</v>
      </c>
      <c r="BB24" s="375">
        <v>3</v>
      </c>
      <c r="BC24" s="375">
        <v>4</v>
      </c>
      <c r="BD24" s="375">
        <v>6</v>
      </c>
      <c r="BE24" s="375">
        <v>4</v>
      </c>
      <c r="BF24" s="375">
        <v>3</v>
      </c>
      <c r="BG24" s="375">
        <v>3</v>
      </c>
      <c r="BH24" s="375">
        <v>4</v>
      </c>
      <c r="BI24" s="375">
        <v>4</v>
      </c>
    </row>
    <row r="25" spans="2:61" x14ac:dyDescent="0.35">
      <c r="B25" s="124" t="str">
        <f>CONCATENATE(VLOOKUP($D25, Rankings!$A$2:$J$113, 3, FALSE), " - ", VLOOKUP($D25, Rankings!$A$2:$J$113, 4, FALSE))</f>
        <v>Southwest - Dewford Town</v>
      </c>
      <c r="C25" s="116">
        <f>IF((VLOOKUP(D25, Rankings!$A$2:$AZ$113, 52, FALSE)), (VLOOKUP(D25, Rankings!$A$2:$AZ$113, 52, FALSE)), "")</f>
        <v>13</v>
      </c>
      <c r="D25" s="117">
        <v>17</v>
      </c>
      <c r="E25" s="118">
        <f>VLOOKUP(D25, Rankings!$A$2:$J$113, 6, FALSE)</f>
        <v>9</v>
      </c>
      <c r="F25" s="118">
        <f>VLOOKUP(D25, Rankings!$A$2:$J$113, 7, FALSE)</f>
        <v>4</v>
      </c>
      <c r="G25" s="118"/>
      <c r="H25" s="118">
        <f>VLOOKUP(D25, Rankings!$A$2:$J$113, 9, FALSE)</f>
        <v>6</v>
      </c>
      <c r="I25" s="125">
        <f>VLOOKUP(D25, Rankings!$A$2:$J$113, 10, FALSE)</f>
        <v>3</v>
      </c>
      <c r="J25" s="237" t="s">
        <v>4683</v>
      </c>
      <c r="K25" s="124" t="str">
        <f>CONCATENATE(VLOOKUP($M25, Rankings!$A$2:$J$113, 3, FALSE), " - ", VLOOKUP($M25, Rankings!$A$2:$J$113, 4, FALSE))</f>
        <v>Northeast - Humilau City</v>
      </c>
      <c r="L25" s="116">
        <f>IF((VLOOKUP(M25, Rankings!$A$2:$AZ$113, 52, FALSE)), (VLOOKUP(M25, Rankings!$A$2:$AZ$113, 52, FALSE)), "")</f>
        <v>17</v>
      </c>
      <c r="M25" s="117">
        <v>61</v>
      </c>
      <c r="N25" s="118">
        <f>VLOOKUP(M25, Rankings!$A$2:$J$113, 6, FALSE)</f>
        <v>8</v>
      </c>
      <c r="O25" s="118">
        <f>VLOOKUP(M25, Rankings!$A$2:$J$113, 7, FALSE)</f>
        <v>5</v>
      </c>
      <c r="P25" s="118"/>
      <c r="Q25" s="118">
        <f>VLOOKUP(M25, Rankings!$A$2:$J$113, 9, FALSE)</f>
        <v>5</v>
      </c>
      <c r="R25" s="125">
        <f>VLOOKUP(M25, Rankings!$A$2:$J$113, 10, FALSE)</f>
        <v>4</v>
      </c>
      <c r="S25" s="237" t="s">
        <v>4683</v>
      </c>
      <c r="T25" s="124" t="str">
        <f>CONCATENATE(VLOOKUP($V25, Rankings!$A$2:$J$113, 3, FALSE), " - ", VLOOKUP($V25, Rankings!$A$2:$J$113, 4, FALSE))</f>
        <v>Poni - Poni Meadow</v>
      </c>
      <c r="U25" s="116">
        <f>IF((VLOOKUP(V25, Rankings!$A$2:$AZ$113, 52, FALSE)), (VLOOKUP(V25, Rankings!$A$2:$AZ$113, 52, FALSE)), "")</f>
        <v>54</v>
      </c>
      <c r="V25" s="117">
        <v>82</v>
      </c>
      <c r="W25" s="118">
        <f>VLOOKUP(V25, Rankings!$A$2:$J$113, 6, FALSE)</f>
        <v>7</v>
      </c>
      <c r="X25" s="118">
        <f>VLOOKUP(V25, Rankings!$A$2:$J$113, 7, FALSE)</f>
        <v>6</v>
      </c>
      <c r="Y25" s="118"/>
      <c r="Z25" s="118">
        <f>VLOOKUP(V25, Rankings!$A$2:$J$113, 9, FALSE)</f>
        <v>7</v>
      </c>
      <c r="AA25" s="125">
        <f>VLOOKUP(V25, Rankings!$A$2:$J$113, 10, FALSE)</f>
        <v>2</v>
      </c>
      <c r="AC25" s="1" t="s">
        <v>4947</v>
      </c>
      <c r="AK25" s="1"/>
      <c r="AL25" s="475" t="s">
        <v>14</v>
      </c>
      <c r="AM25" s="475"/>
      <c r="AN25" s="170">
        <f>SUM(N21:N36)-SUM(Q21:Q36)</f>
        <v>38</v>
      </c>
      <c r="AO25" s="170" t="s">
        <v>723</v>
      </c>
      <c r="AP25" s="170"/>
      <c r="AQ25" s="370">
        <v>3</v>
      </c>
      <c r="AR25" s="375">
        <v>3</v>
      </c>
      <c r="AS25" s="375">
        <v>3</v>
      </c>
      <c r="AT25" s="375">
        <v>3</v>
      </c>
      <c r="AU25" s="375">
        <v>3</v>
      </c>
      <c r="AV25" s="375">
        <v>3</v>
      </c>
      <c r="AW25" s="375">
        <v>3</v>
      </c>
      <c r="AX25" s="375">
        <v>3</v>
      </c>
      <c r="AY25" s="375">
        <v>4</v>
      </c>
      <c r="AZ25" s="375">
        <v>4</v>
      </c>
      <c r="BA25" s="375">
        <v>4</v>
      </c>
      <c r="BB25" s="375">
        <v>5</v>
      </c>
      <c r="BC25" s="375">
        <v>3</v>
      </c>
      <c r="BD25" s="375">
        <v>4</v>
      </c>
      <c r="BE25" s="375">
        <v>4</v>
      </c>
      <c r="BF25" s="375">
        <v>4</v>
      </c>
      <c r="BG25" s="375">
        <v>4</v>
      </c>
      <c r="BH25" s="375">
        <v>2</v>
      </c>
      <c r="BI25" s="375">
        <v>4</v>
      </c>
    </row>
    <row r="26" spans="2:61" x14ac:dyDescent="0.35">
      <c r="B26" s="124" t="str">
        <f>CONCATENATE(VLOOKUP($D26, Rankings!$A$2:$J$113, 3, FALSE), " - ", VLOOKUP($D26, Rankings!$A$2:$J$113, 4, FALSE))</f>
        <v>Seaside - Mauville City</v>
      </c>
      <c r="C26" s="116">
        <f>IF((VLOOKUP(D26, Rankings!$A$2:$AZ$113, 52, FALSE)), (VLOOKUP(D26, Rankings!$A$2:$AZ$113, 52, FALSE)), "")</f>
        <v>40</v>
      </c>
      <c r="D26" s="117">
        <v>31</v>
      </c>
      <c r="E26" s="118">
        <f>VLOOKUP(D26, Rankings!$A$2:$J$113, 6, FALSE)</f>
        <v>9</v>
      </c>
      <c r="F26" s="118">
        <f>VLOOKUP(D26, Rankings!$A$2:$J$113, 7, FALSE)</f>
        <v>4</v>
      </c>
      <c r="G26" s="118"/>
      <c r="H26" s="118">
        <f>VLOOKUP(D26, Rankings!$A$2:$J$113, 9, FALSE)</f>
        <v>6</v>
      </c>
      <c r="I26" s="125">
        <f>VLOOKUP(D26, Rankings!$A$2:$J$113, 10, FALSE)</f>
        <v>3</v>
      </c>
      <c r="J26" s="237" t="s">
        <v>4683</v>
      </c>
      <c r="K26" s="124" t="str">
        <f>CONCATENATE(VLOOKUP($M26, Rankings!$A$2:$J$113, 3, FALSE), " - ", VLOOKUP($M26, Rankings!$A$2:$J$113, 4, FALSE))</f>
        <v>West - Mistralton City</v>
      </c>
      <c r="L26" s="116">
        <f>IF((VLOOKUP(M26, Rankings!$A$2:$AZ$113, 52, FALSE)), (VLOOKUP(M26, Rankings!$A$2:$AZ$113, 52, FALSE)), "")</f>
        <v>59</v>
      </c>
      <c r="M26" s="117">
        <v>52</v>
      </c>
      <c r="N26" s="118">
        <f>VLOOKUP(M26, Rankings!$A$2:$J$113, 6, FALSE)</f>
        <v>6</v>
      </c>
      <c r="O26" s="118">
        <f>VLOOKUP(M26, Rankings!$A$2:$J$113, 7, FALSE)</f>
        <v>7</v>
      </c>
      <c r="P26" s="118"/>
      <c r="Q26" s="118">
        <f>VLOOKUP(M26, Rankings!$A$2:$J$113, 9, FALSE)</f>
        <v>5</v>
      </c>
      <c r="R26" s="125">
        <f>VLOOKUP(M26, Rankings!$A$2:$J$113, 10, FALSE)</f>
        <v>4</v>
      </c>
      <c r="S26" s="237" t="s">
        <v>4683</v>
      </c>
      <c r="T26" s="124" t="str">
        <f>CONCATENATE(VLOOKUP($V26, Rankings!$A$2:$J$113, 3, FALSE), " - ", VLOOKUP($V26, Rankings!$A$2:$J$113, 4, FALSE))</f>
        <v>Akala - Paniola Town</v>
      </c>
      <c r="U26" s="116">
        <f>IF((VLOOKUP(V26, Rankings!$A$2:$AZ$113, 52, FALSE)), (VLOOKUP(V26, Rankings!$A$2:$AZ$113, 52, FALSE)), "")</f>
        <v>43</v>
      </c>
      <c r="V26" s="117">
        <v>96</v>
      </c>
      <c r="W26" s="118">
        <f>VLOOKUP(V26, Rankings!$A$2:$J$113, 6, FALSE)</f>
        <v>7</v>
      </c>
      <c r="X26" s="118">
        <f>VLOOKUP(V26, Rankings!$A$2:$J$113, 7, FALSE)</f>
        <v>6</v>
      </c>
      <c r="Y26" s="118"/>
      <c r="Z26" s="118">
        <f>VLOOKUP(V26, Rankings!$A$2:$J$113, 9, FALSE)</f>
        <v>5</v>
      </c>
      <c r="AA26" s="125">
        <f>VLOOKUP(V26, Rankings!$A$2:$J$113, 10, FALSE)</f>
        <v>4</v>
      </c>
      <c r="AC26" s="1" t="s">
        <v>4948</v>
      </c>
      <c r="AK26" s="1"/>
      <c r="AL26" s="476" t="s">
        <v>15</v>
      </c>
      <c r="AM26" s="476"/>
      <c r="AN26" s="170">
        <f>SUM(W3:W18)-SUM(Z3:Z18)</f>
        <v>31</v>
      </c>
      <c r="AO26" s="170"/>
      <c r="AP26" s="170"/>
      <c r="AQ26" s="370">
        <v>2</v>
      </c>
      <c r="AR26" s="375">
        <v>3</v>
      </c>
      <c r="AS26" s="375">
        <v>3</v>
      </c>
      <c r="AT26" s="375">
        <v>2</v>
      </c>
      <c r="AU26" s="375">
        <v>2</v>
      </c>
      <c r="AV26" s="375">
        <v>3</v>
      </c>
      <c r="AW26" s="375">
        <v>3</v>
      </c>
      <c r="AX26" s="375">
        <v>3</v>
      </c>
      <c r="AY26" s="375">
        <v>3</v>
      </c>
      <c r="AZ26" s="375">
        <v>3</v>
      </c>
      <c r="BA26" s="375">
        <v>3</v>
      </c>
      <c r="BB26" s="375">
        <v>3</v>
      </c>
      <c r="BC26" s="375">
        <v>4</v>
      </c>
      <c r="BD26" s="375">
        <v>3</v>
      </c>
      <c r="BE26" s="375">
        <v>4</v>
      </c>
      <c r="BF26" s="375">
        <v>3</v>
      </c>
      <c r="BG26" s="375">
        <v>4</v>
      </c>
      <c r="BH26" s="375">
        <v>4</v>
      </c>
      <c r="BI26" s="375">
        <v>4</v>
      </c>
    </row>
    <row r="27" spans="2:61" x14ac:dyDescent="0.35">
      <c r="B27" s="124" t="str">
        <f>CONCATENATE(VLOOKUP($D27, Rankings!$A$2:$J$113, 3, FALSE), " - ", VLOOKUP($D27, Rankings!$A$2:$J$113, 4, FALSE))</f>
        <v>Southwest - Littleroot Town</v>
      </c>
      <c r="C27" s="116">
        <f>IF((VLOOKUP(D27, Rankings!$A$2:$AZ$113, 52, FALSE)), (VLOOKUP(D27, Rankings!$A$2:$AZ$113, 52, FALSE)), "")</f>
        <v>26</v>
      </c>
      <c r="D27" s="117">
        <v>18</v>
      </c>
      <c r="E27" s="118">
        <f>VLOOKUP(D27, Rankings!$A$2:$J$113, 6, FALSE)</f>
        <v>9</v>
      </c>
      <c r="F27" s="118">
        <f>VLOOKUP(D27, Rankings!$A$2:$J$113, 7, FALSE)</f>
        <v>4</v>
      </c>
      <c r="G27" s="118"/>
      <c r="H27" s="118">
        <f>VLOOKUP(D27, Rankings!$A$2:$J$113, 9, FALSE)</f>
        <v>5</v>
      </c>
      <c r="I27" s="125">
        <f>VLOOKUP(D27, Rankings!$A$2:$J$113, 10, FALSE)</f>
        <v>4</v>
      </c>
      <c r="K27" s="124" t="str">
        <f>CONCATENATE(VLOOKUP($M27, Rankings!$A$2:$J$113, 3, FALSE), " - ", VLOOKUP($M27, Rankings!$A$2:$J$113, 4, FALSE))</f>
        <v>Southeast - Striaton City</v>
      </c>
      <c r="L27" s="116">
        <f>IF((VLOOKUP(M27, Rankings!$A$2:$AZ$113, 52, FALSE)), (VLOOKUP(M27, Rankings!$A$2:$AZ$113, 52, FALSE)), "")</f>
        <v>48</v>
      </c>
      <c r="M27" s="117">
        <v>60</v>
      </c>
      <c r="N27" s="118">
        <f>VLOOKUP(M27, Rankings!$A$2:$J$113, 6, FALSE)</f>
        <v>7</v>
      </c>
      <c r="O27" s="118">
        <f>VLOOKUP(M27, Rankings!$A$2:$J$113, 7, FALSE)</f>
        <v>6</v>
      </c>
      <c r="P27" s="118"/>
      <c r="Q27" s="118">
        <f>VLOOKUP(M27, Rankings!$A$2:$J$113, 9, FALSE)</f>
        <v>4</v>
      </c>
      <c r="R27" s="125">
        <f>VLOOKUP(M27, Rankings!$A$2:$J$113, 10, FALSE)</f>
        <v>5</v>
      </c>
      <c r="T27" s="124" t="str">
        <f>CONCATENATE(VLOOKUP($V27, Rankings!$A$2:$J$113, 3, FALSE), " - ", VLOOKUP($V27, Rankings!$A$2:$J$113, 4, FALSE))</f>
        <v>Ula'ula - Tapu Village</v>
      </c>
      <c r="U27" s="116">
        <f>IF((VLOOKUP(V27, Rankings!$A$2:$AZ$113, 52, FALSE)), (VLOOKUP(V27, Rankings!$A$2:$AZ$113, 52, FALSE)), "")</f>
        <v>65</v>
      </c>
      <c r="V27" s="117">
        <v>92</v>
      </c>
      <c r="W27" s="118">
        <f>VLOOKUP(V27, Rankings!$A$2:$J$113, 6, FALSE)</f>
        <v>6</v>
      </c>
      <c r="X27" s="118">
        <f>VLOOKUP(V27, Rankings!$A$2:$J$113, 7, FALSE)</f>
        <v>7</v>
      </c>
      <c r="Y27" s="118"/>
      <c r="Z27" s="118">
        <f>VLOOKUP(V27, Rankings!$A$2:$J$113, 9, FALSE)</f>
        <v>5</v>
      </c>
      <c r="AA27" s="125">
        <f>VLOOKUP(V27, Rankings!$A$2:$J$113, 10, FALSE)</f>
        <v>4</v>
      </c>
      <c r="AC27" s="1" t="s">
        <v>4949</v>
      </c>
      <c r="AK27" s="1"/>
      <c r="AL27" s="477" t="s">
        <v>782</v>
      </c>
      <c r="AM27" s="477"/>
      <c r="AN27" s="170">
        <f>SUM(W21:W36)-SUM(Z21:Z36)</f>
        <v>26</v>
      </c>
      <c r="AO27" s="170"/>
      <c r="AP27" s="170"/>
      <c r="AQ27" s="370">
        <v>2</v>
      </c>
      <c r="AR27" s="375">
        <v>2</v>
      </c>
      <c r="AS27" s="375">
        <v>2</v>
      </c>
      <c r="AT27" s="375">
        <v>2</v>
      </c>
      <c r="AU27" s="375">
        <v>2</v>
      </c>
      <c r="AV27" s="375">
        <v>2</v>
      </c>
      <c r="AW27" s="375">
        <v>2</v>
      </c>
      <c r="AX27" s="375">
        <v>2</v>
      </c>
      <c r="AY27" s="375">
        <v>3</v>
      </c>
      <c r="AZ27" s="375">
        <v>3</v>
      </c>
      <c r="BA27" s="375">
        <v>3</v>
      </c>
      <c r="BB27" s="375">
        <v>3</v>
      </c>
      <c r="BC27" s="375">
        <v>3</v>
      </c>
      <c r="BD27" s="375">
        <v>2</v>
      </c>
      <c r="BE27" s="375">
        <v>3</v>
      </c>
      <c r="BF27" s="375">
        <v>4</v>
      </c>
      <c r="BG27" s="375">
        <v>3</v>
      </c>
      <c r="BH27" s="375">
        <v>5</v>
      </c>
      <c r="BI27" s="375">
        <v>2</v>
      </c>
    </row>
    <row r="28" spans="2:61" x14ac:dyDescent="0.35">
      <c r="B28" s="272" t="str">
        <f>CONCATENATE(VLOOKUP($D28, Rankings!$A$2:$J$113, 3, FALSE), " - ", VLOOKUP($D28, Rankings!$A$2:$J$113, 4, FALSE))</f>
        <v>Northwest - Rustboro City</v>
      </c>
      <c r="C28" s="116">
        <f>IF((VLOOKUP(D28, Rankings!$A$2:$AZ$113, 52, FALSE)), (VLOOKUP(D28, Rankings!$A$2:$AZ$113, 52, FALSE)), "")</f>
        <v>25</v>
      </c>
      <c r="D28" s="117">
        <v>23</v>
      </c>
      <c r="E28" s="118">
        <f>VLOOKUP(D28, Rankings!$A$2:$J$113, 6, FALSE)</f>
        <v>7</v>
      </c>
      <c r="F28" s="118">
        <f>VLOOKUP(D28, Rankings!$A$2:$J$113, 7, FALSE)</f>
        <v>6</v>
      </c>
      <c r="G28" s="118"/>
      <c r="H28" s="118">
        <f>VLOOKUP(D28, Rankings!$A$2:$J$113, 9, FALSE)</f>
        <v>5</v>
      </c>
      <c r="I28" s="125">
        <f>VLOOKUP(D28, Rankings!$A$2:$J$113, 10, FALSE)</f>
        <v>4</v>
      </c>
      <c r="K28" s="124" t="str">
        <f>CONCATENATE(VLOOKUP($M28, Rankings!$A$2:$J$113, 3, FALSE), " - ", VLOOKUP($M28, Rankings!$A$2:$J$113, 4, FALSE))</f>
        <v>Southeast - Nacrene City</v>
      </c>
      <c r="L28" s="116">
        <f>IF((VLOOKUP(M28, Rankings!$A$2:$AZ$113, 52, FALSE)), (VLOOKUP(M28, Rankings!$A$2:$AZ$113, 52, FALSE)), "")</f>
        <v>52</v>
      </c>
      <c r="M28" s="117">
        <v>59</v>
      </c>
      <c r="N28" s="118">
        <f>VLOOKUP(M28, Rankings!$A$2:$J$113, 6, FALSE)</f>
        <v>7</v>
      </c>
      <c r="O28" s="118">
        <f>VLOOKUP(M28, Rankings!$A$2:$J$113, 7, FALSE)</f>
        <v>6</v>
      </c>
      <c r="P28" s="118"/>
      <c r="Q28" s="118">
        <f>VLOOKUP(M28, Rankings!$A$2:$J$113, 9, FALSE)</f>
        <v>4</v>
      </c>
      <c r="R28" s="125">
        <f>VLOOKUP(M28, Rankings!$A$2:$J$113, 10, FALSE)</f>
        <v>5</v>
      </c>
      <c r="T28" s="124" t="str">
        <f>CONCATENATE(VLOOKUP($V28, Rankings!$A$2:$J$113, 3, FALSE), " - ", VLOOKUP($V28, Rankings!$A$2:$J$113, 4, FALSE))</f>
        <v>Akala - Heahea City</v>
      </c>
      <c r="U28" s="116">
        <f>IF((VLOOKUP(V28, Rankings!$A$2:$AZ$113, 52, FALSE)), (VLOOKUP(V28, Rankings!$A$2:$AZ$113, 52, FALSE)), "")</f>
        <v>55</v>
      </c>
      <c r="V28" s="117">
        <v>94</v>
      </c>
      <c r="W28" s="118">
        <f>VLOOKUP(V28, Rankings!$A$2:$J$113, 6, FALSE)</f>
        <v>5</v>
      </c>
      <c r="X28" s="118">
        <f>VLOOKUP(V28, Rankings!$A$2:$J$113, 7, FALSE)</f>
        <v>8</v>
      </c>
      <c r="Y28" s="118"/>
      <c r="Z28" s="118">
        <f>VLOOKUP(V28, Rankings!$A$2:$J$113, 9, FALSE)</f>
        <v>4</v>
      </c>
      <c r="AA28" s="125">
        <f>VLOOKUP(V28, Rankings!$A$2:$J$113, 10, FALSE)</f>
        <v>5</v>
      </c>
      <c r="AC28" s="6"/>
      <c r="AK28" s="1"/>
      <c r="AL28" s="470" t="s">
        <v>1023</v>
      </c>
      <c r="AM28" s="470"/>
      <c r="AN28" s="170">
        <f>SUM(AF3:AF18)-SUM(AI3:AI18)</f>
        <v>27</v>
      </c>
      <c r="AO28" s="170"/>
      <c r="AP28" s="170"/>
      <c r="AQ28" s="370">
        <v>3</v>
      </c>
      <c r="AR28" s="375">
        <v>3</v>
      </c>
      <c r="AS28" s="375">
        <v>3</v>
      </c>
      <c r="AT28" s="375">
        <v>3</v>
      </c>
      <c r="AU28" s="375">
        <v>3</v>
      </c>
      <c r="AV28" s="375">
        <v>3</v>
      </c>
      <c r="AW28" s="375">
        <v>3</v>
      </c>
      <c r="AX28" s="375">
        <v>3</v>
      </c>
      <c r="AY28" s="375">
        <v>3</v>
      </c>
      <c r="AZ28" s="375">
        <v>3</v>
      </c>
      <c r="BA28" s="375">
        <v>3</v>
      </c>
      <c r="BB28" s="375">
        <v>4</v>
      </c>
      <c r="BC28" s="375">
        <v>4</v>
      </c>
      <c r="BD28" s="375">
        <v>4</v>
      </c>
      <c r="BE28" s="375">
        <v>4</v>
      </c>
      <c r="BF28" s="375">
        <v>3</v>
      </c>
      <c r="BG28" s="375">
        <v>5</v>
      </c>
      <c r="BH28" s="375">
        <v>3</v>
      </c>
      <c r="BI28" s="375">
        <v>5</v>
      </c>
    </row>
    <row r="29" spans="2:61" x14ac:dyDescent="0.35">
      <c r="B29" s="124" t="str">
        <f>CONCATENATE(VLOOKUP($D29, Rankings!$A$2:$J$113, 3, FALSE), " - ", VLOOKUP($D29, Rankings!$A$2:$J$113, 4, FALSE))</f>
        <v>Southwest - Oldale Town</v>
      </c>
      <c r="C29" s="116">
        <f>IF((VLOOKUP(D29, Rankings!$A$2:$AZ$113, 52, FALSE)), (VLOOKUP(D29, Rankings!$A$2:$AZ$113, 52, FALSE)), "")</f>
        <v>68</v>
      </c>
      <c r="D29" s="117">
        <v>19</v>
      </c>
      <c r="E29" s="118">
        <f>VLOOKUP(D29, Rankings!$A$2:$J$113, 6, FALSE)</f>
        <v>6</v>
      </c>
      <c r="F29" s="118">
        <f>VLOOKUP(D29, Rankings!$A$2:$J$113, 7, FALSE)</f>
        <v>7</v>
      </c>
      <c r="G29" s="118"/>
      <c r="H29" s="118">
        <f>VLOOKUP(D29, Rankings!$A$2:$J$113, 9, FALSE)</f>
        <v>4</v>
      </c>
      <c r="I29" s="125">
        <f>VLOOKUP(D29, Rankings!$A$2:$J$113, 10, FALSE)</f>
        <v>5</v>
      </c>
      <c r="K29" s="124" t="str">
        <f>CONCATENATE(VLOOKUP($M29, Rankings!$A$2:$J$113, 3, FALSE), " - ", VLOOKUP($M29, Rankings!$A$2:$J$113, 4, FALSE))</f>
        <v>Midwest - Icirrus City</v>
      </c>
      <c r="L29" s="116">
        <f>IF((VLOOKUP(M29, Rankings!$A$2:$AZ$113, 52, FALSE)), (VLOOKUP(M29, Rankings!$A$2:$AZ$113, 52, FALSE)), "")</f>
        <v>69</v>
      </c>
      <c r="M29" s="117">
        <v>54</v>
      </c>
      <c r="N29" s="118">
        <f>VLOOKUP(M29, Rankings!$A$2:$J$113, 6, FALSE)</f>
        <v>7</v>
      </c>
      <c r="O29" s="118">
        <f>VLOOKUP(M29, Rankings!$A$2:$J$113, 7, FALSE)</f>
        <v>6</v>
      </c>
      <c r="P29" s="118"/>
      <c r="Q29" s="118">
        <f>VLOOKUP(M29, Rankings!$A$2:$J$113, 9, FALSE)</f>
        <v>4</v>
      </c>
      <c r="R29" s="125">
        <f>VLOOKUP(M29, Rankings!$A$2:$J$113, 10, FALSE)</f>
        <v>5</v>
      </c>
      <c r="T29" s="124" t="str">
        <f>CONCATENATE(VLOOKUP($V29, Rankings!$A$2:$J$113, 3, FALSE), " - ", VLOOKUP($V29, Rankings!$A$2:$J$113, 4, FALSE))</f>
        <v>Ula'ula - Mount Hokulani</v>
      </c>
      <c r="U29" s="116">
        <f>IF((VLOOKUP(V29, Rankings!$A$2:$AZ$113, 52, FALSE)), (VLOOKUP(V29, Rankings!$A$2:$AZ$113, 52, FALSE)), "")</f>
        <v>58</v>
      </c>
      <c r="V29" s="117">
        <v>90</v>
      </c>
      <c r="W29" s="118">
        <f>VLOOKUP(V29, Rankings!$A$2:$J$113, 6, FALSE)</f>
        <v>5</v>
      </c>
      <c r="X29" s="118">
        <f>VLOOKUP(V29, Rankings!$A$2:$J$113, 7, FALSE)</f>
        <v>8</v>
      </c>
      <c r="Y29" s="118"/>
      <c r="Z29" s="118">
        <f>VLOOKUP(V29, Rankings!$A$2:$J$113, 9, FALSE)</f>
        <v>4</v>
      </c>
      <c r="AA29" s="125">
        <f>VLOOKUP(V29, Rankings!$A$2:$J$113, 10, FALSE)</f>
        <v>5</v>
      </c>
      <c r="AM29" s="10"/>
      <c r="AQ29" s="1" t="s">
        <v>4867</v>
      </c>
      <c r="AR29" s="1" t="s">
        <v>4866</v>
      </c>
      <c r="AS29" s="1" t="s">
        <v>4867</v>
      </c>
      <c r="AT29" s="1" t="s">
        <v>4716</v>
      </c>
      <c r="AU29" s="1" t="s">
        <v>4526</v>
      </c>
      <c r="AV29" s="1" t="s">
        <v>4263</v>
      </c>
      <c r="AW29" s="1" t="s">
        <v>906</v>
      </c>
      <c r="AX29" s="1" t="s">
        <v>3900</v>
      </c>
      <c r="AY29" s="1" t="s">
        <v>3465</v>
      </c>
      <c r="AZ29" s="1" t="s">
        <v>3270</v>
      </c>
      <c r="BA29" s="1" t="s">
        <v>3261</v>
      </c>
      <c r="BB29" s="1" t="s">
        <v>740</v>
      </c>
      <c r="BC29" s="1" t="s">
        <v>3269</v>
      </c>
      <c r="BD29" s="1" t="s">
        <v>739</v>
      </c>
      <c r="BE29" s="1" t="s">
        <v>3268</v>
      </c>
      <c r="BF29" s="1" t="s">
        <v>3267</v>
      </c>
      <c r="BG29" s="1" t="s">
        <v>738</v>
      </c>
      <c r="BH29" s="1" t="s">
        <v>3266</v>
      </c>
      <c r="BI29" s="1" t="s">
        <v>3265</v>
      </c>
    </row>
    <row r="30" spans="2:61" x14ac:dyDescent="0.35">
      <c r="B30" s="124" t="str">
        <f>CONCATENATE(VLOOKUP($D30, Rankings!$A$2:$J$113, 3, FALSE), " - ", VLOOKUP($D30, Rankings!$A$2:$J$113, 4, FALSE))</f>
        <v>Islands - Sootopolis City</v>
      </c>
      <c r="C30" s="116">
        <f>IF((VLOOKUP(D30, Rankings!$A$2:$AZ$113, 52, FALSE)), (VLOOKUP(D30, Rankings!$A$2:$AZ$113, 52, FALSE)), "")</f>
        <v>71</v>
      </c>
      <c r="D30" s="117">
        <v>28</v>
      </c>
      <c r="E30" s="118">
        <f>VLOOKUP(D30, Rankings!$A$2:$J$113, 6, FALSE)</f>
        <v>6</v>
      </c>
      <c r="F30" s="118">
        <f>VLOOKUP(D30, Rankings!$A$2:$J$113, 7, FALSE)</f>
        <v>7</v>
      </c>
      <c r="G30" s="118"/>
      <c r="H30" s="118">
        <f>VLOOKUP(D30, Rankings!$A$2:$J$113, 9, FALSE)</f>
        <v>4</v>
      </c>
      <c r="I30" s="125">
        <f>VLOOKUP(D30, Rankings!$A$2:$J$113, 10, FALSE)</f>
        <v>5</v>
      </c>
      <c r="K30" s="124" t="str">
        <f>CONCATENATE(VLOOKUP($M30, Rankings!$A$2:$J$113, 3, FALSE), " - ", VLOOKUP($M30, Rankings!$A$2:$J$113, 4, FALSE))</f>
        <v>Northeast - Undella Town</v>
      </c>
      <c r="L30" s="116">
        <f>IF((VLOOKUP(M30, Rankings!$A$2:$AZ$113, 52, FALSE)), (VLOOKUP(M30, Rankings!$A$2:$AZ$113, 52, FALSE)), "")</f>
        <v>50</v>
      </c>
      <c r="M30" s="117">
        <v>64</v>
      </c>
      <c r="N30" s="118">
        <f>VLOOKUP(M30, Rankings!$A$2:$J$113, 6, FALSE)</f>
        <v>6</v>
      </c>
      <c r="O30" s="118">
        <f>VLOOKUP(M30, Rankings!$A$2:$J$113, 7, FALSE)</f>
        <v>7</v>
      </c>
      <c r="P30" s="118"/>
      <c r="Q30" s="118">
        <f>VLOOKUP(M30, Rankings!$A$2:$J$113, 9, FALSE)</f>
        <v>4</v>
      </c>
      <c r="R30" s="125">
        <f>VLOOKUP(M30, Rankings!$A$2:$J$113, 10, FALSE)</f>
        <v>5</v>
      </c>
      <c r="T30" s="124" t="str">
        <f>CONCATENATE(VLOOKUP($V30, Rankings!$A$2:$J$113, 3, FALSE), " - ", VLOOKUP($V30, Rankings!$A$2:$J$113, 4, FALSE))</f>
        <v>Akala - Aether Paradise</v>
      </c>
      <c r="U30" s="116">
        <f>IF((VLOOKUP(V30, Rankings!$A$2:$AZ$113, 52, FALSE)), (VLOOKUP(V30, Rankings!$A$2:$AZ$113, 52, FALSE)), "")</f>
        <v>87</v>
      </c>
      <c r="V30" s="117">
        <v>93</v>
      </c>
      <c r="W30" s="118">
        <f>VLOOKUP(V30, Rankings!$A$2:$J$113, 6, FALSE)</f>
        <v>5</v>
      </c>
      <c r="X30" s="118">
        <f>VLOOKUP(V30, Rankings!$A$2:$J$113, 7, FALSE)</f>
        <v>8</v>
      </c>
      <c r="Y30" s="118"/>
      <c r="Z30" s="118">
        <f>VLOOKUP(V30, Rankings!$A$2:$J$113, 9, FALSE)</f>
        <v>4</v>
      </c>
      <c r="AA30" s="125">
        <f>VLOOKUP(V30, Rankings!$A$2:$J$113, 10, FALSE)</f>
        <v>5</v>
      </c>
      <c r="AG30" s="10" t="s">
        <v>1792</v>
      </c>
      <c r="AL30" s="471" t="s">
        <v>4951</v>
      </c>
      <c r="AM30" s="471"/>
    </row>
    <row r="31" spans="2:61" x14ac:dyDescent="0.35">
      <c r="B31" s="124" t="str">
        <f>CONCATENATE(VLOOKUP($D31, Rankings!$A$2:$J$113, 3, FALSE), " - ", VLOOKUP($D31, Rankings!$A$2:$J$113, 4, FALSE))</f>
        <v>Seaside - Lilycove City</v>
      </c>
      <c r="C31" s="116">
        <f>IF((VLOOKUP(D31, Rankings!$A$2:$AZ$113, 52, FALSE)), (VLOOKUP(D31, Rankings!$A$2:$AZ$113, 52, FALSE)), "")</f>
        <v>49</v>
      </c>
      <c r="D31" s="117">
        <v>30</v>
      </c>
      <c r="E31" s="118">
        <f>VLOOKUP(D31, Rankings!$A$2:$J$113, 6, FALSE)</f>
        <v>6</v>
      </c>
      <c r="F31" s="118">
        <f>VLOOKUP(D31, Rankings!$A$2:$J$113, 7, FALSE)</f>
        <v>7</v>
      </c>
      <c r="G31" s="118"/>
      <c r="H31" s="118">
        <f>VLOOKUP(D31, Rankings!$A$2:$J$113, 9, FALSE)</f>
        <v>3</v>
      </c>
      <c r="I31" s="125">
        <f>VLOOKUP(D31, Rankings!$A$2:$J$113, 10, FALSE)</f>
        <v>6</v>
      </c>
      <c r="K31" s="124" t="str">
        <f>CONCATENATE(VLOOKUP($M31, Rankings!$A$2:$J$113, 3, FALSE), " - ", VLOOKUP($M31, Rankings!$A$2:$J$113, 4, FALSE))</f>
        <v>Southeast - Accumula Town</v>
      </c>
      <c r="L31" s="116">
        <f>IF((VLOOKUP(M31, Rankings!$A$2:$AZ$113, 52, FALSE)), (VLOOKUP(M31, Rankings!$A$2:$AZ$113, 52, FALSE)), "")</f>
        <v>53</v>
      </c>
      <c r="M31" s="117">
        <v>57</v>
      </c>
      <c r="N31" s="118">
        <f>VLOOKUP(M31, Rankings!$A$2:$J$113, 6, FALSE)</f>
        <v>6</v>
      </c>
      <c r="O31" s="118">
        <f>VLOOKUP(M31, Rankings!$A$2:$J$113, 7, FALSE)</f>
        <v>7</v>
      </c>
      <c r="P31" s="118"/>
      <c r="Q31" s="118">
        <f>VLOOKUP(M31, Rankings!$A$2:$J$113, 9, FALSE)</f>
        <v>4</v>
      </c>
      <c r="R31" s="125">
        <f>VLOOKUP(M31, Rankings!$A$2:$J$113, 10, FALSE)</f>
        <v>5</v>
      </c>
      <c r="T31" s="124" t="str">
        <f>CONCATENATE(VLOOKUP($V31, Rankings!$A$2:$J$113, 3, FALSE), " - ", VLOOKUP($V31, Rankings!$A$2:$J$113, 4, FALSE))</f>
        <v>Poni - Seafolk Village</v>
      </c>
      <c r="U31" s="116">
        <f>IF((VLOOKUP(V31, Rankings!$A$2:$AZ$113, 52, FALSE)), (VLOOKUP(V31, Rankings!$A$2:$AZ$113, 52, FALSE)), "")</f>
        <v>76</v>
      </c>
      <c r="V31" s="117">
        <v>83</v>
      </c>
      <c r="W31" s="118">
        <f>VLOOKUP(V31, Rankings!$A$2:$J$113, 6, FALSE)</f>
        <v>5</v>
      </c>
      <c r="X31" s="118">
        <f>VLOOKUP(V31, Rankings!$A$2:$J$113, 7, FALSE)</f>
        <v>8</v>
      </c>
      <c r="Y31" s="118"/>
      <c r="Z31" s="118">
        <f>VLOOKUP(V31, Rankings!$A$2:$J$113, 9, FALSE)</f>
        <v>3</v>
      </c>
      <c r="AA31" s="125">
        <f>VLOOKUP(V31, Rankings!$A$2:$J$113, 10, FALSE)</f>
        <v>6</v>
      </c>
      <c r="AG31" s="155" t="s">
        <v>1565</v>
      </c>
      <c r="AL31" s="155" t="s">
        <v>87</v>
      </c>
      <c r="AM31" s="387" t="s">
        <v>77</v>
      </c>
      <c r="AN31" s="1" t="s">
        <v>1805</v>
      </c>
    </row>
    <row r="32" spans="2:61" x14ac:dyDescent="0.35">
      <c r="B32" s="124" t="str">
        <f>CONCATENATE(VLOOKUP($D32, Rankings!$A$2:$J$113, 3, FALSE), " - ", VLOOKUP($D32, Rankings!$A$2:$J$113, 4, FALSE))</f>
        <v>Islands - Pacifidlog Town</v>
      </c>
      <c r="C32" s="116">
        <f>IF((VLOOKUP(D32, Rankings!$A$2:$AZ$113, 52, FALSE)), (VLOOKUP(D32, Rankings!$A$2:$AZ$113, 52, FALSE)), "")</f>
        <v>78</v>
      </c>
      <c r="D32" s="117">
        <v>27</v>
      </c>
      <c r="E32" s="118">
        <f>VLOOKUP(D32, Rankings!$A$2:$J$113, 6, FALSE)</f>
        <v>4</v>
      </c>
      <c r="F32" s="118">
        <f>VLOOKUP(D32, Rankings!$A$2:$J$113, 7, FALSE)</f>
        <v>9</v>
      </c>
      <c r="G32" s="118"/>
      <c r="H32" s="118">
        <f>VLOOKUP(D32, Rankings!$A$2:$J$113, 9, FALSE)</f>
        <v>3</v>
      </c>
      <c r="I32" s="125">
        <f>VLOOKUP(D32, Rankings!$A$2:$J$113, 10, FALSE)</f>
        <v>6</v>
      </c>
      <c r="K32" s="124" t="str">
        <f>CONCATENATE(VLOOKUP($M32, Rankings!$A$2:$J$113, 3, FALSE), " - ", VLOOKUP($M32, Rankings!$A$2:$J$113, 4, FALSE))</f>
        <v>Midwest - Nimbasa City</v>
      </c>
      <c r="L32" s="116">
        <f>IF((VLOOKUP(M32, Rankings!$A$2:$AZ$113, 52, FALSE)), (VLOOKUP(M32, Rankings!$A$2:$AZ$113, 52, FALSE)), "")</f>
        <v>60</v>
      </c>
      <c r="M32" s="117">
        <v>55</v>
      </c>
      <c r="N32" s="118">
        <f>VLOOKUP(M32, Rankings!$A$2:$J$113, 6, FALSE)</f>
        <v>5</v>
      </c>
      <c r="O32" s="118">
        <f>VLOOKUP(M32, Rankings!$A$2:$J$113, 7, FALSE)</f>
        <v>8</v>
      </c>
      <c r="P32" s="118"/>
      <c r="Q32" s="118">
        <f>VLOOKUP(M32, Rankings!$A$2:$J$113, 9, FALSE)</f>
        <v>4</v>
      </c>
      <c r="R32" s="125">
        <f>VLOOKUP(M32, Rankings!$A$2:$J$113, 10, FALSE)</f>
        <v>5</v>
      </c>
      <c r="T32" s="124" t="str">
        <f>CONCATENATE(VLOOKUP($V32, Rankings!$A$2:$J$113, 3, FALSE), " - ", VLOOKUP($V32, Rankings!$A$2:$J$113, 4, FALSE))</f>
        <v>Poni - Exeggutor Island</v>
      </c>
      <c r="U32" s="116">
        <f>IF((VLOOKUP(V32, Rankings!$A$2:$AZ$113, 52, FALSE)), (VLOOKUP(V32, Rankings!$A$2:$AZ$113, 52, FALSE)), "")</f>
        <v>91</v>
      </c>
      <c r="V32" s="117">
        <v>81</v>
      </c>
      <c r="W32" s="118">
        <f>VLOOKUP(V32, Rankings!$A$2:$J$113, 6, FALSE)</f>
        <v>3</v>
      </c>
      <c r="X32" s="118">
        <f>VLOOKUP(V32, Rankings!$A$2:$J$113, 7, FALSE)</f>
        <v>10</v>
      </c>
      <c r="Y32" s="118"/>
      <c r="Z32" s="118">
        <f>VLOOKUP(V32, Rankings!$A$2:$J$113, 9, FALSE)</f>
        <v>3</v>
      </c>
      <c r="AA32" s="125">
        <f>VLOOKUP(V32, Rankings!$A$2:$J$113, 10, FALSE)</f>
        <v>6</v>
      </c>
      <c r="AG32" s="156" t="s">
        <v>1566</v>
      </c>
      <c r="AL32" s="156" t="s">
        <v>115</v>
      </c>
      <c r="AM32" s="388" t="s">
        <v>67</v>
      </c>
      <c r="AN32" s="1" t="s">
        <v>4910</v>
      </c>
    </row>
    <row r="33" spans="2:40" x14ac:dyDescent="0.35">
      <c r="B33" s="124" t="str">
        <f>CONCATENATE(VLOOKUP($D33, Rankings!$A$2:$J$113, 3, FALSE), " - ", VLOOKUP($D33, Rankings!$A$2:$J$113, 4, FALSE))</f>
        <v>Southwest - Petalburg City</v>
      </c>
      <c r="C33" s="116">
        <f>IF((VLOOKUP(D33, Rankings!$A$2:$AZ$113, 52, FALSE)), (VLOOKUP(D33, Rankings!$A$2:$AZ$113, 52, FALSE)), "")</f>
        <v>102</v>
      </c>
      <c r="D33" s="117">
        <v>20</v>
      </c>
      <c r="E33" s="118">
        <f>VLOOKUP(D33, Rankings!$A$2:$J$113, 6, FALSE)</f>
        <v>5</v>
      </c>
      <c r="F33" s="118">
        <f>VLOOKUP(D33, Rankings!$A$2:$J$113, 7, FALSE)</f>
        <v>8</v>
      </c>
      <c r="G33" s="118"/>
      <c r="H33" s="118">
        <f>VLOOKUP(D33, Rankings!$A$2:$J$113, 9, FALSE)</f>
        <v>2</v>
      </c>
      <c r="I33" s="125">
        <f>VLOOKUP(D33, Rankings!$A$2:$J$113, 10, FALSE)</f>
        <v>7</v>
      </c>
      <c r="K33" s="124" t="str">
        <f>CONCATENATE(VLOOKUP($M33, Rankings!$A$2:$J$113, 3, FALSE), " - ", VLOOKUP($M33, Rankings!$A$2:$J$113, 4, FALSE))</f>
        <v>Midwest - Driftveil City</v>
      </c>
      <c r="L33" s="116">
        <f>IF((VLOOKUP(M33, Rankings!$A$2:$AZ$113, 52, FALSE)), (VLOOKUP(M33, Rankings!$A$2:$AZ$113, 52, FALSE)), "")</f>
        <v>77</v>
      </c>
      <c r="M33" s="117">
        <v>53</v>
      </c>
      <c r="N33" s="118">
        <f>VLOOKUP(M33, Rankings!$A$2:$J$113, 6, FALSE)</f>
        <v>5</v>
      </c>
      <c r="O33" s="118">
        <f>VLOOKUP(M33, Rankings!$A$2:$J$113, 7, FALSE)</f>
        <v>8</v>
      </c>
      <c r="P33" s="118"/>
      <c r="Q33" s="118">
        <f>VLOOKUP(M33, Rankings!$A$2:$J$113, 9, FALSE)</f>
        <v>4</v>
      </c>
      <c r="R33" s="125">
        <f>VLOOKUP(M33, Rankings!$A$2:$J$113, 10, FALSE)</f>
        <v>5</v>
      </c>
      <c r="T33" s="124" t="str">
        <f>CONCATENATE(VLOOKUP($V33, Rankings!$A$2:$J$113, 3, FALSE), " - ", VLOOKUP($V33, Rankings!$A$2:$J$113, 4, FALSE))</f>
        <v>Poni - Vast Poni Canyon</v>
      </c>
      <c r="U33" s="116">
        <f>IF((VLOOKUP(V33, Rankings!$A$2:$AZ$113, 52, FALSE)), (VLOOKUP(V33, Rankings!$A$2:$AZ$113, 52, FALSE)), "")</f>
        <v>104</v>
      </c>
      <c r="V33" s="117">
        <v>84</v>
      </c>
      <c r="W33" s="118">
        <f>VLOOKUP(V33, Rankings!$A$2:$J$113, 6, FALSE)</f>
        <v>3</v>
      </c>
      <c r="X33" s="118">
        <f>VLOOKUP(V33, Rankings!$A$2:$J$113, 7, FALSE)</f>
        <v>10</v>
      </c>
      <c r="Y33" s="118"/>
      <c r="Z33" s="118">
        <f>VLOOKUP(V33, Rankings!$A$2:$J$113, 9, FALSE)</f>
        <v>3</v>
      </c>
      <c r="AA33" s="125">
        <f>VLOOKUP(V33, Rankings!$A$2:$J$113, 10, FALSE)</f>
        <v>6</v>
      </c>
      <c r="AG33" s="157" t="s">
        <v>1567</v>
      </c>
      <c r="AL33" s="157" t="s">
        <v>118</v>
      </c>
      <c r="AM33" s="389" t="s">
        <v>145</v>
      </c>
      <c r="AN33" s="1" t="s">
        <v>740</v>
      </c>
    </row>
    <row r="34" spans="2:40" x14ac:dyDescent="0.35">
      <c r="B34" s="124" t="str">
        <f>CONCATENATE(VLOOKUP($D34, Rankings!$A$2:$J$113, 3, FALSE), " - ", VLOOKUP($D34, Rankings!$A$2:$J$113, 4, FALSE))</f>
        <v>Islands - Mossdeep City</v>
      </c>
      <c r="C34" s="116">
        <f>IF((VLOOKUP(D34, Rankings!$A$2:$AZ$113, 52, FALSE)), (VLOOKUP(D34, Rankings!$A$2:$AZ$113, 52, FALSE)), "")</f>
        <v>97</v>
      </c>
      <c r="D34" s="117">
        <v>26</v>
      </c>
      <c r="E34" s="118">
        <f>VLOOKUP(D34, Rankings!$A$2:$J$113, 6, FALSE)</f>
        <v>4</v>
      </c>
      <c r="F34" s="118">
        <f>VLOOKUP(D34, Rankings!$A$2:$J$113, 7, FALSE)</f>
        <v>9</v>
      </c>
      <c r="G34" s="118"/>
      <c r="H34" s="118">
        <f>VLOOKUP(D34, Rankings!$A$2:$J$113, 9, FALSE)</f>
        <v>2</v>
      </c>
      <c r="I34" s="125">
        <f>VLOOKUP(D34, Rankings!$A$2:$J$113, 10, FALSE)</f>
        <v>7</v>
      </c>
      <c r="K34" s="124" t="str">
        <f>CONCATENATE(VLOOKUP($M34, Rankings!$A$2:$J$113, 3, FALSE), " - ", VLOOKUP($M34, Rankings!$A$2:$J$113, 4, FALSE))</f>
        <v>Northeast - Opelucid City</v>
      </c>
      <c r="L34" s="116">
        <f>IF((VLOOKUP(M34, Rankings!$A$2:$AZ$113, 52, FALSE)), (VLOOKUP(M34, Rankings!$A$2:$AZ$113, 52, FALSE)), "")</f>
        <v>67</v>
      </c>
      <c r="M34" s="117">
        <v>63</v>
      </c>
      <c r="N34" s="118">
        <f>VLOOKUP(M34, Rankings!$A$2:$J$113, 6, FALSE)</f>
        <v>6</v>
      </c>
      <c r="O34" s="118">
        <f>VLOOKUP(M34, Rankings!$A$2:$J$113, 7, FALSE)</f>
        <v>7</v>
      </c>
      <c r="P34" s="118"/>
      <c r="Q34" s="118">
        <f>VLOOKUP(M34, Rankings!$A$2:$J$113, 9, FALSE)</f>
        <v>3</v>
      </c>
      <c r="R34" s="125">
        <f>VLOOKUP(M34, Rankings!$A$2:$J$113, 10, FALSE)</f>
        <v>6</v>
      </c>
      <c r="T34" s="124" t="str">
        <f>CONCATENATE(VLOOKUP($V34, Rankings!$A$2:$J$113, 3, FALSE), " - ", VLOOKUP($V34, Rankings!$A$2:$J$113, 4, FALSE))</f>
        <v>Melemele - Hau'oli City</v>
      </c>
      <c r="U34" s="116">
        <f>IF((VLOOKUP(V34, Rankings!$A$2:$AZ$113, 52, FALSE)), (VLOOKUP(V34, Rankings!$A$2:$AZ$113, 52, FALSE)), "")</f>
        <v>106</v>
      </c>
      <c r="V34" s="117">
        <v>85</v>
      </c>
      <c r="W34" s="118">
        <f>VLOOKUP(V34, Rankings!$A$2:$J$113, 6, FALSE)</f>
        <v>3</v>
      </c>
      <c r="X34" s="118">
        <f>VLOOKUP(V34, Rankings!$A$2:$J$113, 7, FALSE)</f>
        <v>10</v>
      </c>
      <c r="Y34" s="118"/>
      <c r="Z34" s="118">
        <f>VLOOKUP(V34, Rankings!$A$2:$J$113, 9, FALSE)</f>
        <v>3</v>
      </c>
      <c r="AA34" s="125">
        <f>VLOOKUP(V34, Rankings!$A$2:$J$113, 10, FALSE)</f>
        <v>6</v>
      </c>
      <c r="AG34" s="158" t="s">
        <v>1568</v>
      </c>
      <c r="AL34" s="390" t="s">
        <v>36</v>
      </c>
      <c r="AM34" s="184" t="s">
        <v>41</v>
      </c>
      <c r="AN34" s="1" t="s">
        <v>4910</v>
      </c>
    </row>
    <row r="35" spans="2:40" x14ac:dyDescent="0.35">
      <c r="B35" s="124" t="str">
        <f>CONCATENATE(VLOOKUP($D35, Rankings!$A$2:$J$113, 3, FALSE), " - ", VLOOKUP($D35, Rankings!$A$2:$J$113, 4, FALSE))</f>
        <v>Northwest - Lavaridge Town</v>
      </c>
      <c r="C35" s="116">
        <f>IF((VLOOKUP(D35, Rankings!$A$2:$AZ$113, 52, FALSE)), (VLOOKUP(D35, Rankings!$A$2:$AZ$113, 52, FALSE)), "")</f>
        <v>98</v>
      </c>
      <c r="D35" s="117">
        <v>22</v>
      </c>
      <c r="E35" s="118">
        <f>VLOOKUP(D35, Rankings!$A$2:$J$113, 6, FALSE)</f>
        <v>3</v>
      </c>
      <c r="F35" s="118">
        <f>VLOOKUP(D35, Rankings!$A$2:$J$113, 7, FALSE)</f>
        <v>10</v>
      </c>
      <c r="G35" s="118"/>
      <c r="H35" s="118">
        <f>VLOOKUP(D35, Rankings!$A$2:$J$113, 9, FALSE)</f>
        <v>2</v>
      </c>
      <c r="I35" s="125">
        <f>VLOOKUP(D35, Rankings!$A$2:$J$113, 10, FALSE)</f>
        <v>7</v>
      </c>
      <c r="K35" s="124" t="str">
        <f>CONCATENATE(VLOOKUP($M35, Rankings!$A$2:$J$113, 3, FALSE), " - ", VLOOKUP($M35, Rankings!$A$2:$J$113, 4, FALSE))</f>
        <v>Northeast - Lacunosa Town</v>
      </c>
      <c r="L35" s="116">
        <f>IF((VLOOKUP(M35, Rankings!$A$2:$AZ$113, 52, FALSE)), (VLOOKUP(M35, Rankings!$A$2:$AZ$113, 52, FALSE)), "")</f>
        <v>75</v>
      </c>
      <c r="M35" s="117">
        <v>62</v>
      </c>
      <c r="N35" s="118">
        <f>VLOOKUP(M35, Rankings!$A$2:$J$113, 6, FALSE)</f>
        <v>5</v>
      </c>
      <c r="O35" s="118">
        <f>VLOOKUP(M35, Rankings!$A$2:$J$113, 7, FALSE)</f>
        <v>8</v>
      </c>
      <c r="P35" s="118"/>
      <c r="Q35" s="118">
        <f>VLOOKUP(M35, Rankings!$A$2:$J$113, 9, FALSE)</f>
        <v>3</v>
      </c>
      <c r="R35" s="125">
        <f>VLOOKUP(M35, Rankings!$A$2:$J$113, 10, FALSE)</f>
        <v>6</v>
      </c>
      <c r="T35" s="124" t="str">
        <f>CONCATENATE(VLOOKUP($V35, Rankings!$A$2:$J$113, 3, FALSE), " - ", VLOOKUP($V35, Rankings!$A$2:$J$113, 4, FALSE))</f>
        <v>Ula'ula - Po Town</v>
      </c>
      <c r="U35" s="116">
        <f>IF((VLOOKUP(V35, Rankings!$A$2:$AZ$113, 52, FALSE)), (VLOOKUP(V35, Rankings!$A$2:$AZ$113, 52, FALSE)), "")</f>
        <v>88</v>
      </c>
      <c r="V35" s="117">
        <v>91</v>
      </c>
      <c r="W35" s="118">
        <f>VLOOKUP(V35, Rankings!$A$2:$J$113, 6, FALSE)</f>
        <v>3</v>
      </c>
      <c r="X35" s="118">
        <f>VLOOKUP(V35, Rankings!$A$2:$J$113, 7, FALSE)</f>
        <v>10</v>
      </c>
      <c r="Y35" s="118"/>
      <c r="Z35" s="118">
        <f>VLOOKUP(V35, Rankings!$A$2:$J$113, 9, FALSE)</f>
        <v>2</v>
      </c>
      <c r="AA35" s="125">
        <f>VLOOKUP(V35, Rankings!$A$2:$J$113, 10, FALSE)</f>
        <v>7</v>
      </c>
      <c r="AG35" s="159" t="s">
        <v>1569</v>
      </c>
      <c r="AL35" s="159" t="s">
        <v>26</v>
      </c>
      <c r="AM35" s="391" t="s">
        <v>119</v>
      </c>
      <c r="AN35" s="1" t="s">
        <v>1805</v>
      </c>
    </row>
    <row r="36" spans="2:40" ht="15" thickBot="1" x14ac:dyDescent="0.4">
      <c r="B36" s="126" t="str">
        <f>CONCATENATE(VLOOKUP($D36, Rankings!$A$2:$J$113, 3, FALSE), " - ", VLOOKUP($D36, Rankings!$A$2:$J$113, 4, FALSE))</f>
        <v>Northwest - Verdanturf Town</v>
      </c>
      <c r="C36" s="127">
        <f>IF((VLOOKUP(D36, Rankings!$A$2:$AZ$113, 52, FALSE)), (VLOOKUP(D36, Rankings!$A$2:$AZ$113, 52, FALSE)), "")</f>
        <v>101</v>
      </c>
      <c r="D36" s="128">
        <v>24</v>
      </c>
      <c r="E36" s="129">
        <f>VLOOKUP(D36, Rankings!$A$2:$J$113, 6, FALSE)</f>
        <v>2</v>
      </c>
      <c r="F36" s="129">
        <f>VLOOKUP(D36, Rankings!$A$2:$J$113, 7, FALSE)</f>
        <v>11</v>
      </c>
      <c r="G36" s="129"/>
      <c r="H36" s="129">
        <f>VLOOKUP(D36, Rankings!$A$2:$J$113, 9, FALSE)</f>
        <v>2</v>
      </c>
      <c r="I36" s="130">
        <f>VLOOKUP(D36, Rankings!$A$2:$J$113, 10, FALSE)</f>
        <v>7</v>
      </c>
      <c r="K36" s="126" t="str">
        <f>CONCATENATE(VLOOKUP($M36, Rankings!$A$2:$J$113, 3, FALSE), " - ", VLOOKUP($M36, Rankings!$A$2:$J$113, 4, FALSE))</f>
        <v>West - Aspertia City</v>
      </c>
      <c r="L36" s="127">
        <f>IF((VLOOKUP(M36, Rankings!$A$2:$AZ$113, 52, FALSE)), (VLOOKUP(M36, Rankings!$A$2:$AZ$113, 52, FALSE)), "")</f>
        <v>83</v>
      </c>
      <c r="M36" s="128">
        <v>50</v>
      </c>
      <c r="N36" s="129">
        <f>VLOOKUP(M36, Rankings!$A$2:$J$113, 6, FALSE)</f>
        <v>3</v>
      </c>
      <c r="O36" s="129">
        <f>VLOOKUP(M36, Rankings!$A$2:$J$113, 7, FALSE)</f>
        <v>10</v>
      </c>
      <c r="P36" s="129"/>
      <c r="Q36" s="129">
        <f>VLOOKUP(M36, Rankings!$A$2:$J$113, 9, FALSE)</f>
        <v>1</v>
      </c>
      <c r="R36" s="130">
        <f>VLOOKUP(M36, Rankings!$A$2:$J$113, 10, FALSE)</f>
        <v>8</v>
      </c>
      <c r="T36" s="126" t="str">
        <f>CONCATENATE(VLOOKUP($V36, Rankings!$A$2:$J$113, 3, FALSE), " - ", VLOOKUP($V36, Rankings!$A$2:$J$113, 4, FALSE))</f>
        <v>Akala - Konikoni City</v>
      </c>
      <c r="U36" s="127">
        <f>IF((VLOOKUP(V36, Rankings!$A$2:$AZ$113, 52, FALSE)), (VLOOKUP(V36, Rankings!$A$2:$AZ$113, 52, FALSE)), "")</f>
        <v>96</v>
      </c>
      <c r="V36" s="128">
        <v>95</v>
      </c>
      <c r="W36" s="129">
        <f>VLOOKUP(V36, Rankings!$A$2:$J$113, 6, FALSE)</f>
        <v>4</v>
      </c>
      <c r="X36" s="129">
        <f>VLOOKUP(V36, Rankings!$A$2:$J$113, 7, FALSE)</f>
        <v>9</v>
      </c>
      <c r="Y36" s="129"/>
      <c r="Z36" s="129">
        <f>VLOOKUP(V36, Rankings!$A$2:$J$113, 9, FALSE)</f>
        <v>1</v>
      </c>
      <c r="AA36" s="130">
        <f>VLOOKUP(V36, Rankings!$A$2:$J$113, 10, FALSE)</f>
        <v>8</v>
      </c>
      <c r="AG36" s="160" t="s">
        <v>1570</v>
      </c>
      <c r="AL36" s="392" t="s">
        <v>908</v>
      </c>
      <c r="AM36" s="186" t="s">
        <v>795</v>
      </c>
      <c r="AN36" s="1" t="s">
        <v>4855</v>
      </c>
    </row>
    <row r="37" spans="2:40" x14ac:dyDescent="0.35">
      <c r="AG37" s="161" t="s">
        <v>1656</v>
      </c>
      <c r="AL37" s="161" t="s">
        <v>1344</v>
      </c>
      <c r="AM37" s="393" t="s">
        <v>962</v>
      </c>
      <c r="AN37" s="1" t="s">
        <v>3465</v>
      </c>
    </row>
    <row r="38" spans="2:40" x14ac:dyDescent="0.35">
      <c r="K38" s="273" t="s">
        <v>4714</v>
      </c>
      <c r="AL38" s="237" t="s">
        <v>4053</v>
      </c>
      <c r="AM38" s="1" t="s">
        <v>4054</v>
      </c>
    </row>
    <row r="42" spans="2:40" x14ac:dyDescent="0.35">
      <c r="AM42" s="155" t="s">
        <v>1605</v>
      </c>
    </row>
    <row r="43" spans="2:40" x14ac:dyDescent="0.35">
      <c r="T43" s="1" t="str">
        <f>ScoreboardNCAA!B2</f>
        <v>Goldenrod City</v>
      </c>
      <c r="U43" s="90">
        <f>ScoreboardNCAA!I4</f>
        <v>3</v>
      </c>
      <c r="AM43" s="156" t="s">
        <v>1606</v>
      </c>
    </row>
    <row r="44" spans="2:40" x14ac:dyDescent="0.35">
      <c r="T44" s="1" t="str">
        <f>ScoreboardNCAA!N2</f>
        <v>Cianwood City</v>
      </c>
      <c r="U44" s="339">
        <f>ScoreboardNCAA!M4</f>
        <v>1</v>
      </c>
      <c r="AM44" s="157" t="s">
        <v>1607</v>
      </c>
    </row>
    <row r="45" spans="2:40" x14ac:dyDescent="0.35">
      <c r="AM45" s="158" t="s">
        <v>1608</v>
      </c>
    </row>
    <row r="46" spans="2:40" x14ac:dyDescent="0.35">
      <c r="AM46" s="159" t="s">
        <v>1609</v>
      </c>
    </row>
    <row r="47" spans="2:40" x14ac:dyDescent="0.35">
      <c r="AM47" s="160" t="s">
        <v>794</v>
      </c>
    </row>
    <row r="48" spans="2:40" x14ac:dyDescent="0.35">
      <c r="AM48" s="161" t="s">
        <v>1610</v>
      </c>
    </row>
  </sheetData>
  <sortState xmlns:xlrd2="http://schemas.microsoft.com/office/spreadsheetml/2017/richdata2" ref="AC3:AJ18">
    <sortCondition ref="AJ3:AJ18"/>
    <sortCondition ref="AG3:AG18"/>
    <sortCondition ref="AD3:AD18"/>
  </sortState>
  <mergeCells count="8">
    <mergeCell ref="AL28:AM28"/>
    <mergeCell ref="AL30:AM30"/>
    <mergeCell ref="AL22:AM22"/>
    <mergeCell ref="AL23:AM23"/>
    <mergeCell ref="AL24:AM24"/>
    <mergeCell ref="AL25:AM25"/>
    <mergeCell ref="AL26:AM26"/>
    <mergeCell ref="AL27:AM27"/>
  </mergeCells>
  <conditionalFormatting sqref="C3:C18">
    <cfRule type="cellIs" dxfId="164" priority="25" operator="greaterThan">
      <formula>25</formula>
    </cfRule>
    <cfRule type="cellIs" dxfId="163" priority="32" operator="lessThan">
      <formula>26</formula>
    </cfRule>
  </conditionalFormatting>
  <conditionalFormatting sqref="C21:C33 C35:C36">
    <cfRule type="cellIs" dxfId="162" priority="23" operator="greaterThan">
      <formula>25</formula>
    </cfRule>
    <cfRule type="cellIs" dxfId="161" priority="24" operator="lessThan">
      <formula>26</formula>
    </cfRule>
  </conditionalFormatting>
  <conditionalFormatting sqref="AD3:AD18">
    <cfRule type="cellIs" dxfId="160" priority="21" operator="greaterThan">
      <formula>25</formula>
    </cfRule>
    <cfRule type="cellIs" dxfId="159" priority="22" operator="lessThan">
      <formula>26</formula>
    </cfRule>
  </conditionalFormatting>
  <conditionalFormatting sqref="L3:L18">
    <cfRule type="cellIs" dxfId="158" priority="19" operator="greaterThan">
      <formula>25</formula>
    </cfRule>
    <cfRule type="cellIs" dxfId="157" priority="20" operator="lessThan">
      <formula>26</formula>
    </cfRule>
  </conditionalFormatting>
  <conditionalFormatting sqref="L21:L33 L35:L36">
    <cfRule type="cellIs" dxfId="156" priority="17" operator="greaterThan">
      <formula>25</formula>
    </cfRule>
    <cfRule type="cellIs" dxfId="155" priority="18" operator="lessThan">
      <formula>26</formula>
    </cfRule>
  </conditionalFormatting>
  <conditionalFormatting sqref="U3:U18">
    <cfRule type="cellIs" dxfId="154" priority="15" operator="greaterThan">
      <formula>25</formula>
    </cfRule>
    <cfRule type="cellIs" dxfId="153" priority="16" operator="lessThan">
      <formula>26</formula>
    </cfRule>
  </conditionalFormatting>
  <conditionalFormatting sqref="U21:U33 U35:U36">
    <cfRule type="cellIs" dxfId="152" priority="13" operator="greaterThan">
      <formula>25</formula>
    </cfRule>
    <cfRule type="cellIs" dxfId="151" priority="14" operator="lessThan">
      <formula>26</formula>
    </cfRule>
  </conditionalFormatting>
  <conditionalFormatting sqref="C34">
    <cfRule type="cellIs" dxfId="150" priority="11" operator="greaterThan">
      <formula>25</formula>
    </cfRule>
    <cfRule type="cellIs" dxfId="149" priority="12" operator="lessThan">
      <formula>26</formula>
    </cfRule>
  </conditionalFormatting>
  <conditionalFormatting sqref="L34">
    <cfRule type="cellIs" dxfId="148" priority="9" operator="greaterThan">
      <formula>25</formula>
    </cfRule>
    <cfRule type="cellIs" dxfId="147" priority="10" operator="lessThan">
      <formula>26</formula>
    </cfRule>
  </conditionalFormatting>
  <conditionalFormatting sqref="U34">
    <cfRule type="cellIs" dxfId="146" priority="7" operator="greaterThan">
      <formula>25</formula>
    </cfRule>
    <cfRule type="cellIs" dxfId="145" priority="8" operator="lessThan">
      <formula>26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9766CEE6-E26C-4DA3-AE8C-8A432DF72B73}">
            <xm:f>NOT(ISERROR(SEARCH($T$44,B3)))</xm:f>
            <xm:f>$T$44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7582684C-CC88-40CA-BA92-D096169480CA}">
            <xm:f>NOT(ISERROR(SEARCH($T$43,B3)))</xm:f>
            <xm:f>$T$43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B3:B18 B21:B36 K3:K18 K21:K36 T3:T18 T21:T36 AC3:AC18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U71"/>
  <sheetViews>
    <sheetView zoomScale="82" zoomScaleNormal="82" workbookViewId="0">
      <selection activeCell="AL25" sqref="AL25"/>
    </sheetView>
  </sheetViews>
  <sheetFormatPr defaultRowHeight="14.5" x14ac:dyDescent="0.35"/>
  <cols>
    <col min="1" max="1" width="3.36328125" customWidth="1"/>
    <col min="2" max="2" width="17.36328125" customWidth="1"/>
    <col min="3" max="3" width="3" hidden="1" customWidth="1"/>
    <col min="4" max="5" width="3.81640625" customWidth="1"/>
    <col min="6" max="6" width="17.36328125" customWidth="1"/>
    <col min="7" max="7" width="3" hidden="1" customWidth="1"/>
    <col min="8" max="9" width="3.81640625" customWidth="1"/>
    <col min="10" max="10" width="2.6328125" customWidth="1"/>
    <col min="11" max="11" width="17.36328125" customWidth="1"/>
    <col min="12" max="12" width="3" hidden="1" customWidth="1"/>
    <col min="13" max="14" width="3.81640625" customWidth="1"/>
    <col min="15" max="15" width="17.36328125" customWidth="1"/>
    <col min="16" max="16" width="3" hidden="1" customWidth="1"/>
    <col min="17" max="18" width="3.81640625" customWidth="1"/>
    <col min="19" max="19" width="2.6328125" customWidth="1"/>
    <col min="20" max="20" width="17.36328125" customWidth="1"/>
    <col min="21" max="21" width="3" hidden="1" customWidth="1"/>
    <col min="22" max="23" width="3.81640625" customWidth="1"/>
    <col min="24" max="24" width="17.36328125" customWidth="1"/>
    <col min="25" max="25" width="3" hidden="1" customWidth="1"/>
    <col min="26" max="27" width="3.81640625" customWidth="1"/>
    <col min="28" max="28" width="2.6328125" customWidth="1"/>
    <col min="29" max="29" width="17.36328125" customWidth="1"/>
    <col min="30" max="30" width="3.81640625" hidden="1" customWidth="1"/>
    <col min="31" max="32" width="3.81640625" customWidth="1"/>
    <col min="33" max="33" width="17.36328125" customWidth="1"/>
    <col min="34" max="34" width="3.81640625" hidden="1" customWidth="1"/>
    <col min="35" max="36" width="3.81640625" customWidth="1"/>
    <col min="37" max="37" width="4.90625" customWidth="1"/>
    <col min="38" max="39" width="17.36328125" customWidth="1"/>
    <col min="40" max="40" width="2.6328125" customWidth="1"/>
    <col min="41" max="41" width="16.1796875" customWidth="1"/>
    <col min="42" max="42" width="14.453125" customWidth="1"/>
    <col min="43" max="43" width="2.6328125" customWidth="1"/>
    <col min="44" max="45" width="15.08984375" customWidth="1"/>
    <col min="46" max="46" width="16.36328125" customWidth="1"/>
    <col min="47" max="49" width="8.90625" customWidth="1"/>
    <col min="50" max="50" width="4.54296875" customWidth="1"/>
  </cols>
  <sheetData>
    <row r="1" spans="2:47" ht="15" thickBot="1" x14ac:dyDescent="0.4">
      <c r="H1" s="478">
        <f>AVERAGE(D4:D12,H4:H12)</f>
        <v>53.875</v>
      </c>
      <c r="I1" s="478"/>
      <c r="J1" s="45">
        <v>3</v>
      </c>
      <c r="Q1" s="478">
        <f>AVERAGE(M4:M12,Q4:Q12)</f>
        <v>54.125</v>
      </c>
      <c r="R1" s="478"/>
      <c r="S1" s="45">
        <v>4</v>
      </c>
      <c r="Z1" s="478">
        <f>AVERAGE(V4:V12,Z4:Z12)</f>
        <v>60.125</v>
      </c>
      <c r="AA1" s="478"/>
      <c r="AB1" s="45">
        <v>5</v>
      </c>
      <c r="AI1" s="478">
        <f>AVERAGE(AE4:AE12,AI4:AI12)</f>
        <v>62.125</v>
      </c>
      <c r="AJ1" s="478"/>
      <c r="AK1" s="45">
        <v>6</v>
      </c>
      <c r="AS1" t="s">
        <v>1657</v>
      </c>
    </row>
    <row r="2" spans="2:47" x14ac:dyDescent="0.35">
      <c r="B2" s="104" t="s">
        <v>8</v>
      </c>
      <c r="C2" s="105"/>
      <c r="D2" s="105"/>
      <c r="E2" s="105"/>
      <c r="F2" s="98"/>
      <c r="G2" s="105"/>
      <c r="H2" s="105"/>
      <c r="I2" s="106"/>
      <c r="J2" s="1"/>
      <c r="K2" s="107" t="s">
        <v>13</v>
      </c>
      <c r="L2" s="105"/>
      <c r="M2" s="105"/>
      <c r="N2" s="105"/>
      <c r="O2" s="98"/>
      <c r="P2" s="105"/>
      <c r="Q2" s="105"/>
      <c r="R2" s="106"/>
      <c r="S2" s="1"/>
      <c r="T2" s="108" t="s">
        <v>15</v>
      </c>
      <c r="U2" s="105"/>
      <c r="V2" s="105"/>
      <c r="W2" s="105"/>
      <c r="X2" s="98"/>
      <c r="Y2" s="105"/>
      <c r="Z2" s="105"/>
      <c r="AA2" s="106"/>
      <c r="AB2" s="1"/>
      <c r="AC2" s="109" t="s">
        <v>1023</v>
      </c>
      <c r="AD2" s="105"/>
      <c r="AE2" s="105"/>
      <c r="AF2" s="105"/>
      <c r="AG2" s="98"/>
      <c r="AH2" s="105"/>
      <c r="AI2" s="105"/>
      <c r="AJ2" s="106"/>
      <c r="AK2" s="1"/>
      <c r="AL2">
        <v>1</v>
      </c>
      <c r="AM2">
        <v>10</v>
      </c>
      <c r="AN2" s="1"/>
      <c r="AQ2" s="9"/>
      <c r="AR2" t="s">
        <v>516</v>
      </c>
      <c r="AS2" t="s">
        <v>997</v>
      </c>
      <c r="AU2" t="s">
        <v>1658</v>
      </c>
    </row>
    <row r="3" spans="2:47" x14ac:dyDescent="0.35">
      <c r="B3" s="145" t="s">
        <v>986</v>
      </c>
      <c r="C3" s="146"/>
      <c r="D3" s="146"/>
      <c r="E3" s="146"/>
      <c r="F3" s="146" t="s">
        <v>989</v>
      </c>
      <c r="G3" s="146"/>
      <c r="H3" s="146"/>
      <c r="I3" s="147"/>
      <c r="J3" s="9"/>
      <c r="K3" s="145" t="s">
        <v>1091</v>
      </c>
      <c r="L3" s="146"/>
      <c r="M3" s="146"/>
      <c r="N3" s="146"/>
      <c r="O3" s="146" t="s">
        <v>1094</v>
      </c>
      <c r="P3" s="146"/>
      <c r="Q3" s="146"/>
      <c r="R3" s="147"/>
      <c r="S3" s="9"/>
      <c r="T3" s="145" t="s">
        <v>976</v>
      </c>
      <c r="U3" s="146"/>
      <c r="V3" s="146"/>
      <c r="W3" s="146"/>
      <c r="X3" s="146" t="s">
        <v>978</v>
      </c>
      <c r="Y3" s="146"/>
      <c r="Z3" s="146"/>
      <c r="AA3" s="147"/>
      <c r="AB3" s="9"/>
      <c r="AC3" s="145" t="s">
        <v>970</v>
      </c>
      <c r="AD3" s="146"/>
      <c r="AE3" s="146"/>
      <c r="AF3" s="146"/>
      <c r="AG3" s="146" t="s">
        <v>971</v>
      </c>
      <c r="AH3" s="146"/>
      <c r="AI3" s="146"/>
      <c r="AJ3" s="147"/>
      <c r="AL3">
        <v>2</v>
      </c>
      <c r="AM3">
        <v>18</v>
      </c>
      <c r="AR3" t="s">
        <v>1377</v>
      </c>
      <c r="AS3" t="s">
        <v>1385</v>
      </c>
      <c r="AT3" t="s">
        <v>427</v>
      </c>
      <c r="AU3" t="s">
        <v>1550</v>
      </c>
    </row>
    <row r="4" spans="2:47" x14ac:dyDescent="0.35">
      <c r="B4" s="102" t="s">
        <v>78</v>
      </c>
      <c r="C4" s="99">
        <v>1</v>
      </c>
      <c r="D4" s="148">
        <f>VLOOKUP(C4, Rankings!$A$2:$AZ$113, 52, FALSE)</f>
        <v>14</v>
      </c>
      <c r="E4" s="110">
        <f>RANK(D4, D$4:D$7, 1)</f>
        <v>2</v>
      </c>
      <c r="F4" s="99" t="s">
        <v>81</v>
      </c>
      <c r="G4" s="99">
        <v>15</v>
      </c>
      <c r="H4" s="148">
        <f>VLOOKUP(G4, Rankings!$A$2:$AZ$113, 52, FALSE)</f>
        <v>100</v>
      </c>
      <c r="I4" s="112">
        <f>RANK(H4, H$4:H$7, 1)</f>
        <v>3</v>
      </c>
      <c r="J4" s="9"/>
      <c r="K4" s="102" t="s">
        <v>58</v>
      </c>
      <c r="L4" s="99">
        <v>36</v>
      </c>
      <c r="M4" s="148">
        <f>VLOOKUP(L4, Rankings!$A$2:$AZ$113, 52, FALSE)</f>
        <v>44</v>
      </c>
      <c r="N4" s="110">
        <f>RANK(M4, M$4:M$7, 1)</f>
        <v>1</v>
      </c>
      <c r="O4" s="99" t="s">
        <v>56</v>
      </c>
      <c r="P4" s="99">
        <v>43</v>
      </c>
      <c r="Q4" s="148">
        <f>VLOOKUP(P4, Rankings!$A$2:$AZ$113, 52, FALSE)</f>
        <v>79</v>
      </c>
      <c r="R4" s="112">
        <f>RANK(Q4, Q$4:Q$7, 1)</f>
        <v>3</v>
      </c>
      <c r="S4" s="9"/>
      <c r="T4" s="102" t="s">
        <v>23</v>
      </c>
      <c r="U4" s="99">
        <v>65</v>
      </c>
      <c r="V4" s="148">
        <f>VLOOKUP(U4, Rankings!$A$2:$AZ$113, 52, FALSE)</f>
        <v>57</v>
      </c>
      <c r="W4" s="110">
        <f>RANK(V4, V$4:V$7, 1)</f>
        <v>3</v>
      </c>
      <c r="X4" s="99" t="s">
        <v>29</v>
      </c>
      <c r="Y4" s="99">
        <v>74</v>
      </c>
      <c r="Z4" s="148">
        <f>VLOOKUP(Y4, Rankings!$A$2:$AZ$113, 52, FALSE)</f>
        <v>84</v>
      </c>
      <c r="AA4" s="112">
        <f>RANK(Z4, Z$4:Z$7, 1)</f>
        <v>3</v>
      </c>
      <c r="AB4" s="9"/>
      <c r="AC4" s="102" t="s">
        <v>1301</v>
      </c>
      <c r="AD4" s="99">
        <v>99</v>
      </c>
      <c r="AE4" s="148">
        <f>VLOOKUP(AD4, Rankings!$A$2:$AZ$113, 52, FALSE)</f>
        <v>36</v>
      </c>
      <c r="AF4" s="110">
        <f>RANK(AE4, AE$4:AE$7, 1)</f>
        <v>1</v>
      </c>
      <c r="AG4" s="99" t="s">
        <v>966</v>
      </c>
      <c r="AH4" s="99">
        <v>106</v>
      </c>
      <c r="AI4" s="148">
        <f>VLOOKUP(AH4, Rankings!$A$2:$AZ$113, 52, FALSE)</f>
        <v>19</v>
      </c>
      <c r="AJ4" s="112">
        <f>RANK(AI4, AI$4:AI$7, 1)</f>
        <v>2</v>
      </c>
      <c r="AL4">
        <v>3</v>
      </c>
      <c r="AM4">
        <v>25</v>
      </c>
      <c r="AR4" t="s">
        <v>1376</v>
      </c>
      <c r="AS4" t="s">
        <v>1386</v>
      </c>
      <c r="AT4" t="s">
        <v>1377</v>
      </c>
      <c r="AU4" t="s">
        <v>1381</v>
      </c>
    </row>
    <row r="5" spans="2:47" x14ac:dyDescent="0.35">
      <c r="B5" s="371" t="s">
        <v>77</v>
      </c>
      <c r="C5" s="99">
        <v>4</v>
      </c>
      <c r="D5" s="148">
        <f>VLOOKUP(C5, Rankings!$A$2:$AZ$113, 52, FALSE)</f>
        <v>12</v>
      </c>
      <c r="E5" s="110">
        <f t="shared" ref="E5:E7" si="0">RANK(D5, D$4:D$7, 1)</f>
        <v>1</v>
      </c>
      <c r="F5" s="99" t="s">
        <v>88</v>
      </c>
      <c r="G5" s="99">
        <v>16</v>
      </c>
      <c r="H5" s="148">
        <f>VLOOKUP(G5, Rankings!$A$2:$AZ$113, 52, FALSE)</f>
        <v>105</v>
      </c>
      <c r="I5" s="112">
        <f t="shared" ref="I5:I7" si="1">RANK(H5, H$4:H$7, 1)</f>
        <v>4</v>
      </c>
      <c r="J5" s="9"/>
      <c r="K5" s="102" t="s">
        <v>57</v>
      </c>
      <c r="L5" s="99">
        <v>35</v>
      </c>
      <c r="M5" s="148">
        <f>VLOOKUP(L5, Rankings!$A$2:$AZ$113, 52, FALSE)</f>
        <v>61</v>
      </c>
      <c r="N5" s="110">
        <f t="shared" ref="N5:N7" si="2">RANK(M5, M$4:M$7, 1)</f>
        <v>2</v>
      </c>
      <c r="O5" s="372" t="s">
        <v>145</v>
      </c>
      <c r="P5" s="99">
        <v>44</v>
      </c>
      <c r="Q5" s="148">
        <f>VLOOKUP(P5, Rankings!$A$2:$AZ$113, 52, FALSE)</f>
        <v>7</v>
      </c>
      <c r="R5" s="112">
        <f t="shared" ref="R5:R7" si="3">RANK(Q5, Q$4:Q$7, 1)</f>
        <v>2</v>
      </c>
      <c r="S5" s="9"/>
      <c r="T5" s="102" t="s">
        <v>24</v>
      </c>
      <c r="U5" s="99">
        <v>66</v>
      </c>
      <c r="V5" s="148">
        <f>VLOOKUP(U5, Rankings!$A$2:$AZ$113, 52, FALSE)</f>
        <v>42</v>
      </c>
      <c r="W5" s="110">
        <f t="shared" ref="W5:W7" si="4">RANK(V5, V$4:V$7, 1)</f>
        <v>2</v>
      </c>
      <c r="X5" s="99" t="s">
        <v>30</v>
      </c>
      <c r="Y5" s="99">
        <v>76</v>
      </c>
      <c r="Z5" s="148">
        <f>VLOOKUP(Y5, Rankings!$A$2:$AZ$113, 52, FALSE)</f>
        <v>62</v>
      </c>
      <c r="AA5" s="112">
        <f t="shared" ref="AA5:AA7" si="5">RANK(Z5, Z$4:Z$7, 1)</f>
        <v>2</v>
      </c>
      <c r="AB5" s="9"/>
      <c r="AC5" s="102" t="s">
        <v>1302</v>
      </c>
      <c r="AD5" s="99">
        <v>100</v>
      </c>
      <c r="AE5" s="148">
        <f>VLOOKUP(AD5, Rankings!$A$2:$AZ$113, 52, FALSE)</f>
        <v>37</v>
      </c>
      <c r="AF5" s="110">
        <f t="shared" ref="AF5:AF7" si="6">RANK(AE5, AE$4:AE$7, 1)</f>
        <v>2</v>
      </c>
      <c r="AG5" s="99" t="s">
        <v>965</v>
      </c>
      <c r="AH5" s="99">
        <v>108</v>
      </c>
      <c r="AI5" s="148">
        <f>VLOOKUP(AH5, Rankings!$A$2:$AZ$113, 52, FALSE)</f>
        <v>34</v>
      </c>
      <c r="AJ5" s="112">
        <f t="shared" ref="AJ5:AJ7" si="7">RANK(AI5, AI$4:AI$7, 1)</f>
        <v>3</v>
      </c>
      <c r="AL5">
        <v>4</v>
      </c>
      <c r="AM5">
        <v>35</v>
      </c>
      <c r="AQ5" s="9"/>
      <c r="AR5" t="s">
        <v>1375</v>
      </c>
      <c r="AS5" t="s">
        <v>1380</v>
      </c>
      <c r="AT5" t="s">
        <v>1380</v>
      </c>
      <c r="AU5" t="s">
        <v>1378</v>
      </c>
    </row>
    <row r="6" spans="2:47" x14ac:dyDescent="0.35">
      <c r="B6" s="102" t="s">
        <v>76</v>
      </c>
      <c r="C6" s="99">
        <v>2</v>
      </c>
      <c r="D6" s="148">
        <f>VLOOKUP(C6, Rankings!$A$2:$AZ$113, 52, FALSE)</f>
        <v>107</v>
      </c>
      <c r="E6" s="110">
        <f t="shared" si="0"/>
        <v>4</v>
      </c>
      <c r="F6" s="396" t="s">
        <v>87</v>
      </c>
      <c r="G6" s="99">
        <v>13</v>
      </c>
      <c r="H6" s="148">
        <f>VLOOKUP(G6, Rankings!$A$2:$AZ$113, 52, FALSE)</f>
        <v>1</v>
      </c>
      <c r="I6" s="112">
        <f t="shared" si="1"/>
        <v>1</v>
      </c>
      <c r="J6" s="9"/>
      <c r="K6" s="102" t="s">
        <v>47</v>
      </c>
      <c r="L6" s="99">
        <v>34</v>
      </c>
      <c r="M6" s="148">
        <f>VLOOKUP(L6, Rankings!$A$2:$AZ$113, 52, FALSE)</f>
        <v>63</v>
      </c>
      <c r="N6" s="110">
        <f t="shared" si="2"/>
        <v>3</v>
      </c>
      <c r="O6" s="99" t="s">
        <v>117</v>
      </c>
      <c r="P6" s="99">
        <v>41</v>
      </c>
      <c r="Q6" s="148">
        <f>VLOOKUP(P6, Rankings!$A$2:$AZ$113, 52, FALSE)</f>
        <v>93</v>
      </c>
      <c r="R6" s="112">
        <f t="shared" si="3"/>
        <v>4</v>
      </c>
      <c r="S6" s="9"/>
      <c r="T6" s="102" t="s">
        <v>34</v>
      </c>
      <c r="U6" s="99">
        <v>67</v>
      </c>
      <c r="V6" s="148">
        <f>VLOOKUP(U6, Rankings!$A$2:$AZ$113, 52, FALSE)</f>
        <v>32</v>
      </c>
      <c r="W6" s="110">
        <f t="shared" si="4"/>
        <v>1</v>
      </c>
      <c r="X6" s="99" t="s">
        <v>28</v>
      </c>
      <c r="Y6" s="99">
        <v>73</v>
      </c>
      <c r="Z6" s="148">
        <f>VLOOKUP(Y6, Rankings!$A$2:$AZ$113, 52, FALSE)</f>
        <v>46</v>
      </c>
      <c r="AA6" s="112">
        <f t="shared" si="5"/>
        <v>1</v>
      </c>
      <c r="AB6" s="9"/>
      <c r="AC6" s="102" t="s">
        <v>958</v>
      </c>
      <c r="AD6" s="99">
        <v>97</v>
      </c>
      <c r="AE6" s="148">
        <f>VLOOKUP(AD6, Rankings!$A$2:$AZ$113, 52, FALSE)</f>
        <v>85</v>
      </c>
      <c r="AF6" s="110">
        <f t="shared" si="6"/>
        <v>3</v>
      </c>
      <c r="AG6" s="396" t="s">
        <v>1344</v>
      </c>
      <c r="AH6" s="99">
        <v>107</v>
      </c>
      <c r="AI6" s="148">
        <f>VLOOKUP(AH6, Rankings!$A$2:$AZ$113, 52, FALSE)</f>
        <v>5</v>
      </c>
      <c r="AJ6" s="112">
        <f t="shared" si="7"/>
        <v>1</v>
      </c>
      <c r="AL6">
        <v>5</v>
      </c>
      <c r="AM6">
        <v>53</v>
      </c>
      <c r="AR6" t="s">
        <v>1379</v>
      </c>
      <c r="AS6" t="s">
        <v>1381</v>
      </c>
      <c r="AT6" t="s">
        <v>1376</v>
      </c>
      <c r="AU6" t="s">
        <v>1382</v>
      </c>
    </row>
    <row r="7" spans="2:47" x14ac:dyDescent="0.35">
      <c r="B7" s="102" t="s">
        <v>75</v>
      </c>
      <c r="C7" s="99">
        <v>3</v>
      </c>
      <c r="D7" s="148">
        <f>VLOOKUP(C7, Rankings!$A$2:$AZ$113, 52, FALSE)</f>
        <v>45</v>
      </c>
      <c r="E7" s="110">
        <f t="shared" si="0"/>
        <v>3</v>
      </c>
      <c r="F7" s="99" t="s">
        <v>85</v>
      </c>
      <c r="G7" s="99">
        <v>14</v>
      </c>
      <c r="H7" s="148">
        <f>VLOOKUP(G7, Rankings!$A$2:$AZ$113, 52, FALSE)</f>
        <v>30</v>
      </c>
      <c r="I7" s="112">
        <f t="shared" si="1"/>
        <v>2</v>
      </c>
      <c r="J7" s="9"/>
      <c r="K7" s="102" t="s">
        <v>48</v>
      </c>
      <c r="L7" s="99">
        <v>33</v>
      </c>
      <c r="M7" s="148">
        <f>VLOOKUP(L7, Rankings!$A$2:$AZ$113, 52, FALSE)</f>
        <v>112</v>
      </c>
      <c r="N7" s="110">
        <f t="shared" si="2"/>
        <v>4</v>
      </c>
      <c r="O7" s="396" t="s">
        <v>118</v>
      </c>
      <c r="P7" s="99">
        <v>42</v>
      </c>
      <c r="Q7" s="148">
        <f>VLOOKUP(P7, Rankings!$A$2:$AZ$113, 52, FALSE)</f>
        <v>3</v>
      </c>
      <c r="R7" s="112">
        <f t="shared" si="3"/>
        <v>1</v>
      </c>
      <c r="S7" s="9"/>
      <c r="T7" s="102" t="s">
        <v>25</v>
      </c>
      <c r="U7" s="99">
        <v>68</v>
      </c>
      <c r="V7" s="148">
        <f>VLOOKUP(U7, Rankings!$A$2:$AZ$113, 52, FALSE)</f>
        <v>86</v>
      </c>
      <c r="W7" s="110">
        <f t="shared" si="4"/>
        <v>4</v>
      </c>
      <c r="X7" s="99" t="s">
        <v>27</v>
      </c>
      <c r="Y7" s="99">
        <v>75</v>
      </c>
      <c r="Z7" s="148">
        <f>VLOOKUP(Y7, Rankings!$A$2:$AZ$113, 52, FALSE)</f>
        <v>110</v>
      </c>
      <c r="AA7" s="112">
        <f t="shared" si="5"/>
        <v>4</v>
      </c>
      <c r="AB7" s="9"/>
      <c r="AC7" s="102" t="s">
        <v>959</v>
      </c>
      <c r="AD7" s="99">
        <v>98</v>
      </c>
      <c r="AE7" s="148">
        <f>VLOOKUP(AD7, Rankings!$A$2:$AZ$113, 52, FALSE)</f>
        <v>95</v>
      </c>
      <c r="AF7" s="110">
        <f t="shared" si="6"/>
        <v>4</v>
      </c>
      <c r="AG7" s="99" t="s">
        <v>1343</v>
      </c>
      <c r="AH7" s="99">
        <v>105</v>
      </c>
      <c r="AI7" s="148">
        <f>VLOOKUP(AH7, Rankings!$A$2:$AZ$113, 52, FALSE)</f>
        <v>80</v>
      </c>
      <c r="AJ7" s="112">
        <f t="shared" si="7"/>
        <v>4</v>
      </c>
      <c r="AL7">
        <v>6</v>
      </c>
      <c r="AQ7" s="9"/>
      <c r="AR7" t="s">
        <v>1374</v>
      </c>
      <c r="AS7" t="s">
        <v>1382</v>
      </c>
      <c r="AT7" t="s">
        <v>1381</v>
      </c>
      <c r="AU7" t="s">
        <v>1377</v>
      </c>
    </row>
    <row r="8" spans="2:47" x14ac:dyDescent="0.35">
      <c r="B8" s="145" t="s">
        <v>987</v>
      </c>
      <c r="C8" s="146"/>
      <c r="D8" s="146"/>
      <c r="E8" s="148"/>
      <c r="F8" s="146" t="s">
        <v>988</v>
      </c>
      <c r="G8" s="146"/>
      <c r="H8" s="146"/>
      <c r="I8" s="149"/>
      <c r="J8" s="9"/>
      <c r="K8" s="145" t="s">
        <v>1092</v>
      </c>
      <c r="L8" s="146"/>
      <c r="M8" s="146"/>
      <c r="N8" s="148"/>
      <c r="O8" s="146" t="s">
        <v>1093</v>
      </c>
      <c r="P8" s="146"/>
      <c r="Q8" s="146"/>
      <c r="R8" s="149"/>
      <c r="S8" s="9"/>
      <c r="T8" s="145" t="s">
        <v>977</v>
      </c>
      <c r="U8" s="146"/>
      <c r="V8" s="146"/>
      <c r="W8" s="148"/>
      <c r="X8" s="146" t="s">
        <v>3202</v>
      </c>
      <c r="Y8" s="146"/>
      <c r="Z8" s="146"/>
      <c r="AA8" s="149"/>
      <c r="AB8" s="9"/>
      <c r="AC8" s="145" t="s">
        <v>1021</v>
      </c>
      <c r="AD8" s="146"/>
      <c r="AE8" s="146"/>
      <c r="AF8" s="148"/>
      <c r="AG8" s="146" t="s">
        <v>1022</v>
      </c>
      <c r="AH8" s="146"/>
      <c r="AI8" s="146"/>
      <c r="AJ8" s="149"/>
      <c r="AL8">
        <v>7</v>
      </c>
      <c r="AR8" t="s">
        <v>1373</v>
      </c>
      <c r="AS8" t="s">
        <v>1383</v>
      </c>
      <c r="AT8" t="s">
        <v>1375</v>
      </c>
      <c r="AU8" t="s">
        <v>1383</v>
      </c>
    </row>
    <row r="9" spans="2:47" x14ac:dyDescent="0.35">
      <c r="B9" s="102" t="s">
        <v>74</v>
      </c>
      <c r="C9" s="99">
        <v>5</v>
      </c>
      <c r="D9" s="148">
        <f>VLOOKUP(C9, Rankings!$A$2:$AZ$113, 52, FALSE)</f>
        <v>82</v>
      </c>
      <c r="E9" s="110">
        <f>RANK(D9, D$9:D$12, 1)</f>
        <v>4</v>
      </c>
      <c r="F9" s="99" t="s">
        <v>84</v>
      </c>
      <c r="G9" s="99">
        <v>9</v>
      </c>
      <c r="H9" s="148">
        <f>VLOOKUP(G9, Rankings!$A$2:$AZ$113, 52, FALSE)</f>
        <v>81</v>
      </c>
      <c r="I9" s="112">
        <f>RANK(H9, H$9:H$12, 1)</f>
        <v>4</v>
      </c>
      <c r="J9" s="9"/>
      <c r="K9" s="102" t="s">
        <v>50</v>
      </c>
      <c r="L9" s="99">
        <v>38</v>
      </c>
      <c r="M9" s="148">
        <f>VLOOKUP(L9, Rankings!$A$2:$AZ$113, 52, FALSE)</f>
        <v>31</v>
      </c>
      <c r="N9" s="110">
        <f>RANK(M9, M$9:M$12, 1)</f>
        <v>2</v>
      </c>
      <c r="O9" s="99" t="s">
        <v>54</v>
      </c>
      <c r="P9" s="99">
        <v>46</v>
      </c>
      <c r="Q9" s="148">
        <f>VLOOKUP(P9, Rankings!$A$2:$AZ$113, 52, FALSE)</f>
        <v>99</v>
      </c>
      <c r="R9" s="112">
        <f>RANK(Q9, Q$9:Q$12, 1)</f>
        <v>3</v>
      </c>
      <c r="S9" s="9"/>
      <c r="T9" s="102" t="s">
        <v>33</v>
      </c>
      <c r="U9" s="99">
        <v>71</v>
      </c>
      <c r="V9" s="148">
        <f>VLOOKUP(U9, Rankings!$A$2:$AZ$113, 52, FALSE)</f>
        <v>27</v>
      </c>
      <c r="W9" s="110">
        <f>RANK(V9, V$9:V$12, 1)</f>
        <v>2</v>
      </c>
      <c r="X9" s="99" t="s">
        <v>292</v>
      </c>
      <c r="Y9" s="99">
        <v>78</v>
      </c>
      <c r="Z9" s="148">
        <f>VLOOKUP(Y9, Rankings!$A$2:$AZ$113, 52, FALSE)</f>
        <v>89</v>
      </c>
      <c r="AA9" s="112">
        <f>RANK(Z9, Z$9:Z$12, 1)</f>
        <v>3</v>
      </c>
      <c r="AB9" s="9"/>
      <c r="AC9" s="102" t="s">
        <v>3913</v>
      </c>
      <c r="AD9" s="99">
        <v>101</v>
      </c>
      <c r="AE9" s="148">
        <f>VLOOKUP(AD9, Rankings!$A$2:$AZ$113, 52, FALSE)</f>
        <v>94</v>
      </c>
      <c r="AF9" s="110">
        <f>RANK(AE9, AE$9:AE$12, 1)</f>
        <v>4</v>
      </c>
      <c r="AG9" s="99" t="s">
        <v>964</v>
      </c>
      <c r="AH9" s="99">
        <v>111</v>
      </c>
      <c r="AI9" s="148">
        <f>VLOOKUP(AH9, Rankings!$A$2:$AZ$113, 52, FALSE)</f>
        <v>111</v>
      </c>
      <c r="AJ9" s="112">
        <f>RANK(AI9, AI$9:AI$12, 1)</f>
        <v>4</v>
      </c>
      <c r="AL9">
        <v>8</v>
      </c>
      <c r="AQ9" s="9"/>
      <c r="AR9" t="s">
        <v>1378</v>
      </c>
      <c r="AS9" t="s">
        <v>1384</v>
      </c>
      <c r="AT9" t="s">
        <v>1382</v>
      </c>
      <c r="AU9" t="s">
        <v>1376</v>
      </c>
    </row>
    <row r="10" spans="2:47" x14ac:dyDescent="0.35">
      <c r="B10" s="102" t="s">
        <v>73</v>
      </c>
      <c r="C10" s="99">
        <v>8</v>
      </c>
      <c r="D10" s="148">
        <f>VLOOKUP(C10, Rankings!$A$2:$AZ$113, 52, FALSE)</f>
        <v>15</v>
      </c>
      <c r="E10" s="110">
        <f t="shared" ref="E10:E12" si="8">RANK(D10, D$9:D$12, 1)</f>
        <v>1</v>
      </c>
      <c r="F10" s="99" t="s">
        <v>83</v>
      </c>
      <c r="G10" s="99">
        <v>12</v>
      </c>
      <c r="H10" s="148">
        <f>VLOOKUP(G10, Rankings!$A$2:$AZ$113, 52, FALSE)</f>
        <v>16</v>
      </c>
      <c r="I10" s="112">
        <f t="shared" ref="I10:I12" si="9">RANK(H10, H$9:H$12, 1)</f>
        <v>1</v>
      </c>
      <c r="J10" s="9"/>
      <c r="K10" s="102" t="s">
        <v>49</v>
      </c>
      <c r="L10" s="99">
        <v>39</v>
      </c>
      <c r="M10" s="148">
        <f>VLOOKUP(L10, Rankings!$A$2:$AZ$113, 52, FALSE)</f>
        <v>56</v>
      </c>
      <c r="N10" s="110">
        <f t="shared" ref="N10:N12" si="10">RANK(M10, M$9:M$12, 1)</f>
        <v>4</v>
      </c>
      <c r="O10" s="99" t="s">
        <v>55</v>
      </c>
      <c r="P10" s="99">
        <v>47</v>
      </c>
      <c r="Q10" s="148">
        <f>VLOOKUP(P10, Rankings!$A$2:$AZ$113, 52, FALSE)</f>
        <v>103</v>
      </c>
      <c r="R10" s="112">
        <f t="shared" ref="R10:R12" si="11">RANK(Q10, Q$9:Q$12, 1)</f>
        <v>4</v>
      </c>
      <c r="S10" s="9"/>
      <c r="T10" s="397" t="s">
        <v>26</v>
      </c>
      <c r="U10" s="99">
        <v>72</v>
      </c>
      <c r="V10" s="148">
        <f>VLOOKUP(U10, Rankings!$A$2:$AZ$113, 52, FALSE)</f>
        <v>2</v>
      </c>
      <c r="W10" s="110">
        <f t="shared" ref="W10:W12" si="12">RANK(V10, V$9:V$12, 1)</f>
        <v>1</v>
      </c>
      <c r="X10" s="99" t="s">
        <v>31</v>
      </c>
      <c r="Y10" s="99">
        <v>79</v>
      </c>
      <c r="Z10" s="148">
        <f>VLOOKUP(Y10, Rankings!$A$2:$AZ$113, 52, FALSE)</f>
        <v>108</v>
      </c>
      <c r="AA10" s="112">
        <f t="shared" ref="AA10:AA12" si="13">RANK(Z10, Z$9:Z$12, 1)</f>
        <v>4</v>
      </c>
      <c r="AB10" s="9"/>
      <c r="AC10" s="102" t="s">
        <v>1308</v>
      </c>
      <c r="AD10" s="99">
        <v>102</v>
      </c>
      <c r="AE10" s="148">
        <f>VLOOKUP(AD10, Rankings!$A$2:$AZ$113, 52, FALSE)</f>
        <v>74</v>
      </c>
      <c r="AF10" s="110">
        <f t="shared" ref="AF10:AF12" si="14">RANK(AE10, AE$9:AE$12, 1)</f>
        <v>3</v>
      </c>
      <c r="AG10" s="99" t="s">
        <v>1342</v>
      </c>
      <c r="AH10" s="99">
        <v>110</v>
      </c>
      <c r="AI10" s="148">
        <f>VLOOKUP(AH10, Rankings!$A$2:$AZ$113, 52, FALSE)</f>
        <v>109</v>
      </c>
      <c r="AJ10" s="112">
        <f t="shared" ref="AJ10:AJ12" si="15">RANK(AI10, AI$9:AI$12, 1)</f>
        <v>3</v>
      </c>
      <c r="AL10">
        <v>9</v>
      </c>
      <c r="AR10" t="s">
        <v>1380</v>
      </c>
      <c r="AS10" t="s">
        <v>1375</v>
      </c>
      <c r="AT10" t="s">
        <v>1379</v>
      </c>
      <c r="AU10" t="s">
        <v>1384</v>
      </c>
    </row>
    <row r="11" spans="2:47" x14ac:dyDescent="0.35">
      <c r="B11" s="102" t="s">
        <v>79</v>
      </c>
      <c r="C11" s="99">
        <v>7</v>
      </c>
      <c r="D11" s="148">
        <f>VLOOKUP(C11, Rankings!$A$2:$AZ$113, 52, FALSE)</f>
        <v>64</v>
      </c>
      <c r="E11" s="110">
        <f t="shared" si="8"/>
        <v>3</v>
      </c>
      <c r="F11" s="99" t="s">
        <v>86</v>
      </c>
      <c r="G11" s="99">
        <v>11</v>
      </c>
      <c r="H11" s="148">
        <f>VLOOKUP(G11, Rankings!$A$2:$AZ$113, 52, FALSE)</f>
        <v>66</v>
      </c>
      <c r="I11" s="112">
        <f t="shared" si="9"/>
        <v>2</v>
      </c>
      <c r="J11" s="9"/>
      <c r="K11" s="102" t="s">
        <v>52</v>
      </c>
      <c r="L11" s="99">
        <v>37</v>
      </c>
      <c r="M11" s="148">
        <f>VLOOKUP(L11, Rankings!$A$2:$AZ$113, 52, FALSE)</f>
        <v>41</v>
      </c>
      <c r="N11" s="110">
        <f t="shared" si="10"/>
        <v>3</v>
      </c>
      <c r="O11" s="99" t="s">
        <v>53</v>
      </c>
      <c r="P11" s="99">
        <v>45</v>
      </c>
      <c r="Q11" s="148">
        <f>VLOOKUP(P11, Rankings!$A$2:$AZ$113, 52, FALSE)</f>
        <v>24</v>
      </c>
      <c r="R11" s="112">
        <f t="shared" si="11"/>
        <v>1</v>
      </c>
      <c r="S11" s="9"/>
      <c r="T11" s="102" t="s">
        <v>1860</v>
      </c>
      <c r="U11" s="99">
        <v>70</v>
      </c>
      <c r="V11" s="148">
        <f>VLOOKUP(U11, Rankings!$A$2:$AZ$113, 52, FALSE)</f>
        <v>47</v>
      </c>
      <c r="W11" s="110">
        <f t="shared" si="12"/>
        <v>3</v>
      </c>
      <c r="X11" s="372" t="s">
        <v>119</v>
      </c>
      <c r="Y11" s="99">
        <v>80</v>
      </c>
      <c r="Z11" s="148">
        <f>VLOOKUP(Y11, Rankings!$A$2:$AZ$113, 52, FALSE)</f>
        <v>8</v>
      </c>
      <c r="AA11" s="112">
        <f t="shared" si="13"/>
        <v>1</v>
      </c>
      <c r="AB11" s="9"/>
      <c r="AC11" s="102" t="s">
        <v>960</v>
      </c>
      <c r="AD11" s="99">
        <v>103</v>
      </c>
      <c r="AE11" s="148">
        <f>VLOOKUP(AD11, Rankings!$A$2:$AZ$113, 52, FALSE)</f>
        <v>33</v>
      </c>
      <c r="AF11" s="110">
        <f t="shared" si="14"/>
        <v>1</v>
      </c>
      <c r="AG11" s="99" t="s">
        <v>963</v>
      </c>
      <c r="AH11" s="99">
        <v>112</v>
      </c>
      <c r="AI11" s="148">
        <f>VLOOKUP(AH11, Rankings!$A$2:$AZ$113, 52, FALSE)</f>
        <v>90</v>
      </c>
      <c r="AJ11" s="112">
        <f t="shared" si="15"/>
        <v>2</v>
      </c>
      <c r="AL11">
        <v>11</v>
      </c>
      <c r="AQ11" s="9"/>
      <c r="AR11" t="s">
        <v>1381</v>
      </c>
      <c r="AS11" t="s">
        <v>1379</v>
      </c>
      <c r="AT11" t="s">
        <v>1383</v>
      </c>
      <c r="AU11" t="s">
        <v>1375</v>
      </c>
    </row>
    <row r="12" spans="2:47" ht="15" thickBot="1" x14ac:dyDescent="0.4">
      <c r="B12" s="367" t="s">
        <v>80</v>
      </c>
      <c r="C12" s="100">
        <v>6</v>
      </c>
      <c r="D12" s="150">
        <f>VLOOKUP(C12, Rankings!$A$2:$AZ$113, 52, FALSE)</f>
        <v>51</v>
      </c>
      <c r="E12" s="111">
        <f t="shared" si="8"/>
        <v>2</v>
      </c>
      <c r="F12" s="100" t="s">
        <v>82</v>
      </c>
      <c r="G12" s="100">
        <v>10</v>
      </c>
      <c r="H12" s="150">
        <f>VLOOKUP(G12, Rankings!$A$2:$AZ$113, 52, FALSE)</f>
        <v>73</v>
      </c>
      <c r="I12" s="113">
        <f t="shared" si="9"/>
        <v>3</v>
      </c>
      <c r="J12" s="9"/>
      <c r="K12" s="367" t="s">
        <v>51</v>
      </c>
      <c r="L12" s="100">
        <v>40</v>
      </c>
      <c r="M12" s="150">
        <f>VLOOKUP(L12, Rankings!$A$2:$AZ$113, 52, FALSE)</f>
        <v>22</v>
      </c>
      <c r="N12" s="111">
        <f t="shared" si="10"/>
        <v>1</v>
      </c>
      <c r="O12" s="100" t="s">
        <v>300</v>
      </c>
      <c r="P12" s="100">
        <v>48</v>
      </c>
      <c r="Q12" s="150">
        <f>VLOOKUP(P12, Rankings!$A$2:$AZ$113, 52, FALSE)</f>
        <v>28</v>
      </c>
      <c r="R12" s="113">
        <f t="shared" si="11"/>
        <v>2</v>
      </c>
      <c r="S12" s="9"/>
      <c r="T12" s="367" t="s">
        <v>22</v>
      </c>
      <c r="U12" s="100">
        <v>69</v>
      </c>
      <c r="V12" s="150">
        <f>VLOOKUP(U12, Rankings!$A$2:$AZ$113, 52, FALSE)</f>
        <v>92</v>
      </c>
      <c r="W12" s="111">
        <f t="shared" si="12"/>
        <v>4</v>
      </c>
      <c r="X12" s="100" t="s">
        <v>32</v>
      </c>
      <c r="Y12" s="100">
        <v>77</v>
      </c>
      <c r="Z12" s="150">
        <f>VLOOKUP(Y12, Rankings!$A$2:$AZ$113, 52, FALSE)</f>
        <v>70</v>
      </c>
      <c r="AA12" s="113">
        <f t="shared" si="13"/>
        <v>2</v>
      </c>
      <c r="AB12" s="9"/>
      <c r="AC12" s="367" t="s">
        <v>961</v>
      </c>
      <c r="AD12" s="100">
        <v>104</v>
      </c>
      <c r="AE12" s="150">
        <f>VLOOKUP(AD12, Rankings!$A$2:$AZ$113, 52, FALSE)</f>
        <v>72</v>
      </c>
      <c r="AF12" s="111">
        <f t="shared" si="14"/>
        <v>2</v>
      </c>
      <c r="AG12" s="373" t="s">
        <v>962</v>
      </c>
      <c r="AH12" s="100">
        <v>109</v>
      </c>
      <c r="AI12" s="150">
        <f>VLOOKUP(AH12, Rankings!$A$2:$AZ$113, 52, FALSE)</f>
        <v>20</v>
      </c>
      <c r="AJ12" s="113">
        <f t="shared" si="15"/>
        <v>1</v>
      </c>
      <c r="AL12">
        <v>12</v>
      </c>
      <c r="AQ12" s="6"/>
      <c r="AR12" t="s">
        <v>1382</v>
      </c>
      <c r="AS12" t="s">
        <v>1374</v>
      </c>
      <c r="AT12" t="s">
        <v>1374</v>
      </c>
      <c r="AU12" t="s">
        <v>1385</v>
      </c>
    </row>
    <row r="13" spans="2:47" ht="15" thickBot="1" x14ac:dyDescent="0.4">
      <c r="H13" s="479">
        <f>AVERAGE(D16:D24,H16:H24)</f>
        <v>52.0625</v>
      </c>
      <c r="I13" s="479"/>
      <c r="J13" s="45">
        <v>1</v>
      </c>
      <c r="N13" s="63"/>
      <c r="Q13" s="479">
        <f>AVERAGE(M16:M24,Q16:Q24)</f>
        <v>50.125</v>
      </c>
      <c r="R13" s="479"/>
      <c r="S13" s="45">
        <v>2</v>
      </c>
      <c r="W13" s="63"/>
      <c r="X13" s="8"/>
      <c r="Z13" s="479">
        <f>AVERAGE(V16:V24,Z16:Z24)</f>
        <v>63.0625</v>
      </c>
      <c r="AA13" s="479"/>
      <c r="AB13" s="45">
        <v>7</v>
      </c>
      <c r="AL13">
        <v>15</v>
      </c>
      <c r="AQ13" s="9"/>
      <c r="AR13" t="s">
        <v>1383</v>
      </c>
      <c r="AS13" t="s">
        <v>1373</v>
      </c>
      <c r="AT13" t="s">
        <v>1384</v>
      </c>
      <c r="AU13" t="s">
        <v>1379</v>
      </c>
    </row>
    <row r="14" spans="2:47" x14ac:dyDescent="0.35">
      <c r="B14" s="103" t="s">
        <v>116</v>
      </c>
      <c r="C14" s="97"/>
      <c r="D14" s="97"/>
      <c r="E14" s="97"/>
      <c r="F14" s="98"/>
      <c r="G14" s="97"/>
      <c r="H14" s="97"/>
      <c r="I14" s="114"/>
      <c r="K14" s="101" t="s">
        <v>14</v>
      </c>
      <c r="L14" s="97"/>
      <c r="M14" s="97"/>
      <c r="N14" s="115"/>
      <c r="O14" s="98"/>
      <c r="P14" s="97"/>
      <c r="Q14" s="97"/>
      <c r="R14" s="114"/>
      <c r="T14" s="96" t="s">
        <v>782</v>
      </c>
      <c r="U14" s="97"/>
      <c r="V14" s="97"/>
      <c r="W14" s="115"/>
      <c r="X14" s="98"/>
      <c r="Y14" s="97"/>
      <c r="Z14" s="97"/>
      <c r="AA14" s="114"/>
      <c r="AC14" s="6" t="s">
        <v>5045</v>
      </c>
      <c r="AD14" s="9"/>
      <c r="AE14" s="9"/>
      <c r="AF14" s="9"/>
      <c r="AG14" s="143"/>
      <c r="AH14" s="9"/>
      <c r="AI14" s="9">
        <v>9</v>
      </c>
      <c r="AJ14" s="9">
        <v>1</v>
      </c>
      <c r="AL14">
        <v>20</v>
      </c>
      <c r="AQ14" s="9"/>
      <c r="AR14" t="s">
        <v>1384</v>
      </c>
      <c r="AS14" t="s">
        <v>1378</v>
      </c>
      <c r="AT14" t="s">
        <v>1373</v>
      </c>
      <c r="AU14" t="s">
        <v>1386</v>
      </c>
    </row>
    <row r="15" spans="2:47" x14ac:dyDescent="0.35">
      <c r="B15" s="145" t="s">
        <v>981</v>
      </c>
      <c r="C15" s="146"/>
      <c r="D15" s="146"/>
      <c r="E15" s="146"/>
      <c r="F15" s="146" t="s">
        <v>1367</v>
      </c>
      <c r="G15" s="146"/>
      <c r="H15" s="146"/>
      <c r="I15" s="149"/>
      <c r="J15" s="9"/>
      <c r="K15" s="145" t="s">
        <v>985</v>
      </c>
      <c r="L15" s="146"/>
      <c r="M15" s="146"/>
      <c r="N15" s="148"/>
      <c r="O15" s="146" t="s">
        <v>982</v>
      </c>
      <c r="P15" s="146"/>
      <c r="Q15" s="146"/>
      <c r="R15" s="149"/>
      <c r="S15" s="9"/>
      <c r="T15" s="145" t="s">
        <v>973</v>
      </c>
      <c r="U15" s="146"/>
      <c r="V15" s="146"/>
      <c r="W15" s="148"/>
      <c r="X15" s="146" t="s">
        <v>975</v>
      </c>
      <c r="Y15" s="146"/>
      <c r="Z15" s="146"/>
      <c r="AA15" s="149"/>
      <c r="AC15" s="6" t="s">
        <v>5046</v>
      </c>
      <c r="AD15" s="9"/>
      <c r="AE15" s="9"/>
      <c r="AF15" s="9"/>
      <c r="AH15" s="9"/>
      <c r="AI15" s="9">
        <v>17</v>
      </c>
      <c r="AJ15" s="9">
        <v>2</v>
      </c>
      <c r="AL15">
        <v>28</v>
      </c>
      <c r="AQ15" s="9"/>
      <c r="AR15" t="s">
        <v>1385</v>
      </c>
      <c r="AS15" t="s">
        <v>1377</v>
      </c>
      <c r="AT15" t="s">
        <v>1385</v>
      </c>
      <c r="AU15" t="s">
        <v>1374</v>
      </c>
    </row>
    <row r="16" spans="2:47" x14ac:dyDescent="0.35">
      <c r="B16" s="102" t="s">
        <v>72</v>
      </c>
      <c r="C16" s="99">
        <v>18</v>
      </c>
      <c r="D16" s="148">
        <f>VLOOKUP(C16, Rankings!$A$2:$AZ$113, 52, FALSE)</f>
        <v>26</v>
      </c>
      <c r="E16" s="110">
        <f>RANK(D16, D$16:D$19, 1)</f>
        <v>2</v>
      </c>
      <c r="F16" s="99" t="s">
        <v>63</v>
      </c>
      <c r="G16" s="99">
        <v>26</v>
      </c>
      <c r="H16" s="148">
        <f>VLOOKUP(G16, Rankings!$A$2:$AZ$113, 52, FALSE)</f>
        <v>97</v>
      </c>
      <c r="I16" s="112">
        <f>RANK(H16, H$16:H$19, 1)</f>
        <v>4</v>
      </c>
      <c r="J16" s="9"/>
      <c r="K16" s="102" t="s">
        <v>35</v>
      </c>
      <c r="L16" s="99">
        <v>50</v>
      </c>
      <c r="M16" s="148">
        <f>VLOOKUP(L16, Rankings!$A$2:$AZ$113, 52, FALSE)</f>
        <v>83</v>
      </c>
      <c r="N16" s="110">
        <f>RANK(M16, M$16:M$19, 1)</f>
        <v>4</v>
      </c>
      <c r="O16" s="99" t="s">
        <v>43</v>
      </c>
      <c r="P16" s="99">
        <v>60</v>
      </c>
      <c r="Q16" s="148">
        <f>VLOOKUP(P16, Rankings!$A$2:$AZ$113, 52, FALSE)</f>
        <v>48</v>
      </c>
      <c r="R16" s="112">
        <f>RANK(Q16, Q$16:Q$19, 1)</f>
        <v>2</v>
      </c>
      <c r="S16" s="9"/>
      <c r="T16" s="102" t="s">
        <v>793</v>
      </c>
      <c r="U16" s="99">
        <v>82</v>
      </c>
      <c r="V16" s="148">
        <f>VLOOKUP(U16, Rankings!$A$2:$AZ$113, 52, FALSE)</f>
        <v>54</v>
      </c>
      <c r="W16" s="110">
        <f>RANK(V16, V$16:V$19, 1)</f>
        <v>1</v>
      </c>
      <c r="X16" s="99" t="s">
        <v>791</v>
      </c>
      <c r="Y16" s="99">
        <v>92</v>
      </c>
      <c r="Z16" s="148">
        <f>VLOOKUP(Y16, Rankings!$A$2:$AZ$113, 52, FALSE)</f>
        <v>65</v>
      </c>
      <c r="AA16" s="112">
        <f>RANK(Z16, Z$16:Z$19, 1)</f>
        <v>3</v>
      </c>
      <c r="AC16" s="6" t="s">
        <v>5044</v>
      </c>
      <c r="AD16" s="16"/>
      <c r="AE16" s="16"/>
      <c r="AF16" s="16"/>
      <c r="AG16" s="143"/>
      <c r="AH16" s="16"/>
      <c r="AI16" s="9">
        <v>11</v>
      </c>
      <c r="AJ16" s="9">
        <v>3</v>
      </c>
      <c r="AQ16" s="9"/>
      <c r="AR16" t="s">
        <v>1386</v>
      </c>
      <c r="AS16" t="s">
        <v>1376</v>
      </c>
      <c r="AT16" t="s">
        <v>1378</v>
      </c>
      <c r="AU16" t="s">
        <v>1380</v>
      </c>
    </row>
    <row r="17" spans="2:47" x14ac:dyDescent="0.35">
      <c r="B17" s="102" t="s">
        <v>114</v>
      </c>
      <c r="C17" s="99">
        <v>19</v>
      </c>
      <c r="D17" s="148">
        <f>VLOOKUP(C17, Rankings!$A$2:$AZ$113, 52, FALSE)</f>
        <v>68</v>
      </c>
      <c r="E17" s="110">
        <f t="shared" ref="E17:E19" si="16">RANK(D17, D$16:D$19, 1)</f>
        <v>3</v>
      </c>
      <c r="F17" s="99" t="s">
        <v>65</v>
      </c>
      <c r="G17" s="99">
        <v>27</v>
      </c>
      <c r="H17" s="148">
        <f>VLOOKUP(G17, Rankings!$A$2:$AZ$113, 52, FALSE)</f>
        <v>78</v>
      </c>
      <c r="I17" s="112">
        <f t="shared" ref="I17:I19" si="17">RANK(H17, H$16:H$19, 1)</f>
        <v>3</v>
      </c>
      <c r="J17" s="9"/>
      <c r="K17" s="102" t="s">
        <v>2011</v>
      </c>
      <c r="L17" s="99">
        <v>51</v>
      </c>
      <c r="M17" s="148">
        <f>VLOOKUP(L17, Rankings!$A$2:$AZ$113, 52, FALSE)</f>
        <v>39</v>
      </c>
      <c r="N17" s="110">
        <f t="shared" ref="N17:N19" si="18">RANK(M17, M$16:M$19, 1)</f>
        <v>2</v>
      </c>
      <c r="O17" s="99" t="s">
        <v>44</v>
      </c>
      <c r="P17" s="99">
        <v>57</v>
      </c>
      <c r="Q17" s="148">
        <f>VLOOKUP(P17, Rankings!$A$2:$AZ$113, 52, FALSE)</f>
        <v>53</v>
      </c>
      <c r="R17" s="112">
        <f t="shared" ref="R17:R19" si="19">RANK(Q17, Q$16:Q$19, 1)</f>
        <v>4</v>
      </c>
      <c r="S17" s="9"/>
      <c r="T17" s="102" t="s">
        <v>796</v>
      </c>
      <c r="U17" s="99">
        <v>84</v>
      </c>
      <c r="V17" s="148">
        <f>VLOOKUP(U17, Rankings!$A$2:$AZ$113, 52, FALSE)</f>
        <v>104</v>
      </c>
      <c r="W17" s="110">
        <f t="shared" ref="W17:W19" si="20">RANK(V17, V$16:V$19, 1)</f>
        <v>4</v>
      </c>
      <c r="X17" s="99" t="s">
        <v>792</v>
      </c>
      <c r="Y17" s="99">
        <v>91</v>
      </c>
      <c r="Z17" s="148">
        <f>VLOOKUP(Y17, Rankings!$A$2:$AZ$113, 52, FALSE)</f>
        <v>88</v>
      </c>
      <c r="AA17" s="112">
        <f t="shared" ref="AA17:AA19" si="21">RANK(Z17, Z$16:Z$19, 1)</f>
        <v>4</v>
      </c>
      <c r="AC17" s="6" t="s">
        <v>5047</v>
      </c>
      <c r="AH17" s="9"/>
      <c r="AI17" s="9">
        <v>9</v>
      </c>
      <c r="AJ17" s="9">
        <v>4</v>
      </c>
      <c r="AQ17" s="9"/>
      <c r="AT17" t="s">
        <v>1386</v>
      </c>
      <c r="AU17" t="s">
        <v>1373</v>
      </c>
    </row>
    <row r="18" spans="2:47" x14ac:dyDescent="0.35">
      <c r="B18" s="102" t="s">
        <v>59</v>
      </c>
      <c r="C18" s="99">
        <v>17</v>
      </c>
      <c r="D18" s="148">
        <f>VLOOKUP(C18, Rankings!$A$2:$AZ$113, 52, FALSE)</f>
        <v>13</v>
      </c>
      <c r="E18" s="110">
        <f t="shared" si="16"/>
        <v>1</v>
      </c>
      <c r="F18" s="99" t="s">
        <v>64</v>
      </c>
      <c r="G18" s="99">
        <v>28</v>
      </c>
      <c r="H18" s="148">
        <f>VLOOKUP(G18, Rankings!$A$2:$AZ$113, 52, FALSE)</f>
        <v>71</v>
      </c>
      <c r="I18" s="112">
        <f t="shared" si="17"/>
        <v>2</v>
      </c>
      <c r="J18" s="9"/>
      <c r="K18" s="102" t="s">
        <v>40</v>
      </c>
      <c r="L18" s="99">
        <v>49</v>
      </c>
      <c r="M18" s="148">
        <f>VLOOKUP(L18, Rankings!$A$2:$AZ$113, 52, FALSE)</f>
        <v>38</v>
      </c>
      <c r="N18" s="110">
        <f t="shared" si="18"/>
        <v>1</v>
      </c>
      <c r="O18" s="99" t="s">
        <v>45</v>
      </c>
      <c r="P18" s="99">
        <v>59</v>
      </c>
      <c r="Q18" s="148">
        <f>VLOOKUP(P18, Rankings!$A$2:$AZ$113, 52, FALSE)</f>
        <v>52</v>
      </c>
      <c r="R18" s="112">
        <f t="shared" si="19"/>
        <v>3</v>
      </c>
      <c r="S18" s="9"/>
      <c r="T18" s="102" t="s">
        <v>783</v>
      </c>
      <c r="U18" s="99">
        <v>83</v>
      </c>
      <c r="V18" s="148">
        <f>VLOOKUP(U18, Rankings!$A$2:$AZ$113, 52, FALSE)</f>
        <v>76</v>
      </c>
      <c r="W18" s="110">
        <f t="shared" si="20"/>
        <v>2</v>
      </c>
      <c r="X18" s="99" t="s">
        <v>790</v>
      </c>
      <c r="Y18" s="99">
        <v>89</v>
      </c>
      <c r="Z18" s="148">
        <f>VLOOKUP(Y18, Rankings!$A$2:$AZ$113, 52, FALSE)</f>
        <v>18</v>
      </c>
      <c r="AA18" s="112">
        <f t="shared" si="21"/>
        <v>1</v>
      </c>
      <c r="AC18" s="6" t="s">
        <v>5001</v>
      </c>
      <c r="AE18" s="1"/>
      <c r="AI18" s="9">
        <v>18</v>
      </c>
      <c r="AJ18" s="9">
        <v>5</v>
      </c>
    </row>
    <row r="19" spans="2:47" x14ac:dyDescent="0.35">
      <c r="B19" s="102" t="s">
        <v>61</v>
      </c>
      <c r="C19" s="99">
        <v>20</v>
      </c>
      <c r="D19" s="148">
        <f>VLOOKUP(C19, Rankings!$A$2:$AZ$113, 52, FALSE)</f>
        <v>102</v>
      </c>
      <c r="E19" s="110">
        <f t="shared" si="16"/>
        <v>4</v>
      </c>
      <c r="F19" s="396" t="s">
        <v>115</v>
      </c>
      <c r="G19" s="99">
        <v>25</v>
      </c>
      <c r="H19" s="148">
        <f>VLOOKUP(G19, Rankings!$A$2:$AZ$113, 52, FALSE)</f>
        <v>11</v>
      </c>
      <c r="I19" s="112">
        <f t="shared" si="17"/>
        <v>1</v>
      </c>
      <c r="J19" s="9"/>
      <c r="K19" s="102" t="s">
        <v>900</v>
      </c>
      <c r="L19" s="99">
        <v>52</v>
      </c>
      <c r="M19" s="148">
        <f>VLOOKUP(L19, Rankings!$A$2:$AZ$113, 52, FALSE)</f>
        <v>59</v>
      </c>
      <c r="N19" s="110">
        <f t="shared" si="18"/>
        <v>3</v>
      </c>
      <c r="O19" s="396" t="s">
        <v>41</v>
      </c>
      <c r="P19" s="99">
        <v>58</v>
      </c>
      <c r="Q19" s="148">
        <f>VLOOKUP(P19, Rankings!$A$2:$AZ$113, 52, FALSE)</f>
        <v>9</v>
      </c>
      <c r="R19" s="112">
        <f t="shared" si="19"/>
        <v>1</v>
      </c>
      <c r="S19" s="9"/>
      <c r="T19" s="102" t="s">
        <v>784</v>
      </c>
      <c r="U19" s="99">
        <v>81</v>
      </c>
      <c r="V19" s="148">
        <f>VLOOKUP(U19, Rankings!$A$2:$AZ$113, 52, FALSE)</f>
        <v>91</v>
      </c>
      <c r="W19" s="110">
        <f t="shared" si="20"/>
        <v>3</v>
      </c>
      <c r="X19" s="99" t="s">
        <v>794</v>
      </c>
      <c r="Y19" s="99">
        <v>90</v>
      </c>
      <c r="Z19" s="148">
        <f>VLOOKUP(Y19, Rankings!$A$2:$AZ$113, 52, FALSE)</f>
        <v>58</v>
      </c>
      <c r="AA19" s="112">
        <f t="shared" si="21"/>
        <v>2</v>
      </c>
      <c r="AC19" s="6" t="s">
        <v>5000</v>
      </c>
      <c r="AD19" s="1"/>
      <c r="AE19" s="1"/>
      <c r="AF19" s="1"/>
      <c r="AG19" s="143"/>
      <c r="AH19" s="1"/>
      <c r="AI19" s="9">
        <v>28</v>
      </c>
      <c r="AJ19" s="9">
        <v>6</v>
      </c>
      <c r="AU19" t="s">
        <v>1658</v>
      </c>
    </row>
    <row r="20" spans="2:47" x14ac:dyDescent="0.35">
      <c r="B20" s="145" t="s">
        <v>983</v>
      </c>
      <c r="C20" s="146"/>
      <c r="D20" s="146"/>
      <c r="E20" s="110"/>
      <c r="F20" s="146" t="s">
        <v>1370</v>
      </c>
      <c r="G20" s="146"/>
      <c r="H20" s="146"/>
      <c r="I20" s="112"/>
      <c r="J20" s="9"/>
      <c r="K20" s="145" t="s">
        <v>3200</v>
      </c>
      <c r="L20" s="146"/>
      <c r="M20" s="146"/>
      <c r="N20" s="110"/>
      <c r="O20" s="146" t="s">
        <v>984</v>
      </c>
      <c r="P20" s="146"/>
      <c r="Q20" s="146"/>
      <c r="R20" s="112"/>
      <c r="S20" s="9"/>
      <c r="T20" s="145" t="s">
        <v>972</v>
      </c>
      <c r="U20" s="146"/>
      <c r="V20" s="146"/>
      <c r="W20" s="110"/>
      <c r="X20" s="146" t="s">
        <v>974</v>
      </c>
      <c r="Y20" s="146"/>
      <c r="Z20" s="146"/>
      <c r="AA20" s="112"/>
      <c r="AC20" s="6" t="s">
        <v>5051</v>
      </c>
      <c r="AH20" s="9"/>
      <c r="AI20" s="9">
        <v>30</v>
      </c>
      <c r="AJ20" s="9">
        <v>7</v>
      </c>
      <c r="AT20" t="s">
        <v>619</v>
      </c>
      <c r="AU20" t="s">
        <v>1551</v>
      </c>
    </row>
    <row r="21" spans="2:47" x14ac:dyDescent="0.35">
      <c r="B21" s="102" t="s">
        <v>69</v>
      </c>
      <c r="C21" s="99">
        <v>23</v>
      </c>
      <c r="D21" s="148">
        <f>VLOOKUP(C21, Rankings!$A$2:$AZ$113, 52, FALSE)</f>
        <v>25</v>
      </c>
      <c r="E21" s="110">
        <f>RANK(D21, D$21:D$24, 1)</f>
        <v>2</v>
      </c>
      <c r="F21" s="99" t="s">
        <v>66</v>
      </c>
      <c r="G21" s="99">
        <v>29</v>
      </c>
      <c r="H21" s="148">
        <f>VLOOKUP(G21, Rankings!$A$2:$AZ$113, 52, FALSE)</f>
        <v>23</v>
      </c>
      <c r="I21" s="112">
        <f>RANK(H21, H$21:H$24, 1)</f>
        <v>2</v>
      </c>
      <c r="J21" s="9"/>
      <c r="K21" s="102" t="s">
        <v>39</v>
      </c>
      <c r="L21" s="99">
        <v>54</v>
      </c>
      <c r="M21" s="148">
        <f>VLOOKUP(L21, Rankings!$A$2:$AZ$113, 52, FALSE)</f>
        <v>69</v>
      </c>
      <c r="N21" s="110">
        <f>RANK(M21, M$21:M$24, 1)</f>
        <v>3</v>
      </c>
      <c r="O21" s="99" t="s">
        <v>46</v>
      </c>
      <c r="P21" s="99">
        <v>61</v>
      </c>
      <c r="Q21" s="148">
        <f>VLOOKUP(P21, Rankings!$A$2:$AZ$113, 52, FALSE)</f>
        <v>17</v>
      </c>
      <c r="R21" s="112">
        <f>RANK(Q21, Q$21:Q$24, 1)</f>
        <v>1</v>
      </c>
      <c r="S21" s="9"/>
      <c r="T21" s="102" t="s">
        <v>786</v>
      </c>
      <c r="U21" s="99">
        <v>85</v>
      </c>
      <c r="V21" s="148">
        <f>VLOOKUP(U21, Rankings!$A$2:$AZ$113, 52, FALSE)</f>
        <v>106</v>
      </c>
      <c r="W21" s="110">
        <f>RANK(V21, V$21:V$24, 1)</f>
        <v>4</v>
      </c>
      <c r="X21" s="99" t="s">
        <v>787</v>
      </c>
      <c r="Y21" s="99">
        <v>94</v>
      </c>
      <c r="Z21" s="148">
        <f>VLOOKUP(Y21, Rankings!$A$2:$AZ$113, 52, FALSE)</f>
        <v>55</v>
      </c>
      <c r="AA21" s="112">
        <f>RANK(Z21, Z$21:Z$24, 1)</f>
        <v>2</v>
      </c>
      <c r="AT21" t="s">
        <v>1377</v>
      </c>
      <c r="AU21" t="s">
        <v>1379</v>
      </c>
    </row>
    <row r="22" spans="2:47" x14ac:dyDescent="0.35">
      <c r="B22" s="102" t="s">
        <v>70</v>
      </c>
      <c r="C22" s="99">
        <v>24</v>
      </c>
      <c r="D22" s="148">
        <f>VLOOKUP(C22, Rankings!$A$2:$AZ$113, 52, FALSE)</f>
        <v>101</v>
      </c>
      <c r="E22" s="110">
        <f t="shared" ref="E22:E24" si="22">RANK(D22, D$21:D$24, 1)</f>
        <v>4</v>
      </c>
      <c r="F22" s="99" t="s">
        <v>71</v>
      </c>
      <c r="G22" s="99">
        <v>31</v>
      </c>
      <c r="H22" s="148">
        <f>VLOOKUP(G22, Rankings!$A$2:$AZ$113, 52, FALSE)</f>
        <v>40</v>
      </c>
      <c r="I22" s="112">
        <f t="shared" ref="I22:I24" si="23">RANK(H22, H$21:H$24, 1)</f>
        <v>3</v>
      </c>
      <c r="J22" s="9"/>
      <c r="K22" s="102" t="s">
        <v>38</v>
      </c>
      <c r="L22" s="99">
        <v>53</v>
      </c>
      <c r="M22" s="148">
        <f>VLOOKUP(L22, Rankings!$A$2:$AZ$113, 52, FALSE)</f>
        <v>77</v>
      </c>
      <c r="N22" s="110">
        <f t="shared" ref="N22:N24" si="24">RANK(M22, M$21:M$24, 1)</f>
        <v>4</v>
      </c>
      <c r="O22" s="99" t="s">
        <v>42</v>
      </c>
      <c r="P22" s="99">
        <v>64</v>
      </c>
      <c r="Q22" s="148">
        <f>VLOOKUP(P22, Rankings!$A$2:$AZ$113, 52, FALSE)</f>
        <v>50</v>
      </c>
      <c r="R22" s="112">
        <f t="shared" ref="R22:R24" si="25">RANK(Q22, Q$21:Q$24, 1)</f>
        <v>2</v>
      </c>
      <c r="S22" s="9"/>
      <c r="T22" s="102" t="s">
        <v>785</v>
      </c>
      <c r="U22" s="99">
        <v>86</v>
      </c>
      <c r="V22" s="148">
        <f>VLOOKUP(U22, Rankings!$A$2:$AZ$113, 52, FALSE)</f>
        <v>35</v>
      </c>
      <c r="W22" s="110">
        <f t="shared" ref="W22:W24" si="26">RANK(V22, V$21:V$24, 1)</f>
        <v>3</v>
      </c>
      <c r="X22" s="99" t="s">
        <v>788</v>
      </c>
      <c r="Y22" s="99">
        <v>96</v>
      </c>
      <c r="Z22" s="148">
        <f>VLOOKUP(Y22, Rankings!$A$2:$AZ$113, 52, FALSE)</f>
        <v>43</v>
      </c>
      <c r="AA22" s="112">
        <f t="shared" ref="AA22:AA24" si="27">RANK(Z22, Z$21:Z$24, 1)</f>
        <v>1</v>
      </c>
      <c r="AC22" t="s">
        <v>4955</v>
      </c>
      <c r="AT22" t="s">
        <v>1376</v>
      </c>
      <c r="AU22" t="s">
        <v>1374</v>
      </c>
    </row>
    <row r="23" spans="2:47" x14ac:dyDescent="0.35">
      <c r="B23" s="371" t="s">
        <v>67</v>
      </c>
      <c r="C23" s="99">
        <v>21</v>
      </c>
      <c r="D23" s="148">
        <f>VLOOKUP(C23, Rankings!$A$2:$AZ$113, 52, FALSE)</f>
        <v>21</v>
      </c>
      <c r="E23" s="110">
        <f t="shared" si="22"/>
        <v>1</v>
      </c>
      <c r="F23" s="99" t="s">
        <v>62</v>
      </c>
      <c r="G23" s="99">
        <v>30</v>
      </c>
      <c r="H23" s="148">
        <f>VLOOKUP(G23, Rankings!$A$2:$AZ$113, 52, FALSE)</f>
        <v>49</v>
      </c>
      <c r="I23" s="112">
        <f t="shared" si="23"/>
        <v>4</v>
      </c>
      <c r="J23" s="9"/>
      <c r="K23" s="371" t="s">
        <v>36</v>
      </c>
      <c r="L23" s="99">
        <v>56</v>
      </c>
      <c r="M23" s="148">
        <f>VLOOKUP(L23, Rankings!$A$2:$AZ$113, 52, FALSE)</f>
        <v>6</v>
      </c>
      <c r="N23" s="110">
        <f t="shared" si="24"/>
        <v>1</v>
      </c>
      <c r="O23" s="99" t="s">
        <v>1859</v>
      </c>
      <c r="P23" s="99">
        <v>62</v>
      </c>
      <c r="Q23" s="148">
        <f>VLOOKUP(P23, Rankings!$A$2:$AZ$113, 52, FALSE)</f>
        <v>75</v>
      </c>
      <c r="R23" s="112">
        <f t="shared" si="25"/>
        <v>4</v>
      </c>
      <c r="S23" s="9"/>
      <c r="T23" s="397" t="s">
        <v>795</v>
      </c>
      <c r="U23" s="99">
        <v>87</v>
      </c>
      <c r="V23" s="148">
        <f>VLOOKUP(U23, Rankings!$A$2:$AZ$113, 52, FALSE)</f>
        <v>4</v>
      </c>
      <c r="W23" s="110">
        <f t="shared" si="26"/>
        <v>1</v>
      </c>
      <c r="X23" s="99" t="s">
        <v>789</v>
      </c>
      <c r="Y23" s="99">
        <v>95</v>
      </c>
      <c r="Z23" s="148">
        <f>VLOOKUP(Y23, Rankings!$A$2:$AZ$113, 52, FALSE)</f>
        <v>96</v>
      </c>
      <c r="AA23" s="112">
        <f t="shared" si="27"/>
        <v>4</v>
      </c>
      <c r="AC23" t="s">
        <v>4956</v>
      </c>
      <c r="AL23" s="6"/>
      <c r="AM23" s="36">
        <f>AL24-AM24</f>
        <v>12.4405</v>
      </c>
      <c r="AT23" t="s">
        <v>1375</v>
      </c>
      <c r="AU23" t="s">
        <v>1373</v>
      </c>
    </row>
    <row r="24" spans="2:47" ht="15" thickBot="1" x14ac:dyDescent="0.4">
      <c r="B24" s="367" t="s">
        <v>68</v>
      </c>
      <c r="C24" s="100">
        <v>22</v>
      </c>
      <c r="D24" s="150">
        <f>VLOOKUP(C24, Rankings!$A$2:$AZ$113, 52, FALSE)</f>
        <v>98</v>
      </c>
      <c r="E24" s="111">
        <f t="shared" si="22"/>
        <v>3</v>
      </c>
      <c r="F24" s="100" t="s">
        <v>60</v>
      </c>
      <c r="G24" s="100">
        <v>32</v>
      </c>
      <c r="H24" s="150">
        <f>VLOOKUP(G24, Rankings!$A$2:$AZ$113, 52, FALSE)</f>
        <v>10</v>
      </c>
      <c r="I24" s="113">
        <f t="shared" si="23"/>
        <v>1</v>
      </c>
      <c r="J24" s="9"/>
      <c r="K24" s="367" t="s">
        <v>37</v>
      </c>
      <c r="L24" s="100">
        <v>55</v>
      </c>
      <c r="M24" s="150">
        <f>VLOOKUP(L24, Rankings!$A$2:$AZ$113, 52, FALSE)</f>
        <v>60</v>
      </c>
      <c r="N24" s="111">
        <f t="shared" si="24"/>
        <v>2</v>
      </c>
      <c r="O24" s="100" t="s">
        <v>1858</v>
      </c>
      <c r="P24" s="100">
        <v>63</v>
      </c>
      <c r="Q24" s="150">
        <f>VLOOKUP(P24, Rankings!$A$2:$AZ$113, 52, FALSE)</f>
        <v>67</v>
      </c>
      <c r="R24" s="113">
        <f t="shared" si="25"/>
        <v>3</v>
      </c>
      <c r="S24" s="9"/>
      <c r="T24" s="374" t="s">
        <v>908</v>
      </c>
      <c r="U24" s="100">
        <v>88</v>
      </c>
      <c r="V24" s="150">
        <f>VLOOKUP(U24, Rankings!$A$2:$AZ$113, 52, FALSE)</f>
        <v>29</v>
      </c>
      <c r="W24" s="111">
        <f t="shared" si="26"/>
        <v>2</v>
      </c>
      <c r="X24" s="100" t="s">
        <v>909</v>
      </c>
      <c r="Y24" s="100">
        <v>93</v>
      </c>
      <c r="Z24" s="150">
        <f>VLOOKUP(Y24, Rankings!$A$2:$AZ$113, 52, FALSE)</f>
        <v>87</v>
      </c>
      <c r="AA24" s="113">
        <f t="shared" si="27"/>
        <v>3</v>
      </c>
      <c r="AC24" t="s">
        <v>4957</v>
      </c>
      <c r="AL24" s="6">
        <v>124.881</v>
      </c>
      <c r="AM24" s="35">
        <f>SUM(AM26:AM35)</f>
        <v>112.4405</v>
      </c>
      <c r="AT24" t="s">
        <v>1379</v>
      </c>
      <c r="AU24" t="s">
        <v>1378</v>
      </c>
    </row>
    <row r="25" spans="2:47" x14ac:dyDescent="0.35">
      <c r="AH25" s="1"/>
      <c r="AJ25" s="9"/>
      <c r="AT25" t="s">
        <v>1374</v>
      </c>
      <c r="AU25" t="s">
        <v>1377</v>
      </c>
    </row>
    <row r="26" spans="2:47" x14ac:dyDescent="0.35">
      <c r="D26" s="38" t="s">
        <v>737</v>
      </c>
      <c r="E26" s="38" t="s">
        <v>1392</v>
      </c>
      <c r="H26" s="38" t="s">
        <v>737</v>
      </c>
      <c r="I26" s="38" t="s">
        <v>1392</v>
      </c>
      <c r="O26" s="144" t="s">
        <v>1481</v>
      </c>
      <c r="AH26" s="9"/>
      <c r="AJ26" s="9"/>
      <c r="AL26" s="281">
        <f>IF(AL24&gt;100, 100, AL24)</f>
        <v>100</v>
      </c>
      <c r="AM26" s="35">
        <f t="shared" ref="AM26:AM35" si="28">IF(AL26&gt;0, AL26, 0)</f>
        <v>100</v>
      </c>
      <c r="AT26" t="s">
        <v>1373</v>
      </c>
      <c r="AU26" t="s">
        <v>1376</v>
      </c>
    </row>
    <row r="27" spans="2:47" x14ac:dyDescent="0.35">
      <c r="D27" s="6"/>
      <c r="E27">
        <v>0</v>
      </c>
      <c r="F27" t="s">
        <v>1396</v>
      </c>
      <c r="H27" s="6">
        <v>4</v>
      </c>
      <c r="I27" s="6">
        <v>9</v>
      </c>
      <c r="J27" s="6" t="s">
        <v>2233</v>
      </c>
      <c r="K27" s="6"/>
      <c r="O27" s="143" t="s">
        <v>1471</v>
      </c>
      <c r="P27" s="9"/>
      <c r="Q27" s="9"/>
      <c r="W27" s="9" t="s">
        <v>1003</v>
      </c>
      <c r="AC27">
        <v>100</v>
      </c>
      <c r="AE27">
        <v>10</v>
      </c>
      <c r="AF27">
        <v>100</v>
      </c>
      <c r="AH27" s="9"/>
      <c r="AJ27" s="9"/>
      <c r="AL27" s="281">
        <f>IF($AL$24&gt;200, 50, ($AL$24-100)/2)</f>
        <v>12.4405</v>
      </c>
      <c r="AM27" s="35">
        <f t="shared" si="28"/>
        <v>12.4405</v>
      </c>
      <c r="AT27" t="s">
        <v>1378</v>
      </c>
      <c r="AU27" t="s">
        <v>1375</v>
      </c>
    </row>
    <row r="28" spans="2:47" x14ac:dyDescent="0.35">
      <c r="D28" s="6">
        <v>12</v>
      </c>
      <c r="E28" s="6">
        <v>1</v>
      </c>
      <c r="F28" s="6" t="s">
        <v>1400</v>
      </c>
      <c r="H28" s="6">
        <v>3</v>
      </c>
      <c r="I28" s="6">
        <v>10</v>
      </c>
      <c r="J28" s="6" t="s">
        <v>1115</v>
      </c>
      <c r="O28" s="143" t="s">
        <v>1472</v>
      </c>
      <c r="P28" s="9"/>
      <c r="Q28" s="9"/>
      <c r="T28" s="9" t="s">
        <v>1400</v>
      </c>
      <c r="W28" s="9" t="s">
        <v>1117</v>
      </c>
      <c r="AC28">
        <v>121</v>
      </c>
      <c r="AE28">
        <v>11</v>
      </c>
      <c r="AF28">
        <v>200</v>
      </c>
      <c r="AH28" s="9"/>
      <c r="AJ28" s="9"/>
      <c r="AL28" s="281">
        <f>IF($AL$24&gt;300, 100/3, ($AL$24-200)/3)</f>
        <v>-25.039666666666665</v>
      </c>
      <c r="AM28" s="35">
        <f t="shared" si="28"/>
        <v>0</v>
      </c>
      <c r="AR28">
        <v>1</v>
      </c>
      <c r="AS28" t="s">
        <v>173</v>
      </c>
      <c r="AT28" t="s">
        <v>1380</v>
      </c>
      <c r="AU28" t="s">
        <v>1384</v>
      </c>
    </row>
    <row r="29" spans="2:47" x14ac:dyDescent="0.35">
      <c r="B29" s="143"/>
      <c r="D29" s="6">
        <v>11</v>
      </c>
      <c r="E29" s="6">
        <v>2</v>
      </c>
      <c r="F29" s="6" t="s">
        <v>1484</v>
      </c>
      <c r="H29" s="6">
        <v>2</v>
      </c>
      <c r="I29" s="6">
        <v>11</v>
      </c>
      <c r="J29" s="6" t="s">
        <v>2234</v>
      </c>
      <c r="O29" s="9" t="s">
        <v>1473</v>
      </c>
      <c r="P29" s="9"/>
      <c r="Q29" s="9"/>
      <c r="T29" s="9" t="s">
        <v>995</v>
      </c>
      <c r="U29" s="6"/>
      <c r="V29" s="6" t="s">
        <v>1482</v>
      </c>
      <c r="W29" s="9" t="s">
        <v>997</v>
      </c>
      <c r="X29" s="6"/>
      <c r="AC29">
        <v>144</v>
      </c>
      <c r="AE29">
        <v>12</v>
      </c>
      <c r="AF29">
        <v>300</v>
      </c>
      <c r="AH29" s="9"/>
      <c r="AJ29" s="9"/>
      <c r="AL29" s="281">
        <f>IF($AL$24&gt;400, 100/4, ($AL$24-300)/4)</f>
        <v>-43.77975</v>
      </c>
      <c r="AM29" s="35">
        <f t="shared" si="28"/>
        <v>0</v>
      </c>
      <c r="AR29">
        <v>2</v>
      </c>
      <c r="AS29" t="s">
        <v>172</v>
      </c>
      <c r="AT29" t="s">
        <v>1381</v>
      </c>
      <c r="AU29" t="s">
        <v>1385</v>
      </c>
    </row>
    <row r="30" spans="2:47" x14ac:dyDescent="0.35">
      <c r="B30" s="143"/>
      <c r="D30" s="6">
        <v>10</v>
      </c>
      <c r="E30" s="6">
        <v>3</v>
      </c>
      <c r="F30" s="6" t="s">
        <v>2230</v>
      </c>
      <c r="H30" s="6">
        <v>1</v>
      </c>
      <c r="I30" s="6">
        <v>12</v>
      </c>
      <c r="J30" s="6" t="s">
        <v>1116</v>
      </c>
      <c r="O30" s="9" t="s">
        <v>1474</v>
      </c>
      <c r="P30" s="9"/>
      <c r="Q30" s="9"/>
      <c r="T30" s="9" t="s">
        <v>1001</v>
      </c>
      <c r="V30" t="s">
        <v>1398</v>
      </c>
      <c r="W30" s="9" t="s">
        <v>997</v>
      </c>
      <c r="AC30">
        <v>169</v>
      </c>
      <c r="AE30">
        <v>13</v>
      </c>
      <c r="AF30">
        <v>400</v>
      </c>
      <c r="AL30" s="281">
        <f>IF($AL$24&gt;500, 100/5, ($AL$24-400)/5)</f>
        <v>-55.023800000000008</v>
      </c>
      <c r="AM30" s="35">
        <f t="shared" si="28"/>
        <v>0</v>
      </c>
      <c r="AR30">
        <v>3</v>
      </c>
      <c r="AS30" t="s">
        <v>171</v>
      </c>
      <c r="AT30" t="s">
        <v>1382</v>
      </c>
      <c r="AU30" t="s">
        <v>1386</v>
      </c>
    </row>
    <row r="31" spans="2:47" x14ac:dyDescent="0.35">
      <c r="B31" s="143"/>
      <c r="D31" s="6">
        <v>9</v>
      </c>
      <c r="E31" s="6">
        <v>4</v>
      </c>
      <c r="F31" s="6" t="s">
        <v>1113</v>
      </c>
      <c r="H31" s="6">
        <v>0</v>
      </c>
      <c r="I31" s="6">
        <v>13</v>
      </c>
      <c r="J31" s="6" t="s">
        <v>1401</v>
      </c>
      <c r="O31" s="9" t="s">
        <v>1475</v>
      </c>
      <c r="P31" s="9"/>
      <c r="Q31" s="9"/>
      <c r="T31" s="9" t="s">
        <v>999</v>
      </c>
      <c r="U31" s="6"/>
      <c r="V31" s="6" t="s">
        <v>1397</v>
      </c>
      <c r="W31" s="9" t="s">
        <v>997</v>
      </c>
      <c r="X31" s="6"/>
      <c r="AC31">
        <v>196</v>
      </c>
      <c r="AE31">
        <v>14</v>
      </c>
      <c r="AF31">
        <v>500</v>
      </c>
      <c r="AL31" s="281">
        <f>IF($AL$24&gt;600, 100/6, ($AL$24-500)/6)</f>
        <v>-62.519833333333338</v>
      </c>
      <c r="AM31" s="35">
        <f t="shared" si="28"/>
        <v>0</v>
      </c>
      <c r="AR31">
        <v>4</v>
      </c>
      <c r="AS31" t="s">
        <v>1296</v>
      </c>
      <c r="AT31" t="s">
        <v>1383</v>
      </c>
      <c r="AU31" t="s">
        <v>1380</v>
      </c>
    </row>
    <row r="32" spans="2:47" x14ac:dyDescent="0.35">
      <c r="B32" s="143"/>
      <c r="D32" s="6">
        <v>8</v>
      </c>
      <c r="E32" s="6">
        <v>5</v>
      </c>
      <c r="F32" s="6" t="s">
        <v>1114</v>
      </c>
      <c r="H32" s="6">
        <v>3</v>
      </c>
      <c r="I32" s="72" t="s">
        <v>837</v>
      </c>
      <c r="J32" s="6" t="s">
        <v>754</v>
      </c>
      <c r="K32" s="6"/>
      <c r="O32" s="9" t="s">
        <v>1476</v>
      </c>
      <c r="P32" s="9"/>
      <c r="Q32" s="9"/>
      <c r="T32" s="71" t="s">
        <v>1402</v>
      </c>
      <c r="U32" s="92"/>
      <c r="V32" s="92"/>
      <c r="W32" s="71" t="s">
        <v>1118</v>
      </c>
      <c r="X32" s="6"/>
      <c r="AC32">
        <v>225</v>
      </c>
      <c r="AE32">
        <v>15</v>
      </c>
      <c r="AF32">
        <v>600</v>
      </c>
      <c r="AL32" s="281">
        <f>IF($AL$24&gt;700, 100/7, ($AL$24-600)/7)</f>
        <v>-67.874142857142857</v>
      </c>
      <c r="AM32" s="35">
        <f t="shared" si="28"/>
        <v>0</v>
      </c>
      <c r="AR32">
        <v>5</v>
      </c>
      <c r="AS32" t="s">
        <v>144</v>
      </c>
      <c r="AT32" t="s">
        <v>1384</v>
      </c>
      <c r="AU32" t="s">
        <v>1381</v>
      </c>
    </row>
    <row r="33" spans="1:47" x14ac:dyDescent="0.35">
      <c r="B33" s="143"/>
      <c r="D33" s="6">
        <v>7</v>
      </c>
      <c r="E33" s="6">
        <v>6</v>
      </c>
      <c r="F33" s="6" t="s">
        <v>2231</v>
      </c>
      <c r="H33" s="1">
        <v>3</v>
      </c>
      <c r="I33" s="237" t="s">
        <v>1393</v>
      </c>
      <c r="J33" s="1" t="s">
        <v>1394</v>
      </c>
      <c r="O33" s="9" t="s">
        <v>1477</v>
      </c>
      <c r="P33" s="9"/>
      <c r="Q33" s="9"/>
      <c r="T33" s="9" t="s">
        <v>996</v>
      </c>
      <c r="U33" s="6"/>
      <c r="V33" s="6" t="s">
        <v>1483</v>
      </c>
      <c r="W33" s="9" t="s">
        <v>998</v>
      </c>
      <c r="AL33" s="281">
        <f>IF($AL$24&gt;800, 100/8, ($AL$24-700)/8)</f>
        <v>-71.889875000000004</v>
      </c>
      <c r="AM33" s="35">
        <f t="shared" si="28"/>
        <v>0</v>
      </c>
      <c r="AR33">
        <v>6</v>
      </c>
      <c r="AS33" t="s">
        <v>143</v>
      </c>
      <c r="AT33" t="s">
        <v>1385</v>
      </c>
      <c r="AU33" t="s">
        <v>1382</v>
      </c>
    </row>
    <row r="34" spans="1:47" x14ac:dyDescent="0.35">
      <c r="B34" s="143"/>
      <c r="D34" s="6">
        <v>6</v>
      </c>
      <c r="E34" s="6">
        <v>7</v>
      </c>
      <c r="F34" s="6" t="s">
        <v>2232</v>
      </c>
      <c r="H34" s="1">
        <v>3</v>
      </c>
      <c r="I34" s="237" t="s">
        <v>1393</v>
      </c>
      <c r="J34" s="1" t="s">
        <v>1395</v>
      </c>
      <c r="O34" s="9" t="s">
        <v>1478</v>
      </c>
      <c r="Q34" s="9"/>
      <c r="T34" s="9" t="s">
        <v>1002</v>
      </c>
      <c r="U34" s="6"/>
      <c r="V34" s="6" t="s">
        <v>1397</v>
      </c>
      <c r="W34" s="9" t="s">
        <v>998</v>
      </c>
      <c r="AL34" s="281">
        <f>IF($AL$24&gt;900, 100/9, ($AL$24-800)/9)</f>
        <v>-75.013222222222225</v>
      </c>
      <c r="AM34" s="35">
        <f t="shared" si="28"/>
        <v>0</v>
      </c>
      <c r="AR34">
        <v>7</v>
      </c>
      <c r="AS34" t="s">
        <v>799</v>
      </c>
      <c r="AT34" t="s">
        <v>1386</v>
      </c>
      <c r="AU34" t="s">
        <v>1383</v>
      </c>
    </row>
    <row r="35" spans="1:47" x14ac:dyDescent="0.35">
      <c r="D35" s="6">
        <v>5</v>
      </c>
      <c r="E35" s="6">
        <v>8</v>
      </c>
      <c r="F35" s="6" t="s">
        <v>1485</v>
      </c>
      <c r="H35" s="1">
        <v>3</v>
      </c>
      <c r="I35" s="237" t="s">
        <v>1393</v>
      </c>
      <c r="J35" s="1" t="s">
        <v>2206</v>
      </c>
      <c r="O35" s="9" t="s">
        <v>1479</v>
      </c>
      <c r="Q35" s="9"/>
      <c r="T35" s="9" t="s">
        <v>1000</v>
      </c>
      <c r="U35" s="6"/>
      <c r="V35" s="6" t="s">
        <v>1398</v>
      </c>
      <c r="W35" s="9" t="s">
        <v>998</v>
      </c>
      <c r="AL35" s="281">
        <f>IF($AL$24&gt;1000, 10, ($AL$24-900)/10)</f>
        <v>-77.511899999999997</v>
      </c>
      <c r="AM35" s="35">
        <f t="shared" si="28"/>
        <v>0</v>
      </c>
    </row>
    <row r="36" spans="1:47" x14ac:dyDescent="0.35">
      <c r="I36" s="46"/>
      <c r="O36" s="9" t="s">
        <v>1480</v>
      </c>
      <c r="Q36" s="9"/>
      <c r="T36" s="20" t="s">
        <v>1401</v>
      </c>
      <c r="U36" s="1"/>
      <c r="V36" s="1"/>
      <c r="W36" s="20" t="s">
        <v>1119</v>
      </c>
    </row>
    <row r="48" spans="1:47" x14ac:dyDescent="0.35">
      <c r="A48" s="34"/>
    </row>
    <row r="49" spans="1:45" x14ac:dyDescent="0.35">
      <c r="A49" s="34"/>
      <c r="T49" s="6"/>
      <c r="AC49" s="6" t="s">
        <v>1389</v>
      </c>
      <c r="AL49" t="s">
        <v>1390</v>
      </c>
      <c r="AO49" t="s">
        <v>1391</v>
      </c>
    </row>
    <row r="50" spans="1:45" x14ac:dyDescent="0.35">
      <c r="A50" s="34"/>
      <c r="T50" t="str">
        <f>CONCATENATE(AP50, " ", AQ50)</f>
        <v>Dynamax Left</v>
      </c>
      <c r="W50" s="1" t="s">
        <v>1348</v>
      </c>
      <c r="X50" t="s">
        <v>173</v>
      </c>
      <c r="Z50" t="s">
        <v>1387</v>
      </c>
      <c r="AC50" t="s">
        <v>1351</v>
      </c>
      <c r="AG50" t="s">
        <v>172</v>
      </c>
      <c r="AK50" t="s">
        <v>1388</v>
      </c>
      <c r="AL50" t="s">
        <v>1359</v>
      </c>
      <c r="AM50" t="s">
        <v>143</v>
      </c>
      <c r="AN50" t="s">
        <v>1388</v>
      </c>
      <c r="AO50" t="s">
        <v>1354</v>
      </c>
      <c r="AP50" t="s">
        <v>1296</v>
      </c>
      <c r="AQ50" t="s">
        <v>1387</v>
      </c>
    </row>
    <row r="51" spans="1:45" x14ac:dyDescent="0.35">
      <c r="A51" s="34"/>
      <c r="T51" t="str">
        <f t="shared" ref="T51:T63" si="29">CONCATENATE(AP51, " ", AQ51)</f>
        <v>Delta Left</v>
      </c>
      <c r="W51" s="1" t="s">
        <v>1350</v>
      </c>
      <c r="X51" t="s">
        <v>172</v>
      </c>
      <c r="Z51" t="s">
        <v>1387</v>
      </c>
      <c r="AC51" t="s">
        <v>1353</v>
      </c>
      <c r="AG51" t="s">
        <v>171</v>
      </c>
      <c r="AK51" t="s">
        <v>1388</v>
      </c>
      <c r="AL51" t="s">
        <v>1361</v>
      </c>
      <c r="AM51" t="s">
        <v>799</v>
      </c>
      <c r="AN51" t="s">
        <v>1388</v>
      </c>
      <c r="AO51" t="s">
        <v>1356</v>
      </c>
      <c r="AP51" t="s">
        <v>144</v>
      </c>
      <c r="AQ51" t="s">
        <v>1387</v>
      </c>
    </row>
    <row r="52" spans="1:45" x14ac:dyDescent="0.35">
      <c r="A52" s="34"/>
      <c r="T52" t="str">
        <f t="shared" si="29"/>
        <v>Indigo Left</v>
      </c>
      <c r="W52" s="1" t="s">
        <v>1352</v>
      </c>
      <c r="X52" t="s">
        <v>171</v>
      </c>
      <c r="Z52" t="s">
        <v>1387</v>
      </c>
      <c r="AC52" t="s">
        <v>1355</v>
      </c>
      <c r="AG52" t="s">
        <v>1296</v>
      </c>
      <c r="AK52" t="s">
        <v>1388</v>
      </c>
      <c r="AL52" t="s">
        <v>1349</v>
      </c>
      <c r="AM52" t="s">
        <v>173</v>
      </c>
      <c r="AN52" t="s">
        <v>1388</v>
      </c>
      <c r="AO52" t="s">
        <v>1358</v>
      </c>
      <c r="AP52" t="s">
        <v>143</v>
      </c>
      <c r="AQ52" t="s">
        <v>1387</v>
      </c>
    </row>
    <row r="53" spans="1:45" x14ac:dyDescent="0.35">
      <c r="A53" s="34"/>
      <c r="T53" t="str">
        <f t="shared" si="29"/>
        <v>Lanakila Left</v>
      </c>
      <c r="W53" s="1" t="s">
        <v>1354</v>
      </c>
      <c r="X53" t="s">
        <v>1296</v>
      </c>
      <c r="Z53" t="s">
        <v>1387</v>
      </c>
      <c r="AC53" t="s">
        <v>1357</v>
      </c>
      <c r="AG53" t="s">
        <v>144</v>
      </c>
      <c r="AK53" t="s">
        <v>1388</v>
      </c>
      <c r="AL53" t="s">
        <v>1351</v>
      </c>
      <c r="AM53" t="s">
        <v>172</v>
      </c>
      <c r="AN53" t="s">
        <v>1388</v>
      </c>
      <c r="AO53" t="s">
        <v>1360</v>
      </c>
      <c r="AP53" t="s">
        <v>799</v>
      </c>
      <c r="AQ53" t="s">
        <v>1387</v>
      </c>
      <c r="AS53" s="9"/>
    </row>
    <row r="54" spans="1:45" x14ac:dyDescent="0.35">
      <c r="A54" s="34"/>
      <c r="T54" t="str">
        <f t="shared" si="29"/>
        <v>Kalosite Left</v>
      </c>
      <c r="W54" s="1" t="s">
        <v>1356</v>
      </c>
      <c r="X54" t="s">
        <v>144</v>
      </c>
      <c r="Z54" t="s">
        <v>1387</v>
      </c>
      <c r="AC54" t="s">
        <v>1359</v>
      </c>
      <c r="AG54" t="s">
        <v>143</v>
      </c>
      <c r="AK54" t="s">
        <v>1388</v>
      </c>
      <c r="AL54" t="s">
        <v>1353</v>
      </c>
      <c r="AM54" t="s">
        <v>171</v>
      </c>
      <c r="AN54" t="s">
        <v>1388</v>
      </c>
      <c r="AO54" t="s">
        <v>1348</v>
      </c>
      <c r="AP54" t="s">
        <v>173</v>
      </c>
      <c r="AQ54" t="s">
        <v>1387</v>
      </c>
      <c r="AS54" s="9"/>
    </row>
    <row r="55" spans="1:45" x14ac:dyDescent="0.35">
      <c r="A55" s="34"/>
      <c r="T55" t="str">
        <f t="shared" si="29"/>
        <v>Vertress Left</v>
      </c>
      <c r="W55" s="1" t="s">
        <v>1358</v>
      </c>
      <c r="X55" t="s">
        <v>143</v>
      </c>
      <c r="Z55" t="s">
        <v>1387</v>
      </c>
      <c r="AC55" t="s">
        <v>1361</v>
      </c>
      <c r="AG55" t="s">
        <v>799</v>
      </c>
      <c r="AK55" t="s">
        <v>1388</v>
      </c>
      <c r="AL55" t="s">
        <v>1355</v>
      </c>
      <c r="AM55" t="s">
        <v>1296</v>
      </c>
      <c r="AN55" t="s">
        <v>1388</v>
      </c>
      <c r="AO55" t="s">
        <v>1350</v>
      </c>
      <c r="AP55" t="s">
        <v>172</v>
      </c>
      <c r="AQ55" t="s">
        <v>1387</v>
      </c>
      <c r="AS55" s="9"/>
    </row>
    <row r="56" spans="1:45" x14ac:dyDescent="0.35">
      <c r="A56" s="34"/>
      <c r="T56" t="str">
        <f t="shared" si="29"/>
        <v>Lily Valley Left</v>
      </c>
      <c r="W56" s="1" t="s">
        <v>1360</v>
      </c>
      <c r="X56" t="s">
        <v>799</v>
      </c>
      <c r="Z56" t="s">
        <v>1387</v>
      </c>
      <c r="AC56" t="s">
        <v>1349</v>
      </c>
      <c r="AG56" t="s">
        <v>173</v>
      </c>
      <c r="AK56" t="s">
        <v>1388</v>
      </c>
      <c r="AL56" t="s">
        <v>1357</v>
      </c>
      <c r="AM56" t="s">
        <v>144</v>
      </c>
      <c r="AN56" t="s">
        <v>1388</v>
      </c>
      <c r="AO56" t="s">
        <v>1352</v>
      </c>
      <c r="AP56" t="s">
        <v>171</v>
      </c>
      <c r="AQ56" t="s">
        <v>1387</v>
      </c>
    </row>
    <row r="57" spans="1:45" x14ac:dyDescent="0.35">
      <c r="A57" s="34"/>
      <c r="T57" t="str">
        <f t="shared" si="29"/>
        <v>Delta Right</v>
      </c>
      <c r="W57" s="1" t="s">
        <v>1349</v>
      </c>
      <c r="X57" t="s">
        <v>173</v>
      </c>
      <c r="Z57" t="s">
        <v>1388</v>
      </c>
      <c r="AC57" t="s">
        <v>1360</v>
      </c>
      <c r="AG57" t="s">
        <v>799</v>
      </c>
      <c r="AK57" t="s">
        <v>1387</v>
      </c>
      <c r="AL57" t="s">
        <v>1352</v>
      </c>
      <c r="AM57" t="s">
        <v>171</v>
      </c>
      <c r="AN57" t="s">
        <v>1387</v>
      </c>
      <c r="AO57" t="s">
        <v>1357</v>
      </c>
      <c r="AP57" t="s">
        <v>144</v>
      </c>
      <c r="AQ57" t="s">
        <v>1388</v>
      </c>
    </row>
    <row r="58" spans="1:45" x14ac:dyDescent="0.35">
      <c r="A58" s="34"/>
      <c r="T58" t="str">
        <f t="shared" si="29"/>
        <v>Indigo Right</v>
      </c>
      <c r="W58" s="1" t="s">
        <v>1351</v>
      </c>
      <c r="X58" t="s">
        <v>172</v>
      </c>
      <c r="Z58" t="s">
        <v>1388</v>
      </c>
      <c r="AC58" t="s">
        <v>1348</v>
      </c>
      <c r="AG58" t="s">
        <v>173</v>
      </c>
      <c r="AK58" t="s">
        <v>1387</v>
      </c>
      <c r="AL58" t="s">
        <v>1354</v>
      </c>
      <c r="AM58" t="s">
        <v>1296</v>
      </c>
      <c r="AN58" t="s">
        <v>1387</v>
      </c>
      <c r="AO58" t="s">
        <v>1359</v>
      </c>
      <c r="AP58" t="s">
        <v>143</v>
      </c>
      <c r="AQ58" t="s">
        <v>1388</v>
      </c>
    </row>
    <row r="59" spans="1:45" x14ac:dyDescent="0.35">
      <c r="A59" s="34"/>
      <c r="T59" t="str">
        <f t="shared" si="29"/>
        <v>Lanakila Right</v>
      </c>
      <c r="W59" s="1" t="s">
        <v>1353</v>
      </c>
      <c r="X59" t="s">
        <v>171</v>
      </c>
      <c r="Z59" t="s">
        <v>1388</v>
      </c>
      <c r="AC59" t="s">
        <v>1350</v>
      </c>
      <c r="AG59" t="s">
        <v>172</v>
      </c>
      <c r="AK59" t="s">
        <v>1387</v>
      </c>
      <c r="AL59" t="s">
        <v>1356</v>
      </c>
      <c r="AM59" t="s">
        <v>144</v>
      </c>
      <c r="AN59" t="s">
        <v>1387</v>
      </c>
      <c r="AO59" t="s">
        <v>1361</v>
      </c>
      <c r="AP59" t="s">
        <v>799</v>
      </c>
      <c r="AQ59" t="s">
        <v>1388</v>
      </c>
    </row>
    <row r="60" spans="1:45" x14ac:dyDescent="0.35">
      <c r="A60" s="34"/>
      <c r="T60" t="str">
        <f t="shared" si="29"/>
        <v>Kalosite Right</v>
      </c>
      <c r="W60" s="1" t="s">
        <v>1355</v>
      </c>
      <c r="X60" t="s">
        <v>1296</v>
      </c>
      <c r="Z60" t="s">
        <v>1388</v>
      </c>
      <c r="AC60" t="s">
        <v>1352</v>
      </c>
      <c r="AG60" t="s">
        <v>171</v>
      </c>
      <c r="AK60" t="s">
        <v>1387</v>
      </c>
      <c r="AL60" t="s">
        <v>1358</v>
      </c>
      <c r="AM60" t="s">
        <v>143</v>
      </c>
      <c r="AN60" t="s">
        <v>1387</v>
      </c>
      <c r="AO60" t="s">
        <v>1349</v>
      </c>
      <c r="AP60" t="s">
        <v>173</v>
      </c>
      <c r="AQ60" t="s">
        <v>1388</v>
      </c>
    </row>
    <row r="61" spans="1:45" x14ac:dyDescent="0.35">
      <c r="A61" s="34"/>
      <c r="T61" t="str">
        <f t="shared" si="29"/>
        <v>Vertress Right</v>
      </c>
      <c r="W61" s="1" t="s">
        <v>1357</v>
      </c>
      <c r="X61" t="s">
        <v>144</v>
      </c>
      <c r="Z61" t="s">
        <v>1388</v>
      </c>
      <c r="AC61" t="s">
        <v>1354</v>
      </c>
      <c r="AG61" t="s">
        <v>1296</v>
      </c>
      <c r="AK61" t="s">
        <v>1387</v>
      </c>
      <c r="AL61" t="s">
        <v>1360</v>
      </c>
      <c r="AM61" t="s">
        <v>799</v>
      </c>
      <c r="AN61" t="s">
        <v>1387</v>
      </c>
      <c r="AO61" t="s">
        <v>1351</v>
      </c>
      <c r="AP61" t="s">
        <v>172</v>
      </c>
      <c r="AQ61" t="s">
        <v>1388</v>
      </c>
    </row>
    <row r="62" spans="1:45" x14ac:dyDescent="0.35">
      <c r="A62" s="34"/>
      <c r="T62" t="str">
        <f t="shared" si="29"/>
        <v>Lily Valley Right</v>
      </c>
      <c r="W62" s="1" t="s">
        <v>1359</v>
      </c>
      <c r="X62" t="s">
        <v>143</v>
      </c>
      <c r="Z62" t="s">
        <v>1388</v>
      </c>
      <c r="AC62" t="s">
        <v>1356</v>
      </c>
      <c r="AG62" t="s">
        <v>144</v>
      </c>
      <c r="AK62" t="s">
        <v>1387</v>
      </c>
      <c r="AL62" t="s">
        <v>1348</v>
      </c>
      <c r="AM62" t="s">
        <v>173</v>
      </c>
      <c r="AN62" t="s">
        <v>1387</v>
      </c>
      <c r="AO62" t="s">
        <v>1353</v>
      </c>
      <c r="AP62" t="s">
        <v>171</v>
      </c>
      <c r="AQ62" t="s">
        <v>1388</v>
      </c>
    </row>
    <row r="63" spans="1:45" x14ac:dyDescent="0.35">
      <c r="A63" s="34"/>
      <c r="T63" t="str">
        <f t="shared" si="29"/>
        <v>Dynamax Right</v>
      </c>
      <c r="W63" s="1" t="s">
        <v>1361</v>
      </c>
      <c r="X63" t="s">
        <v>799</v>
      </c>
      <c r="Z63" t="s">
        <v>1388</v>
      </c>
      <c r="AC63" t="s">
        <v>1358</v>
      </c>
      <c r="AG63" t="s">
        <v>143</v>
      </c>
      <c r="AK63" t="s">
        <v>1387</v>
      </c>
      <c r="AL63" t="s">
        <v>1350</v>
      </c>
      <c r="AM63" t="s">
        <v>172</v>
      </c>
      <c r="AN63" t="s">
        <v>1387</v>
      </c>
      <c r="AO63" t="s">
        <v>1355</v>
      </c>
      <c r="AP63" t="s">
        <v>1296</v>
      </c>
      <c r="AQ63" t="s">
        <v>1388</v>
      </c>
    </row>
    <row r="64" spans="1:45" x14ac:dyDescent="0.35">
      <c r="A64" s="95"/>
    </row>
    <row r="68" spans="2:44" x14ac:dyDescent="0.35">
      <c r="B68" t="s">
        <v>1085</v>
      </c>
      <c r="K68" t="s">
        <v>1086</v>
      </c>
      <c r="T68" t="s">
        <v>1095</v>
      </c>
      <c r="X68" s="9"/>
      <c r="AC68" t="s">
        <v>1090</v>
      </c>
      <c r="AL68" t="s">
        <v>166</v>
      </c>
      <c r="AO68" t="s">
        <v>1103</v>
      </c>
      <c r="AR68" t="s">
        <v>1107</v>
      </c>
    </row>
    <row r="69" spans="2:44" x14ac:dyDescent="0.35">
      <c r="B69" t="s">
        <v>1084</v>
      </c>
      <c r="K69" t="s">
        <v>1087</v>
      </c>
      <c r="T69" t="s">
        <v>1096</v>
      </c>
      <c r="AC69" t="s">
        <v>1088</v>
      </c>
      <c r="AL69" t="s">
        <v>1368</v>
      </c>
      <c r="AO69" t="s">
        <v>1104</v>
      </c>
      <c r="AR69" t="s">
        <v>1108</v>
      </c>
    </row>
    <row r="70" spans="2:44" x14ac:dyDescent="0.35">
      <c r="B70" t="s">
        <v>1082</v>
      </c>
      <c r="K70" t="s">
        <v>1366</v>
      </c>
      <c r="T70" t="s">
        <v>1098</v>
      </c>
      <c r="X70" s="9"/>
      <c r="AC70" t="s">
        <v>1099</v>
      </c>
      <c r="AL70" t="s">
        <v>167</v>
      </c>
      <c r="AO70" t="s">
        <v>1106</v>
      </c>
      <c r="AR70" t="s">
        <v>918</v>
      </c>
    </row>
    <row r="71" spans="2:44" x14ac:dyDescent="0.35">
      <c r="B71" t="s">
        <v>1083</v>
      </c>
      <c r="K71" t="s">
        <v>1369</v>
      </c>
      <c r="T71" t="s">
        <v>1097</v>
      </c>
      <c r="X71" s="9"/>
      <c r="AC71" t="s">
        <v>1100</v>
      </c>
      <c r="AL71" t="s">
        <v>1102</v>
      </c>
      <c r="AO71" t="s">
        <v>974</v>
      </c>
      <c r="AR71" t="s">
        <v>1109</v>
      </c>
    </row>
  </sheetData>
  <sortState xmlns:xlrd2="http://schemas.microsoft.com/office/spreadsheetml/2017/richdata2" ref="AL2:AL15">
    <sortCondition ref="AL2"/>
  </sortState>
  <mergeCells count="7">
    <mergeCell ref="AI1:AJ1"/>
    <mergeCell ref="H1:I1"/>
    <mergeCell ref="Q1:R1"/>
    <mergeCell ref="H13:I13"/>
    <mergeCell ref="Q13:R13"/>
    <mergeCell ref="Z13:AA13"/>
    <mergeCell ref="Z1:AA1"/>
  </mergeCells>
  <conditionalFormatting sqref="D4">
    <cfRule type="cellIs" dxfId="142" priority="112" operator="greaterThan">
      <formula>25</formula>
    </cfRule>
    <cfRule type="cellIs" dxfId="141" priority="113" operator="lessThan">
      <formula>26</formula>
    </cfRule>
  </conditionalFormatting>
  <conditionalFormatting sqref="D5:D7">
    <cfRule type="cellIs" dxfId="140" priority="110" operator="greaterThan">
      <formula>25</formula>
    </cfRule>
    <cfRule type="cellIs" dxfId="139" priority="111" operator="lessThan">
      <formula>26</formula>
    </cfRule>
  </conditionalFormatting>
  <conditionalFormatting sqref="D9">
    <cfRule type="cellIs" dxfId="138" priority="108" operator="greaterThan">
      <formula>25</formula>
    </cfRule>
    <cfRule type="cellIs" dxfId="137" priority="109" operator="lessThan">
      <formula>26</formula>
    </cfRule>
  </conditionalFormatting>
  <conditionalFormatting sqref="D10:D12">
    <cfRule type="cellIs" dxfId="136" priority="106" operator="greaterThan">
      <formula>25</formula>
    </cfRule>
    <cfRule type="cellIs" dxfId="135" priority="107" operator="lessThan">
      <formula>26</formula>
    </cfRule>
  </conditionalFormatting>
  <conditionalFormatting sqref="H4">
    <cfRule type="cellIs" dxfId="134" priority="104" operator="greaterThan">
      <formula>25</formula>
    </cfRule>
    <cfRule type="cellIs" dxfId="133" priority="105" operator="lessThan">
      <formula>26</formula>
    </cfRule>
  </conditionalFormatting>
  <conditionalFormatting sqref="H5:H7">
    <cfRule type="cellIs" dxfId="132" priority="102" operator="greaterThan">
      <formula>25</formula>
    </cfRule>
    <cfRule type="cellIs" dxfId="131" priority="103" operator="lessThan">
      <formula>26</formula>
    </cfRule>
  </conditionalFormatting>
  <conditionalFormatting sqref="H9">
    <cfRule type="cellIs" dxfId="130" priority="100" operator="greaterThan">
      <formula>25</formula>
    </cfRule>
    <cfRule type="cellIs" dxfId="129" priority="101" operator="lessThan">
      <formula>26</formula>
    </cfRule>
  </conditionalFormatting>
  <conditionalFormatting sqref="H10:H12">
    <cfRule type="cellIs" dxfId="128" priority="98" operator="greaterThan">
      <formula>25</formula>
    </cfRule>
    <cfRule type="cellIs" dxfId="127" priority="99" operator="lessThan">
      <formula>26</formula>
    </cfRule>
  </conditionalFormatting>
  <conditionalFormatting sqref="D16">
    <cfRule type="cellIs" dxfId="126" priority="96" operator="greaterThan">
      <formula>25</formula>
    </cfRule>
    <cfRule type="cellIs" dxfId="125" priority="97" operator="lessThan">
      <formula>26</formula>
    </cfRule>
  </conditionalFormatting>
  <conditionalFormatting sqref="D17:D19">
    <cfRule type="cellIs" dxfId="124" priority="94" operator="greaterThan">
      <formula>25</formula>
    </cfRule>
    <cfRule type="cellIs" dxfId="123" priority="95" operator="lessThan">
      <formula>26</formula>
    </cfRule>
  </conditionalFormatting>
  <conditionalFormatting sqref="D21">
    <cfRule type="cellIs" dxfId="122" priority="92" operator="greaterThan">
      <formula>25</formula>
    </cfRule>
    <cfRule type="cellIs" dxfId="121" priority="93" operator="lessThan">
      <formula>26</formula>
    </cfRule>
  </conditionalFormatting>
  <conditionalFormatting sqref="D22:D24">
    <cfRule type="cellIs" dxfId="120" priority="90" operator="greaterThan">
      <formula>25</formula>
    </cfRule>
    <cfRule type="cellIs" dxfId="119" priority="91" operator="lessThan">
      <formula>26</formula>
    </cfRule>
  </conditionalFormatting>
  <conditionalFormatting sqref="H16">
    <cfRule type="cellIs" dxfId="118" priority="88" operator="greaterThan">
      <formula>25</formula>
    </cfRule>
    <cfRule type="cellIs" dxfId="117" priority="89" operator="lessThan">
      <formula>26</formula>
    </cfRule>
  </conditionalFormatting>
  <conditionalFormatting sqref="H17:H19">
    <cfRule type="cellIs" dxfId="116" priority="86" operator="greaterThan">
      <formula>25</formula>
    </cfRule>
    <cfRule type="cellIs" dxfId="115" priority="87" operator="lessThan">
      <formula>26</formula>
    </cfRule>
  </conditionalFormatting>
  <conditionalFormatting sqref="H21">
    <cfRule type="cellIs" dxfId="114" priority="84" operator="greaterThan">
      <formula>25</formula>
    </cfRule>
    <cfRule type="cellIs" dxfId="113" priority="85" operator="lessThan">
      <formula>26</formula>
    </cfRule>
  </conditionalFormatting>
  <conditionalFormatting sqref="H22:H24">
    <cfRule type="cellIs" dxfId="112" priority="82" operator="greaterThan">
      <formula>25</formula>
    </cfRule>
    <cfRule type="cellIs" dxfId="111" priority="83" operator="lessThan">
      <formula>26</formula>
    </cfRule>
  </conditionalFormatting>
  <conditionalFormatting sqref="M4">
    <cfRule type="cellIs" dxfId="110" priority="80" operator="greaterThan">
      <formula>25</formula>
    </cfRule>
    <cfRule type="cellIs" dxfId="109" priority="81" operator="lessThan">
      <formula>26</formula>
    </cfRule>
  </conditionalFormatting>
  <conditionalFormatting sqref="M5:M7">
    <cfRule type="cellIs" dxfId="108" priority="78" operator="greaterThan">
      <formula>25</formula>
    </cfRule>
    <cfRule type="cellIs" dxfId="107" priority="79" operator="lessThan">
      <formula>26</formula>
    </cfRule>
  </conditionalFormatting>
  <conditionalFormatting sqref="M9">
    <cfRule type="cellIs" dxfId="106" priority="76" operator="greaterThan">
      <formula>25</formula>
    </cfRule>
    <cfRule type="cellIs" dxfId="105" priority="77" operator="lessThan">
      <formula>26</formula>
    </cfRule>
  </conditionalFormatting>
  <conditionalFormatting sqref="M10:M12">
    <cfRule type="cellIs" dxfId="104" priority="74" operator="greaterThan">
      <formula>25</formula>
    </cfRule>
    <cfRule type="cellIs" dxfId="103" priority="75" operator="lessThan">
      <formula>26</formula>
    </cfRule>
  </conditionalFormatting>
  <conditionalFormatting sqref="Q4">
    <cfRule type="cellIs" dxfId="102" priority="72" operator="greaterThan">
      <formula>25</formula>
    </cfRule>
    <cfRule type="cellIs" dxfId="101" priority="73" operator="lessThan">
      <formula>26</formula>
    </cfRule>
  </conditionalFormatting>
  <conditionalFormatting sqref="Q5:Q7">
    <cfRule type="cellIs" dxfId="100" priority="70" operator="greaterThan">
      <formula>25</formula>
    </cfRule>
    <cfRule type="cellIs" dxfId="99" priority="71" operator="lessThan">
      <formula>26</formula>
    </cfRule>
  </conditionalFormatting>
  <conditionalFormatting sqref="Q9">
    <cfRule type="cellIs" dxfId="98" priority="68" operator="greaterThan">
      <formula>25</formula>
    </cfRule>
    <cfRule type="cellIs" dxfId="97" priority="69" operator="lessThan">
      <formula>26</formula>
    </cfRule>
  </conditionalFormatting>
  <conditionalFormatting sqref="Q10:Q12">
    <cfRule type="cellIs" dxfId="96" priority="66" operator="greaterThan">
      <formula>25</formula>
    </cfRule>
    <cfRule type="cellIs" dxfId="95" priority="67" operator="lessThan">
      <formula>26</formula>
    </cfRule>
  </conditionalFormatting>
  <conditionalFormatting sqref="M16">
    <cfRule type="cellIs" dxfId="94" priority="64" operator="greaterThan">
      <formula>25</formula>
    </cfRule>
    <cfRule type="cellIs" dxfId="93" priority="65" operator="lessThan">
      <formula>26</formula>
    </cfRule>
  </conditionalFormatting>
  <conditionalFormatting sqref="M17:M19">
    <cfRule type="cellIs" dxfId="92" priority="62" operator="greaterThan">
      <formula>25</formula>
    </cfRule>
    <cfRule type="cellIs" dxfId="91" priority="63" operator="lessThan">
      <formula>26</formula>
    </cfRule>
  </conditionalFormatting>
  <conditionalFormatting sqref="M21">
    <cfRule type="cellIs" dxfId="90" priority="60" operator="greaterThan">
      <formula>25</formula>
    </cfRule>
    <cfRule type="cellIs" dxfId="89" priority="61" operator="lessThan">
      <formula>26</formula>
    </cfRule>
  </conditionalFormatting>
  <conditionalFormatting sqref="M22:M24">
    <cfRule type="cellIs" dxfId="88" priority="58" operator="greaterThan">
      <formula>25</formula>
    </cfRule>
    <cfRule type="cellIs" dxfId="87" priority="59" operator="lessThan">
      <formula>26</formula>
    </cfRule>
  </conditionalFormatting>
  <conditionalFormatting sqref="Q16">
    <cfRule type="cellIs" dxfId="86" priority="56" operator="greaterThan">
      <formula>25</formula>
    </cfRule>
    <cfRule type="cellIs" dxfId="85" priority="57" operator="lessThan">
      <formula>26</formula>
    </cfRule>
  </conditionalFormatting>
  <conditionalFormatting sqref="Q17:Q19">
    <cfRule type="cellIs" dxfId="84" priority="54" operator="greaterThan">
      <formula>25</formula>
    </cfRule>
    <cfRule type="cellIs" dxfId="83" priority="55" operator="lessThan">
      <formula>26</formula>
    </cfRule>
  </conditionalFormatting>
  <conditionalFormatting sqref="Q21">
    <cfRule type="cellIs" dxfId="82" priority="52" operator="greaterThan">
      <formula>25</formula>
    </cfRule>
    <cfRule type="cellIs" dxfId="81" priority="53" operator="lessThan">
      <formula>26</formula>
    </cfRule>
  </conditionalFormatting>
  <conditionalFormatting sqref="Q22:Q24">
    <cfRule type="cellIs" dxfId="80" priority="50" operator="greaterThan">
      <formula>25</formula>
    </cfRule>
    <cfRule type="cellIs" dxfId="79" priority="51" operator="lessThan">
      <formula>26</formula>
    </cfRule>
  </conditionalFormatting>
  <conditionalFormatting sqref="V16">
    <cfRule type="cellIs" dxfId="78" priority="48" operator="greaterThan">
      <formula>25</formula>
    </cfRule>
    <cfRule type="cellIs" dxfId="77" priority="49" operator="lessThan">
      <formula>26</formula>
    </cfRule>
  </conditionalFormatting>
  <conditionalFormatting sqref="V17:V19">
    <cfRule type="cellIs" dxfId="76" priority="46" operator="greaterThan">
      <formula>25</formula>
    </cfRule>
    <cfRule type="cellIs" dxfId="75" priority="47" operator="lessThan">
      <formula>26</formula>
    </cfRule>
  </conditionalFormatting>
  <conditionalFormatting sqref="V21">
    <cfRule type="cellIs" dxfId="74" priority="44" operator="greaterThan">
      <formula>25</formula>
    </cfRule>
    <cfRule type="cellIs" dxfId="73" priority="45" operator="lessThan">
      <formula>26</formula>
    </cfRule>
  </conditionalFormatting>
  <conditionalFormatting sqref="V22:V24">
    <cfRule type="cellIs" dxfId="72" priority="42" operator="greaterThan">
      <formula>25</formula>
    </cfRule>
    <cfRule type="cellIs" dxfId="71" priority="43" operator="lessThan">
      <formula>26</formula>
    </cfRule>
  </conditionalFormatting>
  <conditionalFormatting sqref="V4">
    <cfRule type="cellIs" dxfId="70" priority="40" operator="greaterThan">
      <formula>25</formula>
    </cfRule>
    <cfRule type="cellIs" dxfId="69" priority="41" operator="lessThan">
      <formula>26</formula>
    </cfRule>
  </conditionalFormatting>
  <conditionalFormatting sqref="V5:V7">
    <cfRule type="cellIs" dxfId="68" priority="38" operator="greaterThan">
      <formula>25</formula>
    </cfRule>
    <cfRule type="cellIs" dxfId="67" priority="39" operator="lessThan">
      <formula>26</formula>
    </cfRule>
  </conditionalFormatting>
  <conditionalFormatting sqref="V9">
    <cfRule type="cellIs" dxfId="66" priority="36" operator="greaterThan">
      <formula>25</formula>
    </cfRule>
    <cfRule type="cellIs" dxfId="65" priority="37" operator="lessThan">
      <formula>26</formula>
    </cfRule>
  </conditionalFormatting>
  <conditionalFormatting sqref="V10:V12">
    <cfRule type="cellIs" dxfId="64" priority="34" operator="greaterThan">
      <formula>25</formula>
    </cfRule>
    <cfRule type="cellIs" dxfId="63" priority="35" operator="lessThan">
      <formula>26</formula>
    </cfRule>
  </conditionalFormatting>
  <conditionalFormatting sqref="Z4">
    <cfRule type="cellIs" dxfId="62" priority="32" operator="greaterThan">
      <formula>25</formula>
    </cfRule>
    <cfRule type="cellIs" dxfId="61" priority="33" operator="lessThan">
      <formula>26</formula>
    </cfRule>
  </conditionalFormatting>
  <conditionalFormatting sqref="Z5:Z7">
    <cfRule type="cellIs" dxfId="60" priority="30" operator="greaterThan">
      <formula>25</formula>
    </cfRule>
    <cfRule type="cellIs" dxfId="59" priority="31" operator="lessThan">
      <formula>26</formula>
    </cfRule>
  </conditionalFormatting>
  <conditionalFormatting sqref="Z9">
    <cfRule type="cellIs" dxfId="58" priority="28" operator="greaterThan">
      <formula>25</formula>
    </cfRule>
    <cfRule type="cellIs" dxfId="57" priority="29" operator="lessThan">
      <formula>26</formula>
    </cfRule>
  </conditionalFormatting>
  <conditionalFormatting sqref="Z10:Z12">
    <cfRule type="cellIs" dxfId="56" priority="26" operator="greaterThan">
      <formula>25</formula>
    </cfRule>
    <cfRule type="cellIs" dxfId="55" priority="27" operator="lessThan">
      <formula>26</formula>
    </cfRule>
  </conditionalFormatting>
  <conditionalFormatting sqref="AE4">
    <cfRule type="cellIs" dxfId="54" priority="24" operator="greaterThan">
      <formula>25</formula>
    </cfRule>
    <cfRule type="cellIs" dxfId="53" priority="25" operator="lessThan">
      <formula>26</formula>
    </cfRule>
  </conditionalFormatting>
  <conditionalFormatting sqref="AE5:AE7">
    <cfRule type="cellIs" dxfId="52" priority="22" operator="greaterThan">
      <formula>25</formula>
    </cfRule>
    <cfRule type="cellIs" dxfId="51" priority="23" operator="lessThan">
      <formula>26</formula>
    </cfRule>
  </conditionalFormatting>
  <conditionalFormatting sqref="AE9">
    <cfRule type="cellIs" dxfId="50" priority="20" operator="greaterThan">
      <formula>25</formula>
    </cfRule>
    <cfRule type="cellIs" dxfId="49" priority="21" operator="lessThan">
      <formula>26</formula>
    </cfRule>
  </conditionalFormatting>
  <conditionalFormatting sqref="AE10:AE12">
    <cfRule type="cellIs" dxfId="48" priority="18" operator="greaterThan">
      <formula>25</formula>
    </cfRule>
    <cfRule type="cellIs" dxfId="47" priority="19" operator="lessThan">
      <formula>26</formula>
    </cfRule>
  </conditionalFormatting>
  <conditionalFormatting sqref="AI4">
    <cfRule type="cellIs" dxfId="46" priority="16" operator="greaterThan">
      <formula>25</formula>
    </cfRule>
    <cfRule type="cellIs" dxfId="45" priority="17" operator="lessThan">
      <formula>26</formula>
    </cfRule>
  </conditionalFormatting>
  <conditionalFormatting sqref="AI5:AI7">
    <cfRule type="cellIs" dxfId="44" priority="14" operator="greaterThan">
      <formula>25</formula>
    </cfRule>
    <cfRule type="cellIs" dxfId="43" priority="15" operator="lessThan">
      <formula>26</formula>
    </cfRule>
  </conditionalFormatting>
  <conditionalFormatting sqref="AI9">
    <cfRule type="cellIs" dxfId="42" priority="12" operator="greaterThan">
      <formula>25</formula>
    </cfRule>
    <cfRule type="cellIs" dxfId="41" priority="13" operator="lessThan">
      <formula>26</formula>
    </cfRule>
  </conditionalFormatting>
  <conditionalFormatting sqref="AI10:AI12">
    <cfRule type="cellIs" dxfId="40" priority="10" operator="greaterThan">
      <formula>25</formula>
    </cfRule>
    <cfRule type="cellIs" dxfId="39" priority="11" operator="lessThan">
      <formula>26</formula>
    </cfRule>
  </conditionalFormatting>
  <conditionalFormatting sqref="Z16">
    <cfRule type="cellIs" dxfId="38" priority="8" operator="greaterThan">
      <formula>25</formula>
    </cfRule>
    <cfRule type="cellIs" dxfId="37" priority="9" operator="lessThan">
      <formula>26</formula>
    </cfRule>
  </conditionalFormatting>
  <conditionalFormatting sqref="Z17:Z19">
    <cfRule type="cellIs" dxfId="36" priority="6" operator="greaterThan">
      <formula>25</formula>
    </cfRule>
    <cfRule type="cellIs" dxfId="35" priority="7" operator="lessThan">
      <formula>26</formula>
    </cfRule>
  </conditionalFormatting>
  <conditionalFormatting sqref="Z21">
    <cfRule type="cellIs" dxfId="34" priority="4" operator="greaterThan">
      <formula>25</formula>
    </cfRule>
    <cfRule type="cellIs" dxfId="33" priority="5" operator="lessThan">
      <formula>26</formula>
    </cfRule>
  </conditionalFormatting>
  <conditionalFormatting sqref="Z22:Z24">
    <cfRule type="cellIs" dxfId="32" priority="2" operator="greaterThan">
      <formula>25</formula>
    </cfRule>
    <cfRule type="cellIs" dxfId="31" priority="3" operator="lessThan">
      <formula>26</formula>
    </cfRule>
  </conditionalFormatting>
  <conditionalFormatting sqref="AL26:AL35">
    <cfRule type="cellIs" dxfId="3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 tint="0.39997558519241921"/>
  </sheetPr>
  <dimension ref="B1:AU112"/>
  <sheetViews>
    <sheetView zoomScale="80" zoomScaleNormal="80" workbookViewId="0">
      <selection activeCell="Y26" sqref="Y26"/>
    </sheetView>
  </sheetViews>
  <sheetFormatPr defaultRowHeight="14.5" x14ac:dyDescent="0.35"/>
  <cols>
    <col min="1" max="1" width="2.36328125" customWidth="1"/>
    <col min="2" max="2" width="16.54296875" customWidth="1"/>
    <col min="3" max="5" width="4.36328125" customWidth="1"/>
    <col min="6" max="6" width="5" customWidth="1"/>
    <col min="7" max="7" width="3.6328125" customWidth="1"/>
    <col min="8" max="8" width="3" customWidth="1"/>
    <col min="9" max="9" width="16.54296875" customWidth="1"/>
    <col min="10" max="10" width="3.1796875" customWidth="1"/>
    <col min="11" max="12" width="4.36328125" customWidth="1"/>
    <col min="13" max="13" width="5" customWidth="1"/>
    <col min="14" max="14" width="3" customWidth="1"/>
    <col min="15" max="15" width="14.81640625" customWidth="1"/>
    <col min="16" max="16" width="3.1796875" customWidth="1"/>
    <col min="17" max="17" width="4.36328125" customWidth="1"/>
    <col min="18" max="18" width="5.1796875" customWidth="1"/>
    <col min="19" max="19" width="2.6328125" customWidth="1"/>
    <col min="20" max="20" width="14.90625" customWidth="1"/>
    <col min="21" max="21" width="3.1796875" customWidth="1"/>
    <col min="22" max="22" width="4.36328125" customWidth="1"/>
    <col min="23" max="23" width="4.81640625" style="6" customWidth="1"/>
    <col min="24" max="24" width="2.90625" style="6" customWidth="1"/>
    <col min="25" max="25" width="16.54296875" bestFit="1" customWidth="1"/>
    <col min="26" max="26" width="3.1796875" customWidth="1"/>
    <col min="27" max="27" width="4.36328125" customWidth="1"/>
    <col min="28" max="28" width="5.36328125" customWidth="1"/>
    <col min="29" max="29" width="8.1796875" customWidth="1"/>
    <col min="30" max="30" width="3.08984375" customWidth="1"/>
    <col min="32" max="38" width="8.36328125" customWidth="1"/>
    <col min="39" max="40" width="4.6328125" customWidth="1"/>
    <col min="44" max="44" width="17.6328125" customWidth="1"/>
  </cols>
  <sheetData>
    <row r="1" spans="2:47" x14ac:dyDescent="0.35">
      <c r="B1" s="163" t="s">
        <v>31</v>
      </c>
      <c r="C1">
        <v>5</v>
      </c>
      <c r="D1">
        <f>VLOOKUP(B1, Rankings!D$2:AZ$113, 49, FALSE)</f>
        <v>108</v>
      </c>
      <c r="E1">
        <v>1</v>
      </c>
      <c r="F1" s="205">
        <v>0.8382198385028311</v>
      </c>
      <c r="I1" s="167" t="s">
        <v>75</v>
      </c>
      <c r="J1">
        <v>4</v>
      </c>
      <c r="K1">
        <f>VLOOKUP(I1, Rankings!D$2:AZ$113, 49, FALSE)</f>
        <v>45</v>
      </c>
      <c r="L1">
        <v>1</v>
      </c>
      <c r="M1" s="205">
        <v>0.58276351081176347</v>
      </c>
      <c r="O1" s="164" t="s">
        <v>44</v>
      </c>
      <c r="P1">
        <v>1</v>
      </c>
      <c r="Q1">
        <f>VLOOKUP(O1, Rankings!D$2:AZ$113, 49, FALSE)</f>
        <v>53</v>
      </c>
      <c r="R1">
        <v>0.39476896396100281</v>
      </c>
      <c r="S1" t="s">
        <v>395</v>
      </c>
      <c r="T1" s="166" t="s">
        <v>65</v>
      </c>
      <c r="U1">
        <v>1</v>
      </c>
      <c r="V1">
        <f>VLOOKUP(T1, Rankings!D$2:AZ$113, 49, FALSE)</f>
        <v>78</v>
      </c>
      <c r="W1" s="199">
        <v>0.67154974149266411</v>
      </c>
      <c r="X1" t="s">
        <v>395</v>
      </c>
      <c r="Y1" s="165" t="s">
        <v>47</v>
      </c>
      <c r="Z1">
        <v>1</v>
      </c>
      <c r="AA1">
        <f>VLOOKUP(Y1, Rankings!D$2:AZ$113, 49, FALSE)</f>
        <v>63</v>
      </c>
      <c r="AB1">
        <v>0.86371651791688864</v>
      </c>
      <c r="AR1" s="21" t="s">
        <v>34</v>
      </c>
      <c r="AS1">
        <v>1</v>
      </c>
      <c r="AT1" t="s">
        <v>1808</v>
      </c>
      <c r="AU1">
        <v>5</v>
      </c>
    </row>
    <row r="2" spans="2:47" x14ac:dyDescent="0.35">
      <c r="B2" s="168" t="s">
        <v>793</v>
      </c>
      <c r="C2">
        <v>2</v>
      </c>
      <c r="D2">
        <f>VLOOKUP(B2, Rankings!D$2:AZ$113, 49, FALSE)</f>
        <v>54</v>
      </c>
      <c r="E2">
        <v>2</v>
      </c>
      <c r="F2" s="205">
        <v>0.99228026988742812</v>
      </c>
      <c r="I2" s="167" t="s">
        <v>82</v>
      </c>
      <c r="J2">
        <v>3</v>
      </c>
      <c r="K2">
        <f>VLOOKUP(I2, Rankings!D$2:AZ$113, 49, FALSE)</f>
        <v>73</v>
      </c>
      <c r="L2">
        <v>2</v>
      </c>
      <c r="M2" s="205">
        <v>0.70442636949475868</v>
      </c>
      <c r="O2" s="164" t="s">
        <v>37</v>
      </c>
      <c r="P2">
        <v>3</v>
      </c>
      <c r="Q2">
        <f>VLOOKUP(O2, Rankings!D$2:AZ$113, 49, FALSE)</f>
        <v>60</v>
      </c>
      <c r="R2">
        <v>0.82299094192988598</v>
      </c>
      <c r="S2" t="s">
        <v>395</v>
      </c>
      <c r="T2" s="168" t="s">
        <v>790</v>
      </c>
      <c r="U2">
        <v>2</v>
      </c>
      <c r="V2">
        <f>VLOOKUP(T2, Rankings!D$2:AZ$113, 49, FALSE)</f>
        <v>18</v>
      </c>
      <c r="W2" s="199">
        <v>0.70815713298920668</v>
      </c>
      <c r="X2" t="s">
        <v>396</v>
      </c>
      <c r="Y2" s="168" t="s">
        <v>908</v>
      </c>
      <c r="Z2">
        <v>1</v>
      </c>
      <c r="AA2">
        <f>VLOOKUP(Y2, Rankings!D$2:AZ$113, 49, FALSE)</f>
        <v>29</v>
      </c>
      <c r="AB2">
        <v>0.9181555902877474</v>
      </c>
      <c r="AF2">
        <f>SUM(AF4:AF10)</f>
        <v>40</v>
      </c>
      <c r="AG2">
        <f>SUM(AG4:AG10)</f>
        <v>20</v>
      </c>
      <c r="AH2">
        <f>SUM(AH4:AH10)</f>
        <v>20</v>
      </c>
      <c r="AI2">
        <f>SUM(AI4:AI10)</f>
        <v>20</v>
      </c>
      <c r="AJ2">
        <f>SUM(AJ4:AJ10)</f>
        <v>12</v>
      </c>
      <c r="AL2">
        <f>SUM(AL4:AL10)</f>
        <v>1</v>
      </c>
      <c r="AR2" s="19" t="s">
        <v>41</v>
      </c>
      <c r="AS2">
        <v>2</v>
      </c>
      <c r="AT2" t="s">
        <v>1808</v>
      </c>
      <c r="AU2">
        <v>5</v>
      </c>
    </row>
    <row r="3" spans="2:47" x14ac:dyDescent="0.35">
      <c r="B3" s="168" t="s">
        <v>787</v>
      </c>
      <c r="C3">
        <v>2</v>
      </c>
      <c r="D3">
        <f>VLOOKUP(B3, Rankings!D$2:AZ$113, 49, FALSE)</f>
        <v>55</v>
      </c>
      <c r="E3">
        <v>3</v>
      </c>
      <c r="F3" s="205">
        <v>1.1704272053321896</v>
      </c>
      <c r="I3" s="169" t="s">
        <v>3913</v>
      </c>
      <c r="J3">
        <v>4</v>
      </c>
      <c r="K3">
        <f>VLOOKUP(I3, Rankings!D$2:AZ$113, 49, FALSE)</f>
        <v>94</v>
      </c>
      <c r="L3">
        <v>3</v>
      </c>
      <c r="M3" s="205">
        <v>0.96950532214554908</v>
      </c>
      <c r="O3" s="167" t="s">
        <v>80</v>
      </c>
      <c r="P3">
        <v>2</v>
      </c>
      <c r="Q3">
        <f>VLOOKUP(O3, Rankings!D$2:AZ$113, 49, FALSE)</f>
        <v>51</v>
      </c>
      <c r="R3">
        <v>0.85835189810181745</v>
      </c>
      <c r="S3" t="s">
        <v>395</v>
      </c>
      <c r="T3" s="168" t="s">
        <v>786</v>
      </c>
      <c r="U3">
        <v>2</v>
      </c>
      <c r="V3">
        <f>VLOOKUP(T3, Rankings!D$2:AZ$113, 49, FALSE)</f>
        <v>106</v>
      </c>
      <c r="W3" s="199">
        <v>0.85025248876364434</v>
      </c>
      <c r="X3" t="s">
        <v>396</v>
      </c>
      <c r="Y3" s="166" t="s">
        <v>68</v>
      </c>
      <c r="Z3">
        <v>1</v>
      </c>
      <c r="AA3">
        <f>VLOOKUP(Y3, Rankings!D$2:AZ$113, 49, FALSE)</f>
        <v>98</v>
      </c>
      <c r="AB3">
        <v>1.0513089804988773</v>
      </c>
      <c r="AF3" s="1" t="s">
        <v>1727</v>
      </c>
      <c r="AG3" s="1" t="s">
        <v>1728</v>
      </c>
      <c r="AH3" s="1" t="s">
        <v>1729</v>
      </c>
      <c r="AI3" s="1" t="s">
        <v>1730</v>
      </c>
      <c r="AJ3" s="1" t="s">
        <v>1731</v>
      </c>
      <c r="AL3" s="1" t="s">
        <v>3106</v>
      </c>
      <c r="AR3" s="17" t="s">
        <v>300</v>
      </c>
      <c r="AS3">
        <v>3</v>
      </c>
      <c r="AT3" t="s">
        <v>1808</v>
      </c>
      <c r="AU3">
        <v>5</v>
      </c>
    </row>
    <row r="4" spans="2:47" x14ac:dyDescent="0.35">
      <c r="B4" s="169" t="s">
        <v>966</v>
      </c>
      <c r="C4">
        <v>5</v>
      </c>
      <c r="D4">
        <f>VLOOKUP(B4, Rankings!D$2:AZ$113, 49, FALSE)</f>
        <v>19</v>
      </c>
      <c r="E4">
        <v>4</v>
      </c>
      <c r="F4" s="205">
        <v>1.5692864891453884</v>
      </c>
      <c r="H4" s="6"/>
      <c r="I4" s="165" t="s">
        <v>50</v>
      </c>
      <c r="J4">
        <v>3</v>
      </c>
      <c r="K4">
        <f>VLOOKUP(I4, Rankings!D$2:AZ$113, 49, FALSE)</f>
        <v>31</v>
      </c>
      <c r="L4">
        <v>4</v>
      </c>
      <c r="M4" s="205">
        <v>1.0249993674336924</v>
      </c>
      <c r="N4" s="6"/>
      <c r="O4" s="164" t="s">
        <v>40</v>
      </c>
      <c r="P4">
        <v>3</v>
      </c>
      <c r="Q4">
        <f>VLOOKUP(O4, Rankings!D$2:AZ$113, 49, FALSE)</f>
        <v>38</v>
      </c>
      <c r="R4">
        <v>0.93771934544986635</v>
      </c>
      <c r="S4" t="s">
        <v>396</v>
      </c>
      <c r="T4" s="165" t="s">
        <v>48</v>
      </c>
      <c r="U4">
        <v>1</v>
      </c>
      <c r="V4">
        <f>VLOOKUP(T4, Rankings!D$2:AZ$113, 49, FALSE)</f>
        <v>112</v>
      </c>
      <c r="W4" s="199">
        <v>1.0726247497989685</v>
      </c>
      <c r="X4" s="6" t="s">
        <v>396</v>
      </c>
      <c r="Y4" s="163" t="s">
        <v>1860</v>
      </c>
      <c r="Z4">
        <v>1</v>
      </c>
      <c r="AA4">
        <f>VLOOKUP(Y4, Rankings!D$2:AZ$113, 49, FALSE)</f>
        <v>47</v>
      </c>
      <c r="AB4">
        <v>1.0594214043028651</v>
      </c>
      <c r="AE4" s="1" t="s">
        <v>143</v>
      </c>
      <c r="AF4">
        <v>3</v>
      </c>
      <c r="AG4">
        <v>5</v>
      </c>
      <c r="AH4">
        <v>4</v>
      </c>
      <c r="AI4">
        <v>2</v>
      </c>
      <c r="AJ4">
        <v>2</v>
      </c>
      <c r="AL4" s="1">
        <v>1</v>
      </c>
      <c r="AR4" s="17" t="s">
        <v>49</v>
      </c>
      <c r="AS4">
        <v>4</v>
      </c>
      <c r="AT4" t="s">
        <v>1808</v>
      </c>
      <c r="AU4">
        <v>5</v>
      </c>
    </row>
    <row r="5" spans="2:47" x14ac:dyDescent="0.35">
      <c r="B5" s="166" t="s">
        <v>114</v>
      </c>
      <c r="C5">
        <v>3</v>
      </c>
      <c r="D5">
        <f>VLOOKUP(B5, Rankings!D$2:AZ$113, 49, FALSE)</f>
        <v>68</v>
      </c>
      <c r="E5">
        <v>5</v>
      </c>
      <c r="F5" s="205">
        <v>1.6058782662466267</v>
      </c>
      <c r="H5" s="6"/>
      <c r="I5" s="163" t="s">
        <v>292</v>
      </c>
      <c r="J5">
        <v>3</v>
      </c>
      <c r="K5">
        <f>VLOOKUP(I5, Rankings!D$2:AZ$113, 49, FALSE)</f>
        <v>89</v>
      </c>
      <c r="L5">
        <v>5</v>
      </c>
      <c r="M5" s="205">
        <v>1.0723357028530742</v>
      </c>
      <c r="N5" s="6"/>
      <c r="O5" s="166" t="s">
        <v>60</v>
      </c>
      <c r="P5">
        <v>3</v>
      </c>
      <c r="Q5">
        <f>VLOOKUP(O5, Rankings!D$2:AZ$113, 49, FALSE)</f>
        <v>10</v>
      </c>
      <c r="R5">
        <v>0.95162808637995766</v>
      </c>
      <c r="S5" t="s">
        <v>395</v>
      </c>
      <c r="T5" s="169" t="s">
        <v>1308</v>
      </c>
      <c r="U5">
        <v>2</v>
      </c>
      <c r="V5">
        <f>VLOOKUP(T5, Rankings!D$2:AZ$113, 49, FALSE)</f>
        <v>74</v>
      </c>
      <c r="W5" s="199">
        <v>1.0891563066459053</v>
      </c>
      <c r="X5" s="6" t="s">
        <v>396</v>
      </c>
      <c r="Y5" s="164" t="s">
        <v>38</v>
      </c>
      <c r="Z5">
        <v>1</v>
      </c>
      <c r="AA5">
        <f>VLOOKUP(Y5, Rankings!D$2:AZ$113, 49, FALSE)</f>
        <v>77</v>
      </c>
      <c r="AB5">
        <v>1.1575000129857687</v>
      </c>
      <c r="AE5" s="1" t="s">
        <v>144</v>
      </c>
      <c r="AF5">
        <v>8</v>
      </c>
      <c r="AG5">
        <v>0</v>
      </c>
      <c r="AH5">
        <v>5</v>
      </c>
      <c r="AI5">
        <v>2</v>
      </c>
      <c r="AJ5">
        <v>1</v>
      </c>
      <c r="AL5">
        <v>0</v>
      </c>
      <c r="AR5" s="21" t="s">
        <v>31</v>
      </c>
      <c r="AS5">
        <v>5</v>
      </c>
      <c r="AT5" t="s">
        <v>1808</v>
      </c>
      <c r="AU5">
        <v>5</v>
      </c>
    </row>
    <row r="6" spans="2:47" x14ac:dyDescent="0.35">
      <c r="B6" s="167" t="s">
        <v>79</v>
      </c>
      <c r="C6">
        <v>4</v>
      </c>
      <c r="D6">
        <f>VLOOKUP(B6, Rankings!D$2:AZ$113, 49, FALSE)</f>
        <v>64</v>
      </c>
      <c r="E6">
        <v>6</v>
      </c>
      <c r="F6" s="205">
        <v>1.5947652642457566</v>
      </c>
      <c r="H6" s="199"/>
      <c r="I6" s="168" t="s">
        <v>794</v>
      </c>
      <c r="J6">
        <v>3</v>
      </c>
      <c r="K6">
        <f>VLOOKUP(I6, Rankings!D$2:AZ$113, 49, FALSE)</f>
        <v>58</v>
      </c>
      <c r="L6">
        <v>6</v>
      </c>
      <c r="M6" s="205">
        <v>1.1382944078771704</v>
      </c>
      <c r="N6" s="6"/>
      <c r="O6" s="168" t="s">
        <v>789</v>
      </c>
      <c r="P6">
        <v>1</v>
      </c>
      <c r="Q6">
        <f>VLOOKUP(O6, Rankings!D$2:AZ$113, 49, FALSE)</f>
        <v>96</v>
      </c>
      <c r="R6">
        <v>1.0635645547078112</v>
      </c>
      <c r="S6" t="s">
        <v>395</v>
      </c>
      <c r="T6" s="168" t="s">
        <v>909</v>
      </c>
      <c r="U6">
        <v>2</v>
      </c>
      <c r="V6">
        <f>VLOOKUP(T6, Rankings!D$2:AZ$113, 49, FALSE)</f>
        <v>87</v>
      </c>
      <c r="W6" s="199">
        <v>1.2530825149294471</v>
      </c>
      <c r="X6" s="6" t="s">
        <v>396</v>
      </c>
      <c r="Y6" s="165" t="s">
        <v>52</v>
      </c>
      <c r="Z6">
        <v>1</v>
      </c>
      <c r="AA6">
        <f>VLOOKUP(Y6, Rankings!D$2:AZ$113, 49, FALSE)</f>
        <v>41</v>
      </c>
      <c r="AB6">
        <v>1.1751494009704531</v>
      </c>
      <c r="AE6" s="1" t="s">
        <v>171</v>
      </c>
      <c r="AF6">
        <v>6</v>
      </c>
      <c r="AG6">
        <v>2</v>
      </c>
      <c r="AH6">
        <v>3</v>
      </c>
      <c r="AI6">
        <v>3</v>
      </c>
      <c r="AJ6">
        <v>2</v>
      </c>
      <c r="AL6">
        <v>0</v>
      </c>
      <c r="AR6" s="16" t="s">
        <v>69</v>
      </c>
      <c r="AS6">
        <v>6</v>
      </c>
      <c r="AT6" t="s">
        <v>1808</v>
      </c>
      <c r="AU6">
        <v>5</v>
      </c>
    </row>
    <row r="7" spans="2:47" x14ac:dyDescent="0.35">
      <c r="B7" s="166" t="s">
        <v>59</v>
      </c>
      <c r="C7">
        <v>4</v>
      </c>
      <c r="D7">
        <f>VLOOKUP(B7, Rankings!D$2:AZ$113, 49, FALSE)</f>
        <v>13</v>
      </c>
      <c r="E7">
        <v>7</v>
      </c>
      <c r="F7" s="205">
        <v>1.6445273151734954</v>
      </c>
      <c r="H7" s="6"/>
      <c r="I7" s="168" t="s">
        <v>792</v>
      </c>
      <c r="J7">
        <v>4</v>
      </c>
      <c r="K7">
        <f>VLOOKUP(I7, Rankings!D$2:AZ$113, 49, FALSE)</f>
        <v>88</v>
      </c>
      <c r="L7">
        <v>7</v>
      </c>
      <c r="M7" s="205">
        <v>1.2758976538578541</v>
      </c>
      <c r="N7" s="199"/>
      <c r="O7" s="163" t="s">
        <v>30</v>
      </c>
      <c r="P7">
        <v>1</v>
      </c>
      <c r="Q7">
        <f>VLOOKUP(O7, Rankings!D$2:AZ$113, 49, FALSE)</f>
        <v>62</v>
      </c>
      <c r="R7">
        <v>1.1577384044793091</v>
      </c>
      <c r="S7" t="s">
        <v>395</v>
      </c>
      <c r="T7" s="169" t="s">
        <v>1343</v>
      </c>
      <c r="U7">
        <v>1</v>
      </c>
      <c r="V7">
        <f>VLOOKUP(T7, Rankings!D$2:AZ$113, 49, FALSE)</f>
        <v>80</v>
      </c>
      <c r="W7" s="199">
        <v>1.3088643986407158</v>
      </c>
      <c r="X7" s="199" t="s">
        <v>395</v>
      </c>
      <c r="Y7" s="168" t="s">
        <v>796</v>
      </c>
      <c r="Z7">
        <v>1</v>
      </c>
      <c r="AA7">
        <f>VLOOKUP(Y7, Rankings!D$2:AZ$113, 49, FALSE)</f>
        <v>104</v>
      </c>
      <c r="AB7">
        <v>1.2538900887462532</v>
      </c>
      <c r="AE7" s="1" t="s">
        <v>172</v>
      </c>
      <c r="AF7">
        <v>6</v>
      </c>
      <c r="AG7">
        <v>2</v>
      </c>
      <c r="AH7">
        <v>3</v>
      </c>
      <c r="AI7">
        <v>3</v>
      </c>
      <c r="AJ7">
        <v>2</v>
      </c>
      <c r="AL7">
        <v>0</v>
      </c>
      <c r="AR7" s="21" t="s">
        <v>26</v>
      </c>
      <c r="AS7">
        <v>7</v>
      </c>
      <c r="AT7" t="s">
        <v>1808</v>
      </c>
      <c r="AU7">
        <v>5</v>
      </c>
    </row>
    <row r="8" spans="2:47" x14ac:dyDescent="0.35">
      <c r="B8" s="163" t="s">
        <v>34</v>
      </c>
      <c r="C8">
        <v>5</v>
      </c>
      <c r="D8">
        <f>VLOOKUP(B8, Rankings!D$2:AZ$113, 49, FALSE)</f>
        <v>32</v>
      </c>
      <c r="E8">
        <v>8</v>
      </c>
      <c r="F8" s="205">
        <v>1.6939617386451442</v>
      </c>
      <c r="H8" s="6"/>
      <c r="I8" s="166" t="s">
        <v>115</v>
      </c>
      <c r="J8">
        <v>1</v>
      </c>
      <c r="K8">
        <f>VLOOKUP(I8, Rankings!D$2:AZ$113, 49, FALSE)</f>
        <v>11</v>
      </c>
      <c r="L8">
        <v>8</v>
      </c>
      <c r="M8" s="205">
        <v>1.3142782684383416</v>
      </c>
      <c r="N8" s="6"/>
      <c r="O8" s="163" t="s">
        <v>22</v>
      </c>
      <c r="P8">
        <v>1</v>
      </c>
      <c r="Q8">
        <f>VLOOKUP(O8, Rankings!D$2:AZ$113, 49, FALSE)</f>
        <v>92</v>
      </c>
      <c r="R8">
        <v>1.2183491371230661</v>
      </c>
      <c r="S8" t="s">
        <v>396</v>
      </c>
      <c r="T8" s="167" t="s">
        <v>84</v>
      </c>
      <c r="U8">
        <v>2</v>
      </c>
      <c r="V8">
        <f>VLOOKUP(T8, Rankings!D$2:AZ$113, 49, FALSE)</f>
        <v>81</v>
      </c>
      <c r="W8" s="199">
        <v>1.309481108948952</v>
      </c>
      <c r="X8" s="6" t="s">
        <v>396</v>
      </c>
      <c r="Y8" s="168" t="s">
        <v>785</v>
      </c>
      <c r="Z8">
        <v>1</v>
      </c>
      <c r="AA8">
        <f>VLOOKUP(Y8, Rankings!D$2:AZ$113, 49, FALSE)</f>
        <v>35</v>
      </c>
      <c r="AB8">
        <v>1.3741430889521373</v>
      </c>
      <c r="AE8" s="1" t="s">
        <v>173</v>
      </c>
      <c r="AF8">
        <v>8</v>
      </c>
      <c r="AG8">
        <v>1</v>
      </c>
      <c r="AH8">
        <v>3</v>
      </c>
      <c r="AI8">
        <v>1</v>
      </c>
      <c r="AJ8">
        <v>3</v>
      </c>
      <c r="AL8">
        <v>0</v>
      </c>
      <c r="AR8" s="15" t="s">
        <v>87</v>
      </c>
      <c r="AS8">
        <v>8</v>
      </c>
      <c r="AT8" t="s">
        <v>1808</v>
      </c>
      <c r="AU8">
        <v>5</v>
      </c>
    </row>
    <row r="9" spans="2:47" x14ac:dyDescent="0.35">
      <c r="B9" s="165" t="s">
        <v>51</v>
      </c>
      <c r="C9">
        <v>1</v>
      </c>
      <c r="D9">
        <f>VLOOKUP(B9, Rankings!D$2:AZ$113, 49, FALSE)</f>
        <v>22</v>
      </c>
      <c r="E9">
        <v>9</v>
      </c>
      <c r="F9" s="205">
        <v>1.7025523691840179</v>
      </c>
      <c r="H9" s="6"/>
      <c r="I9" s="169" t="s">
        <v>959</v>
      </c>
      <c r="J9">
        <v>4</v>
      </c>
      <c r="K9">
        <f>VLOOKUP(I9, Rankings!D$2:AZ$113, 49, FALSE)</f>
        <v>95</v>
      </c>
      <c r="L9">
        <v>9</v>
      </c>
      <c r="M9" s="205">
        <v>1.3848583064407389</v>
      </c>
      <c r="N9" s="6"/>
      <c r="O9" s="164" t="s">
        <v>1858</v>
      </c>
      <c r="P9">
        <v>1</v>
      </c>
      <c r="Q9">
        <f>VLOOKUP(O9, Rankings!D$2:AZ$113, 49, FALSE)</f>
        <v>67</v>
      </c>
      <c r="R9">
        <v>1.3310721072444971</v>
      </c>
      <c r="S9" t="s">
        <v>395</v>
      </c>
      <c r="T9" s="163" t="s">
        <v>25</v>
      </c>
      <c r="U9">
        <v>1</v>
      </c>
      <c r="V9">
        <f>VLOOKUP(T9, Rankings!D$2:AZ$113, 49, FALSE)</f>
        <v>86</v>
      </c>
      <c r="W9" s="199">
        <v>1.3921010259432254</v>
      </c>
      <c r="X9" s="6" t="s">
        <v>396</v>
      </c>
      <c r="Y9" s="164" t="s">
        <v>39</v>
      </c>
      <c r="Z9">
        <v>1</v>
      </c>
      <c r="AA9">
        <f>VLOOKUP(Y9, Rankings!D$2:AZ$113, 49, FALSE)</f>
        <v>69</v>
      </c>
      <c r="AB9">
        <v>1.4797894798855697</v>
      </c>
      <c r="AE9" s="1" t="s">
        <v>799</v>
      </c>
      <c r="AF9">
        <v>5</v>
      </c>
      <c r="AG9">
        <v>6</v>
      </c>
      <c r="AH9">
        <v>1</v>
      </c>
      <c r="AI9">
        <v>3</v>
      </c>
      <c r="AJ9">
        <v>1</v>
      </c>
      <c r="AL9">
        <v>0</v>
      </c>
      <c r="AR9" s="19" t="s">
        <v>42</v>
      </c>
      <c r="AS9">
        <v>9</v>
      </c>
      <c r="AT9">
        <v>4</v>
      </c>
      <c r="AU9">
        <v>4</v>
      </c>
    </row>
    <row r="10" spans="2:47" x14ac:dyDescent="0.35">
      <c r="B10" s="168" t="s">
        <v>788</v>
      </c>
      <c r="C10">
        <v>5</v>
      </c>
      <c r="D10">
        <f>VLOOKUP(B10, Rankings!D$2:AZ$113, 49, FALSE)</f>
        <v>43</v>
      </c>
      <c r="E10">
        <v>10</v>
      </c>
      <c r="F10" s="205">
        <v>1.7469277765683688</v>
      </c>
      <c r="H10" s="199"/>
      <c r="I10" s="165" t="s">
        <v>58</v>
      </c>
      <c r="J10">
        <v>4</v>
      </c>
      <c r="K10">
        <f>VLOOKUP(I10, Rankings!D$2:AZ$113, 49, FALSE)</f>
        <v>44</v>
      </c>
      <c r="L10">
        <v>10</v>
      </c>
      <c r="M10" s="205">
        <v>1.4463895199186081</v>
      </c>
      <c r="N10" s="6"/>
      <c r="O10" s="163" t="s">
        <v>33</v>
      </c>
      <c r="P10">
        <v>3</v>
      </c>
      <c r="Q10">
        <f>VLOOKUP(O10, Rankings!D$2:AZ$113, 49, FALSE)</f>
        <v>27</v>
      </c>
      <c r="R10">
        <v>1.5001792910139065</v>
      </c>
      <c r="S10" t="s">
        <v>396</v>
      </c>
      <c r="T10" s="169" t="s">
        <v>963</v>
      </c>
      <c r="U10">
        <v>2</v>
      </c>
      <c r="V10">
        <f>VLOOKUP(T10, Rankings!D$2:AZ$113, 49, FALSE)</f>
        <v>90</v>
      </c>
      <c r="W10" s="199">
        <v>1.4001643760537674</v>
      </c>
      <c r="X10" s="6" t="s">
        <v>395</v>
      </c>
      <c r="Y10" s="165" t="s">
        <v>117</v>
      </c>
      <c r="Z10">
        <v>1</v>
      </c>
      <c r="AA10">
        <f>VLOOKUP(Y10, Rankings!D$2:AZ$113, 49, FALSE)</f>
        <v>93</v>
      </c>
      <c r="AB10">
        <v>1.5438904530568642</v>
      </c>
      <c r="AE10" s="1" t="s">
        <v>1296</v>
      </c>
      <c r="AF10">
        <v>4</v>
      </c>
      <c r="AG10">
        <v>4</v>
      </c>
      <c r="AH10">
        <v>1</v>
      </c>
      <c r="AI10">
        <v>6</v>
      </c>
      <c r="AJ10">
        <v>1</v>
      </c>
      <c r="AL10">
        <v>0</v>
      </c>
      <c r="AR10" s="15" t="s">
        <v>88</v>
      </c>
      <c r="AS10">
        <v>10</v>
      </c>
      <c r="AT10" t="s">
        <v>1808</v>
      </c>
      <c r="AU10">
        <v>5</v>
      </c>
    </row>
    <row r="11" spans="2:47" x14ac:dyDescent="0.35">
      <c r="B11" s="166" t="s">
        <v>69</v>
      </c>
      <c r="C11">
        <v>5</v>
      </c>
      <c r="D11">
        <f>VLOOKUP(B11, Rankings!D$2:AZ$113, 49, FALSE)</f>
        <v>25</v>
      </c>
      <c r="E11">
        <v>11</v>
      </c>
      <c r="F11" s="205">
        <v>1.84028967697241</v>
      </c>
      <c r="H11" s="6"/>
      <c r="I11" s="169" t="s">
        <v>1342</v>
      </c>
      <c r="J11">
        <v>4</v>
      </c>
      <c r="K11">
        <f>VLOOKUP(I11, Rankings!D$2:AZ$113, 49, FALSE)</f>
        <v>109</v>
      </c>
      <c r="L11">
        <v>11</v>
      </c>
      <c r="M11" s="205">
        <v>1.5511155082720354</v>
      </c>
      <c r="N11" s="199"/>
      <c r="O11" s="165" t="s">
        <v>55</v>
      </c>
      <c r="P11">
        <v>2</v>
      </c>
      <c r="Q11">
        <f>VLOOKUP(O11, Rankings!D$2:AZ$113, 49, FALSE)</f>
        <v>103</v>
      </c>
      <c r="R11">
        <v>1.585535288464434</v>
      </c>
      <c r="S11" t="s">
        <v>395</v>
      </c>
      <c r="T11" s="169" t="s">
        <v>958</v>
      </c>
      <c r="U11">
        <v>1</v>
      </c>
      <c r="V11">
        <f>VLOOKUP(T11, Rankings!D$2:AZ$113, 49, FALSE)</f>
        <v>85</v>
      </c>
      <c r="W11" s="199">
        <v>1.5007994483616787</v>
      </c>
      <c r="X11" s="199" t="s">
        <v>395</v>
      </c>
      <c r="Y11" s="166" t="s">
        <v>64</v>
      </c>
      <c r="Z11">
        <v>1</v>
      </c>
      <c r="AA11">
        <f>VLOOKUP(Y11, Rankings!D$2:AZ$113, 49, FALSE)</f>
        <v>71</v>
      </c>
      <c r="AB11">
        <v>1.6717726290495174</v>
      </c>
      <c r="AR11" s="21" t="s">
        <v>119</v>
      </c>
      <c r="AS11">
        <v>11</v>
      </c>
      <c r="AT11">
        <v>4</v>
      </c>
      <c r="AU11">
        <v>4</v>
      </c>
    </row>
    <row r="12" spans="2:47" x14ac:dyDescent="0.35">
      <c r="B12" s="166" t="s">
        <v>66</v>
      </c>
      <c r="C12">
        <v>3</v>
      </c>
      <c r="D12">
        <f>VLOOKUP(B12, Rankings!D$2:AZ$113, 49, FALSE)</f>
        <v>23</v>
      </c>
      <c r="E12">
        <v>12</v>
      </c>
      <c r="F12" s="205">
        <v>1.9583674623152947</v>
      </c>
      <c r="H12" s="6"/>
      <c r="I12" s="165" t="s">
        <v>118</v>
      </c>
      <c r="J12">
        <v>3</v>
      </c>
      <c r="K12">
        <f>VLOOKUP(I12, Rankings!D$2:AZ$113, 49, FALSE)</f>
        <v>3</v>
      </c>
      <c r="L12">
        <v>12</v>
      </c>
      <c r="M12" s="205">
        <v>1.5721351362785474</v>
      </c>
      <c r="N12" s="6"/>
      <c r="O12" s="169" t="s">
        <v>1301</v>
      </c>
      <c r="P12">
        <v>2</v>
      </c>
      <c r="Q12">
        <f>VLOOKUP(O12, Rankings!D$2:AZ$113, 49, FALSE)</f>
        <v>36</v>
      </c>
      <c r="R12">
        <v>1.7039067757491053</v>
      </c>
      <c r="S12" t="s">
        <v>395</v>
      </c>
      <c r="T12" s="166" t="s">
        <v>72</v>
      </c>
      <c r="U12">
        <v>1</v>
      </c>
      <c r="V12">
        <f>VLOOKUP(T12, Rankings!D$2:AZ$113, 49, FALSE)</f>
        <v>26</v>
      </c>
      <c r="W12" s="199">
        <v>1.5803342347418063</v>
      </c>
      <c r="X12" s="6" t="s">
        <v>395</v>
      </c>
      <c r="Y12" s="167" t="s">
        <v>73</v>
      </c>
      <c r="Z12">
        <v>1</v>
      </c>
      <c r="AA12">
        <f>VLOOKUP(Y12, Rankings!D$2:AZ$113, 49, FALSE)</f>
        <v>15</v>
      </c>
      <c r="AB12">
        <v>1.747155459633708</v>
      </c>
      <c r="AF12">
        <f t="shared" ref="AF12:AK12" si="0">SUM(AF14:AF20)</f>
        <v>40</v>
      </c>
      <c r="AG12">
        <f t="shared" si="0"/>
        <v>40</v>
      </c>
      <c r="AH12">
        <f t="shared" si="0"/>
        <v>40</v>
      </c>
      <c r="AI12">
        <f t="shared" si="0"/>
        <v>40</v>
      </c>
      <c r="AJ12">
        <f t="shared" si="0"/>
        <v>32</v>
      </c>
      <c r="AK12">
        <f t="shared" si="0"/>
        <v>16</v>
      </c>
      <c r="AR12" s="58" t="s">
        <v>783</v>
      </c>
      <c r="AS12">
        <v>12</v>
      </c>
      <c r="AT12">
        <v>4</v>
      </c>
      <c r="AU12">
        <v>4</v>
      </c>
    </row>
    <row r="13" spans="2:47" x14ac:dyDescent="0.35">
      <c r="B13" s="166" t="s">
        <v>62</v>
      </c>
      <c r="C13">
        <v>3</v>
      </c>
      <c r="D13">
        <f>VLOOKUP(B13, Rankings!D$2:AZ$113, 49, FALSE)</f>
        <v>49</v>
      </c>
      <c r="E13">
        <v>13</v>
      </c>
      <c r="F13" s="205">
        <v>2.135758980757605</v>
      </c>
      <c r="H13" s="6"/>
      <c r="I13" s="165" t="s">
        <v>53</v>
      </c>
      <c r="J13">
        <v>4</v>
      </c>
      <c r="K13">
        <f>VLOOKUP(I13, Rankings!D$2:AZ$113, 49, FALSE)</f>
        <v>24</v>
      </c>
      <c r="L13">
        <v>13</v>
      </c>
      <c r="M13" s="205">
        <v>1.6088119554549851</v>
      </c>
      <c r="N13" s="6"/>
      <c r="O13" s="164" t="s">
        <v>35</v>
      </c>
      <c r="P13">
        <v>3</v>
      </c>
      <c r="Q13">
        <f>VLOOKUP(O13, Rankings!D$2:AZ$113, 49, FALSE)</f>
        <v>83</v>
      </c>
      <c r="R13">
        <v>1.7400874240418993</v>
      </c>
      <c r="S13" t="s">
        <v>396</v>
      </c>
      <c r="T13" s="166" t="s">
        <v>63</v>
      </c>
      <c r="U13">
        <v>1</v>
      </c>
      <c r="V13">
        <f>VLOOKUP(T13, Rankings!D$2:AZ$113, 49, FALSE)</f>
        <v>97</v>
      </c>
      <c r="W13" s="199">
        <v>1.6152698271689521</v>
      </c>
      <c r="X13" s="6" t="s">
        <v>396</v>
      </c>
      <c r="Y13" s="163" t="s">
        <v>29</v>
      </c>
      <c r="Z13">
        <v>1</v>
      </c>
      <c r="AA13">
        <f>VLOOKUP(Y13, Rankings!D$2:AZ$113, 49, FALSE)</f>
        <v>84</v>
      </c>
      <c r="AB13">
        <v>1.7244450099114501</v>
      </c>
      <c r="AF13" s="1" t="s">
        <v>1727</v>
      </c>
      <c r="AG13" s="1" t="s">
        <v>1728</v>
      </c>
      <c r="AH13" s="1" t="s">
        <v>1729</v>
      </c>
      <c r="AI13" s="1" t="s">
        <v>1730</v>
      </c>
      <c r="AJ13" s="1" t="s">
        <v>1731</v>
      </c>
      <c r="AK13" s="1" t="s">
        <v>1772</v>
      </c>
      <c r="AL13" s="1" t="s">
        <v>1073</v>
      </c>
      <c r="AM13" s="1" t="s">
        <v>1057</v>
      </c>
      <c r="AN13" s="1" t="s">
        <v>1074</v>
      </c>
      <c r="AR13" s="19" t="s">
        <v>36</v>
      </c>
      <c r="AS13">
        <v>13</v>
      </c>
      <c r="AT13" t="s">
        <v>1808</v>
      </c>
      <c r="AU13">
        <v>5</v>
      </c>
    </row>
    <row r="14" spans="2:47" x14ac:dyDescent="0.35">
      <c r="B14" s="169" t="s">
        <v>961</v>
      </c>
      <c r="C14">
        <v>4</v>
      </c>
      <c r="D14">
        <f>VLOOKUP(B14, Rankings!D$2:AZ$113, 49, FALSE)</f>
        <v>72</v>
      </c>
      <c r="E14">
        <v>14</v>
      </c>
      <c r="F14" s="205">
        <v>2.1462450920903433</v>
      </c>
      <c r="H14" s="199"/>
      <c r="I14" s="169" t="s">
        <v>1302</v>
      </c>
      <c r="J14">
        <v>4</v>
      </c>
      <c r="K14">
        <f>VLOOKUP(I14, Rankings!D$2:AZ$113, 49, FALSE)</f>
        <v>37</v>
      </c>
      <c r="L14">
        <v>14</v>
      </c>
      <c r="M14" s="205">
        <v>1.6501674004239308</v>
      </c>
      <c r="N14" s="6"/>
      <c r="O14" s="163" t="s">
        <v>24</v>
      </c>
      <c r="P14">
        <v>3</v>
      </c>
      <c r="Q14">
        <f>VLOOKUP(O14, Rankings!D$2:AZ$113, 49, FALSE)</f>
        <v>42</v>
      </c>
      <c r="R14">
        <v>1.7969314198741138</v>
      </c>
      <c r="S14" t="s">
        <v>395</v>
      </c>
      <c r="T14" s="167" t="s">
        <v>81</v>
      </c>
      <c r="U14">
        <v>2</v>
      </c>
      <c r="V14">
        <f>VLOOKUP(T14, Rankings!D$2:AZ$113, 49, FALSE)</f>
        <v>100</v>
      </c>
      <c r="W14" s="199">
        <v>1.7647202381974072</v>
      </c>
      <c r="X14" s="6" t="s">
        <v>396</v>
      </c>
      <c r="Y14" s="164" t="s">
        <v>2011</v>
      </c>
      <c r="Z14">
        <v>1</v>
      </c>
      <c r="AA14">
        <f>VLOOKUP(Y14, Rankings!D$2:AZ$113, 49, FALSE)</f>
        <v>39</v>
      </c>
      <c r="AB14">
        <v>1.810888830888131</v>
      </c>
      <c r="AE14" s="1" t="s">
        <v>143</v>
      </c>
      <c r="AF14">
        <v>3</v>
      </c>
      <c r="AG14">
        <v>6</v>
      </c>
      <c r="AH14">
        <v>8</v>
      </c>
      <c r="AI14">
        <v>6</v>
      </c>
      <c r="AJ14">
        <v>5</v>
      </c>
      <c r="AK14">
        <v>4</v>
      </c>
      <c r="AL14">
        <v>1</v>
      </c>
      <c r="AM14">
        <v>1</v>
      </c>
      <c r="AN14" s="1">
        <v>1</v>
      </c>
      <c r="AR14" s="16" t="s">
        <v>70</v>
      </c>
      <c r="AS14">
        <v>14</v>
      </c>
      <c r="AT14">
        <v>4</v>
      </c>
      <c r="AU14">
        <v>4</v>
      </c>
    </row>
    <row r="15" spans="2:47" x14ac:dyDescent="0.35">
      <c r="B15" s="166" t="s">
        <v>71</v>
      </c>
      <c r="C15">
        <v>1</v>
      </c>
      <c r="D15">
        <f>VLOOKUP(B15, Rankings!D$2:AZ$113, 49, FALSE)</f>
        <v>40</v>
      </c>
      <c r="E15">
        <v>15</v>
      </c>
      <c r="F15" s="205">
        <v>2.7254705411583555</v>
      </c>
      <c r="H15" s="6"/>
      <c r="I15" s="167" t="s">
        <v>78</v>
      </c>
      <c r="J15">
        <v>2</v>
      </c>
      <c r="K15">
        <f>VLOOKUP(I15, Rankings!D$2:AZ$113, 49, FALSE)</f>
        <v>14</v>
      </c>
      <c r="L15">
        <v>15</v>
      </c>
      <c r="M15" s="205">
        <v>1.743994913551806</v>
      </c>
      <c r="N15" s="199"/>
      <c r="O15" s="167" t="s">
        <v>77</v>
      </c>
      <c r="P15">
        <v>3</v>
      </c>
      <c r="Q15">
        <f>VLOOKUP(O15, Rankings!D$2:AZ$113, 49, FALSE)</f>
        <v>12</v>
      </c>
      <c r="R15">
        <v>1.8130523347266645</v>
      </c>
      <c r="S15" t="s">
        <v>396</v>
      </c>
      <c r="T15" s="168" t="s">
        <v>784</v>
      </c>
      <c r="U15">
        <v>2</v>
      </c>
      <c r="V15">
        <f>VLOOKUP(T15, Rankings!D$2:AZ$113, 49, FALSE)</f>
        <v>91</v>
      </c>
      <c r="W15" s="199">
        <v>1.8252972458671295</v>
      </c>
      <c r="X15" s="199" t="s">
        <v>395</v>
      </c>
      <c r="Y15" s="164" t="s">
        <v>900</v>
      </c>
      <c r="Z15">
        <v>1</v>
      </c>
      <c r="AA15">
        <f>VLOOKUP(Y15, Rankings!D$2:AZ$113, 49, FALSE)</f>
        <v>59</v>
      </c>
      <c r="AB15">
        <v>1.8656142316964575</v>
      </c>
      <c r="AE15" s="1" t="s">
        <v>144</v>
      </c>
      <c r="AF15">
        <v>8</v>
      </c>
      <c r="AG15">
        <v>6</v>
      </c>
      <c r="AH15">
        <v>7</v>
      </c>
      <c r="AI15">
        <v>8</v>
      </c>
      <c r="AJ15">
        <v>7</v>
      </c>
      <c r="AK15" s="8">
        <v>0</v>
      </c>
      <c r="AL15" s="8">
        <v>0</v>
      </c>
      <c r="AM15" s="8">
        <v>0</v>
      </c>
      <c r="AN15" s="8">
        <v>0</v>
      </c>
      <c r="AR15" s="17" t="s">
        <v>58</v>
      </c>
      <c r="AS15">
        <v>15</v>
      </c>
      <c r="AT15">
        <v>4</v>
      </c>
      <c r="AU15">
        <v>4</v>
      </c>
    </row>
    <row r="16" spans="2:47" x14ac:dyDescent="0.35">
      <c r="B16" s="166" t="s">
        <v>67</v>
      </c>
      <c r="C16">
        <v>3</v>
      </c>
      <c r="D16">
        <f>VLOOKUP(B16, Rankings!D$2:AZ$113, 49, FALSE)</f>
        <v>21</v>
      </c>
      <c r="E16">
        <v>16</v>
      </c>
      <c r="F16" s="205">
        <v>2.6413342117179557</v>
      </c>
      <c r="H16" s="199"/>
      <c r="I16" s="164" t="s">
        <v>42</v>
      </c>
      <c r="J16">
        <v>4</v>
      </c>
      <c r="K16">
        <f>VLOOKUP(I16, Rankings!D$2:AZ$113, 49, FALSE)</f>
        <v>50</v>
      </c>
      <c r="L16">
        <v>16</v>
      </c>
      <c r="M16" s="205">
        <v>1.7670383627107933</v>
      </c>
      <c r="N16" s="6"/>
      <c r="O16" s="167" t="s">
        <v>86</v>
      </c>
      <c r="P16">
        <v>3</v>
      </c>
      <c r="Q16">
        <f>VLOOKUP(O16, Rankings!D$2:AZ$113, 49, FALSE)</f>
        <v>66</v>
      </c>
      <c r="R16">
        <v>1.8559074974317786</v>
      </c>
      <c r="S16" t="s">
        <v>395</v>
      </c>
      <c r="T16" s="165" t="s">
        <v>56</v>
      </c>
      <c r="U16">
        <v>1</v>
      </c>
      <c r="V16">
        <f>VLOOKUP(T16, Rankings!D$2:AZ$113, 49, FALSE)</f>
        <v>79</v>
      </c>
      <c r="W16" s="199">
        <v>1.983163356426358</v>
      </c>
      <c r="X16" s="6" t="s">
        <v>395</v>
      </c>
      <c r="Y16" s="163" t="s">
        <v>32</v>
      </c>
      <c r="Z16">
        <v>1</v>
      </c>
      <c r="AA16">
        <f>VLOOKUP(Y16, Rankings!D$2:AZ$113, 49, FALSE)</f>
        <v>70</v>
      </c>
      <c r="AB16">
        <v>1.9006569559857642</v>
      </c>
      <c r="AE16" s="1" t="s">
        <v>171</v>
      </c>
      <c r="AF16">
        <v>6</v>
      </c>
      <c r="AG16">
        <v>5</v>
      </c>
      <c r="AH16">
        <v>5</v>
      </c>
      <c r="AI16">
        <v>7</v>
      </c>
      <c r="AJ16">
        <v>4</v>
      </c>
      <c r="AK16">
        <v>3</v>
      </c>
      <c r="AL16">
        <v>2</v>
      </c>
      <c r="AM16">
        <v>1</v>
      </c>
      <c r="AN16" s="8">
        <v>0</v>
      </c>
      <c r="AR16" s="17" t="s">
        <v>57</v>
      </c>
      <c r="AS16">
        <v>16</v>
      </c>
      <c r="AT16">
        <v>4</v>
      </c>
      <c r="AU16">
        <v>4</v>
      </c>
    </row>
    <row r="17" spans="2:47" x14ac:dyDescent="0.35">
      <c r="F17" s="6"/>
      <c r="H17" s="6"/>
      <c r="I17" s="168" t="s">
        <v>783</v>
      </c>
      <c r="J17">
        <v>4</v>
      </c>
      <c r="K17">
        <f>VLOOKUP(I17, Rankings!D$2:AZ$113, 49, FALSE)</f>
        <v>76</v>
      </c>
      <c r="L17">
        <v>17</v>
      </c>
      <c r="M17" s="205">
        <v>1.7914345026548344</v>
      </c>
      <c r="N17" s="199"/>
      <c r="O17" s="167" t="s">
        <v>74</v>
      </c>
      <c r="P17">
        <v>3</v>
      </c>
      <c r="Q17">
        <f>VLOOKUP(O17, Rankings!D$2:AZ$113, 49, FALSE)</f>
        <v>82</v>
      </c>
      <c r="R17">
        <v>1.9355204481885164</v>
      </c>
      <c r="S17" t="s">
        <v>396</v>
      </c>
      <c r="T17" s="163" t="s">
        <v>23</v>
      </c>
      <c r="U17">
        <v>1</v>
      </c>
      <c r="V17">
        <f>VLOOKUP(T17, Rankings!D$2:AZ$113, 49, FALSE)</f>
        <v>57</v>
      </c>
      <c r="W17" s="199">
        <v>2.0745362424323082</v>
      </c>
      <c r="X17" s="199" t="s">
        <v>395</v>
      </c>
      <c r="Y17" s="168" t="s">
        <v>791</v>
      </c>
      <c r="Z17">
        <v>1</v>
      </c>
      <c r="AA17">
        <f>VLOOKUP(Y17, Rankings!D$2:AZ$113, 49, FALSE)</f>
        <v>65</v>
      </c>
      <c r="AB17">
        <v>1.9425108461039982</v>
      </c>
      <c r="AE17" s="1" t="s">
        <v>172</v>
      </c>
      <c r="AF17">
        <v>6</v>
      </c>
      <c r="AG17">
        <v>4</v>
      </c>
      <c r="AH17">
        <v>7</v>
      </c>
      <c r="AI17">
        <v>3</v>
      </c>
      <c r="AJ17">
        <v>4</v>
      </c>
      <c r="AK17">
        <v>4</v>
      </c>
      <c r="AL17">
        <v>1</v>
      </c>
      <c r="AM17" s="8">
        <v>0</v>
      </c>
      <c r="AN17" s="8">
        <v>0</v>
      </c>
      <c r="AR17" s="58" t="s">
        <v>788</v>
      </c>
      <c r="AS17">
        <v>17</v>
      </c>
      <c r="AT17" t="s">
        <v>1808</v>
      </c>
      <c r="AU17">
        <v>5</v>
      </c>
    </row>
    <row r="18" spans="2:47" x14ac:dyDescent="0.35">
      <c r="F18" s="199"/>
      <c r="H18" s="199"/>
      <c r="I18" s="169" t="s">
        <v>962</v>
      </c>
      <c r="J18">
        <v>4</v>
      </c>
      <c r="K18">
        <f>VLOOKUP(I18, Rankings!D$2:AZ$113, 49, FALSE)</f>
        <v>20</v>
      </c>
      <c r="L18">
        <v>18</v>
      </c>
      <c r="M18" s="205">
        <v>2.0145260934477132</v>
      </c>
      <c r="N18" s="6"/>
      <c r="O18" s="164" t="s">
        <v>1859</v>
      </c>
      <c r="P18">
        <v>2</v>
      </c>
      <c r="Q18">
        <f>VLOOKUP(O18, Rankings!D$2:AZ$113, 49, FALSE)</f>
        <v>75</v>
      </c>
      <c r="R18">
        <v>2.1386915949400258</v>
      </c>
      <c r="S18" t="s">
        <v>395</v>
      </c>
      <c r="T18" s="166" t="s">
        <v>61</v>
      </c>
      <c r="U18">
        <v>1</v>
      </c>
      <c r="V18">
        <f>VLOOKUP(T18, Rankings!D$2:AZ$113, 49, FALSE)</f>
        <v>102</v>
      </c>
      <c r="W18" s="199">
        <v>2.1113520571120952</v>
      </c>
      <c r="X18" s="6" t="s">
        <v>396</v>
      </c>
      <c r="Y18" s="167" t="s">
        <v>76</v>
      </c>
      <c r="Z18">
        <v>1</v>
      </c>
      <c r="AA18">
        <f>VLOOKUP(Y18, Rankings!D$2:AZ$113, 49, FALSE)</f>
        <v>107</v>
      </c>
      <c r="AB18">
        <v>1.9694938908919677</v>
      </c>
      <c r="AE18" s="1" t="s">
        <v>173</v>
      </c>
      <c r="AF18">
        <v>8</v>
      </c>
      <c r="AG18">
        <v>5</v>
      </c>
      <c r="AH18">
        <v>5</v>
      </c>
      <c r="AI18">
        <v>2</v>
      </c>
      <c r="AJ18">
        <v>4</v>
      </c>
      <c r="AK18">
        <v>2</v>
      </c>
      <c r="AL18">
        <v>2</v>
      </c>
      <c r="AM18" s="8">
        <v>0</v>
      </c>
      <c r="AN18" s="8">
        <v>0</v>
      </c>
      <c r="AR18" s="69" t="s">
        <v>966</v>
      </c>
      <c r="AS18">
        <v>18</v>
      </c>
      <c r="AT18" t="s">
        <v>1808</v>
      </c>
      <c r="AU18">
        <v>5</v>
      </c>
    </row>
    <row r="19" spans="2:47" x14ac:dyDescent="0.35">
      <c r="B19" s="167" t="s">
        <v>88</v>
      </c>
      <c r="C19">
        <v>5</v>
      </c>
      <c r="D19">
        <f>VLOOKUP(B19, Rankings!D$2:AZ$113, 49, FALSE)</f>
        <v>105</v>
      </c>
      <c r="E19">
        <v>1</v>
      </c>
      <c r="F19" s="205">
        <v>0.90677910140935292</v>
      </c>
      <c r="H19" s="6"/>
      <c r="I19" s="166" t="s">
        <v>70</v>
      </c>
      <c r="J19">
        <v>4</v>
      </c>
      <c r="K19">
        <f>VLOOKUP(I19, Rankings!D$2:AZ$113, 49, FALSE)</f>
        <v>101</v>
      </c>
      <c r="L19">
        <v>19</v>
      </c>
      <c r="M19" s="205">
        <v>2.0922607510890394</v>
      </c>
      <c r="N19" s="199"/>
      <c r="O19" s="169" t="s">
        <v>965</v>
      </c>
      <c r="P19">
        <v>3</v>
      </c>
      <c r="Q19">
        <f>VLOOKUP(O19, Rankings!D$2:AZ$113, 49, FALSE)</f>
        <v>34</v>
      </c>
      <c r="R19">
        <v>2.1111101521542839</v>
      </c>
      <c r="S19" t="s">
        <v>396</v>
      </c>
      <c r="T19" s="165" t="s">
        <v>54</v>
      </c>
      <c r="U19">
        <v>2</v>
      </c>
      <c r="V19">
        <f>VLOOKUP(T19, Rankings!D$2:AZ$113, 49, FALSE)</f>
        <v>99</v>
      </c>
      <c r="W19" s="199">
        <v>2.1598722265174666</v>
      </c>
      <c r="X19" s="199" t="s">
        <v>395</v>
      </c>
      <c r="Y19" s="163" t="s">
        <v>27</v>
      </c>
      <c r="Z19">
        <v>1</v>
      </c>
      <c r="AA19">
        <f>VLOOKUP(Y19, Rankings!D$2:AZ$113, 49, FALSE)</f>
        <v>110</v>
      </c>
      <c r="AB19">
        <v>2.2134072431472327</v>
      </c>
      <c r="AE19" s="1" t="s">
        <v>799</v>
      </c>
      <c r="AF19">
        <v>5</v>
      </c>
      <c r="AG19">
        <v>7</v>
      </c>
      <c r="AH19">
        <v>4</v>
      </c>
      <c r="AI19">
        <v>6</v>
      </c>
      <c r="AJ19">
        <v>4</v>
      </c>
      <c r="AK19">
        <v>1</v>
      </c>
      <c r="AL19">
        <v>1</v>
      </c>
      <c r="AM19">
        <v>1</v>
      </c>
      <c r="AN19">
        <v>1</v>
      </c>
      <c r="AR19" s="19" t="s">
        <v>46</v>
      </c>
      <c r="AS19">
        <v>19</v>
      </c>
      <c r="AT19">
        <v>4</v>
      </c>
      <c r="AU19">
        <v>4</v>
      </c>
    </row>
    <row r="20" spans="2:47" x14ac:dyDescent="0.35">
      <c r="B20" s="164" t="s">
        <v>41</v>
      </c>
      <c r="C20">
        <v>5</v>
      </c>
      <c r="D20">
        <f>VLOOKUP(B20, Rankings!D$2:AZ$113, 49, FALSE)</f>
        <v>9</v>
      </c>
      <c r="E20">
        <v>2</v>
      </c>
      <c r="F20" s="205">
        <v>0.97881380391086781</v>
      </c>
      <c r="H20" s="199"/>
      <c r="I20" s="165" t="s">
        <v>57</v>
      </c>
      <c r="J20">
        <v>4</v>
      </c>
      <c r="K20">
        <f>VLOOKUP(I20, Rankings!D$2:AZ$113, 49, FALSE)</f>
        <v>61</v>
      </c>
      <c r="L20">
        <v>20</v>
      </c>
      <c r="M20" s="205">
        <v>2.2304103740037711</v>
      </c>
      <c r="N20" s="6"/>
      <c r="O20" s="164" t="s">
        <v>45</v>
      </c>
      <c r="P20">
        <v>2</v>
      </c>
      <c r="Q20">
        <f>VLOOKUP(O20, Rankings!D$2:AZ$113, 49, FALSE)</f>
        <v>52</v>
      </c>
      <c r="R20">
        <v>2.1769841523906202</v>
      </c>
      <c r="S20" t="s">
        <v>395</v>
      </c>
      <c r="T20" s="163" t="s">
        <v>28</v>
      </c>
      <c r="U20">
        <v>2</v>
      </c>
      <c r="V20">
        <f>VLOOKUP(T20, Rankings!D$2:AZ$113, 49, FALSE)</f>
        <v>46</v>
      </c>
      <c r="W20" s="199">
        <v>2.2745885494238971</v>
      </c>
      <c r="X20" s="6" t="s">
        <v>395</v>
      </c>
      <c r="Y20" s="169" t="s">
        <v>964</v>
      </c>
      <c r="Z20">
        <v>1</v>
      </c>
      <c r="AA20">
        <f>VLOOKUP(Y20, Rankings!D$2:AZ$113, 49, FALSE)</f>
        <v>111</v>
      </c>
      <c r="AB20">
        <v>2.5776379309887991</v>
      </c>
      <c r="AE20" s="1" t="s">
        <v>1296</v>
      </c>
      <c r="AF20">
        <v>4</v>
      </c>
      <c r="AG20">
        <v>7</v>
      </c>
      <c r="AH20">
        <v>4</v>
      </c>
      <c r="AI20">
        <v>8</v>
      </c>
      <c r="AJ20">
        <v>4</v>
      </c>
      <c r="AK20">
        <v>2</v>
      </c>
      <c r="AL20">
        <v>1</v>
      </c>
      <c r="AM20">
        <v>1</v>
      </c>
      <c r="AN20" s="8">
        <v>0</v>
      </c>
      <c r="AR20" s="69" t="s">
        <v>1342</v>
      </c>
      <c r="AS20">
        <v>20</v>
      </c>
      <c r="AT20">
        <v>4</v>
      </c>
      <c r="AU20">
        <v>4</v>
      </c>
    </row>
    <row r="21" spans="2:47" x14ac:dyDescent="0.35">
      <c r="B21" s="167" t="s">
        <v>83</v>
      </c>
      <c r="C21">
        <v>2</v>
      </c>
      <c r="D21">
        <f>VLOOKUP(B21, Rankings!D$2:AZ$113, 49, FALSE)</f>
        <v>16</v>
      </c>
      <c r="E21">
        <v>3</v>
      </c>
      <c r="F21" s="205">
        <v>1.2380952142261037</v>
      </c>
      <c r="H21" s="6"/>
      <c r="N21" s="199"/>
      <c r="AR21" s="69" t="s">
        <v>3913</v>
      </c>
      <c r="AS21">
        <v>21</v>
      </c>
      <c r="AT21">
        <v>4</v>
      </c>
      <c r="AU21">
        <v>4</v>
      </c>
    </row>
    <row r="22" spans="2:47" x14ac:dyDescent="0.35">
      <c r="B22" s="167" t="s">
        <v>85</v>
      </c>
      <c r="C22">
        <v>1</v>
      </c>
      <c r="D22">
        <f>VLOOKUP(B22, Rankings!D$2:AZ$113, 49, FALSE)</f>
        <v>30</v>
      </c>
      <c r="E22">
        <v>4</v>
      </c>
      <c r="F22" s="205">
        <v>1.385731605941281</v>
      </c>
      <c r="H22" s="199"/>
      <c r="W22" s="199"/>
      <c r="AE22" s="180">
        <f>SUM(AD24:AD30)-104</f>
        <v>7</v>
      </c>
      <c r="AR22" s="69" t="s">
        <v>961</v>
      </c>
      <c r="AS22">
        <v>22</v>
      </c>
      <c r="AT22">
        <v>4</v>
      </c>
      <c r="AU22">
        <v>4</v>
      </c>
    </row>
    <row r="23" spans="2:47" x14ac:dyDescent="0.35">
      <c r="B23" s="164" t="s">
        <v>36</v>
      </c>
      <c r="C23">
        <v>5</v>
      </c>
      <c r="D23">
        <f>VLOOKUP(B23, Rankings!D$2:AZ$113, 49, FALSE)</f>
        <v>6</v>
      </c>
      <c r="E23">
        <v>5</v>
      </c>
      <c r="F23" s="205">
        <v>1.5072711810639023</v>
      </c>
      <c r="H23" s="6"/>
      <c r="I23" s="1" t="s">
        <v>2106</v>
      </c>
      <c r="O23" s="1" t="s">
        <v>4826</v>
      </c>
      <c r="T23" s="1" t="s">
        <v>2754</v>
      </c>
      <c r="W23" s="199"/>
      <c r="AE23" s="1" t="s">
        <v>1908</v>
      </c>
      <c r="AF23" s="1" t="s">
        <v>143</v>
      </c>
      <c r="AG23" s="1" t="s">
        <v>144</v>
      </c>
      <c r="AH23" s="1" t="s">
        <v>171</v>
      </c>
      <c r="AI23" s="1" t="s">
        <v>172</v>
      </c>
      <c r="AJ23" s="1" t="s">
        <v>173</v>
      </c>
      <c r="AK23" s="1" t="s">
        <v>799</v>
      </c>
      <c r="AL23" s="1" t="s">
        <v>1296</v>
      </c>
      <c r="AR23" s="69" t="s">
        <v>1302</v>
      </c>
      <c r="AS23">
        <v>23</v>
      </c>
      <c r="AT23">
        <v>4</v>
      </c>
      <c r="AU23">
        <v>4</v>
      </c>
    </row>
    <row r="24" spans="2:47" x14ac:dyDescent="0.35">
      <c r="B24" s="164" t="s">
        <v>43</v>
      </c>
      <c r="C24">
        <v>4</v>
      </c>
      <c r="D24">
        <f>VLOOKUP(B24, Rankings!D$2:AZ$113, 49, FALSE)</f>
        <v>48</v>
      </c>
      <c r="E24">
        <v>6</v>
      </c>
      <c r="F24" s="205">
        <v>1.5404569723232808</v>
      </c>
      <c r="H24" s="199"/>
      <c r="O24">
        <v>3124</v>
      </c>
      <c r="W24" s="199"/>
      <c r="AD24">
        <f t="shared" ref="AD24:AD30" si="1">SUM(AF24:AL24)</f>
        <v>20</v>
      </c>
      <c r="AE24" s="1" t="s">
        <v>143</v>
      </c>
      <c r="AF24" s="63" t="s">
        <v>1</v>
      </c>
      <c r="AG24" s="63">
        <v>3</v>
      </c>
      <c r="AH24" s="63">
        <v>2</v>
      </c>
      <c r="AI24" s="63">
        <v>5</v>
      </c>
      <c r="AJ24" s="63">
        <v>3</v>
      </c>
      <c r="AK24" s="63">
        <v>3</v>
      </c>
      <c r="AL24" s="63">
        <v>4</v>
      </c>
      <c r="AR24" s="15" t="s">
        <v>75</v>
      </c>
      <c r="AS24">
        <v>24</v>
      </c>
      <c r="AT24">
        <v>4</v>
      </c>
      <c r="AU24">
        <v>4</v>
      </c>
    </row>
    <row r="25" spans="2:47" x14ac:dyDescent="0.35">
      <c r="B25" s="165" t="s">
        <v>145</v>
      </c>
      <c r="C25">
        <v>3</v>
      </c>
      <c r="D25">
        <f>VLOOKUP(B25, Rankings!D$2:AZ$113, 49, FALSE)</f>
        <v>7</v>
      </c>
      <c r="E25">
        <v>7</v>
      </c>
      <c r="F25" s="205">
        <v>2.0662177638339347</v>
      </c>
      <c r="H25" s="6"/>
      <c r="I25" s="163" t="s">
        <v>119</v>
      </c>
      <c r="J25">
        <v>4</v>
      </c>
      <c r="K25">
        <f>VLOOKUP(I25, Rankings!D$2:AZ$113, 49, FALSE)</f>
        <v>8</v>
      </c>
      <c r="L25">
        <v>1</v>
      </c>
      <c r="M25" s="205">
        <v>0.78564045617869949</v>
      </c>
      <c r="AD25">
        <f t="shared" si="1"/>
        <v>20</v>
      </c>
      <c r="AE25" s="1" t="s">
        <v>144</v>
      </c>
      <c r="AF25" s="63">
        <v>3</v>
      </c>
      <c r="AG25" s="63" t="s">
        <v>1</v>
      </c>
      <c r="AH25" s="63">
        <v>3</v>
      </c>
      <c r="AI25" s="63">
        <v>2</v>
      </c>
      <c r="AJ25" s="63">
        <v>3</v>
      </c>
      <c r="AK25" s="63">
        <v>4</v>
      </c>
      <c r="AL25" s="63">
        <v>5</v>
      </c>
      <c r="AR25" s="16" t="s">
        <v>59</v>
      </c>
      <c r="AS25">
        <v>25</v>
      </c>
      <c r="AT25">
        <v>4</v>
      </c>
      <c r="AU25">
        <v>4</v>
      </c>
    </row>
    <row r="26" spans="2:47" x14ac:dyDescent="0.35">
      <c r="B26" s="169" t="s">
        <v>960</v>
      </c>
      <c r="C26">
        <v>1</v>
      </c>
      <c r="D26">
        <f>VLOOKUP(B26, Rankings!D$2:AZ$113, 49, FALSE)</f>
        <v>33</v>
      </c>
      <c r="E26">
        <v>8</v>
      </c>
      <c r="F26" s="205">
        <v>2.0548505308289693</v>
      </c>
      <c r="H26" s="199"/>
      <c r="I26" s="163" t="s">
        <v>26</v>
      </c>
      <c r="J26">
        <v>5</v>
      </c>
      <c r="K26">
        <f>VLOOKUP(I26, Rankings!D$2:AZ$113, 49, FALSE)</f>
        <v>2</v>
      </c>
      <c r="L26">
        <v>2</v>
      </c>
      <c r="M26" s="205">
        <v>1.4837553734023197</v>
      </c>
      <c r="AD26">
        <f t="shared" si="1"/>
        <v>17</v>
      </c>
      <c r="AE26" s="1" t="s">
        <v>171</v>
      </c>
      <c r="AF26" s="63">
        <v>2</v>
      </c>
      <c r="AG26" s="63">
        <v>4</v>
      </c>
      <c r="AH26" s="63">
        <v>1</v>
      </c>
      <c r="AI26" s="63">
        <v>4</v>
      </c>
      <c r="AJ26" s="63">
        <v>3</v>
      </c>
      <c r="AK26" s="63">
        <v>2</v>
      </c>
      <c r="AL26" s="63">
        <v>1</v>
      </c>
      <c r="AR26" s="19" t="s">
        <v>43</v>
      </c>
      <c r="AS26">
        <v>26</v>
      </c>
      <c r="AT26">
        <v>4</v>
      </c>
      <c r="AU26">
        <v>4</v>
      </c>
    </row>
    <row r="27" spans="2:47" x14ac:dyDescent="0.35">
      <c r="H27" s="6"/>
      <c r="I27" s="165" t="s">
        <v>49</v>
      </c>
      <c r="J27">
        <v>5</v>
      </c>
      <c r="K27" s="9">
        <f>VLOOKUP(I27, Rankings!D$2:AZ$113, 49, FALSE)</f>
        <v>56</v>
      </c>
      <c r="L27">
        <v>3</v>
      </c>
      <c r="M27" s="205">
        <v>1.8979355891711536</v>
      </c>
      <c r="O27" s="165" t="s">
        <v>300</v>
      </c>
      <c r="P27">
        <v>5</v>
      </c>
      <c r="Q27" s="9">
        <f>VLOOKUP(O27, Rankings!D$2:AZ$113, 49, FALSE)</f>
        <v>28</v>
      </c>
      <c r="R27">
        <v>1.2267038820013525</v>
      </c>
      <c r="W27" s="199"/>
      <c r="AD27">
        <f t="shared" si="1"/>
        <v>13</v>
      </c>
      <c r="AE27" s="1" t="s">
        <v>172</v>
      </c>
      <c r="AF27" s="63">
        <v>3</v>
      </c>
      <c r="AG27" s="63">
        <v>2</v>
      </c>
      <c r="AH27" s="63">
        <v>2</v>
      </c>
      <c r="AI27" s="63" t="s">
        <v>1</v>
      </c>
      <c r="AJ27" s="63">
        <v>2</v>
      </c>
      <c r="AK27" s="63">
        <v>3</v>
      </c>
      <c r="AL27" s="63">
        <v>1</v>
      </c>
      <c r="AR27" s="69" t="s">
        <v>959</v>
      </c>
      <c r="AS27">
        <v>27</v>
      </c>
      <c r="AT27">
        <v>4</v>
      </c>
      <c r="AU27">
        <v>4</v>
      </c>
    </row>
    <row r="28" spans="2:47" x14ac:dyDescent="0.35">
      <c r="H28" s="199"/>
      <c r="I28" s="164" t="s">
        <v>46</v>
      </c>
      <c r="J28">
        <v>4</v>
      </c>
      <c r="K28" s="9">
        <f>VLOOKUP(I28, Rankings!D$2:AZ$113, 49, FALSE)</f>
        <v>17</v>
      </c>
      <c r="L28">
        <v>4</v>
      </c>
      <c r="M28" s="205">
        <v>2.0585622040778704</v>
      </c>
      <c r="O28" s="169" t="s">
        <v>1344</v>
      </c>
      <c r="P28">
        <v>2</v>
      </c>
      <c r="Q28">
        <f>VLOOKUP(O28, Rankings!D$2:AZ$113, 49, FALSE)</f>
        <v>5</v>
      </c>
      <c r="R28">
        <v>1.7666161877766811</v>
      </c>
      <c r="T28" s="167" t="s">
        <v>87</v>
      </c>
      <c r="U28" s="1">
        <v>5</v>
      </c>
      <c r="V28" s="1">
        <f>VLOOKUP(T28, Rankings!D$2:AZ$113, 49, FALSE)</f>
        <v>1</v>
      </c>
      <c r="W28" s="386">
        <v>0.67467144823082736</v>
      </c>
      <c r="X28" s="1" t="s">
        <v>5</v>
      </c>
      <c r="AD28">
        <f t="shared" si="1"/>
        <v>12</v>
      </c>
      <c r="AE28" s="1" t="s">
        <v>173</v>
      </c>
      <c r="AF28" s="63">
        <v>2</v>
      </c>
      <c r="AG28" s="63">
        <v>3</v>
      </c>
      <c r="AH28" s="63">
        <v>1</v>
      </c>
      <c r="AI28" s="63">
        <v>2</v>
      </c>
      <c r="AJ28" s="63" t="s">
        <v>1</v>
      </c>
      <c r="AK28" s="63">
        <v>2</v>
      </c>
      <c r="AL28" s="63">
        <v>2</v>
      </c>
      <c r="AR28" s="58" t="s">
        <v>792</v>
      </c>
      <c r="AS28">
        <v>28</v>
      </c>
      <c r="AT28">
        <v>4</v>
      </c>
      <c r="AU28">
        <v>4</v>
      </c>
    </row>
    <row r="29" spans="2:47" x14ac:dyDescent="0.35">
      <c r="H29" s="6"/>
      <c r="M29" s="205"/>
      <c r="T29" s="168" t="s">
        <v>795</v>
      </c>
      <c r="U29">
        <v>4</v>
      </c>
      <c r="V29">
        <f>VLOOKUP(T29, Rankings!D$2:AZ$113, 49, FALSE)</f>
        <v>4</v>
      </c>
      <c r="W29" s="199">
        <v>0.98244110598590795</v>
      </c>
      <c r="X29" s="1" t="s">
        <v>6</v>
      </c>
      <c r="AD29">
        <f t="shared" si="1"/>
        <v>14</v>
      </c>
      <c r="AE29" s="1" t="s">
        <v>799</v>
      </c>
      <c r="AF29" s="63">
        <v>2</v>
      </c>
      <c r="AG29" s="63">
        <v>1</v>
      </c>
      <c r="AH29" s="63">
        <v>4</v>
      </c>
      <c r="AI29" s="63">
        <v>2</v>
      </c>
      <c r="AJ29" s="63">
        <v>2</v>
      </c>
      <c r="AK29" s="63" t="s">
        <v>1</v>
      </c>
      <c r="AL29" s="63">
        <v>3</v>
      </c>
      <c r="AR29" s="58" t="s">
        <v>795</v>
      </c>
      <c r="AS29">
        <v>29</v>
      </c>
      <c r="AT29">
        <v>4</v>
      </c>
      <c r="AU29">
        <v>4</v>
      </c>
    </row>
    <row r="30" spans="2:47" x14ac:dyDescent="0.35">
      <c r="H30" s="199"/>
      <c r="AD30">
        <f t="shared" si="1"/>
        <v>15</v>
      </c>
      <c r="AE30" s="1" t="s">
        <v>1296</v>
      </c>
      <c r="AF30" s="63">
        <v>3</v>
      </c>
      <c r="AG30" s="63">
        <v>3</v>
      </c>
      <c r="AH30" s="63">
        <v>3</v>
      </c>
      <c r="AI30" s="63">
        <v>1</v>
      </c>
      <c r="AJ30" s="63">
        <v>3</v>
      </c>
      <c r="AK30" s="63">
        <v>2</v>
      </c>
      <c r="AL30" s="63" t="s">
        <v>1</v>
      </c>
      <c r="AR30" s="15" t="s">
        <v>79</v>
      </c>
      <c r="AS30">
        <v>30</v>
      </c>
      <c r="AT30">
        <v>4</v>
      </c>
      <c r="AU30">
        <v>4</v>
      </c>
    </row>
    <row r="31" spans="2:47" x14ac:dyDescent="0.35">
      <c r="H31" s="6"/>
      <c r="W31" s="199"/>
      <c r="AR31" s="17" t="s">
        <v>53</v>
      </c>
      <c r="AS31">
        <v>31</v>
      </c>
      <c r="AT31">
        <v>4</v>
      </c>
      <c r="AU31">
        <v>4</v>
      </c>
    </row>
    <row r="32" spans="2:47" x14ac:dyDescent="0.35">
      <c r="B32" s="1" t="s">
        <v>4799</v>
      </c>
      <c r="H32" s="199"/>
      <c r="M32" s="205"/>
      <c r="AR32" s="69" t="s">
        <v>962</v>
      </c>
      <c r="AS32">
        <v>32</v>
      </c>
      <c r="AT32">
        <v>3</v>
      </c>
      <c r="AU32">
        <v>4</v>
      </c>
    </row>
    <row r="33" spans="2:47" x14ac:dyDescent="0.35">
      <c r="B33" s="1"/>
      <c r="H33" s="6"/>
      <c r="AR33" s="69" t="s">
        <v>965</v>
      </c>
      <c r="AS33">
        <v>33</v>
      </c>
      <c r="AT33">
        <v>3</v>
      </c>
      <c r="AU33">
        <v>3</v>
      </c>
    </row>
    <row r="34" spans="2:47" x14ac:dyDescent="0.35">
      <c r="H34" s="6"/>
      <c r="AR34" s="19" t="s">
        <v>37</v>
      </c>
      <c r="AS34">
        <v>34</v>
      </c>
      <c r="AT34">
        <v>3</v>
      </c>
      <c r="AU34">
        <v>3</v>
      </c>
    </row>
    <row r="35" spans="2:47" x14ac:dyDescent="0.35">
      <c r="H35" s="199"/>
      <c r="AR35" s="16" t="s">
        <v>62</v>
      </c>
      <c r="AS35">
        <v>35</v>
      </c>
      <c r="AT35">
        <v>3</v>
      </c>
      <c r="AU35">
        <v>3</v>
      </c>
    </row>
    <row r="36" spans="2:47" x14ac:dyDescent="0.35">
      <c r="H36" s="6"/>
      <c r="AR36" s="19" t="s">
        <v>40</v>
      </c>
      <c r="AS36">
        <v>36</v>
      </c>
      <c r="AT36">
        <v>3</v>
      </c>
      <c r="AU36">
        <v>3</v>
      </c>
    </row>
    <row r="37" spans="2:47" x14ac:dyDescent="0.35">
      <c r="H37" s="199"/>
      <c r="AR37" s="15" t="s">
        <v>77</v>
      </c>
      <c r="AS37">
        <v>37</v>
      </c>
      <c r="AT37">
        <v>3</v>
      </c>
      <c r="AU37">
        <v>3</v>
      </c>
    </row>
    <row r="38" spans="2:47" x14ac:dyDescent="0.35">
      <c r="H38" s="6"/>
      <c r="AR38" s="19" t="s">
        <v>35</v>
      </c>
      <c r="AS38">
        <v>38</v>
      </c>
      <c r="AT38">
        <v>3</v>
      </c>
      <c r="AU38">
        <v>3</v>
      </c>
    </row>
    <row r="39" spans="2:47" x14ac:dyDescent="0.35">
      <c r="H39" s="199"/>
      <c r="AR39" s="16" t="s">
        <v>66</v>
      </c>
      <c r="AS39">
        <v>39</v>
      </c>
      <c r="AT39">
        <v>3</v>
      </c>
      <c r="AU39">
        <v>3</v>
      </c>
    </row>
    <row r="40" spans="2:47" x14ac:dyDescent="0.35">
      <c r="H40" s="6"/>
      <c r="AR40" s="15" t="s">
        <v>86</v>
      </c>
      <c r="AS40">
        <v>40</v>
      </c>
      <c r="AT40">
        <v>3</v>
      </c>
      <c r="AU40">
        <v>3</v>
      </c>
    </row>
    <row r="41" spans="2:47" x14ac:dyDescent="0.35">
      <c r="AR41" s="16" t="s">
        <v>60</v>
      </c>
      <c r="AS41">
        <v>41</v>
      </c>
      <c r="AT41">
        <v>3</v>
      </c>
      <c r="AU41">
        <v>3</v>
      </c>
    </row>
    <row r="42" spans="2:47" x14ac:dyDescent="0.35">
      <c r="AR42" s="17" t="s">
        <v>145</v>
      </c>
      <c r="AS42">
        <v>42</v>
      </c>
      <c r="AT42">
        <v>3</v>
      </c>
      <c r="AU42">
        <v>3</v>
      </c>
    </row>
    <row r="43" spans="2:47" x14ac:dyDescent="0.35">
      <c r="AR43" s="17" t="s">
        <v>50</v>
      </c>
      <c r="AS43">
        <v>43</v>
      </c>
      <c r="AT43">
        <v>3</v>
      </c>
      <c r="AU43">
        <v>3</v>
      </c>
    </row>
    <row r="44" spans="2:47" x14ac:dyDescent="0.35">
      <c r="AR44" s="21" t="s">
        <v>292</v>
      </c>
      <c r="AS44">
        <v>44</v>
      </c>
      <c r="AT44">
        <v>3</v>
      </c>
      <c r="AU44">
        <v>3</v>
      </c>
    </row>
    <row r="45" spans="2:47" x14ac:dyDescent="0.35">
      <c r="AR45" s="16" t="s">
        <v>114</v>
      </c>
      <c r="AS45">
        <v>45</v>
      </c>
      <c r="AT45">
        <v>3</v>
      </c>
      <c r="AU45">
        <v>3</v>
      </c>
    </row>
    <row r="46" spans="2:47" x14ac:dyDescent="0.35">
      <c r="AR46" s="17" t="s">
        <v>118</v>
      </c>
      <c r="AS46">
        <v>46</v>
      </c>
      <c r="AT46">
        <v>3</v>
      </c>
      <c r="AU46">
        <v>3</v>
      </c>
    </row>
    <row r="47" spans="2:47" x14ac:dyDescent="0.35">
      <c r="AR47" s="21" t="s">
        <v>33</v>
      </c>
      <c r="AS47">
        <v>47</v>
      </c>
      <c r="AT47">
        <v>3</v>
      </c>
      <c r="AU47">
        <v>3</v>
      </c>
    </row>
    <row r="48" spans="2:47" x14ac:dyDescent="0.35">
      <c r="AR48" s="58" t="s">
        <v>794</v>
      </c>
      <c r="AS48">
        <v>48</v>
      </c>
      <c r="AT48">
        <v>3</v>
      </c>
      <c r="AU48">
        <v>3</v>
      </c>
    </row>
    <row r="49" spans="44:47" x14ac:dyDescent="0.35">
      <c r="AR49" s="15" t="s">
        <v>82</v>
      </c>
      <c r="AS49">
        <v>49</v>
      </c>
      <c r="AT49">
        <v>3</v>
      </c>
      <c r="AU49">
        <v>3</v>
      </c>
    </row>
    <row r="50" spans="44:47" x14ac:dyDescent="0.35">
      <c r="AR50" s="16" t="s">
        <v>67</v>
      </c>
      <c r="AS50">
        <v>50</v>
      </c>
      <c r="AT50">
        <v>3</v>
      </c>
      <c r="AU50">
        <v>3</v>
      </c>
    </row>
    <row r="51" spans="44:47" x14ac:dyDescent="0.35">
      <c r="AR51" s="21" t="s">
        <v>24</v>
      </c>
      <c r="AS51">
        <v>51</v>
      </c>
      <c r="AT51">
        <v>3</v>
      </c>
      <c r="AU51">
        <v>3</v>
      </c>
    </row>
    <row r="52" spans="44:47" x14ac:dyDescent="0.35">
      <c r="AR52" s="15" t="s">
        <v>74</v>
      </c>
      <c r="AS52">
        <v>52</v>
      </c>
      <c r="AT52">
        <v>3</v>
      </c>
      <c r="AU52">
        <v>3</v>
      </c>
    </row>
    <row r="53" spans="44:47" x14ac:dyDescent="0.35">
      <c r="AR53" s="69" t="s">
        <v>1301</v>
      </c>
      <c r="AS53">
        <v>53</v>
      </c>
      <c r="AT53">
        <v>2</v>
      </c>
      <c r="AU53">
        <v>2</v>
      </c>
    </row>
    <row r="54" spans="44:47" x14ac:dyDescent="0.35">
      <c r="AR54" s="15" t="s">
        <v>78</v>
      </c>
      <c r="AS54">
        <v>54</v>
      </c>
      <c r="AT54">
        <v>2</v>
      </c>
      <c r="AU54">
        <v>2</v>
      </c>
    </row>
    <row r="55" spans="44:47" x14ac:dyDescent="0.35">
      <c r="AR55" s="19" t="s">
        <v>45</v>
      </c>
      <c r="AS55">
        <v>55</v>
      </c>
      <c r="AT55">
        <v>2</v>
      </c>
      <c r="AU55">
        <v>2</v>
      </c>
    </row>
    <row r="56" spans="44:47" x14ac:dyDescent="0.35">
      <c r="AR56" s="58" t="s">
        <v>786</v>
      </c>
      <c r="AS56">
        <v>56</v>
      </c>
      <c r="AT56">
        <v>2</v>
      </c>
      <c r="AU56">
        <v>2</v>
      </c>
    </row>
    <row r="57" spans="44:47" x14ac:dyDescent="0.35">
      <c r="AR57" s="69" t="s">
        <v>963</v>
      </c>
      <c r="AS57">
        <v>57</v>
      </c>
      <c r="AT57">
        <v>2</v>
      </c>
      <c r="AU57">
        <v>2</v>
      </c>
    </row>
    <row r="58" spans="44:47" x14ac:dyDescent="0.35">
      <c r="AR58" s="17" t="s">
        <v>54</v>
      </c>
      <c r="AS58">
        <v>58</v>
      </c>
      <c r="AT58">
        <v>2</v>
      </c>
      <c r="AU58">
        <v>2</v>
      </c>
    </row>
    <row r="59" spans="44:47" x14ac:dyDescent="0.35">
      <c r="AR59" s="19" t="s">
        <v>1859</v>
      </c>
      <c r="AS59">
        <v>59</v>
      </c>
      <c r="AT59">
        <v>2</v>
      </c>
      <c r="AU59">
        <v>2</v>
      </c>
    </row>
    <row r="60" spans="44:47" x14ac:dyDescent="0.35">
      <c r="AR60" s="58" t="s">
        <v>790</v>
      </c>
      <c r="AS60">
        <v>60</v>
      </c>
      <c r="AT60">
        <v>2</v>
      </c>
      <c r="AU60">
        <v>2</v>
      </c>
    </row>
    <row r="61" spans="44:47" x14ac:dyDescent="0.35">
      <c r="AR61" s="17" t="s">
        <v>55</v>
      </c>
      <c r="AS61">
        <v>61</v>
      </c>
      <c r="AT61">
        <v>2</v>
      </c>
      <c r="AU61">
        <v>2</v>
      </c>
    </row>
    <row r="62" spans="44:47" x14ac:dyDescent="0.35">
      <c r="AR62" s="15" t="s">
        <v>84</v>
      </c>
      <c r="AS62">
        <v>62</v>
      </c>
      <c r="AT62">
        <v>2</v>
      </c>
      <c r="AU62">
        <v>2</v>
      </c>
    </row>
    <row r="63" spans="44:47" x14ac:dyDescent="0.35">
      <c r="AR63" s="69" t="s">
        <v>1308</v>
      </c>
      <c r="AS63">
        <v>63</v>
      </c>
      <c r="AT63">
        <v>2</v>
      </c>
      <c r="AU63">
        <v>2</v>
      </c>
    </row>
    <row r="64" spans="44:47" x14ac:dyDescent="0.35">
      <c r="AR64" s="58" t="s">
        <v>793</v>
      </c>
      <c r="AS64">
        <v>64</v>
      </c>
      <c r="AT64">
        <v>2</v>
      </c>
      <c r="AU64">
        <v>2</v>
      </c>
    </row>
    <row r="65" spans="44:47" x14ac:dyDescent="0.35">
      <c r="AR65" s="58" t="s">
        <v>787</v>
      </c>
      <c r="AS65">
        <v>65</v>
      </c>
      <c r="AT65">
        <v>2</v>
      </c>
      <c r="AU65">
        <v>2</v>
      </c>
    </row>
    <row r="66" spans="44:47" x14ac:dyDescent="0.35">
      <c r="AR66" s="15" t="s">
        <v>80</v>
      </c>
      <c r="AS66">
        <v>66</v>
      </c>
      <c r="AT66">
        <v>2</v>
      </c>
      <c r="AU66">
        <v>2</v>
      </c>
    </row>
    <row r="67" spans="44:47" x14ac:dyDescent="0.35">
      <c r="AR67" s="15" t="s">
        <v>83</v>
      </c>
      <c r="AS67">
        <v>67</v>
      </c>
      <c r="AT67">
        <v>2</v>
      </c>
      <c r="AU67">
        <v>2</v>
      </c>
    </row>
    <row r="68" spans="44:47" x14ac:dyDescent="0.35">
      <c r="AR68" s="21" t="s">
        <v>28</v>
      </c>
      <c r="AS68">
        <v>68</v>
      </c>
      <c r="AT68">
        <v>2</v>
      </c>
      <c r="AU68">
        <v>2</v>
      </c>
    </row>
    <row r="69" spans="44:47" x14ac:dyDescent="0.35">
      <c r="AR69" s="58" t="s">
        <v>784</v>
      </c>
      <c r="AS69">
        <v>69</v>
      </c>
      <c r="AT69">
        <v>2</v>
      </c>
      <c r="AU69">
        <v>2</v>
      </c>
    </row>
    <row r="70" spans="44:47" x14ac:dyDescent="0.35">
      <c r="AR70" s="58" t="s">
        <v>909</v>
      </c>
      <c r="AS70">
        <v>70</v>
      </c>
      <c r="AT70">
        <v>2</v>
      </c>
      <c r="AU70">
        <v>2</v>
      </c>
    </row>
    <row r="71" spans="44:47" x14ac:dyDescent="0.35">
      <c r="AR71" s="69" t="s">
        <v>1344</v>
      </c>
      <c r="AS71">
        <v>71</v>
      </c>
      <c r="AT71">
        <v>2</v>
      </c>
      <c r="AU71">
        <v>2</v>
      </c>
    </row>
    <row r="72" spans="44:47" x14ac:dyDescent="0.35">
      <c r="AR72" s="15" t="s">
        <v>81</v>
      </c>
      <c r="AS72">
        <v>72</v>
      </c>
      <c r="AT72">
        <v>2</v>
      </c>
      <c r="AU72">
        <v>2</v>
      </c>
    </row>
    <row r="73" spans="44:47" x14ac:dyDescent="0.35">
      <c r="AR73" s="17" t="s">
        <v>47</v>
      </c>
      <c r="AS73">
        <v>73</v>
      </c>
      <c r="AT73">
        <v>2</v>
      </c>
      <c r="AU73">
        <v>1</v>
      </c>
    </row>
    <row r="74" spans="44:47" x14ac:dyDescent="0.35">
      <c r="AR74" s="58" t="s">
        <v>785</v>
      </c>
      <c r="AS74">
        <v>74</v>
      </c>
      <c r="AT74">
        <v>2</v>
      </c>
      <c r="AU74">
        <v>1</v>
      </c>
    </row>
    <row r="75" spans="44:47" x14ac:dyDescent="0.35">
      <c r="AR75" s="15" t="s">
        <v>73</v>
      </c>
      <c r="AS75">
        <v>75</v>
      </c>
      <c r="AT75">
        <v>2</v>
      </c>
      <c r="AU75">
        <v>1</v>
      </c>
    </row>
    <row r="76" spans="44:47" x14ac:dyDescent="0.35">
      <c r="AR76" s="21" t="s">
        <v>25</v>
      </c>
      <c r="AS76">
        <v>76</v>
      </c>
      <c r="AT76">
        <v>2</v>
      </c>
      <c r="AU76">
        <v>1</v>
      </c>
    </row>
    <row r="77" spans="44:47" x14ac:dyDescent="0.35">
      <c r="AR77" s="19" t="s">
        <v>900</v>
      </c>
      <c r="AS77">
        <v>77</v>
      </c>
      <c r="AT77">
        <v>2</v>
      </c>
      <c r="AU77">
        <v>1</v>
      </c>
    </row>
    <row r="78" spans="44:47" x14ac:dyDescent="0.35">
      <c r="AR78" s="21" t="s">
        <v>30</v>
      </c>
      <c r="AS78">
        <v>78</v>
      </c>
      <c r="AT78">
        <v>2</v>
      </c>
      <c r="AU78">
        <v>1</v>
      </c>
    </row>
    <row r="79" spans="44:47" x14ac:dyDescent="0.35">
      <c r="AR79" s="21" t="s">
        <v>29</v>
      </c>
      <c r="AS79">
        <v>79</v>
      </c>
      <c r="AT79">
        <v>2</v>
      </c>
      <c r="AU79">
        <v>1</v>
      </c>
    </row>
    <row r="80" spans="44:47" x14ac:dyDescent="0.35">
      <c r="AR80" s="16" t="s">
        <v>71</v>
      </c>
      <c r="AS80">
        <v>80</v>
      </c>
      <c r="AT80">
        <v>2</v>
      </c>
      <c r="AU80">
        <v>1</v>
      </c>
    </row>
    <row r="81" spans="44:47" x14ac:dyDescent="0.35">
      <c r="AR81" s="19" t="s">
        <v>2011</v>
      </c>
      <c r="AS81">
        <v>81</v>
      </c>
      <c r="AT81">
        <v>2</v>
      </c>
      <c r="AU81">
        <v>1</v>
      </c>
    </row>
    <row r="82" spans="44:47" x14ac:dyDescent="0.35">
      <c r="AR82" s="21" t="s">
        <v>22</v>
      </c>
      <c r="AS82">
        <v>82</v>
      </c>
      <c r="AT82">
        <v>2</v>
      </c>
      <c r="AU82">
        <v>1</v>
      </c>
    </row>
    <row r="83" spans="44:47" x14ac:dyDescent="0.35">
      <c r="AR83" s="19" t="s">
        <v>39</v>
      </c>
      <c r="AS83">
        <v>83</v>
      </c>
      <c r="AT83">
        <v>2</v>
      </c>
      <c r="AU83">
        <v>1</v>
      </c>
    </row>
    <row r="84" spans="44:47" x14ac:dyDescent="0.35">
      <c r="AR84" s="69" t="s">
        <v>958</v>
      </c>
      <c r="AS84">
        <v>84</v>
      </c>
      <c r="AT84">
        <v>2</v>
      </c>
      <c r="AU84">
        <v>1</v>
      </c>
    </row>
    <row r="85" spans="44:47" x14ac:dyDescent="0.35">
      <c r="AR85" s="21" t="s">
        <v>32</v>
      </c>
      <c r="AS85">
        <v>85</v>
      </c>
      <c r="AT85">
        <v>1</v>
      </c>
      <c r="AU85">
        <v>1</v>
      </c>
    </row>
    <row r="86" spans="44:47" x14ac:dyDescent="0.35">
      <c r="AR86" s="58" t="s">
        <v>791</v>
      </c>
      <c r="AS86">
        <v>86</v>
      </c>
      <c r="AT86">
        <v>1</v>
      </c>
      <c r="AU86">
        <v>1</v>
      </c>
    </row>
    <row r="87" spans="44:47" x14ac:dyDescent="0.35">
      <c r="AR87" s="15" t="s">
        <v>85</v>
      </c>
      <c r="AS87">
        <v>87</v>
      </c>
      <c r="AT87">
        <v>1</v>
      </c>
      <c r="AU87">
        <v>1</v>
      </c>
    </row>
    <row r="88" spans="44:47" x14ac:dyDescent="0.35">
      <c r="AR88" s="58" t="s">
        <v>789</v>
      </c>
      <c r="AS88">
        <v>88</v>
      </c>
      <c r="AT88">
        <v>1</v>
      </c>
      <c r="AU88">
        <v>1</v>
      </c>
    </row>
    <row r="89" spans="44:47" x14ac:dyDescent="0.35">
      <c r="AR89" s="16" t="s">
        <v>65</v>
      </c>
      <c r="AS89">
        <v>89</v>
      </c>
      <c r="AT89">
        <v>1</v>
      </c>
      <c r="AU89">
        <v>1</v>
      </c>
    </row>
    <row r="90" spans="44:47" x14ac:dyDescent="0.35">
      <c r="AR90" s="19" t="s">
        <v>1858</v>
      </c>
      <c r="AS90">
        <v>90</v>
      </c>
      <c r="AT90">
        <v>1</v>
      </c>
      <c r="AU90">
        <v>1</v>
      </c>
    </row>
    <row r="91" spans="44:47" x14ac:dyDescent="0.35">
      <c r="AR91" s="69" t="s">
        <v>964</v>
      </c>
      <c r="AS91">
        <v>91</v>
      </c>
      <c r="AT91">
        <v>1</v>
      </c>
      <c r="AU91">
        <v>1</v>
      </c>
    </row>
    <row r="92" spans="44:47" x14ac:dyDescent="0.35">
      <c r="AR92" s="17" t="s">
        <v>48</v>
      </c>
      <c r="AS92">
        <v>92</v>
      </c>
      <c r="AT92">
        <v>1</v>
      </c>
      <c r="AU92">
        <v>1</v>
      </c>
    </row>
    <row r="93" spans="44:47" x14ac:dyDescent="0.35">
      <c r="AR93" s="16" t="s">
        <v>61</v>
      </c>
      <c r="AS93">
        <v>93</v>
      </c>
      <c r="AT93">
        <v>1</v>
      </c>
      <c r="AU93">
        <v>1</v>
      </c>
    </row>
    <row r="94" spans="44:47" x14ac:dyDescent="0.35">
      <c r="AR94" s="21" t="s">
        <v>1860</v>
      </c>
      <c r="AS94">
        <v>94</v>
      </c>
      <c r="AT94">
        <v>1</v>
      </c>
      <c r="AU94">
        <v>1</v>
      </c>
    </row>
    <row r="95" spans="44:47" x14ac:dyDescent="0.35">
      <c r="AR95" s="17" t="s">
        <v>117</v>
      </c>
      <c r="AS95">
        <v>95</v>
      </c>
      <c r="AT95">
        <v>1</v>
      </c>
      <c r="AU95">
        <v>1</v>
      </c>
    </row>
    <row r="96" spans="44:47" x14ac:dyDescent="0.35">
      <c r="AR96" s="17" t="s">
        <v>56</v>
      </c>
      <c r="AS96">
        <v>96</v>
      </c>
      <c r="AT96">
        <v>1</v>
      </c>
      <c r="AU96">
        <v>1</v>
      </c>
    </row>
    <row r="97" spans="44:47" x14ac:dyDescent="0.35">
      <c r="AR97" s="21" t="s">
        <v>23</v>
      </c>
      <c r="AS97">
        <v>97</v>
      </c>
      <c r="AT97">
        <v>1</v>
      </c>
      <c r="AU97">
        <v>1</v>
      </c>
    </row>
    <row r="98" spans="44:47" x14ac:dyDescent="0.35">
      <c r="AR98" s="69" t="s">
        <v>1343</v>
      </c>
      <c r="AS98">
        <v>98</v>
      </c>
      <c r="AT98">
        <v>1</v>
      </c>
      <c r="AU98">
        <v>1</v>
      </c>
    </row>
    <row r="99" spans="44:47" x14ac:dyDescent="0.35">
      <c r="AR99" s="69" t="s">
        <v>960</v>
      </c>
      <c r="AS99">
        <v>99</v>
      </c>
      <c r="AT99">
        <v>1</v>
      </c>
      <c r="AU99">
        <v>1</v>
      </c>
    </row>
    <row r="100" spans="44:47" x14ac:dyDescent="0.35">
      <c r="AR100" s="16" t="s">
        <v>68</v>
      </c>
      <c r="AS100">
        <v>100</v>
      </c>
      <c r="AT100">
        <v>1</v>
      </c>
      <c r="AU100">
        <v>1</v>
      </c>
    </row>
    <row r="101" spans="44:47" x14ac:dyDescent="0.35">
      <c r="AR101" s="17" t="s">
        <v>52</v>
      </c>
      <c r="AS101">
        <v>101</v>
      </c>
      <c r="AT101">
        <v>1</v>
      </c>
      <c r="AU101">
        <v>1</v>
      </c>
    </row>
    <row r="102" spans="44:47" x14ac:dyDescent="0.35">
      <c r="AR102" s="58" t="s">
        <v>796</v>
      </c>
      <c r="AS102">
        <v>102</v>
      </c>
      <c r="AT102">
        <v>1</v>
      </c>
      <c r="AU102">
        <v>1</v>
      </c>
    </row>
    <row r="103" spans="44:47" x14ac:dyDescent="0.35">
      <c r="AR103" s="16" t="s">
        <v>115</v>
      </c>
      <c r="AS103">
        <v>103</v>
      </c>
      <c r="AT103">
        <v>1</v>
      </c>
      <c r="AU103">
        <v>1</v>
      </c>
    </row>
    <row r="104" spans="44:47" x14ac:dyDescent="0.35">
      <c r="AR104" s="58" t="s">
        <v>908</v>
      </c>
      <c r="AS104">
        <v>104</v>
      </c>
      <c r="AT104">
        <v>1</v>
      </c>
      <c r="AU104">
        <v>1</v>
      </c>
    </row>
    <row r="105" spans="44:47" x14ac:dyDescent="0.35">
      <c r="AR105" s="15" t="s">
        <v>76</v>
      </c>
      <c r="AS105">
        <v>105</v>
      </c>
      <c r="AT105">
        <v>1</v>
      </c>
      <c r="AU105">
        <v>1</v>
      </c>
    </row>
    <row r="106" spans="44:47" x14ac:dyDescent="0.35">
      <c r="AR106" s="16" t="s">
        <v>63</v>
      </c>
      <c r="AS106">
        <v>106</v>
      </c>
      <c r="AT106">
        <v>1</v>
      </c>
      <c r="AU106">
        <v>1</v>
      </c>
    </row>
    <row r="107" spans="44:47" x14ac:dyDescent="0.35">
      <c r="AR107" s="19" t="s">
        <v>44</v>
      </c>
      <c r="AS107">
        <v>107</v>
      </c>
      <c r="AT107">
        <v>1</v>
      </c>
      <c r="AU107">
        <v>1</v>
      </c>
    </row>
    <row r="108" spans="44:47" x14ac:dyDescent="0.35">
      <c r="AR108" s="17" t="s">
        <v>51</v>
      </c>
      <c r="AS108">
        <v>108</v>
      </c>
      <c r="AT108">
        <v>1</v>
      </c>
      <c r="AU108">
        <v>1</v>
      </c>
    </row>
    <row r="109" spans="44:47" x14ac:dyDescent="0.35">
      <c r="AR109" s="16" t="s">
        <v>64</v>
      </c>
      <c r="AS109">
        <v>109</v>
      </c>
      <c r="AT109">
        <v>1</v>
      </c>
      <c r="AU109">
        <v>1</v>
      </c>
    </row>
    <row r="110" spans="44:47" x14ac:dyDescent="0.35">
      <c r="AR110" s="16" t="s">
        <v>72</v>
      </c>
      <c r="AS110">
        <v>110</v>
      </c>
      <c r="AT110">
        <v>1</v>
      </c>
      <c r="AU110">
        <v>1</v>
      </c>
    </row>
    <row r="111" spans="44:47" x14ac:dyDescent="0.35">
      <c r="AR111" s="19" t="s">
        <v>38</v>
      </c>
      <c r="AS111">
        <v>111</v>
      </c>
      <c r="AT111">
        <v>1</v>
      </c>
      <c r="AU111">
        <v>1</v>
      </c>
    </row>
    <row r="112" spans="44:47" x14ac:dyDescent="0.35">
      <c r="AR112" s="21" t="s">
        <v>27</v>
      </c>
      <c r="AS112">
        <v>112</v>
      </c>
      <c r="AT112">
        <v>1</v>
      </c>
      <c r="AU112">
        <v>1</v>
      </c>
    </row>
  </sheetData>
  <sortState xmlns:xlrd2="http://schemas.microsoft.com/office/spreadsheetml/2017/richdata2" ref="I25:M32">
    <sortCondition ref="M25:M3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0.39997558519241921"/>
  </sheetPr>
  <dimension ref="B2:AS39"/>
  <sheetViews>
    <sheetView zoomScale="76" zoomScaleNormal="76" workbookViewId="0">
      <selection activeCell="AB37" sqref="AB37"/>
    </sheetView>
  </sheetViews>
  <sheetFormatPr defaultRowHeight="14.5" x14ac:dyDescent="0.35"/>
  <cols>
    <col min="1" max="1" width="3.90625" customWidth="1"/>
    <col min="2" max="2" width="4.1796875" style="63" customWidth="1"/>
    <col min="3" max="3" width="26.90625" customWidth="1"/>
    <col min="4" max="4" width="3.81640625" hidden="1" customWidth="1"/>
    <col min="5" max="5" width="3.81640625" customWidth="1"/>
    <col min="6" max="8" width="5.453125" customWidth="1"/>
    <col min="9" max="9" width="4.6328125" customWidth="1"/>
    <col min="10" max="13" width="6" customWidth="1"/>
    <col min="14" max="14" width="4.6328125" customWidth="1"/>
    <col min="15" max="15" width="4.1796875" style="63" customWidth="1"/>
    <col min="16" max="16" width="26.90625" customWidth="1"/>
    <col min="17" max="17" width="3.81640625" hidden="1" customWidth="1"/>
    <col min="18" max="18" width="3.81640625" customWidth="1"/>
    <col min="19" max="21" width="5.453125" customWidth="1"/>
    <col min="22" max="22" width="4.6328125" customWidth="1"/>
    <col min="23" max="26" width="6" customWidth="1"/>
    <col min="27" max="27" width="3.81640625" customWidth="1"/>
    <col min="29" max="29" width="26.81640625" customWidth="1"/>
    <col min="30" max="32" width="3.81640625" customWidth="1"/>
    <col min="33" max="33" width="1.54296875" customWidth="1"/>
    <col min="35" max="35" width="26.81640625" customWidth="1"/>
    <col min="36" max="38" width="3.81640625" customWidth="1"/>
    <col min="42" max="42" width="4.90625" customWidth="1"/>
    <col min="43" max="43" width="4.1796875" customWidth="1"/>
    <col min="44" max="44" width="15.1796875" customWidth="1"/>
    <col min="45" max="45" width="10.453125" customWidth="1"/>
  </cols>
  <sheetData>
    <row r="2" spans="2:45" ht="14.4" customHeight="1" x14ac:dyDescent="0.35">
      <c r="C2" s="1" t="s">
        <v>2083</v>
      </c>
      <c r="D2" s="300" t="s">
        <v>2084</v>
      </c>
      <c r="E2" s="300" t="s">
        <v>1372</v>
      </c>
      <c r="F2" s="300" t="s">
        <v>5</v>
      </c>
      <c r="G2" s="300" t="s">
        <v>6</v>
      </c>
      <c r="H2" s="300" t="s">
        <v>2089</v>
      </c>
      <c r="I2" s="300"/>
      <c r="J2" s="300" t="s">
        <v>3602</v>
      </c>
      <c r="K2" s="300" t="s">
        <v>3603</v>
      </c>
      <c r="L2" s="300" t="s">
        <v>3604</v>
      </c>
      <c r="M2" s="300" t="s">
        <v>3605</v>
      </c>
      <c r="P2" s="1" t="s">
        <v>2090</v>
      </c>
      <c r="Q2" s="300" t="s">
        <v>2084</v>
      </c>
      <c r="R2" s="300" t="s">
        <v>1372</v>
      </c>
      <c r="S2" s="300" t="s">
        <v>5</v>
      </c>
      <c r="T2" s="300" t="s">
        <v>6</v>
      </c>
      <c r="U2" s="300" t="s">
        <v>2089</v>
      </c>
      <c r="V2" s="300"/>
      <c r="W2" s="300" t="s">
        <v>3631</v>
      </c>
      <c r="X2" s="300" t="s">
        <v>3632</v>
      </c>
      <c r="Y2" s="300" t="s">
        <v>3633</v>
      </c>
      <c r="Z2" s="300" t="s">
        <v>3634</v>
      </c>
      <c r="AC2" s="481" t="s">
        <v>3650</v>
      </c>
      <c r="AD2" s="481"/>
      <c r="AE2" s="481"/>
      <c r="AF2" s="481"/>
      <c r="AG2" s="481"/>
      <c r="AH2" s="481"/>
      <c r="AI2" s="481"/>
      <c r="AJ2" s="481"/>
      <c r="AK2" s="481"/>
      <c r="AL2" s="481"/>
      <c r="AQ2" t="s">
        <v>2084</v>
      </c>
      <c r="AR2" t="s">
        <v>2070</v>
      </c>
    </row>
    <row r="3" spans="2:45" ht="14.4" customHeight="1" x14ac:dyDescent="0.35">
      <c r="B3" s="63" t="s">
        <v>2663</v>
      </c>
      <c r="C3" t="str">
        <f>CONCATENATE(VLOOKUP(D3, Rankings!A$2:D$113, 4, FALSE), " (", VLOOKUP(D3, Rankings!A$2:D$113, 2, FALSE), ")")</f>
        <v>Cianwood City (Indigo)</v>
      </c>
      <c r="D3" s="63">
        <v>1</v>
      </c>
      <c r="E3" s="63">
        <f>VLOOKUP(D3,Rankings!$A$2:$AZ$113,52,FALSE)</f>
        <v>14</v>
      </c>
      <c r="F3" s="63">
        <v>5</v>
      </c>
      <c r="G3" s="63">
        <v>1</v>
      </c>
      <c r="H3" s="63">
        <v>24</v>
      </c>
      <c r="J3" s="309"/>
      <c r="K3" s="311" t="s">
        <v>3616</v>
      </c>
      <c r="L3" s="311" t="s">
        <v>3608</v>
      </c>
      <c r="M3" s="311" t="s">
        <v>3612</v>
      </c>
      <c r="O3" s="63" t="s">
        <v>2671</v>
      </c>
      <c r="P3" t="str">
        <f>CONCATENATE(VLOOKUP(Q3, Rankings!A$2:D$113, 4, FALSE), " (", VLOOKUP(Q3, Rankings!A$2:D$113, 2, FALSE), ")")</f>
        <v>Cinnabar Island (Indigo)</v>
      </c>
      <c r="Q3" s="63">
        <v>13</v>
      </c>
      <c r="R3" s="63">
        <f>VLOOKUP(Q3,Rankings!$A$2:$AZ$113,52,FALSE)</f>
        <v>1</v>
      </c>
      <c r="S3" s="63">
        <v>5</v>
      </c>
      <c r="T3" s="63">
        <v>1</v>
      </c>
      <c r="U3" s="63">
        <v>62</v>
      </c>
      <c r="V3" s="63"/>
      <c r="W3" s="309"/>
      <c r="X3" s="311" t="s">
        <v>3700</v>
      </c>
      <c r="Y3" s="311" t="s">
        <v>3675</v>
      </c>
      <c r="Z3" s="311" t="s">
        <v>3730</v>
      </c>
      <c r="AC3" s="481"/>
      <c r="AD3" s="481"/>
      <c r="AE3" s="481"/>
      <c r="AF3" s="481"/>
      <c r="AG3" s="481"/>
      <c r="AH3" s="481"/>
      <c r="AI3" s="481"/>
      <c r="AJ3" s="481"/>
      <c r="AK3" s="481"/>
      <c r="AL3" s="481"/>
      <c r="AP3" t="s">
        <v>396</v>
      </c>
      <c r="AQ3">
        <v>48</v>
      </c>
      <c r="AR3" t="str">
        <f>VLOOKUP(AQ3, Rankings!A$2:D$113, 4, FALSE)</f>
        <v>Solaceon Town</v>
      </c>
      <c r="AS3" t="str">
        <f>VLOOKUP(AQ3, Rankings!A$2:D$113, 2, FALSE)</f>
        <v>Lily Valley</v>
      </c>
    </row>
    <row r="4" spans="2:45" ht="14.4" customHeight="1" x14ac:dyDescent="0.35">
      <c r="B4" s="63" t="s">
        <v>2672</v>
      </c>
      <c r="C4" t="str">
        <f>CONCATENATE(VLOOKUP(D4, Rankings!A$2:D$113, 4, FALSE), " (", VLOOKUP(D4, Rankings!A$2:D$113, 2, FALSE), ")")</f>
        <v>Lumiose City (Kalosite)</v>
      </c>
      <c r="D4" s="63">
        <v>72</v>
      </c>
      <c r="E4" s="63">
        <f>VLOOKUP(D4,Rankings!$A$2:$AZ$113,52,FALSE)</f>
        <v>2</v>
      </c>
      <c r="F4" s="63">
        <v>4</v>
      </c>
      <c r="G4" s="63">
        <v>2</v>
      </c>
      <c r="H4" s="63">
        <v>41</v>
      </c>
      <c r="J4" s="311" t="s">
        <v>3617</v>
      </c>
      <c r="K4" s="309"/>
      <c r="L4" s="311" t="s">
        <v>3606</v>
      </c>
      <c r="M4" s="311" t="s">
        <v>3610</v>
      </c>
      <c r="O4" s="63" t="s">
        <v>2664</v>
      </c>
      <c r="P4" t="str">
        <f>CONCATENATE(VLOOKUP(Q4, Rankings!A$2:D$113, 4, FALSE), " (", VLOOKUP(Q4, Rankings!A$2:D$113, 2, FALSE), ")")</f>
        <v>Rustboro City (Delta)</v>
      </c>
      <c r="Q4" s="63">
        <v>23</v>
      </c>
      <c r="R4" s="63">
        <f>VLOOKUP(Q4,Rankings!$A$2:$AZ$113,52,FALSE)</f>
        <v>25</v>
      </c>
      <c r="S4" s="63">
        <v>5</v>
      </c>
      <c r="T4" s="63">
        <v>1</v>
      </c>
      <c r="U4" s="63">
        <v>24</v>
      </c>
      <c r="V4" s="63"/>
      <c r="W4" s="311" t="s">
        <v>3699</v>
      </c>
      <c r="X4" s="309"/>
      <c r="Y4" s="311" t="s">
        <v>3728</v>
      </c>
      <c r="Z4" s="311" t="s">
        <v>3674</v>
      </c>
      <c r="AP4" t="s">
        <v>836</v>
      </c>
      <c r="AQ4">
        <v>23</v>
      </c>
      <c r="AR4" t="str">
        <f>VLOOKUP(AQ4, Rankings!A$2:D$113, 4, FALSE)</f>
        <v>Rustboro City</v>
      </c>
      <c r="AS4" t="str">
        <f>VLOOKUP(AQ4, Rankings!A$2:D$113, 2, FALSE)</f>
        <v>Delta</v>
      </c>
    </row>
    <row r="5" spans="2:45" ht="14.4" customHeight="1" x14ac:dyDescent="0.35">
      <c r="B5" s="63" t="s">
        <v>2359</v>
      </c>
      <c r="C5" t="str">
        <f>CONCATENATE(VLOOKUP(D5, Rankings!A$2:D$113, 4, FALSE), " (", VLOOKUP(D5, Rankings!A$2:D$113, 2, FALSE), ")")</f>
        <v>Solaceon Town (Lily Valley)</v>
      </c>
      <c r="D5" s="63">
        <v>48</v>
      </c>
      <c r="E5" s="63">
        <f>VLOOKUP(D5,Rankings!$A$2:$AZ$113,52,FALSE)</f>
        <v>28</v>
      </c>
      <c r="F5" s="63">
        <v>3</v>
      </c>
      <c r="G5" s="63">
        <v>3</v>
      </c>
      <c r="H5" s="63">
        <v>16</v>
      </c>
      <c r="J5" s="226" t="s">
        <v>3609</v>
      </c>
      <c r="K5" s="311" t="s">
        <v>3607</v>
      </c>
      <c r="L5" s="309"/>
      <c r="M5" s="311" t="s">
        <v>3615</v>
      </c>
      <c r="O5" s="63" t="s">
        <v>2359</v>
      </c>
      <c r="P5" t="str">
        <f>CONCATENATE(VLOOKUP(Q5, Rankings!A$2:D$113, 4, FALSE), " (", VLOOKUP(Q5, Rankings!A$2:D$113, 2, FALSE), ")")</f>
        <v>Oreburgh City (Lily Valley)</v>
      </c>
      <c r="Q5" s="63">
        <v>39</v>
      </c>
      <c r="R5" s="63">
        <f>VLOOKUP(Q5,Rankings!$A$2:$AZ$113,52,FALSE)</f>
        <v>56</v>
      </c>
      <c r="S5" s="63">
        <v>2</v>
      </c>
      <c r="T5" s="63">
        <v>4</v>
      </c>
      <c r="U5" s="63">
        <v>-7</v>
      </c>
      <c r="V5" s="63"/>
      <c r="W5" s="226" t="s">
        <v>3676</v>
      </c>
      <c r="X5" s="226" t="s">
        <v>3729</v>
      </c>
      <c r="Y5" s="309"/>
      <c r="Z5" s="311" t="s">
        <v>3702</v>
      </c>
      <c r="AB5" s="72" t="s">
        <v>3494</v>
      </c>
      <c r="AC5" s="6" t="str">
        <f>C3</f>
        <v>Cianwood City (Indigo)</v>
      </c>
      <c r="AD5" s="63">
        <v>18</v>
      </c>
      <c r="AE5" s="63">
        <v>15</v>
      </c>
      <c r="AF5" s="300">
        <v>33</v>
      </c>
      <c r="AH5" s="72" t="s">
        <v>3522</v>
      </c>
      <c r="AI5" s="6" t="str">
        <f>P3</f>
        <v>Cinnabar Island (Indigo)</v>
      </c>
      <c r="AJ5" s="63">
        <v>32</v>
      </c>
      <c r="AK5" s="63">
        <v>16</v>
      </c>
      <c r="AL5" s="300">
        <v>48</v>
      </c>
      <c r="AP5" t="s">
        <v>837</v>
      </c>
      <c r="AQ5">
        <v>58</v>
      </c>
      <c r="AR5" t="str">
        <f>VLOOKUP(AQ5, Rankings!A$2:D$113, 4, FALSE)</f>
        <v>Castelia City</v>
      </c>
      <c r="AS5" t="str">
        <f>VLOOKUP(AQ5, Rankings!A$2:D$113, 2, FALSE)</f>
        <v>Vertress</v>
      </c>
    </row>
    <row r="6" spans="2:45" ht="14.4" customHeight="1" x14ac:dyDescent="0.35">
      <c r="C6" t="str">
        <f>CONCATENATE(VLOOKUP(D6, Rankings!A$2:D$113, 4, FALSE), " (", VLOOKUP(D6, Rankings!A$2:D$113, 2, FALSE), ")")</f>
        <v>Verdanturf Town (Delta)</v>
      </c>
      <c r="D6" s="63">
        <v>24</v>
      </c>
      <c r="E6" s="63">
        <f>VLOOKUP(D6,Rankings!$A$2:$AZ$113,52,FALSE)</f>
        <v>101</v>
      </c>
      <c r="F6" s="63">
        <v>0</v>
      </c>
      <c r="G6" s="63">
        <v>6</v>
      </c>
      <c r="H6" s="63">
        <v>-81</v>
      </c>
      <c r="J6" s="226" t="s">
        <v>3613</v>
      </c>
      <c r="K6" s="226" t="s">
        <v>3611</v>
      </c>
      <c r="L6" s="226" t="s">
        <v>3614</v>
      </c>
      <c r="M6" s="309"/>
      <c r="P6" t="str">
        <f>CONCATENATE(VLOOKUP(Q6, Rankings!A$2:D$113, 4, FALSE), " (", VLOOKUP(Q6, Rankings!A$2:D$113, 2, FALSE), ")")</f>
        <v>Nimbasa City (Vertress)</v>
      </c>
      <c r="Q6" s="63">
        <v>55</v>
      </c>
      <c r="R6" s="63">
        <f>VLOOKUP(Q6,Rankings!$A$2:$AZ$113,52,FALSE)</f>
        <v>60</v>
      </c>
      <c r="S6" s="63">
        <v>0</v>
      </c>
      <c r="T6" s="63">
        <v>6</v>
      </c>
      <c r="U6" s="63">
        <v>-79</v>
      </c>
      <c r="V6" s="63"/>
      <c r="W6" s="226" t="s">
        <v>3731</v>
      </c>
      <c r="X6" s="226" t="s">
        <v>3673</v>
      </c>
      <c r="Y6" s="226" t="s">
        <v>3701</v>
      </c>
      <c r="Z6" s="309"/>
      <c r="AB6" s="237" t="s">
        <v>3521</v>
      </c>
      <c r="AC6" s="1" t="str">
        <f>P4</f>
        <v>Rustboro City (Delta)</v>
      </c>
      <c r="AD6" s="63">
        <v>25</v>
      </c>
      <c r="AE6" s="63">
        <v>11</v>
      </c>
      <c r="AF6" s="300">
        <v>36</v>
      </c>
      <c r="AH6" s="237" t="s">
        <v>3493</v>
      </c>
      <c r="AI6" s="1" t="str">
        <f>C4</f>
        <v>Lumiose City (Kalosite)</v>
      </c>
      <c r="AJ6" s="63">
        <v>33</v>
      </c>
      <c r="AK6" s="63">
        <v>23</v>
      </c>
      <c r="AL6" s="300">
        <v>56</v>
      </c>
      <c r="AP6" t="s">
        <v>921</v>
      </c>
      <c r="AQ6">
        <v>106</v>
      </c>
      <c r="AR6" t="str">
        <f>VLOOKUP(AQ6, Rankings!A$2:D$113, 4, FALSE)</f>
        <v>Postwick</v>
      </c>
      <c r="AS6" t="str">
        <f>VLOOKUP(AQ6, Rankings!A$2:D$113, 2, FALSE)</f>
        <v>Dynamax</v>
      </c>
    </row>
    <row r="7" spans="2:45" ht="14.4" customHeight="1" x14ac:dyDescent="0.35">
      <c r="D7" s="63"/>
      <c r="E7" s="63"/>
      <c r="F7" s="63"/>
      <c r="G7" s="63"/>
      <c r="H7" s="63"/>
      <c r="J7" s="63"/>
      <c r="K7" s="63"/>
      <c r="L7" s="63"/>
      <c r="M7" s="63"/>
      <c r="Q7" s="63"/>
      <c r="R7" s="63"/>
      <c r="S7" s="63"/>
      <c r="T7" s="63"/>
      <c r="U7" s="63"/>
      <c r="V7" s="63"/>
      <c r="W7" s="63"/>
      <c r="X7" s="63"/>
      <c r="Y7" s="63"/>
      <c r="Z7" s="63"/>
      <c r="AB7" s="235"/>
      <c r="AC7" s="1"/>
      <c r="AD7" s="63"/>
      <c r="AE7" s="63"/>
      <c r="AF7" s="300"/>
      <c r="AH7" s="235"/>
      <c r="AI7" s="1"/>
      <c r="AJ7" s="63"/>
      <c r="AK7" s="63"/>
      <c r="AL7" s="300"/>
      <c r="AP7" t="s">
        <v>2079</v>
      </c>
      <c r="AQ7">
        <v>16</v>
      </c>
      <c r="AR7" t="str">
        <f>VLOOKUP(AQ7, Rankings!A$2:D$113, 4, FALSE)</f>
        <v>Viridian City</v>
      </c>
      <c r="AS7" t="str">
        <f>VLOOKUP(AQ7, Rankings!A$2:D$113, 2, FALSE)</f>
        <v>Indigo</v>
      </c>
    </row>
    <row r="8" spans="2:45" ht="14.4" customHeight="1" x14ac:dyDescent="0.35">
      <c r="C8" s="1" t="s">
        <v>2091</v>
      </c>
      <c r="D8" s="300" t="s">
        <v>2084</v>
      </c>
      <c r="E8" s="300" t="s">
        <v>1372</v>
      </c>
      <c r="F8" s="300" t="s">
        <v>5</v>
      </c>
      <c r="G8" s="300" t="s">
        <v>6</v>
      </c>
      <c r="H8" s="300" t="s">
        <v>2089</v>
      </c>
      <c r="I8" s="1"/>
      <c r="J8" s="300" t="s">
        <v>3620</v>
      </c>
      <c r="K8" s="300" t="s">
        <v>3621</v>
      </c>
      <c r="L8" s="300" t="s">
        <v>3622</v>
      </c>
      <c r="M8" s="300" t="s">
        <v>3623</v>
      </c>
      <c r="P8" s="1" t="s">
        <v>2095</v>
      </c>
      <c r="Q8" s="300" t="s">
        <v>2084</v>
      </c>
      <c r="R8" s="300" t="s">
        <v>1372</v>
      </c>
      <c r="S8" s="300" t="s">
        <v>5</v>
      </c>
      <c r="T8" s="300" t="s">
        <v>6</v>
      </c>
      <c r="U8" s="300" t="s">
        <v>2089</v>
      </c>
      <c r="V8" s="300"/>
      <c r="W8" s="300" t="s">
        <v>3635</v>
      </c>
      <c r="X8" s="300" t="s">
        <v>3636</v>
      </c>
      <c r="Y8" s="300" t="s">
        <v>3637</v>
      </c>
      <c r="Z8" s="300" t="s">
        <v>3638</v>
      </c>
      <c r="AB8" s="237" t="s">
        <v>3495</v>
      </c>
      <c r="AC8" s="1" t="str">
        <f>C9</f>
        <v>Castelia City (Vertress)</v>
      </c>
      <c r="AD8" s="63">
        <v>18</v>
      </c>
      <c r="AE8" s="63">
        <v>22</v>
      </c>
      <c r="AF8" s="300">
        <v>40</v>
      </c>
      <c r="AH8" s="237" t="s">
        <v>3556</v>
      </c>
      <c r="AI8" s="1" t="str">
        <f>P9</f>
        <v>Kala'e Bay (Lanakila)</v>
      </c>
      <c r="AJ8" s="63">
        <v>16</v>
      </c>
      <c r="AK8" s="63">
        <v>32</v>
      </c>
      <c r="AL8" s="300">
        <v>48</v>
      </c>
      <c r="AP8" t="s">
        <v>1074</v>
      </c>
      <c r="AQ8">
        <v>56</v>
      </c>
      <c r="AR8" t="str">
        <f>VLOOKUP(AQ8, Rankings!A$2:D$113, 4, FALSE)</f>
        <v>Virbank City</v>
      </c>
      <c r="AS8" t="str">
        <f>VLOOKUP(AQ8, Rankings!A$2:D$113, 2, FALSE)</f>
        <v>Vertress</v>
      </c>
    </row>
    <row r="9" spans="2:45" ht="14.4" customHeight="1" x14ac:dyDescent="0.35">
      <c r="B9" s="63" t="s">
        <v>2665</v>
      </c>
      <c r="C9" t="str">
        <f>CONCATENATE(VLOOKUP(D9, Rankings!A$2:D$113, 4, FALSE), " (", VLOOKUP(D9, Rankings!A$2:D$113, 2, FALSE), ")")</f>
        <v>Castelia City (Vertress)</v>
      </c>
      <c r="D9" s="63">
        <v>58</v>
      </c>
      <c r="E9" s="63">
        <f>VLOOKUP(D9,Rankings!$A$2:$AZ$113,52,FALSE)</f>
        <v>9</v>
      </c>
      <c r="F9" s="63">
        <v>5</v>
      </c>
      <c r="G9" s="63">
        <v>1</v>
      </c>
      <c r="H9" s="63">
        <v>69</v>
      </c>
      <c r="J9" s="309"/>
      <c r="K9" s="311" t="s">
        <v>3688</v>
      </c>
      <c r="L9" s="311" t="s">
        <v>3664</v>
      </c>
      <c r="M9" s="311" t="s">
        <v>3716</v>
      </c>
      <c r="O9" s="63" t="s">
        <v>2673</v>
      </c>
      <c r="P9" t="str">
        <f>CONCATENATE(VLOOKUP(Q9, Rankings!A$2:D$113, 4, FALSE), " (", VLOOKUP(Q9, Rankings!A$2:D$113, 2, FALSE), ")")</f>
        <v>Kala'e Bay (Lanakila)</v>
      </c>
      <c r="Q9" s="63">
        <v>87</v>
      </c>
      <c r="R9" s="63">
        <f>VLOOKUP(Q9,Rankings!$A$2:$AZ$113,52,FALSE)</f>
        <v>4</v>
      </c>
      <c r="S9" s="63">
        <v>5</v>
      </c>
      <c r="T9" s="63">
        <v>1</v>
      </c>
      <c r="U9" s="63">
        <v>59</v>
      </c>
      <c r="V9" s="63"/>
      <c r="W9" s="309"/>
      <c r="X9" s="311" t="s">
        <v>3703</v>
      </c>
      <c r="Y9" s="311" t="s">
        <v>3735</v>
      </c>
      <c r="Z9" s="311" t="s">
        <v>3679</v>
      </c>
      <c r="AB9" s="72" t="s">
        <v>3555</v>
      </c>
      <c r="AC9" s="6" t="str">
        <f>P10</f>
        <v>Postwick (Dynamax)</v>
      </c>
      <c r="AD9" s="63">
        <v>20</v>
      </c>
      <c r="AE9" s="63">
        <v>5</v>
      </c>
      <c r="AF9" s="300">
        <v>25</v>
      </c>
      <c r="AH9" s="72" t="s">
        <v>3497</v>
      </c>
      <c r="AI9" s="6" t="str">
        <f>C10</f>
        <v>Slateport City (Delta)</v>
      </c>
      <c r="AJ9" s="63">
        <v>13</v>
      </c>
      <c r="AK9" s="63">
        <v>9</v>
      </c>
      <c r="AL9" s="300">
        <v>22</v>
      </c>
      <c r="AP9" t="s">
        <v>2058</v>
      </c>
      <c r="AQ9">
        <v>96</v>
      </c>
      <c r="AR9" t="str">
        <f>VLOOKUP(AQ9, Rankings!A$2:D$113, 4, FALSE)</f>
        <v>Paniola Town</v>
      </c>
      <c r="AS9" t="str">
        <f>VLOOKUP(AQ9, Rankings!A$2:D$113, 2, FALSE)</f>
        <v>Lanakila</v>
      </c>
    </row>
    <row r="10" spans="2:45" ht="14.4" customHeight="1" x14ac:dyDescent="0.35">
      <c r="B10" s="63" t="s">
        <v>2674</v>
      </c>
      <c r="C10" t="str">
        <f>CONCATENATE(VLOOKUP(D10, Rankings!A$2:D$113, 4, FALSE), " (", VLOOKUP(D10, Rankings!A$2:D$113, 2, FALSE), ")")</f>
        <v>Slateport City (Delta)</v>
      </c>
      <c r="D10" s="63">
        <v>32</v>
      </c>
      <c r="E10" s="63">
        <f>VLOOKUP(D10,Rankings!$A$2:$AZ$113,52,FALSE)</f>
        <v>10</v>
      </c>
      <c r="F10" s="63">
        <v>4</v>
      </c>
      <c r="G10" s="63">
        <v>2</v>
      </c>
      <c r="H10" s="63">
        <v>51</v>
      </c>
      <c r="J10" s="311" t="s">
        <v>3687</v>
      </c>
      <c r="K10" s="309"/>
      <c r="L10" s="226" t="s">
        <v>3718</v>
      </c>
      <c r="M10" s="311" t="s">
        <v>3720</v>
      </c>
      <c r="O10" s="63" t="s">
        <v>2666</v>
      </c>
      <c r="P10" t="str">
        <f>CONCATENATE(VLOOKUP(Q10, Rankings!A$2:D$113, 4, FALSE), " (", VLOOKUP(Q10, Rankings!A$2:D$113, 2, FALSE), ")")</f>
        <v>Postwick (Dynamax)</v>
      </c>
      <c r="Q10" s="63">
        <v>106</v>
      </c>
      <c r="R10" s="63">
        <f>VLOOKUP(Q10,Rankings!$A$2:$AZ$113,52,FALSE)</f>
        <v>19</v>
      </c>
      <c r="S10" s="63">
        <v>4</v>
      </c>
      <c r="T10" s="63">
        <v>2</v>
      </c>
      <c r="U10" s="63">
        <v>-6</v>
      </c>
      <c r="V10" s="63"/>
      <c r="W10" s="226" t="s">
        <v>3704</v>
      </c>
      <c r="X10" s="309"/>
      <c r="Y10" s="311" t="s">
        <v>3678</v>
      </c>
      <c r="Z10" s="311" t="s">
        <v>3733</v>
      </c>
      <c r="AB10" s="235"/>
      <c r="AC10" s="1"/>
      <c r="AD10" s="63"/>
      <c r="AE10" s="63"/>
      <c r="AF10" s="300"/>
      <c r="AH10" s="235"/>
      <c r="AI10" s="1"/>
      <c r="AJ10" s="63"/>
      <c r="AK10" s="63"/>
      <c r="AL10" s="300"/>
      <c r="AP10" t="s">
        <v>395</v>
      </c>
      <c r="AQ10">
        <v>67</v>
      </c>
      <c r="AR10" t="str">
        <f>VLOOKUP(AQ10, Rankings!A$2:D$113, 4, FALSE)</f>
        <v>Geosenge Town</v>
      </c>
      <c r="AS10" t="str">
        <f>VLOOKUP(AQ10, Rankings!A$2:D$113, 2, FALSE)</f>
        <v>Kalosite</v>
      </c>
    </row>
    <row r="11" spans="2:45" ht="14.4" customHeight="1" x14ac:dyDescent="0.35">
      <c r="B11" s="63" t="s">
        <v>2359</v>
      </c>
      <c r="C11" t="str">
        <f>CONCATENATE(VLOOKUP(D11, Rankings!A$2:D$113, 4, FALSE), " (", VLOOKUP(D11, Rankings!A$2:D$113, 2, FALSE), ")")</f>
        <v>Twinleaf Town (Lily Valley)</v>
      </c>
      <c r="D11" s="63">
        <v>36</v>
      </c>
      <c r="E11" s="63">
        <f>VLOOKUP(D11,Rankings!$A$2:$AZ$113,52,FALSE)</f>
        <v>44</v>
      </c>
      <c r="F11" s="63">
        <v>2</v>
      </c>
      <c r="G11" s="63">
        <v>4</v>
      </c>
      <c r="H11" s="63">
        <v>-25</v>
      </c>
      <c r="J11" s="226" t="s">
        <v>3663</v>
      </c>
      <c r="K11" s="226" t="s">
        <v>3717</v>
      </c>
      <c r="L11" s="309"/>
      <c r="M11" s="311" t="s">
        <v>3689</v>
      </c>
      <c r="O11" s="63" t="s">
        <v>2359</v>
      </c>
      <c r="P11" t="str">
        <f>CONCATENATE(VLOOKUP(Q11, Rankings!A$2:D$113, 4, FALSE), " (", VLOOKUP(Q11, Rankings!A$2:D$113, 2, FALSE), ")")</f>
        <v>Lilycove City (Delta)</v>
      </c>
      <c r="Q11" s="63">
        <v>30</v>
      </c>
      <c r="R11" s="63">
        <f>VLOOKUP(Q11,Rankings!$A$2:$AZ$113,52,FALSE)</f>
        <v>49</v>
      </c>
      <c r="S11" s="63">
        <v>2</v>
      </c>
      <c r="T11" s="63">
        <v>4</v>
      </c>
      <c r="U11" s="63">
        <v>-16</v>
      </c>
      <c r="V11" s="63"/>
      <c r="W11" s="226" t="s">
        <v>3734</v>
      </c>
      <c r="X11" s="226" t="s">
        <v>3677</v>
      </c>
      <c r="Y11" s="309"/>
      <c r="Z11" s="311" t="s">
        <v>3705</v>
      </c>
      <c r="AB11" s="72" t="s">
        <v>3496</v>
      </c>
      <c r="AC11" s="6" t="str">
        <f>C15</f>
        <v>Viridian City (Indigo)</v>
      </c>
      <c r="AD11" s="63">
        <v>13</v>
      </c>
      <c r="AE11" s="63">
        <v>26</v>
      </c>
      <c r="AF11" s="300">
        <v>39</v>
      </c>
      <c r="AH11" s="237" t="s">
        <v>3564</v>
      </c>
      <c r="AI11" s="1" t="str">
        <f>P15</f>
        <v>Virbank City (Vertress)</v>
      </c>
      <c r="AJ11" s="63">
        <v>21</v>
      </c>
      <c r="AK11" s="63">
        <v>26</v>
      </c>
      <c r="AL11" s="300">
        <v>47</v>
      </c>
      <c r="AR11" t="s">
        <v>2071</v>
      </c>
    </row>
    <row r="12" spans="2:45" ht="14.4" customHeight="1" x14ac:dyDescent="0.35">
      <c r="C12" t="str">
        <f>CONCATENATE(VLOOKUP(D12, Rankings!A$2:D$113, 4, FALSE), " (", VLOOKUP(D12, Rankings!A$2:D$113, 2, FALSE), ")")</f>
        <v>Santalune City (Kalosite)</v>
      </c>
      <c r="D12" s="63">
        <v>79</v>
      </c>
      <c r="E12" s="63">
        <f>VLOOKUP(D12,Rankings!$A$2:$AZ$113,52,FALSE)</f>
        <v>108</v>
      </c>
      <c r="F12" s="63">
        <v>1</v>
      </c>
      <c r="G12" s="63">
        <v>5</v>
      </c>
      <c r="H12" s="63">
        <v>-95</v>
      </c>
      <c r="J12" s="226" t="s">
        <v>3715</v>
      </c>
      <c r="K12" s="313" t="s">
        <v>3719</v>
      </c>
      <c r="L12" s="311" t="s">
        <v>3690</v>
      </c>
      <c r="M12" s="309"/>
      <c r="P12" t="str">
        <f>CONCATENATE(VLOOKUP(Q12, Rankings!A$2:D$113, 4, FALSE), " (", VLOOKUP(Q12, Rankings!A$2:D$113, 2, FALSE), ")")</f>
        <v>Mahogany Town (Indigo)</v>
      </c>
      <c r="Q12" s="63">
        <v>7</v>
      </c>
      <c r="R12" s="63">
        <f>VLOOKUP(Q12,Rankings!$A$2:$AZ$113,52,FALSE)</f>
        <v>64</v>
      </c>
      <c r="S12" s="63">
        <v>1</v>
      </c>
      <c r="T12" s="63">
        <v>5</v>
      </c>
      <c r="U12" s="63">
        <v>-37</v>
      </c>
      <c r="V12" s="63"/>
      <c r="W12" s="311" t="s">
        <v>3680</v>
      </c>
      <c r="X12" s="226" t="s">
        <v>3732</v>
      </c>
      <c r="Y12" s="226" t="s">
        <v>3706</v>
      </c>
      <c r="Z12" s="309"/>
      <c r="AB12" s="237" t="s">
        <v>3563</v>
      </c>
      <c r="AC12" s="1" t="str">
        <f>P16</f>
        <v>Dewford Town (Delta)</v>
      </c>
      <c r="AD12" s="63">
        <v>27</v>
      </c>
      <c r="AE12" s="63">
        <v>27</v>
      </c>
      <c r="AF12" s="300">
        <v>54</v>
      </c>
      <c r="AH12" s="72" t="s">
        <v>3498</v>
      </c>
      <c r="AI12" s="6" t="str">
        <f>C16</f>
        <v>Undella Town (Vertress)</v>
      </c>
      <c r="AJ12" s="63">
        <v>16</v>
      </c>
      <c r="AK12" s="63">
        <v>16</v>
      </c>
      <c r="AL12" s="300">
        <v>32</v>
      </c>
      <c r="AP12" t="s">
        <v>396</v>
      </c>
      <c r="AQ12">
        <v>24</v>
      </c>
      <c r="AR12" t="str">
        <f>VLOOKUP(AQ12, Rankings!A$2:D$113, 4, FALSE)</f>
        <v>Verdanturf Town</v>
      </c>
      <c r="AS12" t="str">
        <f>VLOOKUP(AQ12, Rankings!A$2:D$113, 2, FALSE)</f>
        <v>Delta</v>
      </c>
    </row>
    <row r="13" spans="2:45" ht="14.4" customHeight="1" x14ac:dyDescent="0.35">
      <c r="D13" s="63"/>
      <c r="E13" s="63"/>
      <c r="F13" s="63"/>
      <c r="G13" s="63"/>
      <c r="H13" s="63"/>
      <c r="J13" s="63"/>
      <c r="K13" s="63"/>
      <c r="L13" s="63"/>
      <c r="M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B13" s="235"/>
      <c r="AC13" s="1"/>
      <c r="AD13" s="63"/>
      <c r="AE13" s="63"/>
      <c r="AF13" s="300"/>
      <c r="AH13" s="235"/>
      <c r="AI13" s="1"/>
      <c r="AJ13" s="63"/>
      <c r="AK13" s="63"/>
      <c r="AL13" s="300"/>
      <c r="AP13" t="s">
        <v>836</v>
      </c>
      <c r="AQ13">
        <v>39</v>
      </c>
      <c r="AR13" t="str">
        <f>VLOOKUP(AQ13, Rankings!A$2:D$113, 4, FALSE)</f>
        <v>Oreburgh City</v>
      </c>
      <c r="AS13" t="str">
        <f>VLOOKUP(AQ13, Rankings!A$2:D$113, 2, FALSE)</f>
        <v>Lily Valley</v>
      </c>
    </row>
    <row r="14" spans="2:45" ht="14.4" customHeight="1" x14ac:dyDescent="0.35">
      <c r="C14" s="1" t="s">
        <v>2092</v>
      </c>
      <c r="D14" s="300" t="s">
        <v>2084</v>
      </c>
      <c r="E14" s="300" t="s">
        <v>1372</v>
      </c>
      <c r="F14" s="300" t="s">
        <v>5</v>
      </c>
      <c r="G14" s="300" t="s">
        <v>6</v>
      </c>
      <c r="H14" s="300" t="s">
        <v>2089</v>
      </c>
      <c r="I14" s="1"/>
      <c r="J14" s="300" t="s">
        <v>3624</v>
      </c>
      <c r="K14" s="300" t="s">
        <v>3625</v>
      </c>
      <c r="L14" s="300" t="s">
        <v>3626</v>
      </c>
      <c r="M14" s="300" t="s">
        <v>3627</v>
      </c>
      <c r="P14" s="1" t="s">
        <v>2094</v>
      </c>
      <c r="Q14" s="300" t="s">
        <v>2084</v>
      </c>
      <c r="R14" s="300" t="s">
        <v>1372</v>
      </c>
      <c r="S14" s="300" t="s">
        <v>5</v>
      </c>
      <c r="T14" s="300" t="s">
        <v>6</v>
      </c>
      <c r="U14" s="300" t="s">
        <v>2089</v>
      </c>
      <c r="V14" s="300"/>
      <c r="W14" s="300" t="s">
        <v>3624</v>
      </c>
      <c r="X14" s="300" t="s">
        <v>3639</v>
      </c>
      <c r="Y14" s="300" t="s">
        <v>3640</v>
      </c>
      <c r="Z14" s="300" t="s">
        <v>3641</v>
      </c>
      <c r="AB14" s="237" t="s">
        <v>3513</v>
      </c>
      <c r="AC14" s="1" t="str">
        <f>C21</f>
        <v>Vaniville Town (Kalosite)</v>
      </c>
      <c r="AD14" s="63">
        <v>33</v>
      </c>
      <c r="AE14" s="63">
        <v>29</v>
      </c>
      <c r="AF14" s="300">
        <v>62</v>
      </c>
      <c r="AH14" s="237" t="s">
        <v>3572</v>
      </c>
      <c r="AI14" s="1" t="str">
        <f>P21</f>
        <v>Humilau City (Vertress)</v>
      </c>
      <c r="AJ14" s="63">
        <v>24</v>
      </c>
      <c r="AK14" s="63">
        <v>26</v>
      </c>
      <c r="AL14" s="300">
        <v>50</v>
      </c>
      <c r="AP14" t="s">
        <v>837</v>
      </c>
      <c r="AQ14">
        <v>79</v>
      </c>
      <c r="AR14" t="str">
        <f>VLOOKUP(AQ14, Rankings!A$2:D$113, 4, FALSE)</f>
        <v>Santalune City</v>
      </c>
      <c r="AS14" t="str">
        <f>VLOOKUP(AQ14, Rankings!A$2:D$113, 2, FALSE)</f>
        <v>Kalosite</v>
      </c>
    </row>
    <row r="15" spans="2:45" ht="14.4" customHeight="1" x14ac:dyDescent="0.35">
      <c r="B15" s="63" t="s">
        <v>2667</v>
      </c>
      <c r="C15" t="str">
        <f>CONCATENATE(VLOOKUP(D15, Rankings!A$2:D$113, 4, FALSE), " (", VLOOKUP(D15, Rankings!A$2:D$113, 2, FALSE), ")")</f>
        <v>Viridian City (Indigo)</v>
      </c>
      <c r="D15" s="63">
        <v>16</v>
      </c>
      <c r="E15" s="63">
        <f>VLOOKUP(D15,Rankings!$A$2:$AZ$113,52,FALSE)</f>
        <v>105</v>
      </c>
      <c r="F15" s="63">
        <v>4</v>
      </c>
      <c r="G15" s="63">
        <v>2</v>
      </c>
      <c r="H15" s="63">
        <v>20</v>
      </c>
      <c r="J15" s="309"/>
      <c r="K15" s="226" t="s">
        <v>3692</v>
      </c>
      <c r="L15" s="311" t="s">
        <v>3666</v>
      </c>
      <c r="M15" s="311" t="s">
        <v>3722</v>
      </c>
      <c r="O15" s="63" t="s">
        <v>2675</v>
      </c>
      <c r="P15" t="str">
        <f>CONCATENATE(VLOOKUP(Q15, Rankings!A$2:D$113, 4, FALSE), " (", VLOOKUP(Q15, Rankings!A$2:D$113, 2, FALSE), ")")</f>
        <v>Virbank City (Vertress)</v>
      </c>
      <c r="Q15" s="63">
        <v>56</v>
      </c>
      <c r="R15" s="63">
        <f>VLOOKUP(Q15,Rankings!$A$2:$AZ$113,52,FALSE)</f>
        <v>6</v>
      </c>
      <c r="S15" s="63">
        <v>5</v>
      </c>
      <c r="T15" s="63">
        <v>1</v>
      </c>
      <c r="U15" s="63">
        <v>75</v>
      </c>
      <c r="V15" s="63"/>
      <c r="W15" s="309"/>
      <c r="X15" s="311" t="s">
        <v>3664</v>
      </c>
      <c r="Y15" s="311" t="s">
        <v>3737</v>
      </c>
      <c r="Z15" s="311" t="s">
        <v>3708</v>
      </c>
      <c r="AB15" s="72" t="s">
        <v>3571</v>
      </c>
      <c r="AC15" s="6" t="str">
        <f>P22</f>
        <v>Geosenge Town (Kalosite)</v>
      </c>
      <c r="AD15" s="63">
        <v>24</v>
      </c>
      <c r="AE15" s="63">
        <v>10</v>
      </c>
      <c r="AF15" s="300">
        <v>34</v>
      </c>
      <c r="AH15" s="72" t="s">
        <v>3503</v>
      </c>
      <c r="AI15" s="6" t="str">
        <f>C22</f>
        <v>Goldenrod City (Indigo)</v>
      </c>
      <c r="AJ15" s="63">
        <v>15</v>
      </c>
      <c r="AK15" s="63">
        <v>17</v>
      </c>
      <c r="AL15" s="300">
        <v>32</v>
      </c>
      <c r="AP15" t="s">
        <v>921</v>
      </c>
      <c r="AQ15">
        <v>7</v>
      </c>
      <c r="AR15" t="str">
        <f>VLOOKUP(AQ15, Rankings!A$2:D$113, 4, FALSE)</f>
        <v>Mahogany Town</v>
      </c>
      <c r="AS15" t="str">
        <f>VLOOKUP(AQ15, Rankings!A$2:D$113, 2, FALSE)</f>
        <v>Indigo</v>
      </c>
    </row>
    <row r="16" spans="2:45" ht="14.4" customHeight="1" x14ac:dyDescent="0.35">
      <c r="B16" s="63" t="s">
        <v>2676</v>
      </c>
      <c r="C16" t="str">
        <f>CONCATENATE(VLOOKUP(D16, Rankings!A$2:D$113, 4, FALSE), " (", VLOOKUP(D16, Rankings!A$2:D$113, 2, FALSE), ")")</f>
        <v>Undella Town (Vertress)</v>
      </c>
      <c r="D16" s="63">
        <v>64</v>
      </c>
      <c r="E16" s="63">
        <f>VLOOKUP(D16,Rankings!$A$2:$AZ$113,52,FALSE)</f>
        <v>50</v>
      </c>
      <c r="F16" s="63">
        <v>4</v>
      </c>
      <c r="G16" s="63">
        <v>2</v>
      </c>
      <c r="H16" s="63">
        <v>18</v>
      </c>
      <c r="J16" s="311" t="s">
        <v>3691</v>
      </c>
      <c r="K16" s="309"/>
      <c r="L16" s="313" t="s">
        <v>3724</v>
      </c>
      <c r="M16" s="311" t="s">
        <v>3667</v>
      </c>
      <c r="O16" s="63" t="s">
        <v>2668</v>
      </c>
      <c r="P16" t="str">
        <f>CONCATENATE(VLOOKUP(Q16, Rankings!A$2:D$113, 4, FALSE), " (", VLOOKUP(Q16, Rankings!A$2:D$113, 2, FALSE), ")")</f>
        <v>Dewford Town (Delta)</v>
      </c>
      <c r="Q16" s="63">
        <v>17</v>
      </c>
      <c r="R16" s="63">
        <f>VLOOKUP(Q16,Rankings!$A$2:$AZ$113,52,FALSE)</f>
        <v>13</v>
      </c>
      <c r="S16" s="63">
        <v>5</v>
      </c>
      <c r="T16" s="63">
        <v>1</v>
      </c>
      <c r="U16" s="63">
        <v>52</v>
      </c>
      <c r="V16" s="63"/>
      <c r="W16" s="226" t="s">
        <v>3681</v>
      </c>
      <c r="X16" s="309"/>
      <c r="Y16" s="311" t="s">
        <v>3709</v>
      </c>
      <c r="Z16" s="311" t="s">
        <v>3738</v>
      </c>
      <c r="AC16" s="1"/>
      <c r="AD16" s="63"/>
      <c r="AE16" s="63"/>
      <c r="AF16" s="63"/>
      <c r="AI16" s="1"/>
      <c r="AJ16" s="63"/>
      <c r="AK16" s="63"/>
      <c r="AL16" s="63"/>
      <c r="AP16" t="s">
        <v>2079</v>
      </c>
      <c r="AQ16">
        <v>110</v>
      </c>
      <c r="AR16" t="str">
        <f>VLOOKUP(AQ16, Rankings!A$2:D$113, 4, FALSE)</f>
        <v>Isle of Armor</v>
      </c>
      <c r="AS16" t="str">
        <f>VLOOKUP(AQ16, Rankings!A$2:D$113, 2, FALSE)</f>
        <v>Dynamax</v>
      </c>
    </row>
    <row r="17" spans="2:45" ht="14.4" customHeight="1" x14ac:dyDescent="0.35">
      <c r="B17" s="63" t="s">
        <v>2359</v>
      </c>
      <c r="C17" t="str">
        <f>CONCATENATE(VLOOKUP(D17, Rankings!A$2:D$113, 4, FALSE), " (", VLOOKUP(D17, Rankings!A$2:D$113, 2, FALSE), ")")</f>
        <v>Anistar City (Kalosite)</v>
      </c>
      <c r="D17" s="63">
        <v>73</v>
      </c>
      <c r="E17" s="63">
        <f>VLOOKUP(D17,Rankings!$A$2:$AZ$113,52,FALSE)</f>
        <v>46</v>
      </c>
      <c r="F17" s="63">
        <v>3</v>
      </c>
      <c r="G17" s="63">
        <v>3</v>
      </c>
      <c r="H17" s="63">
        <v>-3</v>
      </c>
      <c r="J17" s="226" t="s">
        <v>3665</v>
      </c>
      <c r="K17" s="226" t="s">
        <v>3723</v>
      </c>
      <c r="L17" s="309"/>
      <c r="M17" s="311" t="s">
        <v>3693</v>
      </c>
      <c r="O17" s="63" t="s">
        <v>2359</v>
      </c>
      <c r="P17" t="str">
        <f>CONCATENATE(VLOOKUP(Q17, Rankings!A$2:D$113, 4, FALSE), " (", VLOOKUP(Q17, Rankings!A$2:D$113, 2, FALSE), ")")</f>
        <v>Seafolk Village (Lanakila)</v>
      </c>
      <c r="Q17" s="63">
        <v>83</v>
      </c>
      <c r="R17" s="63">
        <f>VLOOKUP(Q17,Rankings!$A$2:$AZ$113,52,FALSE)</f>
        <v>76</v>
      </c>
      <c r="S17" s="63">
        <v>2</v>
      </c>
      <c r="T17" s="63">
        <v>4</v>
      </c>
      <c r="U17" s="63">
        <v>-57</v>
      </c>
      <c r="V17" s="63"/>
      <c r="W17" s="226" t="s">
        <v>3736</v>
      </c>
      <c r="X17" s="226" t="s">
        <v>3710</v>
      </c>
      <c r="Y17" s="309"/>
      <c r="Z17" s="311" t="s">
        <v>3683</v>
      </c>
      <c r="AC17" s="481" t="s">
        <v>3651</v>
      </c>
      <c r="AD17" s="481"/>
      <c r="AE17" s="481"/>
      <c r="AF17" s="481"/>
      <c r="AG17" s="481"/>
      <c r="AH17" s="481"/>
      <c r="AI17" s="481"/>
      <c r="AJ17" s="481"/>
      <c r="AK17" s="481"/>
      <c r="AL17" s="481"/>
      <c r="AP17" t="s">
        <v>1074</v>
      </c>
      <c r="AQ17">
        <v>83</v>
      </c>
      <c r="AR17" t="str">
        <f>VLOOKUP(AQ17, Rankings!A$2:D$113, 4, FALSE)</f>
        <v>Seafolk Village</v>
      </c>
      <c r="AS17" t="str">
        <f>VLOOKUP(AQ17, Rankings!A$2:D$113, 2, FALSE)</f>
        <v>Lanakila</v>
      </c>
    </row>
    <row r="18" spans="2:45" ht="14.4" customHeight="1" x14ac:dyDescent="0.35">
      <c r="C18" t="str">
        <f>CONCATENATE(VLOOKUP(D18, Rankings!A$2:D$113, 4, FALSE), " (", VLOOKUP(D18, Rankings!A$2:D$113, 2, FALSE), ")")</f>
        <v>Isle of Armor (Dynamax)</v>
      </c>
      <c r="D18" s="63">
        <v>110</v>
      </c>
      <c r="E18" s="63">
        <f>VLOOKUP(D18,Rankings!$A$2:$AZ$113,52,FALSE)</f>
        <v>109</v>
      </c>
      <c r="F18" s="63">
        <v>1</v>
      </c>
      <c r="G18" s="63">
        <v>5</v>
      </c>
      <c r="H18" s="63">
        <v>-35</v>
      </c>
      <c r="J18" s="226" t="s">
        <v>3721</v>
      </c>
      <c r="K18" s="311" t="s">
        <v>3668</v>
      </c>
      <c r="L18" s="226" t="s">
        <v>3694</v>
      </c>
      <c r="M18" s="309"/>
      <c r="P18" t="str">
        <f>CONCATENATE(VLOOKUP(Q18, Rankings!A$2:D$113, 4, FALSE), " (", VLOOKUP(Q18, Rankings!A$2:D$113, 2, FALSE), ")")</f>
        <v>City of Circhester (Dynamax)</v>
      </c>
      <c r="Q18" s="63">
        <v>101</v>
      </c>
      <c r="R18" s="63">
        <f>VLOOKUP(Q18,Rankings!$A$2:$AZ$113,52,FALSE)</f>
        <v>94</v>
      </c>
      <c r="S18" s="63">
        <v>0</v>
      </c>
      <c r="T18" s="63">
        <v>6</v>
      </c>
      <c r="U18" s="63">
        <v>-70</v>
      </c>
      <c r="V18" s="63"/>
      <c r="W18" s="226" t="s">
        <v>3707</v>
      </c>
      <c r="X18" s="226" t="s">
        <v>3739</v>
      </c>
      <c r="Y18" s="226" t="s">
        <v>3682</v>
      </c>
      <c r="Z18" s="309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  <c r="AP18" t="s">
        <v>2058</v>
      </c>
      <c r="AQ18">
        <v>3</v>
      </c>
      <c r="AR18" t="str">
        <f>VLOOKUP(AQ18, Rankings!A$2:D$113, 4, FALSE)</f>
        <v>Goldenrod City</v>
      </c>
      <c r="AS18" t="str">
        <f>VLOOKUP(AQ18, Rankings!A$2:D$113, 2, FALSE)</f>
        <v>Indigo</v>
      </c>
    </row>
    <row r="19" spans="2:45" ht="14.4" customHeight="1" x14ac:dyDescent="0.35">
      <c r="D19" s="63"/>
      <c r="E19" s="63"/>
      <c r="F19" s="63"/>
      <c r="G19" s="63"/>
      <c r="H19" s="63"/>
      <c r="J19" s="63"/>
      <c r="K19" s="63"/>
      <c r="L19" s="63"/>
      <c r="M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P19" t="s">
        <v>395</v>
      </c>
      <c r="AQ19">
        <v>104</v>
      </c>
      <c r="AR19" t="str">
        <f>VLOOKUP(AQ19, Rankings!A$2:D$113, 4, FALSE)</f>
        <v>Spikemuth</v>
      </c>
      <c r="AS19" t="str">
        <f>VLOOKUP(AQ19, Rankings!A$2:D$113, 2, FALSE)</f>
        <v>Dynamax</v>
      </c>
    </row>
    <row r="20" spans="2:45" ht="14.4" customHeight="1" x14ac:dyDescent="0.35">
      <c r="C20" s="1" t="s">
        <v>2093</v>
      </c>
      <c r="D20" s="300" t="s">
        <v>2084</v>
      </c>
      <c r="E20" s="300" t="s">
        <v>1372</v>
      </c>
      <c r="F20" s="300" t="s">
        <v>5</v>
      </c>
      <c r="G20" s="300" t="s">
        <v>6</v>
      </c>
      <c r="H20" s="300" t="s">
        <v>2089</v>
      </c>
      <c r="I20" s="1"/>
      <c r="J20" s="300" t="s">
        <v>3628</v>
      </c>
      <c r="K20" s="300" t="s">
        <v>3629</v>
      </c>
      <c r="L20" s="300" t="s">
        <v>3630</v>
      </c>
      <c r="M20" s="300" t="s">
        <v>3623</v>
      </c>
      <c r="P20" s="1" t="s">
        <v>2616</v>
      </c>
      <c r="Q20" s="300" t="s">
        <v>2084</v>
      </c>
      <c r="R20" s="300" t="s">
        <v>1372</v>
      </c>
      <c r="S20" s="300" t="s">
        <v>5</v>
      </c>
      <c r="T20" s="300" t="s">
        <v>6</v>
      </c>
      <c r="U20" s="300" t="s">
        <v>2089</v>
      </c>
      <c r="V20" s="300"/>
      <c r="W20" s="300" t="s">
        <v>3642</v>
      </c>
      <c r="X20" s="300" t="s">
        <v>3643</v>
      </c>
      <c r="Y20" s="300" t="s">
        <v>3644</v>
      </c>
      <c r="Z20" s="300" t="s">
        <v>3645</v>
      </c>
      <c r="AB20" s="237" t="s">
        <v>3521</v>
      </c>
      <c r="AC20" s="6" t="str">
        <f>IF(ISBLANK(AF5), "Quarterfinalist", IF(AF5&gt;AF6, AC5, AC6))</f>
        <v>Rustboro City (Delta)</v>
      </c>
      <c r="AD20" s="63">
        <v>13</v>
      </c>
      <c r="AE20" s="63">
        <v>6</v>
      </c>
      <c r="AF20" s="300">
        <v>19</v>
      </c>
      <c r="AH20" s="237" t="s">
        <v>3493</v>
      </c>
      <c r="AI20" s="1" t="str">
        <f>IF(ISBLANK(AL5), "Quarterfinalist", IF(AL5&gt;AL6, AI5, AI6))</f>
        <v>Lumiose City (Kalosite)</v>
      </c>
      <c r="AJ20" s="377">
        <v>21</v>
      </c>
      <c r="AK20" s="377">
        <v>12</v>
      </c>
      <c r="AL20" s="300">
        <v>33</v>
      </c>
      <c r="AR20" t="s">
        <v>2072</v>
      </c>
    </row>
    <row r="21" spans="2:45" ht="14.4" customHeight="1" x14ac:dyDescent="0.35">
      <c r="B21" s="63" t="s">
        <v>2669</v>
      </c>
      <c r="C21" t="str">
        <f>CONCATENATE(VLOOKUP(D21, Rankings!A$2:D$113, 4, FALSE), " (", VLOOKUP(D21, Rankings!A$2:D$113, 2, FALSE), ")")</f>
        <v>Vaniville Town (Kalosite)</v>
      </c>
      <c r="D21" s="63">
        <v>80</v>
      </c>
      <c r="E21" s="63">
        <f>VLOOKUP(D21,Rankings!$A$2:$AZ$113,52,FALSE)</f>
        <v>8</v>
      </c>
      <c r="F21" s="63">
        <v>5</v>
      </c>
      <c r="G21" s="63">
        <v>1</v>
      </c>
      <c r="H21" s="63">
        <v>29</v>
      </c>
      <c r="J21" s="309"/>
      <c r="K21" s="311" t="s">
        <v>3697</v>
      </c>
      <c r="L21" s="311" t="s">
        <v>3669</v>
      </c>
      <c r="M21" s="311" t="s">
        <v>3727</v>
      </c>
      <c r="O21" s="63" t="s">
        <v>2677</v>
      </c>
      <c r="P21" t="str">
        <f>CONCATENATE(VLOOKUP(Q21, Rankings!A$2:D$113, 4, FALSE), " (", VLOOKUP(Q21, Rankings!A$2:D$113, 2, FALSE), ")")</f>
        <v>Humilau City (Vertress)</v>
      </c>
      <c r="Q21" s="63">
        <v>61</v>
      </c>
      <c r="R21" s="63">
        <f>VLOOKUP(Q21,Rankings!$A$2:$AZ$113,52,FALSE)</f>
        <v>17</v>
      </c>
      <c r="S21" s="63">
        <v>5</v>
      </c>
      <c r="T21" s="63">
        <v>1</v>
      </c>
      <c r="U21" s="63">
        <v>51</v>
      </c>
      <c r="V21" s="63"/>
      <c r="W21" s="309"/>
      <c r="X21" s="311" t="s">
        <v>3711</v>
      </c>
      <c r="Y21" s="311" t="s">
        <v>3606</v>
      </c>
      <c r="Z21" s="311" t="s">
        <v>3742</v>
      </c>
      <c r="AB21" s="237" t="s">
        <v>3495</v>
      </c>
      <c r="AC21" s="1" t="str">
        <f>IF(ISBLANK(AF8), "Quarterfinalist", IF(AF8&gt;AF9, AC8, AC9))</f>
        <v>Castelia City (Vertress)</v>
      </c>
      <c r="AD21" s="377">
        <v>31</v>
      </c>
      <c r="AE21" s="377">
        <v>19</v>
      </c>
      <c r="AF21" s="300">
        <v>50</v>
      </c>
      <c r="AH21" s="237" t="s">
        <v>3556</v>
      </c>
      <c r="AI21" s="6" t="str">
        <f>IF(ISBLANK(AL8), "Quarterfinalist", IF(AL8&gt;AL9, AI8, AI9))</f>
        <v>Kala'e Bay (Lanakila)</v>
      </c>
      <c r="AJ21" s="63">
        <v>16</v>
      </c>
      <c r="AK21" s="63">
        <v>8</v>
      </c>
      <c r="AL21" s="300">
        <v>24</v>
      </c>
      <c r="AP21" t="s">
        <v>396</v>
      </c>
      <c r="AQ21">
        <v>72</v>
      </c>
      <c r="AR21" t="str">
        <f>VLOOKUP(AQ21, Rankings!A$2:D$113, 4, FALSE)</f>
        <v>Lumiose City</v>
      </c>
      <c r="AS21" t="str">
        <f>VLOOKUP(AQ21, Rankings!A$2:D$113, 2, FALSE)</f>
        <v>Kalosite</v>
      </c>
    </row>
    <row r="22" spans="2:45" ht="14.4" customHeight="1" x14ac:dyDescent="0.35">
      <c r="B22" s="63" t="s">
        <v>2678</v>
      </c>
      <c r="C22" t="str">
        <f>CONCATENATE(VLOOKUP(D22, Rankings!A$2:D$113, 4, FALSE), " (", VLOOKUP(D22, Rankings!A$2:D$113, 2, FALSE), ")")</f>
        <v>Goldenrod City (Indigo)</v>
      </c>
      <c r="D22" s="63">
        <v>3</v>
      </c>
      <c r="E22" s="63">
        <f>VLOOKUP(D22,Rankings!$A$2:$AZ$113,52,FALSE)</f>
        <v>45</v>
      </c>
      <c r="F22" s="63">
        <v>3</v>
      </c>
      <c r="G22" s="63">
        <v>3</v>
      </c>
      <c r="H22" s="63">
        <v>9</v>
      </c>
      <c r="J22" s="226" t="s">
        <v>3698</v>
      </c>
      <c r="K22" s="309"/>
      <c r="L22" s="226" t="s">
        <v>3725</v>
      </c>
      <c r="M22" s="311" t="s">
        <v>3672</v>
      </c>
      <c r="O22" s="63" t="s">
        <v>2670</v>
      </c>
      <c r="P22" t="str">
        <f>CONCATENATE(VLOOKUP(Q22, Rankings!A$2:D$113, 4, FALSE), " (", VLOOKUP(Q22, Rankings!A$2:D$113, 2, FALSE), ")")</f>
        <v>Geosenge Town (Kalosite)</v>
      </c>
      <c r="Q22" s="63">
        <v>67</v>
      </c>
      <c r="R22" s="63">
        <f>VLOOKUP(Q22,Rankings!$A$2:$AZ$113,52,FALSE)</f>
        <v>32</v>
      </c>
      <c r="S22" s="63">
        <v>4</v>
      </c>
      <c r="T22" s="63">
        <v>2</v>
      </c>
      <c r="U22" s="63">
        <v>16</v>
      </c>
      <c r="V22" s="63"/>
      <c r="W22" s="311" t="s">
        <v>3712</v>
      </c>
      <c r="X22" s="309"/>
      <c r="Y22" s="311" t="s">
        <v>3741</v>
      </c>
      <c r="Z22" s="311" t="s">
        <v>3685</v>
      </c>
      <c r="AC22" s="1"/>
      <c r="AD22" s="63"/>
      <c r="AE22" s="63"/>
      <c r="AF22" s="300"/>
      <c r="AI22" s="1"/>
      <c r="AJ22" s="63"/>
      <c r="AK22" s="63"/>
      <c r="AL22" s="300"/>
      <c r="AP22" t="s">
        <v>836</v>
      </c>
      <c r="AQ22">
        <v>13</v>
      </c>
      <c r="AR22" t="str">
        <f>VLOOKUP(AQ22, Rankings!A$2:D$113, 4, FALSE)</f>
        <v>Cinnabar Island</v>
      </c>
      <c r="AS22" t="str">
        <f>VLOOKUP(AQ22, Rankings!A$2:D$113, 2, FALSE)</f>
        <v>Indigo</v>
      </c>
    </row>
    <row r="23" spans="2:45" ht="14.4" customHeight="1" x14ac:dyDescent="0.35">
      <c r="B23" s="63" t="s">
        <v>2359</v>
      </c>
      <c r="C23" t="str">
        <f>CONCATENATE(VLOOKUP(D23, Rankings!A$2:D$113, 4, FALSE), " (", VLOOKUP(D23, Rankings!A$2:D$113, 2, FALSE), ")")</f>
        <v>Paniola Town (Lanakila)</v>
      </c>
      <c r="D23" s="63">
        <v>96</v>
      </c>
      <c r="E23" s="63">
        <f>VLOOKUP(D23,Rankings!$A$2:$AZ$113,52,FALSE)</f>
        <v>43</v>
      </c>
      <c r="F23" s="63">
        <v>2</v>
      </c>
      <c r="G23" s="63">
        <v>4</v>
      </c>
      <c r="H23" s="63">
        <v>-1</v>
      </c>
      <c r="J23" s="226" t="s">
        <v>3670</v>
      </c>
      <c r="K23" s="226" t="s">
        <v>3726</v>
      </c>
      <c r="L23" s="309"/>
      <c r="M23" s="311" t="s">
        <v>3696</v>
      </c>
      <c r="O23" s="63" t="s">
        <v>2359</v>
      </c>
      <c r="P23" t="str">
        <f>CONCATENATE(VLOOKUP(Q23, Rankings!A$2:D$113, 4, FALSE), " (", VLOOKUP(Q23, Rankings!A$2:D$113, 2, FALSE), ")")</f>
        <v>Spikemuth (Dynamax)</v>
      </c>
      <c r="Q23" s="63">
        <v>104</v>
      </c>
      <c r="R23" s="63">
        <f>VLOOKUP(Q23,Rankings!$A$2:$AZ$113,52,FALSE)</f>
        <v>72</v>
      </c>
      <c r="S23" s="63">
        <v>3</v>
      </c>
      <c r="T23" s="63">
        <v>3</v>
      </c>
      <c r="U23" s="63">
        <v>-4</v>
      </c>
      <c r="V23" s="63"/>
      <c r="W23" s="226" t="s">
        <v>3686</v>
      </c>
      <c r="X23" s="311" t="s">
        <v>3740</v>
      </c>
      <c r="Y23" s="309"/>
      <c r="Z23" s="311" t="s">
        <v>3714</v>
      </c>
      <c r="AB23" s="237" t="s">
        <v>3563</v>
      </c>
      <c r="AC23" s="6" t="str">
        <f>IF(ISBLANK(AF11), "Quarterfinalist", IF(AF11&gt;AF12, AC11, AC12))</f>
        <v>Dewford Town (Delta)</v>
      </c>
      <c r="AD23" s="377">
        <v>17</v>
      </c>
      <c r="AE23" s="63">
        <v>7</v>
      </c>
      <c r="AF23" s="300">
        <v>24</v>
      </c>
      <c r="AH23" s="237" t="s">
        <v>3564</v>
      </c>
      <c r="AI23" s="1" t="str">
        <f>IF(ISBLANK(AL11), "Quarterfinalist", IF(AL11&gt;AL12, AI11, AI12))</f>
        <v>Virbank City (Vertress)</v>
      </c>
      <c r="AJ23" s="63">
        <v>17</v>
      </c>
      <c r="AK23" s="377">
        <v>30</v>
      </c>
      <c r="AL23" s="300">
        <v>47</v>
      </c>
      <c r="AP23" t="s">
        <v>837</v>
      </c>
      <c r="AQ23">
        <v>32</v>
      </c>
      <c r="AR23" t="str">
        <f>VLOOKUP(AQ23, Rankings!A$2:D$113, 4, FALSE)</f>
        <v>Slateport City</v>
      </c>
      <c r="AS23" t="str">
        <f>VLOOKUP(AQ23, Rankings!A$2:D$113, 2, FALSE)</f>
        <v>Delta</v>
      </c>
    </row>
    <row r="24" spans="2:45" ht="14.4" customHeight="1" x14ac:dyDescent="0.35">
      <c r="C24" t="str">
        <f>CONCATENATE(VLOOKUP(D24, Rankings!A$2:D$113, 4, FALSE), " (", VLOOKUP(D24, Rankings!A$2:D$113, 2, FALSE), ")")</f>
        <v>Sandgem Town (Lily Valley)</v>
      </c>
      <c r="D24" s="63">
        <v>35</v>
      </c>
      <c r="E24" s="63">
        <f>VLOOKUP(D24,Rankings!$A$2:$AZ$113,52,FALSE)</f>
        <v>61</v>
      </c>
      <c r="F24" s="63">
        <v>2</v>
      </c>
      <c r="G24" s="63">
        <v>4</v>
      </c>
      <c r="H24" s="63">
        <v>-37</v>
      </c>
      <c r="J24" s="311" t="s">
        <v>3685</v>
      </c>
      <c r="K24" s="226" t="s">
        <v>3671</v>
      </c>
      <c r="L24" s="311" t="s">
        <v>3695</v>
      </c>
      <c r="M24" s="309"/>
      <c r="P24" t="str">
        <f>CONCATENATE(VLOOKUP(Q24, Rankings!A$2:D$113, 4, FALSE), " (", VLOOKUP(Q24, Rankings!A$2:D$113, 2, FALSE), ")")</f>
        <v>Po Town (Lanakila)</v>
      </c>
      <c r="Q24" s="63">
        <v>91</v>
      </c>
      <c r="R24" s="63">
        <f>VLOOKUP(Q24,Rankings!$A$2:$AZ$113,52,FALSE)</f>
        <v>88</v>
      </c>
      <c r="S24" s="63">
        <v>0</v>
      </c>
      <c r="T24" s="63">
        <v>6</v>
      </c>
      <c r="U24" s="63">
        <v>-63</v>
      </c>
      <c r="V24" s="63"/>
      <c r="W24" s="226" t="s">
        <v>3743</v>
      </c>
      <c r="X24" s="226" t="s">
        <v>3684</v>
      </c>
      <c r="Y24" s="226" t="s">
        <v>3713</v>
      </c>
      <c r="Z24" s="309"/>
      <c r="AB24" s="237" t="s">
        <v>3513</v>
      </c>
      <c r="AC24" s="1" t="str">
        <f>IF(ISBLANK(AF14), "Quarterfinalist", IF(AF14&gt;AF15, AC14, AC15))</f>
        <v>Vaniville Town (Kalosite)</v>
      </c>
      <c r="AD24" s="63">
        <v>13</v>
      </c>
      <c r="AE24" s="377">
        <v>18</v>
      </c>
      <c r="AF24" s="300">
        <v>31</v>
      </c>
      <c r="AH24" s="237" t="s">
        <v>3572</v>
      </c>
      <c r="AI24" s="6" t="str">
        <f>IF(ISBLANK(AL14), "Quarterfinalist", IF(AL14&gt;AL15, AI14, AI15))</f>
        <v>Humilau City (Vertress)</v>
      </c>
      <c r="AJ24" s="377">
        <v>19</v>
      </c>
      <c r="AK24" s="63">
        <v>19</v>
      </c>
      <c r="AL24" s="300">
        <v>38</v>
      </c>
      <c r="AP24" t="s">
        <v>921</v>
      </c>
      <c r="AQ24">
        <v>87</v>
      </c>
      <c r="AR24" t="str">
        <f>VLOOKUP(AQ24, Rankings!A$2:D$113, 4, FALSE)</f>
        <v>Kala'e Bay</v>
      </c>
      <c r="AS24" t="str">
        <f>VLOOKUP(AQ24, Rankings!A$2:D$113, 2, FALSE)</f>
        <v>Lanakila</v>
      </c>
    </row>
    <row r="25" spans="2:45" ht="14.4" customHeight="1" x14ac:dyDescent="0.35">
      <c r="AC25" s="1"/>
      <c r="AD25" s="63"/>
      <c r="AE25" s="63"/>
      <c r="AF25" s="63"/>
      <c r="AI25" s="1"/>
      <c r="AJ25" s="63"/>
      <c r="AK25" s="63"/>
      <c r="AL25" s="63"/>
      <c r="AP25" t="s">
        <v>2079</v>
      </c>
      <c r="AQ25">
        <v>64</v>
      </c>
      <c r="AR25" t="str">
        <f>VLOOKUP(AQ25, Rankings!A$2:D$113, 4, FALSE)</f>
        <v>Undella Town</v>
      </c>
      <c r="AS25" t="str">
        <f>VLOOKUP(AQ25, Rankings!A$2:D$113, 2, FALSE)</f>
        <v>Vertress</v>
      </c>
    </row>
    <row r="26" spans="2:45" ht="14.4" customHeight="1" x14ac:dyDescent="0.35">
      <c r="AC26" s="481" t="s">
        <v>3652</v>
      </c>
      <c r="AD26" s="481"/>
      <c r="AE26" s="481"/>
      <c r="AF26" s="481"/>
      <c r="AG26" s="481"/>
      <c r="AH26" s="481"/>
      <c r="AI26" s="481"/>
      <c r="AJ26" s="481"/>
      <c r="AK26" s="481"/>
      <c r="AL26" s="481"/>
      <c r="AP26" t="s">
        <v>1074</v>
      </c>
      <c r="AQ26">
        <v>101</v>
      </c>
      <c r="AR26" t="str">
        <f>VLOOKUP(AQ26, Rankings!A$2:D$113, 4, FALSE)</f>
        <v>City of Circhester</v>
      </c>
      <c r="AS26" t="str">
        <f>VLOOKUP(AQ26, Rankings!A$2:D$113, 2, FALSE)</f>
        <v>Dynamax</v>
      </c>
    </row>
    <row r="27" spans="2:45" ht="14.4" customHeight="1" x14ac:dyDescent="0.35">
      <c r="E27">
        <v>1</v>
      </c>
      <c r="F27" s="63" t="s">
        <v>3504</v>
      </c>
      <c r="G27" s="63">
        <v>4</v>
      </c>
      <c r="H27" s="63"/>
      <c r="I27" s="1" t="s">
        <v>3129</v>
      </c>
      <c r="J27" s="63" t="s">
        <v>3525</v>
      </c>
      <c r="K27" s="63" t="s">
        <v>3535</v>
      </c>
      <c r="L27" s="63" t="s">
        <v>3530</v>
      </c>
      <c r="M27" s="63" t="s">
        <v>3536</v>
      </c>
      <c r="P27" s="1" t="s">
        <v>2107</v>
      </c>
      <c r="Q27" s="300" t="s">
        <v>2084</v>
      </c>
      <c r="R27" s="300" t="s">
        <v>1372</v>
      </c>
      <c r="S27" s="300" t="s">
        <v>5</v>
      </c>
      <c r="T27" s="300" t="s">
        <v>6</v>
      </c>
      <c r="U27" s="300" t="s">
        <v>2089</v>
      </c>
      <c r="AC27" s="481"/>
      <c r="AD27" s="481"/>
      <c r="AE27" s="481"/>
      <c r="AF27" s="481"/>
      <c r="AG27" s="481"/>
      <c r="AH27" s="481"/>
      <c r="AI27" s="481"/>
      <c r="AJ27" s="481"/>
      <c r="AK27" s="481"/>
      <c r="AL27" s="481"/>
      <c r="AP27" t="s">
        <v>2058</v>
      </c>
      <c r="AQ27">
        <v>35</v>
      </c>
      <c r="AR27" t="str">
        <f>VLOOKUP(AQ27, Rankings!A$2:D$113, 4, FALSE)</f>
        <v>Sandgem Town</v>
      </c>
      <c r="AS27" t="str">
        <f>VLOOKUP(AQ27, Rankings!A$2:D$113, 2, FALSE)</f>
        <v>Lily Valley</v>
      </c>
    </row>
    <row r="28" spans="2:45" ht="14.4" customHeight="1" x14ac:dyDescent="0.35">
      <c r="E28">
        <v>1</v>
      </c>
      <c r="F28" s="63" t="s">
        <v>3505</v>
      </c>
      <c r="G28" s="63">
        <v>3</v>
      </c>
      <c r="H28" s="63">
        <v>1</v>
      </c>
      <c r="I28" s="1" t="s">
        <v>3130</v>
      </c>
      <c r="J28" s="63" t="s">
        <v>3527</v>
      </c>
      <c r="K28" s="63" t="s">
        <v>3533</v>
      </c>
      <c r="L28" s="63" t="s">
        <v>3528</v>
      </c>
      <c r="M28" s="63" t="s">
        <v>3531</v>
      </c>
      <c r="O28" s="63" t="s">
        <v>396</v>
      </c>
      <c r="P28" t="str">
        <f>C$5</f>
        <v>Solaceon Town (Lily Valley)</v>
      </c>
      <c r="Q28" s="63">
        <f>D5</f>
        <v>48</v>
      </c>
      <c r="R28" s="63">
        <f>E$5</f>
        <v>28</v>
      </c>
      <c r="S28" s="63">
        <f>F$5</f>
        <v>3</v>
      </c>
      <c r="T28" s="63">
        <f>G$5</f>
        <v>3</v>
      </c>
      <c r="U28" s="63">
        <f>H$5</f>
        <v>16</v>
      </c>
      <c r="AP28" t="s">
        <v>395</v>
      </c>
      <c r="AQ28">
        <v>61</v>
      </c>
      <c r="AR28" t="str">
        <f>VLOOKUP(AQ28, Rankings!A$2:D$113, 4, FALSE)</f>
        <v>Humilau City</v>
      </c>
      <c r="AS28" t="str">
        <f>VLOOKUP(AQ28, Rankings!A$2:D$113, 2, FALSE)</f>
        <v>Vertress</v>
      </c>
    </row>
    <row r="29" spans="2:45" ht="14.4" customHeight="1" x14ac:dyDescent="0.35">
      <c r="E29">
        <v>1</v>
      </c>
      <c r="F29" s="63" t="s">
        <v>3524</v>
      </c>
      <c r="G29" s="63"/>
      <c r="H29" s="63">
        <v>3</v>
      </c>
      <c r="I29" s="1" t="s">
        <v>3131</v>
      </c>
      <c r="J29" s="63" t="s">
        <v>3526</v>
      </c>
      <c r="K29" s="63" t="s">
        <v>3532</v>
      </c>
      <c r="L29" s="63" t="s">
        <v>3529</v>
      </c>
      <c r="M29" s="63" t="s">
        <v>3534</v>
      </c>
      <c r="O29" s="63" t="s">
        <v>2079</v>
      </c>
      <c r="P29" t="str">
        <f>C$17</f>
        <v>Anistar City (Kalosite)</v>
      </c>
      <c r="Q29" s="63" t="str">
        <f>D14</f>
        <v>A#</v>
      </c>
      <c r="R29" s="63">
        <f>E$17</f>
        <v>46</v>
      </c>
      <c r="S29" s="63">
        <f>F$17</f>
        <v>3</v>
      </c>
      <c r="T29" s="63">
        <f>G$17</f>
        <v>3</v>
      </c>
      <c r="U29" s="63">
        <f>H$17</f>
        <v>-3</v>
      </c>
      <c r="AB29" s="237" t="s">
        <v>3495</v>
      </c>
      <c r="AC29" s="1" t="str">
        <f>IF(ISBLANK(AF20), "Semifinalist", IF(AF20&gt;AF21, AC20, AC21))</f>
        <v>Castelia City (Vertress)</v>
      </c>
      <c r="AD29" s="378">
        <v>25</v>
      </c>
      <c r="AE29" s="63">
        <v>20</v>
      </c>
      <c r="AF29" s="300">
        <v>45</v>
      </c>
      <c r="AH29" s="237" t="s">
        <v>3493</v>
      </c>
      <c r="AI29" s="6" t="str">
        <f>IF(ISBLANK(AL20), "Semifinalist", IF(AL20&gt;AL21, AI20, AI21))</f>
        <v>Lumiose City (Kalosite)</v>
      </c>
      <c r="AJ29" s="63">
        <v>13</v>
      </c>
      <c r="AK29" s="379">
        <v>21</v>
      </c>
      <c r="AL29" s="300">
        <v>34</v>
      </c>
      <c r="AR29" t="s">
        <v>2073</v>
      </c>
    </row>
    <row r="30" spans="2:45" ht="14.4" customHeight="1" x14ac:dyDescent="0.35">
      <c r="E30">
        <v>1</v>
      </c>
      <c r="F30" s="63" t="s">
        <v>3506</v>
      </c>
      <c r="G30" s="63">
        <v>4</v>
      </c>
      <c r="H30" s="63"/>
      <c r="O30" s="63" t="s">
        <v>395</v>
      </c>
      <c r="P30" t="str">
        <f>P$23</f>
        <v>Spikemuth (Dynamax)</v>
      </c>
      <c r="Q30" s="63">
        <f>Q18</f>
        <v>101</v>
      </c>
      <c r="R30" s="63">
        <f>R$23</f>
        <v>72</v>
      </c>
      <c r="S30" s="63">
        <f>S$23</f>
        <v>3</v>
      </c>
      <c r="T30" s="63">
        <f>T$23</f>
        <v>3</v>
      </c>
      <c r="U30" s="63">
        <f>U$23</f>
        <v>-4</v>
      </c>
      <c r="AB30" s="237" t="s">
        <v>3513</v>
      </c>
      <c r="AC30" s="6" t="str">
        <f>IF(ISBLANK(AF23), "Semifinalist", IF(AF23&gt;AF24, AC23, AC24))</f>
        <v>Vaniville Town (Kalosite)</v>
      </c>
      <c r="AD30" s="63">
        <v>16</v>
      </c>
      <c r="AE30" s="379">
        <v>28</v>
      </c>
      <c r="AF30" s="300">
        <v>44</v>
      </c>
      <c r="AH30" s="237" t="s">
        <v>3564</v>
      </c>
      <c r="AI30" s="1" t="str">
        <f>IF(ISBLANK(AL23), "Semifinalist", IF(AL23&gt;AL24, AI23, AI24))</f>
        <v>Virbank City (Vertress)</v>
      </c>
      <c r="AJ30" s="378">
        <v>20</v>
      </c>
      <c r="AK30" s="63">
        <v>19</v>
      </c>
      <c r="AL30" s="300">
        <v>39</v>
      </c>
      <c r="AP30" t="s">
        <v>396</v>
      </c>
      <c r="AQ30">
        <v>1</v>
      </c>
      <c r="AR30" t="str">
        <f>VLOOKUP(AQ30, Rankings!A$2:D$113, 4, FALSE)</f>
        <v>Cianwood City</v>
      </c>
      <c r="AS30" t="str">
        <f>VLOOKUP(AQ30, Rankings!A$2:D$113, 2, FALSE)</f>
        <v>Indigo</v>
      </c>
    </row>
    <row r="31" spans="2:45" ht="14.4" customHeight="1" x14ac:dyDescent="0.35">
      <c r="E31">
        <v>1</v>
      </c>
      <c r="F31" s="63" t="s">
        <v>3507</v>
      </c>
      <c r="G31" s="63">
        <v>3</v>
      </c>
      <c r="H31" s="63">
        <v>1</v>
      </c>
      <c r="J31" s="63">
        <v>1</v>
      </c>
      <c r="K31" s="63">
        <v>2</v>
      </c>
      <c r="L31" s="63">
        <v>3</v>
      </c>
      <c r="M31" s="63">
        <v>4</v>
      </c>
      <c r="O31" s="63" t="s">
        <v>2058</v>
      </c>
      <c r="P31" t="str">
        <f>C$23</f>
        <v>Paniola Town (Lanakila)</v>
      </c>
      <c r="Q31" s="63" t="str">
        <f>D20</f>
        <v>A#</v>
      </c>
      <c r="R31" s="63">
        <f>E$23</f>
        <v>43</v>
      </c>
      <c r="S31" s="63">
        <f>F$23</f>
        <v>2</v>
      </c>
      <c r="T31" s="63">
        <f>G$23</f>
        <v>4</v>
      </c>
      <c r="U31" s="63">
        <f>H$23</f>
        <v>-1</v>
      </c>
      <c r="AC31" s="1"/>
      <c r="AI31" s="1"/>
      <c r="AP31" t="s">
        <v>836</v>
      </c>
      <c r="AQ31">
        <v>55</v>
      </c>
      <c r="AR31" t="str">
        <f>VLOOKUP(AQ31, Rankings!A$2:D$113, 4, FALSE)</f>
        <v>Nimbasa City</v>
      </c>
      <c r="AS31" t="str">
        <f>VLOOKUP(AQ31, Rankings!A$2:D$113, 2, FALSE)</f>
        <v>Vertress</v>
      </c>
    </row>
    <row r="32" spans="2:45" ht="14.4" customHeight="1" x14ac:dyDescent="0.35">
      <c r="E32">
        <v>1</v>
      </c>
      <c r="F32" s="63" t="s">
        <v>3508</v>
      </c>
      <c r="G32" s="63">
        <v>1</v>
      </c>
      <c r="H32" s="63">
        <v>2</v>
      </c>
      <c r="I32" s="63" t="s">
        <v>3646</v>
      </c>
      <c r="J32" s="310"/>
      <c r="K32" s="299" t="s">
        <v>1010</v>
      </c>
      <c r="L32" s="305" t="s">
        <v>1009</v>
      </c>
      <c r="M32" s="304" t="s">
        <v>1008</v>
      </c>
      <c r="O32" s="63" t="s">
        <v>836</v>
      </c>
      <c r="P32" t="str">
        <f>P$5</f>
        <v>Oreburgh City (Lily Valley)</v>
      </c>
      <c r="Q32" s="63" t="str">
        <f>Q8</f>
        <v>A#</v>
      </c>
      <c r="R32" s="63">
        <f>R$5</f>
        <v>56</v>
      </c>
      <c r="S32" s="63">
        <f>S$5</f>
        <v>2</v>
      </c>
      <c r="T32" s="63">
        <f>T$5</f>
        <v>4</v>
      </c>
      <c r="U32" s="63">
        <f>U$5</f>
        <v>-7</v>
      </c>
      <c r="AC32" s="481" t="s">
        <v>3653</v>
      </c>
      <c r="AD32" s="481"/>
      <c r="AE32" s="481"/>
      <c r="AF32" s="481"/>
      <c r="AG32" s="481"/>
      <c r="AH32" s="481"/>
      <c r="AI32" s="481"/>
      <c r="AJ32" s="481"/>
      <c r="AK32" s="481"/>
      <c r="AL32" s="481"/>
      <c r="AP32" t="s">
        <v>837</v>
      </c>
      <c r="AQ32">
        <v>36</v>
      </c>
      <c r="AR32" t="str">
        <f>VLOOKUP(AQ32, Rankings!A$2:D$113, 4, FALSE)</f>
        <v>Twinleaf Town</v>
      </c>
      <c r="AS32" t="str">
        <f>VLOOKUP(AQ32, Rankings!A$2:D$113, 2, FALSE)</f>
        <v>Lily Valley</v>
      </c>
    </row>
    <row r="33" spans="5:45" ht="14.4" customHeight="1" x14ac:dyDescent="0.35">
      <c r="E33">
        <v>2</v>
      </c>
      <c r="F33" s="63" t="s">
        <v>3509</v>
      </c>
      <c r="G33" s="63">
        <v>1</v>
      </c>
      <c r="H33" s="63">
        <v>1</v>
      </c>
      <c r="I33" s="63" t="s">
        <v>3647</v>
      </c>
      <c r="J33" s="303" t="s">
        <v>1007</v>
      </c>
      <c r="K33" s="310"/>
      <c r="L33" s="301" t="s">
        <v>1005</v>
      </c>
      <c r="M33" s="305" t="s">
        <v>1009</v>
      </c>
      <c r="O33" s="63" t="s">
        <v>921</v>
      </c>
      <c r="P33" t="str">
        <f>P$11</f>
        <v>Lilycove City (Delta)</v>
      </c>
      <c r="Q33" s="63">
        <f>Q13</f>
        <v>0</v>
      </c>
      <c r="R33" s="63">
        <f>R$11</f>
        <v>49</v>
      </c>
      <c r="S33" s="63">
        <f>S$11</f>
        <v>2</v>
      </c>
      <c r="T33" s="63">
        <f>T$11</f>
        <v>4</v>
      </c>
      <c r="U33" s="63">
        <f>U$11</f>
        <v>-16</v>
      </c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P33" t="s">
        <v>921</v>
      </c>
      <c r="AQ33">
        <v>30</v>
      </c>
      <c r="AR33" t="str">
        <f>VLOOKUP(AQ33, Rankings!A$2:D$113, 4, FALSE)</f>
        <v>Lilycove City</v>
      </c>
      <c r="AS33" t="str">
        <f>VLOOKUP(AQ33, Rankings!A$2:D$113, 2, FALSE)</f>
        <v>Delta</v>
      </c>
    </row>
    <row r="34" spans="5:45" ht="14.4" customHeight="1" x14ac:dyDescent="0.35">
      <c r="I34" s="63" t="s">
        <v>3648</v>
      </c>
      <c r="J34" s="302" t="s">
        <v>1006</v>
      </c>
      <c r="K34" s="304" t="s">
        <v>1008</v>
      </c>
      <c r="L34" s="310"/>
      <c r="M34" s="299" t="s">
        <v>1010</v>
      </c>
      <c r="O34" s="63" t="s">
        <v>837</v>
      </c>
      <c r="P34" t="str">
        <f>C$11</f>
        <v>Twinleaf Town (Lily Valley)</v>
      </c>
      <c r="Q34" s="63">
        <f>D15</f>
        <v>16</v>
      </c>
      <c r="R34" s="63">
        <f>E$11</f>
        <v>44</v>
      </c>
      <c r="S34" s="63">
        <f>F$11</f>
        <v>2</v>
      </c>
      <c r="T34" s="63">
        <f>G$11</f>
        <v>4</v>
      </c>
      <c r="U34" s="63">
        <f>H$11</f>
        <v>-25</v>
      </c>
      <c r="AC34" s="237" t="s">
        <v>3495</v>
      </c>
      <c r="AD34" s="270">
        <v>25</v>
      </c>
      <c r="AE34" s="270">
        <v>18</v>
      </c>
      <c r="AF34" s="270">
        <v>43</v>
      </c>
      <c r="AG34" s="482" t="str">
        <f>IF(ISBLANK(AF29), "Finalist", IF(AF29&gt;AF30, AC29, AC30))</f>
        <v>Castelia City (Vertress)</v>
      </c>
      <c r="AH34" s="482"/>
      <c r="AI34" s="482"/>
      <c r="AJ34" s="482"/>
      <c r="AK34" s="482"/>
      <c r="AL34" s="482"/>
      <c r="AP34" t="s">
        <v>2079</v>
      </c>
      <c r="AQ34">
        <v>73</v>
      </c>
      <c r="AR34" t="str">
        <f>VLOOKUP(AQ34, Rankings!A$2:D$113, 4, FALSE)</f>
        <v>Anistar City</v>
      </c>
      <c r="AS34" t="str">
        <f>VLOOKUP(AQ34, Rankings!A$2:D$113, 2, FALSE)</f>
        <v>Kalosite</v>
      </c>
    </row>
    <row r="35" spans="5:45" ht="14.4" customHeight="1" x14ac:dyDescent="0.35">
      <c r="F35" s="63">
        <v>19.25</v>
      </c>
      <c r="G35">
        <f>AVERAGE(E3,R3,E9,R9,E15,R15,E21,R21)</f>
        <v>20.5</v>
      </c>
      <c r="I35" s="63" t="s">
        <v>3649</v>
      </c>
      <c r="J35" s="301" t="s">
        <v>1005</v>
      </c>
      <c r="K35" s="302" t="s">
        <v>1006</v>
      </c>
      <c r="L35" s="303" t="s">
        <v>1007</v>
      </c>
      <c r="M35" s="310"/>
      <c r="O35" s="63" t="s">
        <v>1074</v>
      </c>
      <c r="P35" t="str">
        <f>P$17</f>
        <v>Seafolk Village (Lanakila)</v>
      </c>
      <c r="Q35" s="63">
        <f>Q19</f>
        <v>0</v>
      </c>
      <c r="R35" s="63">
        <f>R$17</f>
        <v>76</v>
      </c>
      <c r="S35" s="63">
        <f>S$17</f>
        <v>2</v>
      </c>
      <c r="T35" s="63">
        <f>T$17</f>
        <v>4</v>
      </c>
      <c r="U35" s="63">
        <f>U$17</f>
        <v>-57</v>
      </c>
      <c r="AC35" s="352"/>
      <c r="AD35" s="384"/>
      <c r="AE35" s="384"/>
      <c r="AF35" s="385"/>
      <c r="AG35" s="482"/>
      <c r="AH35" s="482"/>
      <c r="AI35" s="482"/>
      <c r="AJ35" s="482"/>
      <c r="AK35" s="482"/>
      <c r="AL35" s="482"/>
      <c r="AP35" t="s">
        <v>1074</v>
      </c>
      <c r="AQ35">
        <v>17</v>
      </c>
      <c r="AR35" t="str">
        <f>VLOOKUP(AQ35, Rankings!A$2:D$113, 4, FALSE)</f>
        <v>Dewford Town</v>
      </c>
      <c r="AS35" t="str">
        <f>VLOOKUP(AQ35, Rankings!A$2:D$113, 2, FALSE)</f>
        <v>Delta</v>
      </c>
    </row>
    <row r="36" spans="5:45" ht="14.4" customHeight="1" x14ac:dyDescent="0.35">
      <c r="F36" s="63">
        <v>25.5</v>
      </c>
      <c r="G36">
        <f t="shared" ref="G36:G38" si="0">AVERAGE(E4,R4,E10,R10,E16,R16,E22,R22)</f>
        <v>24.5</v>
      </c>
      <c r="AC36" s="237" t="s">
        <v>3564</v>
      </c>
      <c r="AD36" s="383">
        <v>16</v>
      </c>
      <c r="AE36" s="383">
        <v>17</v>
      </c>
      <c r="AF36" s="270">
        <v>33</v>
      </c>
      <c r="AG36" s="480" t="str">
        <f>IF(ISBLANK(AL29), "Finalist", IF(AL29&gt;AL30, AI29, AI30))</f>
        <v>Virbank City (Vertress)</v>
      </c>
      <c r="AH36" s="480"/>
      <c r="AI36" s="480"/>
      <c r="AJ36" s="480"/>
      <c r="AK36" s="480"/>
      <c r="AL36" s="480"/>
      <c r="AP36" t="s">
        <v>2058</v>
      </c>
      <c r="AQ36">
        <v>80</v>
      </c>
      <c r="AR36" t="str">
        <f>VLOOKUP(AQ36, Rankings!A$2:D$113, 4, FALSE)</f>
        <v>Vaniville Town</v>
      </c>
      <c r="AS36" t="str">
        <f>VLOOKUP(AQ36, Rankings!A$2:D$113, 2, FALSE)</f>
        <v>Kalosite</v>
      </c>
    </row>
    <row r="37" spans="5:45" ht="14.4" customHeight="1" x14ac:dyDescent="0.35">
      <c r="F37" s="63">
        <v>51.125</v>
      </c>
      <c r="G37">
        <f t="shared" si="0"/>
        <v>51.75</v>
      </c>
      <c r="I37" s="92" t="s">
        <v>3807</v>
      </c>
      <c r="P37" s="92" t="s">
        <v>2657</v>
      </c>
      <c r="AC37" s="352"/>
      <c r="AD37" s="352"/>
      <c r="AE37" s="352"/>
      <c r="AF37" s="352"/>
      <c r="AG37" s="480"/>
      <c r="AH37" s="480"/>
      <c r="AI37" s="480"/>
      <c r="AJ37" s="480"/>
      <c r="AK37" s="480"/>
      <c r="AL37" s="480"/>
      <c r="AP37" t="s">
        <v>395</v>
      </c>
      <c r="AQ37">
        <v>91</v>
      </c>
      <c r="AR37" t="e">
        <f>VLOOKUP(AQ52, Rankings!A$2:D$113, 4, FALSE)</f>
        <v>#N/A</v>
      </c>
      <c r="AS37" t="e">
        <f>VLOOKUP(AQ52, Rankings!A$2:D$113, 2, FALSE)</f>
        <v>#N/A</v>
      </c>
    </row>
    <row r="38" spans="5:45" ht="14.4" customHeight="1" x14ac:dyDescent="0.35">
      <c r="F38" s="63">
        <v>83.375</v>
      </c>
      <c r="G38">
        <f t="shared" si="0"/>
        <v>85.625</v>
      </c>
      <c r="P38" s="92" t="s">
        <v>4316</v>
      </c>
    </row>
    <row r="39" spans="5:45" ht="14.4" customHeight="1" x14ac:dyDescent="0.35"/>
  </sheetData>
  <sortState xmlns:xlrd2="http://schemas.microsoft.com/office/spreadsheetml/2017/richdata2" ref="AM5:AM20">
    <sortCondition ref="AM5"/>
  </sortState>
  <mergeCells count="6">
    <mergeCell ref="AG36:AL37"/>
    <mergeCell ref="AC2:AL3"/>
    <mergeCell ref="AC17:AL18"/>
    <mergeCell ref="AC26:AL27"/>
    <mergeCell ref="AC32:AL33"/>
    <mergeCell ref="AG34:AL35"/>
  </mergeCells>
  <pageMargins left="0.7" right="0.7" top="0.75" bottom="0.75" header="0.3" footer="0.3"/>
  <pageSetup orientation="portrait" r:id="rId1"/>
  <ignoredErrors>
    <ignoredError sqref="J12 W24 W6 K11" twoDigitTextYea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99"/>
  </sheetPr>
  <dimension ref="B2:AS40"/>
  <sheetViews>
    <sheetView zoomScale="76" zoomScaleNormal="76" workbookViewId="0">
      <selection activeCell="AB34" sqref="AB34"/>
    </sheetView>
  </sheetViews>
  <sheetFormatPr defaultRowHeight="14.5" x14ac:dyDescent="0.35"/>
  <cols>
    <col min="1" max="1" width="3.90625" customWidth="1"/>
    <col min="2" max="2" width="4.1796875" style="63" customWidth="1"/>
    <col min="3" max="3" width="26.90625" customWidth="1"/>
    <col min="4" max="4" width="3.81640625" hidden="1" customWidth="1"/>
    <col min="5" max="5" width="3.81640625" customWidth="1"/>
    <col min="6" max="8" width="5.453125" customWidth="1"/>
    <col min="9" max="9" width="4.6328125" customWidth="1"/>
    <col min="10" max="13" width="6" customWidth="1"/>
    <col min="14" max="14" width="4.6328125" customWidth="1"/>
    <col min="15" max="15" width="4.1796875" style="63" customWidth="1"/>
    <col min="16" max="16" width="26.90625" customWidth="1"/>
    <col min="17" max="17" width="3.81640625" hidden="1" customWidth="1"/>
    <col min="18" max="18" width="3.81640625" customWidth="1"/>
    <col min="19" max="21" width="5.453125" customWidth="1"/>
    <col min="22" max="22" width="4.6328125" customWidth="1"/>
    <col min="23" max="26" width="6" customWidth="1"/>
    <col min="27" max="27" width="3.81640625" customWidth="1"/>
    <col min="29" max="29" width="26.81640625" customWidth="1"/>
    <col min="30" max="32" width="3.81640625" customWidth="1"/>
    <col min="33" max="33" width="1.54296875" customWidth="1"/>
    <col min="35" max="35" width="26.81640625" customWidth="1"/>
    <col min="36" max="38" width="3.81640625" customWidth="1"/>
    <col min="42" max="42" width="4.90625" customWidth="1"/>
    <col min="43" max="43" width="4.1796875" customWidth="1"/>
    <col min="44" max="44" width="15.1796875" customWidth="1"/>
    <col min="45" max="45" width="10.453125" customWidth="1"/>
  </cols>
  <sheetData>
    <row r="2" spans="2:45" ht="14.4" customHeight="1" x14ac:dyDescent="0.35">
      <c r="C2" s="1" t="s">
        <v>2083</v>
      </c>
      <c r="D2" s="300" t="s">
        <v>2084</v>
      </c>
      <c r="E2" s="300" t="s">
        <v>1372</v>
      </c>
      <c r="F2" s="300" t="s">
        <v>5</v>
      </c>
      <c r="G2" s="300" t="s">
        <v>6</v>
      </c>
      <c r="H2" s="300" t="s">
        <v>2089</v>
      </c>
      <c r="I2" s="300"/>
      <c r="J2" s="300" t="s">
        <v>3744</v>
      </c>
      <c r="K2" s="300" t="s">
        <v>3745</v>
      </c>
      <c r="L2" s="300" t="s">
        <v>3746</v>
      </c>
      <c r="M2" s="300" t="s">
        <v>3747</v>
      </c>
      <c r="P2" s="1" t="s">
        <v>2090</v>
      </c>
      <c r="Q2" s="300" t="s">
        <v>2084</v>
      </c>
      <c r="R2" s="300" t="s">
        <v>1372</v>
      </c>
      <c r="S2" s="300" t="s">
        <v>5</v>
      </c>
      <c r="T2" s="300" t="s">
        <v>6</v>
      </c>
      <c r="U2" s="300" t="s">
        <v>2089</v>
      </c>
      <c r="V2" s="300"/>
      <c r="W2" s="300" t="s">
        <v>3756</v>
      </c>
      <c r="X2" s="300" t="s">
        <v>3759</v>
      </c>
      <c r="Y2" s="300" t="s">
        <v>3757</v>
      </c>
      <c r="Z2" s="300" t="s">
        <v>3758</v>
      </c>
      <c r="AC2" s="481" t="s">
        <v>3650</v>
      </c>
      <c r="AD2" s="481"/>
      <c r="AE2" s="481"/>
      <c r="AF2" s="481"/>
      <c r="AG2" s="481"/>
      <c r="AH2" s="481"/>
      <c r="AI2" s="481"/>
      <c r="AJ2" s="481"/>
      <c r="AK2" s="481"/>
      <c r="AL2" s="481"/>
      <c r="AQ2" t="s">
        <v>2084</v>
      </c>
      <c r="AR2" t="s">
        <v>2070</v>
      </c>
    </row>
    <row r="3" spans="2:45" ht="14.4" customHeight="1" x14ac:dyDescent="0.35">
      <c r="B3" s="63" t="s">
        <v>2663</v>
      </c>
      <c r="C3" t="str">
        <f>CONCATENATE(VLOOKUP(D3, Rankings!A$2:D$113, 4, FALSE), " (", VLOOKUP(D3, Rankings!A$2:D$113, 2, FALSE), ")")</f>
        <v>Anville Town (Vertress)</v>
      </c>
      <c r="D3" s="63">
        <v>49</v>
      </c>
      <c r="E3" s="63">
        <f>VLOOKUP(D3,Rankings!$A$2:$AZ$113,52,FALSE)</f>
        <v>38</v>
      </c>
      <c r="F3" s="63">
        <v>4</v>
      </c>
      <c r="G3" s="63">
        <v>2</v>
      </c>
      <c r="H3" s="63">
        <f>18+2</f>
        <v>20</v>
      </c>
      <c r="J3" s="312"/>
      <c r="K3" s="311" t="s">
        <v>4183</v>
      </c>
      <c r="L3" s="313" t="s">
        <v>3791</v>
      </c>
      <c r="M3" s="311" t="s">
        <v>3768</v>
      </c>
      <c r="O3" s="63" t="s">
        <v>2671</v>
      </c>
      <c r="P3" t="str">
        <f>CONCATENATE(VLOOKUP(Q3, Rankings!A$2:D$113, 4, FALSE), " (", VLOOKUP(Q3, Rankings!A$2:D$113, 2, FALSE), ")")</f>
        <v>Hulbury (Dynamax)</v>
      </c>
      <c r="Q3" s="63">
        <v>109</v>
      </c>
      <c r="R3" s="63">
        <f>VLOOKUP(Q3,Rankings!$A$2:$AZ$113,52,FALSE)</f>
        <v>20</v>
      </c>
      <c r="S3" s="63">
        <v>4</v>
      </c>
      <c r="T3" s="63">
        <v>2</v>
      </c>
      <c r="U3" s="63">
        <f>-5+22</f>
        <v>17</v>
      </c>
      <c r="V3" s="63"/>
      <c r="W3" s="309"/>
      <c r="X3" s="311" t="s">
        <v>3688</v>
      </c>
      <c r="Y3" s="226" t="s">
        <v>4230</v>
      </c>
      <c r="Z3" s="226" t="s">
        <v>3780</v>
      </c>
      <c r="AC3" s="481"/>
      <c r="AD3" s="481"/>
      <c r="AE3" s="481"/>
      <c r="AF3" s="481"/>
      <c r="AG3" s="481"/>
      <c r="AH3" s="481"/>
      <c r="AI3" s="481"/>
      <c r="AJ3" s="481"/>
      <c r="AK3" s="481"/>
      <c r="AL3" s="481"/>
      <c r="AP3" t="s">
        <v>396</v>
      </c>
      <c r="AQ3">
        <v>66</v>
      </c>
      <c r="AR3" t="str">
        <f>VLOOKUP(AQ3, Rankings!A$2:D$113, 4, FALSE)</f>
        <v>Cyllage City</v>
      </c>
      <c r="AS3" t="str">
        <f>VLOOKUP(AQ3, Rankings!A$2:D$113, 2, FALSE)</f>
        <v>Kalosite</v>
      </c>
    </row>
    <row r="4" spans="2:45" ht="14.4" customHeight="1" x14ac:dyDescent="0.35">
      <c r="B4" s="63" t="s">
        <v>2672</v>
      </c>
      <c r="C4" t="str">
        <f>CONCATENATE(VLOOKUP(D4, Rankings!A$2:D$113, 4, FALSE), " (", VLOOKUP(D4, Rankings!A$2:D$113, 2, FALSE), ")")</f>
        <v>Wedgehurst (Dynamax)</v>
      </c>
      <c r="D4" s="63">
        <v>108</v>
      </c>
      <c r="E4" s="63">
        <f>VLOOKUP(D4,Rankings!$A$2:$AZ$113,52,FALSE)</f>
        <v>34</v>
      </c>
      <c r="F4" s="63">
        <v>3</v>
      </c>
      <c r="G4" s="63">
        <v>3</v>
      </c>
      <c r="H4" s="63">
        <f>11-2</f>
        <v>9</v>
      </c>
      <c r="J4" s="311" t="s">
        <v>4181</v>
      </c>
      <c r="K4" s="312"/>
      <c r="L4" s="313" t="s">
        <v>3769</v>
      </c>
      <c r="M4" s="311" t="s">
        <v>3789</v>
      </c>
      <c r="O4" s="63" t="s">
        <v>2664</v>
      </c>
      <c r="P4" t="str">
        <f>CONCATENATE(VLOOKUP(Q4, Rankings!A$2:D$113, 4, FALSE), " (", VLOOKUP(Q4, Rankings!A$2:D$113, 2, FALSE), ")")</f>
        <v>Fortree City (Delta)</v>
      </c>
      <c r="Q4" s="63">
        <v>29</v>
      </c>
      <c r="R4" s="63">
        <f>VLOOKUP(Q4,Rankings!$A$2:$AZ$113,52,FALSE)</f>
        <v>23</v>
      </c>
      <c r="S4" s="63">
        <v>3</v>
      </c>
      <c r="T4" s="63">
        <v>3</v>
      </c>
      <c r="U4" s="63">
        <f>-4+1+11</f>
        <v>8</v>
      </c>
      <c r="V4" s="63"/>
      <c r="W4" s="226" t="s">
        <v>3799</v>
      </c>
      <c r="X4" s="309"/>
      <c r="Y4" s="311" t="s">
        <v>3779</v>
      </c>
      <c r="Z4" s="226" t="s">
        <v>4228</v>
      </c>
      <c r="AP4" t="s">
        <v>836</v>
      </c>
      <c r="AQ4">
        <v>29</v>
      </c>
      <c r="AR4" t="str">
        <f>VLOOKUP(AQ4, Rankings!A$2:D$113, 4, FALSE)</f>
        <v>Fortree City</v>
      </c>
      <c r="AS4" t="str">
        <f>VLOOKUP(AQ4, Rankings!A$2:D$113, 2, FALSE)</f>
        <v>Delta</v>
      </c>
    </row>
    <row r="5" spans="2:45" ht="14.4" customHeight="1" x14ac:dyDescent="0.35">
      <c r="C5" t="str">
        <f>CONCATENATE(VLOOKUP(D5, Rankings!A$2:D$113, 4, FALSE), " (", VLOOKUP(D5, Rankings!A$2:D$113, 2, FALSE), ")")</f>
        <v>Celestic Town (Lily Valley)</v>
      </c>
      <c r="D5" s="63">
        <v>45</v>
      </c>
      <c r="E5" s="63">
        <f>VLOOKUP(D5,Rankings!$A$2:$AZ$113,52,FALSE)</f>
        <v>24</v>
      </c>
      <c r="F5" s="63">
        <v>3</v>
      </c>
      <c r="G5" s="63">
        <v>3</v>
      </c>
      <c r="H5" s="63">
        <f>-9-4+9</f>
        <v>-4</v>
      </c>
      <c r="J5" s="313" t="s">
        <v>3792</v>
      </c>
      <c r="K5" s="313" t="s">
        <v>3723</v>
      </c>
      <c r="L5" s="312"/>
      <c r="M5" s="313" t="s">
        <v>4176</v>
      </c>
      <c r="P5" t="str">
        <f>CONCATENATE(VLOOKUP(Q5, Rankings!A$2:D$113, 4, FALSE), " (", VLOOKUP(Q5, Rankings!A$2:D$113, 2, FALSE), ")")</f>
        <v>Floaroma City (Lily Valley)</v>
      </c>
      <c r="Q5" s="63">
        <v>38</v>
      </c>
      <c r="R5" s="63">
        <f>VLOOKUP(Q5,Rankings!$A$2:$AZ$113,52,FALSE)</f>
        <v>31</v>
      </c>
      <c r="S5" s="63">
        <v>3</v>
      </c>
      <c r="T5" s="63">
        <v>3</v>
      </c>
      <c r="U5" s="63">
        <f>13-22</f>
        <v>-9</v>
      </c>
      <c r="V5" s="63"/>
      <c r="W5" s="226" t="s">
        <v>4232</v>
      </c>
      <c r="X5" s="311" t="s">
        <v>3778</v>
      </c>
      <c r="Y5" s="309"/>
      <c r="Z5" s="311" t="s">
        <v>3696</v>
      </c>
      <c r="AB5" s="237" t="s">
        <v>4186</v>
      </c>
      <c r="AC5" s="1" t="s">
        <v>4184</v>
      </c>
      <c r="AD5" s="63">
        <v>10</v>
      </c>
      <c r="AE5" s="370">
        <v>21</v>
      </c>
      <c r="AF5" s="300">
        <v>31</v>
      </c>
      <c r="AH5" s="237" t="s">
        <v>4246</v>
      </c>
      <c r="AI5" s="6" t="s">
        <v>4245</v>
      </c>
      <c r="AJ5" s="63">
        <v>11</v>
      </c>
      <c r="AK5" s="370">
        <v>18</v>
      </c>
      <c r="AL5" s="300">
        <v>29</v>
      </c>
      <c r="AP5" t="s">
        <v>837</v>
      </c>
      <c r="AQ5">
        <v>4</v>
      </c>
      <c r="AR5" t="str">
        <f>VLOOKUP(AQ5, Rankings!A$2:D$113, 4, FALSE)</f>
        <v>Olivine City</v>
      </c>
      <c r="AS5" t="str">
        <f>VLOOKUP(AQ5, Rankings!A$2:D$113, 2, FALSE)</f>
        <v>Indigo</v>
      </c>
    </row>
    <row r="6" spans="2:45" ht="14.4" customHeight="1" x14ac:dyDescent="0.35">
      <c r="C6" t="str">
        <f>CONCATENATE(VLOOKUP(D6, Rankings!A$2:D$113, 4, FALSE), " (", VLOOKUP(D6, Rankings!A$2:D$113, 2, FALSE), ")")</f>
        <v>Cyllage City (Kalosite)</v>
      </c>
      <c r="D6" s="63">
        <v>66</v>
      </c>
      <c r="E6" s="63">
        <f>VLOOKUP(D6,Rankings!$A$2:$AZ$113,52,FALSE)</f>
        <v>42</v>
      </c>
      <c r="F6" s="63">
        <v>2</v>
      </c>
      <c r="G6" s="63">
        <v>4</v>
      </c>
      <c r="H6" s="63">
        <f>-20+4-9</f>
        <v>-25</v>
      </c>
      <c r="J6" s="313" t="s">
        <v>3725</v>
      </c>
      <c r="K6" s="311" t="s">
        <v>3790</v>
      </c>
      <c r="L6" s="313" t="s">
        <v>4178</v>
      </c>
      <c r="M6" s="312"/>
      <c r="P6" t="str">
        <f>CONCATENATE(VLOOKUP(Q6, Rankings!A$2:D$113, 4, FALSE), " (", VLOOKUP(Q6, Rankings!A$2:D$113, 2, FALSE), ")")</f>
        <v>Exeggutor Island (Lanakila)</v>
      </c>
      <c r="Q6" s="63">
        <v>81</v>
      </c>
      <c r="R6" s="63">
        <f>VLOOKUP(Q6,Rankings!$A$2:$AZ$113,52,FALSE)</f>
        <v>91</v>
      </c>
      <c r="S6" s="63">
        <v>2</v>
      </c>
      <c r="T6" s="63">
        <v>4</v>
      </c>
      <c r="U6" s="63">
        <f>-4-1-11</f>
        <v>-16</v>
      </c>
      <c r="V6" s="63"/>
      <c r="W6" s="226" t="s">
        <v>3781</v>
      </c>
      <c r="X6" s="226" t="s">
        <v>4225</v>
      </c>
      <c r="Y6" s="311" t="s">
        <v>3778</v>
      </c>
      <c r="Z6" s="309"/>
      <c r="AB6" s="369" t="s">
        <v>4538</v>
      </c>
      <c r="AC6" s="6" t="s">
        <v>4539</v>
      </c>
      <c r="AD6" s="368">
        <v>13</v>
      </c>
      <c r="AE6" s="63">
        <v>9</v>
      </c>
      <c r="AF6" s="300">
        <v>22</v>
      </c>
      <c r="AH6" s="369" t="s">
        <v>4546</v>
      </c>
      <c r="AI6" s="1" t="s">
        <v>4547</v>
      </c>
      <c r="AJ6" s="368">
        <v>17</v>
      </c>
      <c r="AK6" s="63">
        <v>16</v>
      </c>
      <c r="AL6" s="300">
        <v>33</v>
      </c>
      <c r="AP6" t="s">
        <v>921</v>
      </c>
      <c r="AQ6">
        <v>90</v>
      </c>
      <c r="AR6" t="str">
        <f>VLOOKUP(AQ6, Rankings!A$2:D$113, 4, FALSE)</f>
        <v>Mount Hokulani</v>
      </c>
      <c r="AS6" t="str">
        <f>VLOOKUP(AQ6, Rankings!A$2:D$113, 2, FALSE)</f>
        <v>Lanakila</v>
      </c>
    </row>
    <row r="7" spans="2:45" ht="14.4" customHeight="1" x14ac:dyDescent="0.35">
      <c r="D7" s="63"/>
      <c r="E7" s="63"/>
      <c r="F7" s="63"/>
      <c r="G7" s="63"/>
      <c r="H7" s="63"/>
      <c r="J7" s="63"/>
      <c r="K7" s="63"/>
      <c r="L7" s="63"/>
      <c r="M7" s="63"/>
      <c r="Q7" s="63"/>
      <c r="R7" s="63"/>
      <c r="S7" s="63"/>
      <c r="T7" s="63"/>
      <c r="U7" s="63"/>
      <c r="V7" s="63"/>
      <c r="W7" s="63"/>
      <c r="X7" s="63"/>
      <c r="Y7" s="63"/>
      <c r="Z7" s="63"/>
      <c r="AB7" s="235"/>
      <c r="AC7" s="1"/>
      <c r="AD7" s="63"/>
      <c r="AE7" s="63"/>
      <c r="AF7" s="300"/>
      <c r="AH7" s="235"/>
      <c r="AI7" s="1"/>
      <c r="AJ7" s="63"/>
      <c r="AK7" s="63"/>
      <c r="AL7" s="300"/>
      <c r="AP7" t="s">
        <v>2079</v>
      </c>
      <c r="AQ7">
        <v>60</v>
      </c>
      <c r="AR7" t="str">
        <f>VLOOKUP(AQ7, Rankings!A$2:D$113, 4, FALSE)</f>
        <v>Striaton City</v>
      </c>
      <c r="AS7" t="str">
        <f>VLOOKUP(AQ7, Rankings!A$2:D$113, 2, FALSE)</f>
        <v>Vertress</v>
      </c>
    </row>
    <row r="8" spans="2:45" ht="14.4" customHeight="1" x14ac:dyDescent="0.35">
      <c r="C8" s="1" t="s">
        <v>2091</v>
      </c>
      <c r="D8" s="300" t="s">
        <v>2084</v>
      </c>
      <c r="E8" s="300" t="s">
        <v>1372</v>
      </c>
      <c r="F8" s="300" t="s">
        <v>5</v>
      </c>
      <c r="G8" s="300" t="s">
        <v>6</v>
      </c>
      <c r="H8" s="300" t="s">
        <v>2089</v>
      </c>
      <c r="I8" s="1"/>
      <c r="J8" s="300" t="s">
        <v>3748</v>
      </c>
      <c r="K8" s="300" t="s">
        <v>3750</v>
      </c>
      <c r="L8" s="300" t="s">
        <v>3749</v>
      </c>
      <c r="M8" s="300" t="s">
        <v>3751</v>
      </c>
      <c r="P8" s="1" t="s">
        <v>2095</v>
      </c>
      <c r="Q8" s="300" t="s">
        <v>2084</v>
      </c>
      <c r="R8" s="300" t="s">
        <v>1372</v>
      </c>
      <c r="S8" s="300" t="s">
        <v>5</v>
      </c>
      <c r="T8" s="300" t="s">
        <v>6</v>
      </c>
      <c r="U8" s="300" t="s">
        <v>2089</v>
      </c>
      <c r="V8" s="300"/>
      <c r="W8" s="300" t="s">
        <v>3761</v>
      </c>
      <c r="X8" s="300" t="s">
        <v>3760</v>
      </c>
      <c r="Y8" s="300" t="s">
        <v>3763</v>
      </c>
      <c r="Z8" s="300" t="s">
        <v>3762</v>
      </c>
      <c r="AB8" s="237" t="s">
        <v>4261</v>
      </c>
      <c r="AC8" s="1" t="s">
        <v>4259</v>
      </c>
      <c r="AD8" s="368">
        <v>24</v>
      </c>
      <c r="AE8" s="370">
        <v>20</v>
      </c>
      <c r="AF8" s="300">
        <v>44</v>
      </c>
      <c r="AH8" s="237" t="s">
        <v>3564</v>
      </c>
      <c r="AI8" s="1" t="s">
        <v>4250</v>
      </c>
      <c r="AJ8" s="368">
        <v>18</v>
      </c>
      <c r="AK8" s="370">
        <v>27</v>
      </c>
      <c r="AL8" s="300">
        <v>45</v>
      </c>
      <c r="AP8" t="s">
        <v>1074</v>
      </c>
      <c r="AQ8">
        <v>44</v>
      </c>
      <c r="AR8" t="str">
        <f>VLOOKUP(AQ8, Rankings!A$2:D$113, 4, FALSE)</f>
        <v>Veilstone City</v>
      </c>
      <c r="AS8" t="str">
        <f>VLOOKUP(AQ8, Rankings!A$2:D$113, 2, FALSE)</f>
        <v>Lily Valley</v>
      </c>
    </row>
    <row r="9" spans="2:45" ht="14.4" customHeight="1" x14ac:dyDescent="0.35">
      <c r="B9" s="63" t="s">
        <v>2665</v>
      </c>
      <c r="C9" t="str">
        <f>CONCATENATE(VLOOKUP(D9, Rankings!A$2:D$113, 4, FALSE), " (", VLOOKUP(D9, Rankings!A$2:D$113, 2, FALSE), ")")</f>
        <v>Resort Area (Lily Valley)</v>
      </c>
      <c r="D9" s="63">
        <v>42</v>
      </c>
      <c r="E9" s="63">
        <f>VLOOKUP(D9,Rankings!$A$2:$AZ$113,52,FALSE)</f>
        <v>3</v>
      </c>
      <c r="F9" s="63">
        <v>4</v>
      </c>
      <c r="G9" s="63">
        <v>2</v>
      </c>
      <c r="H9" s="63">
        <f>22+28-2</f>
        <v>48</v>
      </c>
      <c r="J9" s="309"/>
      <c r="K9" s="226" t="s">
        <v>3793</v>
      </c>
      <c r="L9" s="311" t="s">
        <v>3772</v>
      </c>
      <c r="M9" s="311" t="s">
        <v>4196</v>
      </c>
      <c r="O9" s="63" t="s">
        <v>2673</v>
      </c>
      <c r="P9" t="str">
        <f>CONCATENATE(VLOOKUP(Q9, Rankings!A$2:D$113, 4, FALSE), " (", VLOOKUP(Q9, Rankings!A$2:D$113, 2, FALSE), ")")</f>
        <v>Mount Hokulani (Lanakila)</v>
      </c>
      <c r="Q9" s="63">
        <v>90</v>
      </c>
      <c r="R9" s="63">
        <f>VLOOKUP(Q9,Rankings!$A$2:$AZ$113,52,FALSE)</f>
        <v>58</v>
      </c>
      <c r="S9" s="63">
        <v>4</v>
      </c>
      <c r="T9" s="63">
        <v>2</v>
      </c>
      <c r="U9" s="63">
        <f>16+4</f>
        <v>20</v>
      </c>
      <c r="V9" s="63"/>
      <c r="W9" s="309"/>
      <c r="X9" s="311" t="s">
        <v>4238</v>
      </c>
      <c r="Y9" s="311" t="s">
        <v>3783</v>
      </c>
      <c r="Z9" s="226" t="s">
        <v>3801</v>
      </c>
      <c r="AB9" s="369" t="s">
        <v>3573</v>
      </c>
      <c r="AC9" s="6" t="s">
        <v>3601</v>
      </c>
      <c r="AD9" s="63">
        <v>8</v>
      </c>
      <c r="AE9" s="63">
        <v>15</v>
      </c>
      <c r="AF9" s="300">
        <v>23</v>
      </c>
      <c r="AH9" s="369" t="s">
        <v>3575</v>
      </c>
      <c r="AI9" s="6" t="s">
        <v>2602</v>
      </c>
      <c r="AJ9" s="63">
        <v>15</v>
      </c>
      <c r="AK9" s="63">
        <v>12</v>
      </c>
      <c r="AL9" s="300">
        <v>27</v>
      </c>
    </row>
    <row r="10" spans="2:45" ht="14.4" customHeight="1" x14ac:dyDescent="0.35">
      <c r="B10" s="63" t="s">
        <v>2674</v>
      </c>
      <c r="C10" t="str">
        <f>CONCATENATE(VLOOKUP(D10, Rankings!A$2:D$113, 4, FALSE), " (", VLOOKUP(D10, Rankings!A$2:D$113, 2, FALSE), ")")</f>
        <v>Olivine City (Indigo)</v>
      </c>
      <c r="D10" s="63">
        <v>4</v>
      </c>
      <c r="E10" s="63">
        <f>VLOOKUP(D10,Rankings!$A$2:$AZ$113,52,FALSE)</f>
        <v>12</v>
      </c>
      <c r="F10" s="63">
        <v>4</v>
      </c>
      <c r="G10" s="63">
        <v>2</v>
      </c>
      <c r="H10" s="63">
        <f>8+22</f>
        <v>30</v>
      </c>
      <c r="J10" s="226" t="s">
        <v>3794</v>
      </c>
      <c r="K10" s="309"/>
      <c r="L10" s="311" t="s">
        <v>4193</v>
      </c>
      <c r="M10" s="311" t="s">
        <v>3771</v>
      </c>
      <c r="O10" s="63" t="s">
        <v>2666</v>
      </c>
      <c r="P10" t="str">
        <f>CONCATENATE(VLOOKUP(Q10, Rankings!A$2:D$113, 4, FALSE), " (", VLOOKUP(Q10, Rankings!A$2:D$113, 2, FALSE), ")")</f>
        <v>Laverre City (Kalosite)</v>
      </c>
      <c r="Q10" s="63">
        <v>71</v>
      </c>
      <c r="R10" s="63">
        <f>VLOOKUP(Q10,Rankings!$A$2:$AZ$113,52,FALSE)</f>
        <v>27</v>
      </c>
      <c r="S10" s="63">
        <v>3</v>
      </c>
      <c r="T10" s="63">
        <v>3</v>
      </c>
      <c r="U10" s="63">
        <f>40-4</f>
        <v>36</v>
      </c>
      <c r="V10" s="63"/>
      <c r="W10" s="226" t="s">
        <v>4236</v>
      </c>
      <c r="X10" s="309"/>
      <c r="Y10" s="311" t="s">
        <v>3802</v>
      </c>
      <c r="Z10" s="311" t="s">
        <v>3785</v>
      </c>
      <c r="AB10" s="235"/>
      <c r="AC10" s="1"/>
      <c r="AD10" s="63"/>
      <c r="AE10" s="63"/>
      <c r="AF10" s="300"/>
      <c r="AH10" s="235"/>
      <c r="AI10" s="1"/>
      <c r="AJ10" s="63"/>
      <c r="AK10" s="63"/>
      <c r="AL10" s="300"/>
    </row>
    <row r="11" spans="2:45" ht="14.4" customHeight="1" x14ac:dyDescent="0.35">
      <c r="C11" t="str">
        <f>CONCATENATE(VLOOKUP(D11, Rankings!A$2:D$113, 4, FALSE), " (", VLOOKUP(D11, Rankings!A$2:D$113, 2, FALSE), ")")</f>
        <v>Nacrene City (Vertress)</v>
      </c>
      <c r="D11" s="63">
        <v>59</v>
      </c>
      <c r="E11" s="63">
        <f>VLOOKUP(D11,Rankings!$A$2:$AZ$113,52,FALSE)</f>
        <v>52</v>
      </c>
      <c r="F11" s="63">
        <v>2</v>
      </c>
      <c r="G11" s="63">
        <v>4</v>
      </c>
      <c r="H11" s="63">
        <f>-8-22</f>
        <v>-30</v>
      </c>
      <c r="J11" s="226" t="s">
        <v>3773</v>
      </c>
      <c r="K11" s="226" t="s">
        <v>4191</v>
      </c>
      <c r="L11" s="309"/>
      <c r="M11" s="311" t="s">
        <v>3795</v>
      </c>
      <c r="P11" t="str">
        <f>CONCATENATE(VLOOKUP(Q11, Rankings!A$2:D$113, 4, FALSE), " (", VLOOKUP(Q11, Rankings!A$2:D$113, 2, FALSE), ")")</f>
        <v>Azalea Town (Indigo)</v>
      </c>
      <c r="Q11" s="63">
        <v>5</v>
      </c>
      <c r="R11" s="63">
        <f>VLOOKUP(Q11,Rankings!$A$2:$AZ$113,52,FALSE)</f>
        <v>82</v>
      </c>
      <c r="S11" s="63">
        <v>3</v>
      </c>
      <c r="T11" s="63">
        <v>3</v>
      </c>
      <c r="U11" s="63">
        <f>-20+10</f>
        <v>-10</v>
      </c>
      <c r="V11" s="63"/>
      <c r="W11" s="226" t="s">
        <v>3782</v>
      </c>
      <c r="X11" s="311" t="s">
        <v>3683</v>
      </c>
      <c r="Y11" s="309"/>
      <c r="Z11" s="311" t="s">
        <v>4243</v>
      </c>
      <c r="AB11" s="237" t="s">
        <v>4207</v>
      </c>
      <c r="AC11" s="1" t="s">
        <v>2620</v>
      </c>
      <c r="AD11" s="63">
        <v>26</v>
      </c>
      <c r="AE11" s="370">
        <v>30</v>
      </c>
      <c r="AF11" s="300">
        <v>56</v>
      </c>
      <c r="AH11" s="237" t="s">
        <v>4260</v>
      </c>
      <c r="AI11" s="1" t="s">
        <v>4258</v>
      </c>
      <c r="AJ11" s="63">
        <v>20</v>
      </c>
      <c r="AK11" s="370">
        <v>20</v>
      </c>
      <c r="AL11" s="300">
        <v>40</v>
      </c>
      <c r="AR11" t="s">
        <v>2071</v>
      </c>
    </row>
    <row r="12" spans="2:45" ht="14.4" customHeight="1" x14ac:dyDescent="0.35">
      <c r="C12" t="str">
        <f>CONCATENATE(VLOOKUP(D12, Rankings!A$2:D$113, 4, FALSE), " (", VLOOKUP(D12, Rankings!A$2:D$113, 2, FALSE), ")")</f>
        <v>Aquacorde Town (Kalosite)</v>
      </c>
      <c r="D12" s="63">
        <v>77</v>
      </c>
      <c r="E12" s="63">
        <f>VLOOKUP(D12,Rankings!$A$2:$AZ$113,52,FALSE)</f>
        <v>70</v>
      </c>
      <c r="F12" s="63">
        <v>2</v>
      </c>
      <c r="G12" s="63">
        <v>4</v>
      </c>
      <c r="H12" s="63">
        <f>-22-28+2</f>
        <v>-48</v>
      </c>
      <c r="J12" s="311" t="s">
        <v>4198</v>
      </c>
      <c r="K12" s="311" t="s">
        <v>3770</v>
      </c>
      <c r="L12" s="226" t="s">
        <v>3677</v>
      </c>
      <c r="M12" s="309"/>
      <c r="P12" t="str">
        <f>CONCATENATE(VLOOKUP(Q12, Rankings!A$2:D$113, 4, FALSE), " (", VLOOKUP(Q12, Rankings!A$2:D$113, 2, FALSE), ")")</f>
        <v>Stow-on-Side (Dynamax)</v>
      </c>
      <c r="Q12" s="63">
        <v>98</v>
      </c>
      <c r="R12" s="63">
        <f>VLOOKUP(Q12,Rankings!$A$2:$AZ$113,52,FALSE)</f>
        <v>95</v>
      </c>
      <c r="S12" s="63">
        <v>2</v>
      </c>
      <c r="T12" s="63">
        <v>4</v>
      </c>
      <c r="U12" s="63">
        <f>-36-10</f>
        <v>-46</v>
      </c>
      <c r="V12" s="63"/>
      <c r="W12" s="311" t="s">
        <v>3800</v>
      </c>
      <c r="X12" s="226" t="s">
        <v>3784</v>
      </c>
      <c r="Y12" s="226" t="s">
        <v>4241</v>
      </c>
      <c r="Z12" s="309"/>
      <c r="AB12" s="369" t="s">
        <v>3576</v>
      </c>
      <c r="AC12" s="6" t="s">
        <v>3619</v>
      </c>
      <c r="AD12" s="368">
        <v>28</v>
      </c>
      <c r="AE12" s="63">
        <v>17</v>
      </c>
      <c r="AF12" s="300">
        <v>45</v>
      </c>
      <c r="AH12" s="369" t="s">
        <v>3574</v>
      </c>
      <c r="AI12" s="6" t="s">
        <v>3618</v>
      </c>
      <c r="AJ12" s="368">
        <v>26</v>
      </c>
      <c r="AK12" s="63">
        <v>8</v>
      </c>
      <c r="AL12" s="300">
        <v>34</v>
      </c>
      <c r="AP12" t="s">
        <v>396</v>
      </c>
      <c r="AQ12">
        <v>45</v>
      </c>
      <c r="AR12" t="str">
        <f>VLOOKUP(AQ12, Rankings!A$2:D$113, 4, FALSE)</f>
        <v>Celestic Town</v>
      </c>
      <c r="AS12" t="str">
        <f>VLOOKUP(AQ12, Rankings!A$2:D$113, 2, FALSE)</f>
        <v>Lily Valley</v>
      </c>
    </row>
    <row r="13" spans="2:45" ht="14.4" customHeight="1" x14ac:dyDescent="0.35">
      <c r="D13" s="63"/>
      <c r="E13" s="63"/>
      <c r="F13" s="63"/>
      <c r="G13" s="63"/>
      <c r="H13" s="63"/>
      <c r="J13" s="63"/>
      <c r="K13" s="63"/>
      <c r="L13" s="63"/>
      <c r="M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B13" s="235"/>
      <c r="AC13" s="1"/>
      <c r="AD13" s="63"/>
      <c r="AE13" s="63"/>
      <c r="AF13" s="300"/>
      <c r="AH13" s="235"/>
      <c r="AI13" s="1"/>
      <c r="AJ13" s="63"/>
      <c r="AK13" s="63"/>
      <c r="AL13" s="300"/>
      <c r="AP13" t="s">
        <v>836</v>
      </c>
      <c r="AQ13">
        <v>81</v>
      </c>
      <c r="AR13" t="str">
        <f>VLOOKUP(AQ13, Rankings!A$2:D$113, 4, FALSE)</f>
        <v>Exeggutor Island</v>
      </c>
      <c r="AS13" t="str">
        <f>VLOOKUP(AQ13, Rankings!A$2:D$113, 2, FALSE)</f>
        <v>Lanakila</v>
      </c>
    </row>
    <row r="14" spans="2:45" ht="14.4" customHeight="1" x14ac:dyDescent="0.35">
      <c r="C14" s="1" t="s">
        <v>2092</v>
      </c>
      <c r="D14" s="300" t="s">
        <v>2084</v>
      </c>
      <c r="E14" s="300" t="s">
        <v>1372</v>
      </c>
      <c r="F14" s="300" t="s">
        <v>5</v>
      </c>
      <c r="G14" s="300" t="s">
        <v>6</v>
      </c>
      <c r="H14" s="300" t="s">
        <v>2089</v>
      </c>
      <c r="I14" s="1"/>
      <c r="J14" s="300" t="s">
        <v>3753</v>
      </c>
      <c r="K14" s="300" t="s">
        <v>3752</v>
      </c>
      <c r="L14" s="300" t="s">
        <v>3754</v>
      </c>
      <c r="M14" s="300" t="s">
        <v>3755</v>
      </c>
      <c r="P14" s="1" t="s">
        <v>2094</v>
      </c>
      <c r="Q14" s="300" t="s">
        <v>2084</v>
      </c>
      <c r="R14" s="300" t="s">
        <v>1372</v>
      </c>
      <c r="S14" s="300" t="s">
        <v>5</v>
      </c>
      <c r="T14" s="300" t="s">
        <v>6</v>
      </c>
      <c r="U14" s="300" t="s">
        <v>2089</v>
      </c>
      <c r="V14" s="300"/>
      <c r="W14" s="300" t="s">
        <v>3764</v>
      </c>
      <c r="X14" s="300" t="s">
        <v>3765</v>
      </c>
      <c r="Y14" s="300" t="s">
        <v>3766</v>
      </c>
      <c r="Z14" s="300" t="s">
        <v>3767</v>
      </c>
      <c r="AB14" s="237" t="s">
        <v>4206</v>
      </c>
      <c r="AC14" s="1" t="s">
        <v>4199</v>
      </c>
      <c r="AD14" s="368">
        <v>29</v>
      </c>
      <c r="AE14" s="370">
        <v>22</v>
      </c>
      <c r="AF14" s="300">
        <v>51</v>
      </c>
      <c r="AH14" s="237" t="s">
        <v>4233</v>
      </c>
      <c r="AI14" s="6" t="s">
        <v>4244</v>
      </c>
      <c r="AJ14" s="63">
        <v>15</v>
      </c>
      <c r="AK14" s="370">
        <v>18</v>
      </c>
      <c r="AL14" s="300">
        <v>33</v>
      </c>
      <c r="AP14" t="s">
        <v>837</v>
      </c>
      <c r="AQ14">
        <v>59</v>
      </c>
      <c r="AR14" t="str">
        <f>VLOOKUP(AQ14, Rankings!A$2:D$113, 4, FALSE)</f>
        <v>Nacrene City</v>
      </c>
      <c r="AS14" t="str">
        <f>VLOOKUP(AQ14, Rankings!A$2:D$113, 2, FALSE)</f>
        <v>Vertress</v>
      </c>
    </row>
    <row r="15" spans="2:45" ht="14.4" customHeight="1" x14ac:dyDescent="0.35">
      <c r="B15" s="63" t="s">
        <v>2667</v>
      </c>
      <c r="C15" t="str">
        <f>CONCATENATE(VLOOKUP(D15, Rankings!A$2:D$113, 4, FALSE), " (", VLOOKUP(D15, Rankings!A$2:D$113, 2, FALSE), ")")</f>
        <v>Malie City (Lanakila)</v>
      </c>
      <c r="D15" s="63">
        <v>89</v>
      </c>
      <c r="E15" s="63">
        <f>VLOOKUP(D15,Rankings!$A$2:$AZ$113,52,FALSE)</f>
        <v>18</v>
      </c>
      <c r="F15" s="63">
        <v>5</v>
      </c>
      <c r="G15" s="63">
        <v>1</v>
      </c>
      <c r="H15" s="63">
        <f>22+8</f>
        <v>30</v>
      </c>
      <c r="J15" s="309"/>
      <c r="K15" s="311" t="s">
        <v>4203</v>
      </c>
      <c r="L15" s="311" t="s">
        <v>3798</v>
      </c>
      <c r="M15" s="311" t="s">
        <v>3777</v>
      </c>
      <c r="O15" s="63" t="s">
        <v>2675</v>
      </c>
      <c r="P15" t="str">
        <f>CONCATENATE(VLOOKUP(Q15, Rankings!A$2:D$113, 4, FALSE), " (", VLOOKUP(Q15, Rankings!A$2:D$113, 2, FALSE), ")")</f>
        <v>Veilstone City (Lily Valley)</v>
      </c>
      <c r="Q15" s="63">
        <v>44</v>
      </c>
      <c r="R15" s="63">
        <f>VLOOKUP(Q15,Rankings!$A$2:$AZ$113,52,FALSE)</f>
        <v>7</v>
      </c>
      <c r="S15" s="63">
        <v>5</v>
      </c>
      <c r="T15" s="63">
        <v>1</v>
      </c>
      <c r="U15" s="63">
        <f>56-10</f>
        <v>46</v>
      </c>
      <c r="V15" s="63"/>
      <c r="W15" s="309"/>
      <c r="X15" s="226" t="s">
        <v>4249</v>
      </c>
      <c r="Y15" s="311" t="s">
        <v>3696</v>
      </c>
      <c r="Z15" s="311" t="s">
        <v>3787</v>
      </c>
      <c r="AB15" s="237" t="s">
        <v>4533</v>
      </c>
      <c r="AC15" s="6" t="s">
        <v>4534</v>
      </c>
      <c r="AD15" s="63">
        <v>13</v>
      </c>
      <c r="AE15" s="63">
        <v>16</v>
      </c>
      <c r="AF15" s="300">
        <v>29</v>
      </c>
      <c r="AH15" s="369" t="s">
        <v>4542</v>
      </c>
      <c r="AI15" s="1" t="s">
        <v>4543</v>
      </c>
      <c r="AJ15" s="368">
        <v>19</v>
      </c>
      <c r="AK15" s="63">
        <v>16</v>
      </c>
      <c r="AL15" s="300">
        <v>35</v>
      </c>
      <c r="AP15" t="s">
        <v>921</v>
      </c>
      <c r="AQ15">
        <v>71</v>
      </c>
      <c r="AR15" t="str">
        <f>VLOOKUP(AQ15, Rankings!A$2:D$113, 4, FALSE)</f>
        <v>Laverre City</v>
      </c>
      <c r="AS15" t="str">
        <f>VLOOKUP(AQ15, Rankings!A$2:D$113, 2, FALSE)</f>
        <v>Kalosite</v>
      </c>
    </row>
    <row r="16" spans="2:45" ht="14.4" customHeight="1" x14ac:dyDescent="0.35">
      <c r="B16" s="63" t="s">
        <v>2676</v>
      </c>
      <c r="C16" t="str">
        <f>CONCATENATE(VLOOKUP(D16, Rankings!A$2:D$113, 4, FALSE), " (", VLOOKUP(D16, Rankings!A$2:D$113, 2, FALSE), ")")</f>
        <v>Striaton City (Vertress)</v>
      </c>
      <c r="D16" s="63">
        <v>60</v>
      </c>
      <c r="E16" s="63">
        <f>VLOOKUP(D16,Rankings!$A$2:$AZ$113,52,FALSE)</f>
        <v>48</v>
      </c>
      <c r="F16" s="63">
        <v>3</v>
      </c>
      <c r="G16" s="63">
        <v>3</v>
      </c>
      <c r="H16" s="63">
        <f>8-8</f>
        <v>0</v>
      </c>
      <c r="J16" s="226" t="s">
        <v>4205</v>
      </c>
      <c r="K16" s="309"/>
      <c r="L16" s="311" t="s">
        <v>3775</v>
      </c>
      <c r="M16" s="311" t="s">
        <v>3797</v>
      </c>
      <c r="O16" s="63" t="s">
        <v>2668</v>
      </c>
      <c r="P16" t="str">
        <f>CONCATENATE(VLOOKUP(Q16, Rankings!A$2:D$113, 4, FALSE), " (", VLOOKUP(Q16, Rankings!A$2:D$113, 2, FALSE), ")")</f>
        <v>Fallarbor Town (Delta)</v>
      </c>
      <c r="Q16" s="63">
        <v>21</v>
      </c>
      <c r="R16" s="63">
        <f>VLOOKUP(Q16,Rankings!$A$2:$AZ$113,52,FALSE)</f>
        <v>21</v>
      </c>
      <c r="S16" s="63">
        <v>3</v>
      </c>
      <c r="T16" s="63">
        <v>3</v>
      </c>
      <c r="U16" s="63">
        <f>2+10</f>
        <v>12</v>
      </c>
      <c r="V16" s="63"/>
      <c r="W16" s="226" t="s">
        <v>3799</v>
      </c>
      <c r="X16" s="309"/>
      <c r="Y16" s="311" t="s">
        <v>3771</v>
      </c>
      <c r="Z16" s="311" t="s">
        <v>3805</v>
      </c>
      <c r="AC16" s="1"/>
      <c r="AD16" s="63"/>
      <c r="AE16" s="63"/>
      <c r="AF16" s="63"/>
      <c r="AI16" s="1"/>
      <c r="AJ16" s="63"/>
      <c r="AK16" s="63"/>
      <c r="AL16" s="63"/>
      <c r="AP16" t="s">
        <v>2079</v>
      </c>
      <c r="AQ16">
        <v>89</v>
      </c>
      <c r="AR16" t="str">
        <f>VLOOKUP(AQ16, Rankings!A$2:D$113, 4, FALSE)</f>
        <v>Malie City</v>
      </c>
      <c r="AS16" t="str">
        <f>VLOOKUP(AQ16, Rankings!A$2:D$113, 2, FALSE)</f>
        <v>Lanakila</v>
      </c>
    </row>
    <row r="17" spans="2:45" ht="14.4" customHeight="1" x14ac:dyDescent="0.35">
      <c r="C17" t="str">
        <f>CONCATENATE(VLOOKUP(D17, Rankings!A$2:D$113, 4, FALSE), " (", VLOOKUP(D17, Rankings!A$2:D$113, 2, FALSE), ")")</f>
        <v>Wyndon South (Dynamax)</v>
      </c>
      <c r="D17" s="63">
        <v>100</v>
      </c>
      <c r="E17" s="63">
        <f>VLOOKUP(D17,Rankings!$A$2:$AZ$113,52,FALSE)</f>
        <v>37</v>
      </c>
      <c r="F17" s="63">
        <v>2</v>
      </c>
      <c r="G17" s="63">
        <v>4</v>
      </c>
      <c r="H17" s="63">
        <f>-14-3+14</f>
        <v>-3</v>
      </c>
      <c r="J17" s="311" t="s">
        <v>3666</v>
      </c>
      <c r="K17" s="226" t="s">
        <v>3774</v>
      </c>
      <c r="L17" s="309"/>
      <c r="M17" s="311" t="s">
        <v>4212</v>
      </c>
      <c r="P17" t="str">
        <f>CONCATENATE(VLOOKUP(Q17, Rankings!A$2:D$113, 4, FALSE), " (", VLOOKUP(Q17, Rankings!A$2:D$113, 2, FALSE), ")")</f>
        <v>Saffron City (Indigo)</v>
      </c>
      <c r="Q17" s="63">
        <v>11</v>
      </c>
      <c r="R17" s="63">
        <f>VLOOKUP(Q17,Rankings!$A$2:$AZ$113,52,FALSE)</f>
        <v>66</v>
      </c>
      <c r="S17" s="63">
        <v>3</v>
      </c>
      <c r="T17" s="63">
        <v>3</v>
      </c>
      <c r="U17" s="63">
        <f>-20+13</f>
        <v>-7</v>
      </c>
      <c r="V17" s="63"/>
      <c r="W17" s="226" t="s">
        <v>3803</v>
      </c>
      <c r="X17" s="226" t="s">
        <v>3788</v>
      </c>
      <c r="Y17" s="309"/>
      <c r="Z17" s="311" t="s">
        <v>4254</v>
      </c>
      <c r="AC17" s="481" t="s">
        <v>3651</v>
      </c>
      <c r="AD17" s="481"/>
      <c r="AE17" s="481"/>
      <c r="AF17" s="481"/>
      <c r="AG17" s="481"/>
      <c r="AH17" s="481"/>
      <c r="AI17" s="481"/>
      <c r="AJ17" s="481"/>
      <c r="AK17" s="481"/>
      <c r="AL17" s="481"/>
      <c r="AP17" t="s">
        <v>1074</v>
      </c>
      <c r="AQ17">
        <v>21</v>
      </c>
      <c r="AR17" t="str">
        <f>VLOOKUP(AQ17, Rankings!A$2:D$113, 4, FALSE)</f>
        <v>Fallarbor Town</v>
      </c>
      <c r="AS17" t="str">
        <f>VLOOKUP(AQ17, Rankings!A$2:D$113, 2, FALSE)</f>
        <v>Delta</v>
      </c>
    </row>
    <row r="18" spans="2:45" ht="14.4" customHeight="1" x14ac:dyDescent="0.35">
      <c r="C18" t="str">
        <f>CONCATENATE(VLOOKUP(D18, Rankings!A$2:D$113, 4, FALSE), " (", VLOOKUP(D18, Rankings!A$2:D$113, 2, FALSE), ")")</f>
        <v>Oldale Town (Delta)</v>
      </c>
      <c r="D18" s="63">
        <v>19</v>
      </c>
      <c r="E18" s="63">
        <f>VLOOKUP(D18,Rankings!$A$2:$AZ$113,52,FALSE)</f>
        <v>68</v>
      </c>
      <c r="F18" s="63">
        <v>2</v>
      </c>
      <c r="G18" s="63">
        <v>4</v>
      </c>
      <c r="H18" s="63">
        <f>-16+3-14</f>
        <v>-27</v>
      </c>
      <c r="J18" s="226" t="s">
        <v>3776</v>
      </c>
      <c r="K18" s="311" t="s">
        <v>3796</v>
      </c>
      <c r="L18" s="311" t="s">
        <v>4210</v>
      </c>
      <c r="M18" s="309"/>
      <c r="P18" t="str">
        <f>CONCATENATE(VLOOKUP(Q18, Rankings!A$2:D$113, 4, FALSE), " (", VLOOKUP(Q18, Rankings!A$2:D$113, 2, FALSE), ")")</f>
        <v>Hau'oli City (Lanakila)</v>
      </c>
      <c r="Q18" s="63">
        <v>85</v>
      </c>
      <c r="R18" s="63">
        <f>VLOOKUP(Q18,Rankings!$A$2:$AZ$113,52,FALSE)</f>
        <v>106</v>
      </c>
      <c r="S18" s="63">
        <v>1</v>
      </c>
      <c r="T18" s="63">
        <v>5</v>
      </c>
      <c r="U18" s="63">
        <f>-38-13</f>
        <v>-51</v>
      </c>
      <c r="V18" s="63"/>
      <c r="W18" s="226" t="s">
        <v>3786</v>
      </c>
      <c r="X18" s="311" t="s">
        <v>3804</v>
      </c>
      <c r="Y18" s="226" t="s">
        <v>4257</v>
      </c>
      <c r="Z18" s="309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</row>
    <row r="19" spans="2:45" ht="14.4" customHeight="1" x14ac:dyDescent="0.35">
      <c r="D19" s="63"/>
      <c r="E19" s="63"/>
      <c r="F19" s="63"/>
      <c r="G19" s="63"/>
      <c r="H19" s="63"/>
      <c r="J19" s="63"/>
      <c r="K19" s="63"/>
      <c r="L19" s="63"/>
      <c r="M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2:45" ht="14.4" customHeight="1" x14ac:dyDescent="0.35">
      <c r="B20"/>
      <c r="O20"/>
      <c r="AB20" s="237" t="s">
        <v>4186</v>
      </c>
      <c r="AC20" s="6" t="str">
        <f>IF(ISBLANK(AF5), "Quarterfinalist", IF(AF5&gt;AF6, AC5, AC6))</f>
        <v>Anville Town (Vertress)</v>
      </c>
      <c r="AD20" s="63">
        <v>10</v>
      </c>
      <c r="AE20" s="377">
        <v>19</v>
      </c>
      <c r="AF20" s="300">
        <v>29</v>
      </c>
      <c r="AH20" s="369" t="s">
        <v>4546</v>
      </c>
      <c r="AI20" s="6" t="str">
        <f>IF(ISBLANK(AL5), "Quarterfinalist", IF(AL5&gt;AL6, AI5, AI6))</f>
        <v>Oreburgh City (Lily Valley)</v>
      </c>
      <c r="AJ20" s="63">
        <v>15</v>
      </c>
      <c r="AK20" s="63">
        <v>14</v>
      </c>
      <c r="AL20" s="300">
        <v>29</v>
      </c>
      <c r="AR20" t="s">
        <v>2072</v>
      </c>
    </row>
    <row r="21" spans="2:45" ht="14.4" customHeight="1" x14ac:dyDescent="0.35">
      <c r="B21"/>
      <c r="I21" s="1" t="s">
        <v>3129</v>
      </c>
      <c r="J21" s="63" t="s">
        <v>3525</v>
      </c>
      <c r="K21" s="63" t="s">
        <v>3535</v>
      </c>
      <c r="L21" s="63" t="s">
        <v>3530</v>
      </c>
      <c r="M21" s="63" t="s">
        <v>3536</v>
      </c>
      <c r="P21" s="1" t="s">
        <v>2356</v>
      </c>
      <c r="Q21" s="300" t="s">
        <v>2084</v>
      </c>
      <c r="R21" s="300" t="s">
        <v>1372</v>
      </c>
      <c r="S21" s="300" t="s">
        <v>5</v>
      </c>
      <c r="T21" s="300" t="s">
        <v>6</v>
      </c>
      <c r="U21" s="300" t="s">
        <v>2089</v>
      </c>
      <c r="X21" s="140"/>
      <c r="AB21" s="237" t="s">
        <v>4261</v>
      </c>
      <c r="AC21" s="1" t="str">
        <f>IF(ISBLANK(AF8), "Quarterfinalist", IF(AF8&gt;AF9, AC8, AC9))</f>
        <v>Laverre City (Kalosite)</v>
      </c>
      <c r="AD21" s="377">
        <v>17</v>
      </c>
      <c r="AE21" s="63">
        <v>14</v>
      </c>
      <c r="AF21" s="300">
        <v>31</v>
      </c>
      <c r="AH21" s="237" t="s">
        <v>3564</v>
      </c>
      <c r="AI21" s="1" t="str">
        <f>IF(ISBLANK(AL8), "Quarterfinalist", IF(AL8&gt;AL9, AI8, AI9))</f>
        <v>Veilstone City (Lily Valley)</v>
      </c>
      <c r="AJ21" s="377">
        <v>26</v>
      </c>
      <c r="AK21" s="377">
        <v>35</v>
      </c>
      <c r="AL21" s="300">
        <v>71</v>
      </c>
      <c r="AP21" t="s">
        <v>396</v>
      </c>
      <c r="AQ21">
        <v>49</v>
      </c>
      <c r="AR21" t="str">
        <f>VLOOKUP(AQ21, Rankings!A$2:D$113, 4, FALSE)</f>
        <v>Anville Town</v>
      </c>
      <c r="AS21" t="str">
        <f>VLOOKUP(AQ21, Rankings!A$2:D$113, 2, FALSE)</f>
        <v>Vertress</v>
      </c>
    </row>
    <row r="22" spans="2:45" ht="14.4" customHeight="1" x14ac:dyDescent="0.35">
      <c r="B22"/>
      <c r="I22" s="1" t="s">
        <v>3130</v>
      </c>
      <c r="J22" s="63" t="s">
        <v>3527</v>
      </c>
      <c r="K22" s="63" t="s">
        <v>3533</v>
      </c>
      <c r="L22" s="63" t="s">
        <v>3528</v>
      </c>
      <c r="M22" s="63" t="s">
        <v>3531</v>
      </c>
      <c r="O22" s="349" t="s">
        <v>837</v>
      </c>
      <c r="P22" s="1" t="str">
        <f t="shared" ref="P22:U22" si="0">C$10</f>
        <v>Olivine City (Indigo)</v>
      </c>
      <c r="Q22" s="1">
        <f t="shared" si="0"/>
        <v>4</v>
      </c>
      <c r="R22" s="349">
        <f t="shared" si="0"/>
        <v>12</v>
      </c>
      <c r="S22" s="349">
        <f t="shared" si="0"/>
        <v>4</v>
      </c>
      <c r="T22" s="349">
        <f t="shared" si="0"/>
        <v>2</v>
      </c>
      <c r="U22" s="349">
        <f t="shared" si="0"/>
        <v>30</v>
      </c>
      <c r="AC22" s="1"/>
      <c r="AD22" s="63"/>
      <c r="AE22" s="63"/>
      <c r="AF22" s="300"/>
      <c r="AI22" s="1"/>
      <c r="AJ22" s="63"/>
      <c r="AK22" s="63"/>
      <c r="AL22" s="300"/>
      <c r="AP22" t="s">
        <v>836</v>
      </c>
      <c r="AQ22">
        <v>38</v>
      </c>
      <c r="AR22" t="str">
        <f>VLOOKUP(AQ22, Rankings!A$2:D$113, 4, FALSE)</f>
        <v>Floaroma City</v>
      </c>
      <c r="AS22" t="str">
        <f>VLOOKUP(AQ22, Rankings!A$2:D$113, 2, FALSE)</f>
        <v>Lily Valley</v>
      </c>
    </row>
    <row r="23" spans="2:45" ht="14.4" customHeight="1" x14ac:dyDescent="0.35">
      <c r="B23"/>
      <c r="F23">
        <v>21.2</v>
      </c>
      <c r="G23">
        <f>AVERAGE(E3,R3,E9,R9,E15,R15)</f>
        <v>24</v>
      </c>
      <c r="I23" s="1" t="s">
        <v>3131</v>
      </c>
      <c r="J23" s="63" t="s">
        <v>3526</v>
      </c>
      <c r="K23" s="63" t="s">
        <v>3532</v>
      </c>
      <c r="L23" s="63" t="s">
        <v>3529</v>
      </c>
      <c r="M23" s="63" t="s">
        <v>3534</v>
      </c>
      <c r="O23" s="349" t="s">
        <v>921</v>
      </c>
      <c r="P23" s="1" t="str">
        <f t="shared" ref="P23:U23" si="1">P$10</f>
        <v>Laverre City (Kalosite)</v>
      </c>
      <c r="Q23" s="1">
        <f t="shared" si="1"/>
        <v>71</v>
      </c>
      <c r="R23" s="349">
        <f t="shared" si="1"/>
        <v>27</v>
      </c>
      <c r="S23" s="349">
        <f t="shared" si="1"/>
        <v>3</v>
      </c>
      <c r="T23" s="349">
        <f t="shared" si="1"/>
        <v>3</v>
      </c>
      <c r="U23" s="349">
        <f t="shared" si="1"/>
        <v>36</v>
      </c>
      <c r="W23" s="237"/>
      <c r="AB23" s="237" t="s">
        <v>4207</v>
      </c>
      <c r="AC23" s="6" t="str">
        <f>IF(ISBLANK(AF11), "Quarterfinalist", IF(AF11&gt;AF12, AC11, AC12))</f>
        <v>Malie City (Lanakila)</v>
      </c>
      <c r="AD23" s="63">
        <v>11</v>
      </c>
      <c r="AE23" s="63">
        <v>19</v>
      </c>
      <c r="AF23" s="300">
        <v>30</v>
      </c>
      <c r="AH23" s="237" t="s">
        <v>4260</v>
      </c>
      <c r="AI23" s="1" t="str">
        <f>IF(ISBLANK(AL11), "Quarterfinalist", IF(AL11&gt;AL12, AI11, AI12))</f>
        <v>Olivine City (Indigo)</v>
      </c>
      <c r="AJ23" s="63">
        <v>19</v>
      </c>
      <c r="AK23" s="377">
        <v>21</v>
      </c>
      <c r="AL23" s="300">
        <v>40</v>
      </c>
      <c r="AP23" t="s">
        <v>837</v>
      </c>
      <c r="AQ23">
        <v>77</v>
      </c>
      <c r="AR23" t="str">
        <f>VLOOKUP(AQ23, Rankings!A$2:D$113, 4, FALSE)</f>
        <v>Aquacorde Town</v>
      </c>
      <c r="AS23" t="str">
        <f>VLOOKUP(AQ23, Rankings!A$2:D$113, 2, FALSE)</f>
        <v>Kalosite</v>
      </c>
    </row>
    <row r="24" spans="2:45" ht="14.4" customHeight="1" x14ac:dyDescent="0.35">
      <c r="B24"/>
      <c r="F24">
        <v>27.5</v>
      </c>
      <c r="G24">
        <f>AVERAGE(E4,R4,E10,R10,E16,R16)</f>
        <v>27.5</v>
      </c>
      <c r="J24" s="63"/>
      <c r="K24" s="63"/>
      <c r="L24" s="63"/>
      <c r="M24" s="63"/>
      <c r="O24" s="63" t="s">
        <v>1074</v>
      </c>
      <c r="P24" t="str">
        <f t="shared" ref="P24:U24" si="2">P$16</f>
        <v>Fallarbor Town (Delta)</v>
      </c>
      <c r="Q24">
        <f t="shared" si="2"/>
        <v>21</v>
      </c>
      <c r="R24" s="63">
        <f t="shared" si="2"/>
        <v>21</v>
      </c>
      <c r="S24" s="63">
        <f t="shared" si="2"/>
        <v>3</v>
      </c>
      <c r="T24" s="63">
        <f t="shared" si="2"/>
        <v>3</v>
      </c>
      <c r="U24" s="63">
        <f t="shared" si="2"/>
        <v>12</v>
      </c>
      <c r="AB24" s="237" t="s">
        <v>4206</v>
      </c>
      <c r="AC24" s="1" t="str">
        <f>IF(ISBLANK(AF14), "Quarterfinalist", IF(AF14&gt;AF15, AC14, AC15))</f>
        <v>Resort Area (Lily Valley)</v>
      </c>
      <c r="AD24" s="377">
        <v>24</v>
      </c>
      <c r="AE24" s="377">
        <v>26</v>
      </c>
      <c r="AF24" s="300">
        <v>50</v>
      </c>
      <c r="AH24" s="369" t="s">
        <v>4542</v>
      </c>
      <c r="AI24" s="6" t="str">
        <f>IF(ISBLANK(AL14), "Quarterfinalist", IF(AL14&gt;AL15, AI14, AI15))</f>
        <v>Lilycove City (Delta)</v>
      </c>
      <c r="AJ24" s="377">
        <v>22</v>
      </c>
      <c r="AK24" s="63">
        <v>13</v>
      </c>
      <c r="AL24" s="300">
        <v>35</v>
      </c>
      <c r="AP24" t="s">
        <v>921</v>
      </c>
      <c r="AQ24">
        <v>5</v>
      </c>
      <c r="AR24" t="str">
        <f>VLOOKUP(AQ24, Rankings!A$2:D$113, 4, FALSE)</f>
        <v>Azalea Town</v>
      </c>
      <c r="AS24" t="str">
        <f>VLOOKUP(AQ24, Rankings!A$2:D$113, 2, FALSE)</f>
        <v>Indigo</v>
      </c>
    </row>
    <row r="25" spans="2:45" ht="14.4" customHeight="1" x14ac:dyDescent="0.35">
      <c r="F25">
        <v>45.3</v>
      </c>
      <c r="G25">
        <f>AVERAGE(E5,R5,E11,R11,E17,R17)</f>
        <v>48.666666666666664</v>
      </c>
      <c r="J25" s="63">
        <v>1</v>
      </c>
      <c r="K25" s="63">
        <v>2</v>
      </c>
      <c r="L25" s="63">
        <v>3</v>
      </c>
      <c r="M25" s="63">
        <v>4</v>
      </c>
      <c r="O25" s="63" t="s">
        <v>396</v>
      </c>
      <c r="P25" t="str">
        <f t="shared" ref="P25:U25" si="3">C$4</f>
        <v>Wedgehurst (Dynamax)</v>
      </c>
      <c r="Q25">
        <f t="shared" si="3"/>
        <v>108</v>
      </c>
      <c r="R25" s="63">
        <f t="shared" si="3"/>
        <v>34</v>
      </c>
      <c r="S25" s="63">
        <f t="shared" si="3"/>
        <v>3</v>
      </c>
      <c r="T25" s="63">
        <f t="shared" si="3"/>
        <v>3</v>
      </c>
      <c r="U25" s="63">
        <f t="shared" si="3"/>
        <v>9</v>
      </c>
      <c r="Y25" s="6"/>
      <c r="AC25" s="1"/>
      <c r="AD25" s="63"/>
      <c r="AE25" s="63"/>
      <c r="AF25" s="63"/>
      <c r="AI25" s="1"/>
      <c r="AJ25" s="63"/>
      <c r="AK25" s="63"/>
      <c r="AL25" s="63"/>
      <c r="AP25" t="s">
        <v>2079</v>
      </c>
      <c r="AQ25">
        <v>100</v>
      </c>
      <c r="AR25" t="str">
        <f>VLOOKUP(AQ25, Rankings!A$2:D$113, 4, FALSE)</f>
        <v>Wyndon South</v>
      </c>
      <c r="AS25" t="str">
        <f>VLOOKUP(AQ25, Rankings!A$2:D$113, 2, FALSE)</f>
        <v>Dynamax</v>
      </c>
    </row>
    <row r="26" spans="2:45" ht="14.4" customHeight="1" x14ac:dyDescent="0.35">
      <c r="F26">
        <v>76.8</v>
      </c>
      <c r="G26">
        <f>AVERAGE(E6,R6,E12,R12,E18,R18)</f>
        <v>78.666666666666671</v>
      </c>
      <c r="I26" s="63" t="s">
        <v>3646</v>
      </c>
      <c r="J26" s="310"/>
      <c r="K26" s="299" t="s">
        <v>1010</v>
      </c>
      <c r="L26" s="305" t="s">
        <v>1009</v>
      </c>
      <c r="M26" s="304" t="s">
        <v>1008</v>
      </c>
      <c r="O26" s="63" t="s">
        <v>836</v>
      </c>
      <c r="P26" t="str">
        <f t="shared" ref="P26:U26" si="4">P$4</f>
        <v>Fortree City (Delta)</v>
      </c>
      <c r="Q26">
        <f t="shared" si="4"/>
        <v>29</v>
      </c>
      <c r="R26" s="63">
        <f t="shared" si="4"/>
        <v>23</v>
      </c>
      <c r="S26" s="63">
        <f t="shared" si="4"/>
        <v>3</v>
      </c>
      <c r="T26" s="63">
        <f t="shared" si="4"/>
        <v>3</v>
      </c>
      <c r="U26" s="63">
        <f t="shared" si="4"/>
        <v>8</v>
      </c>
      <c r="Y26" s="6"/>
      <c r="AC26" s="481" t="s">
        <v>3652</v>
      </c>
      <c r="AD26" s="481"/>
      <c r="AE26" s="481"/>
      <c r="AF26" s="481"/>
      <c r="AG26" s="481"/>
      <c r="AH26" s="481"/>
      <c r="AI26" s="481"/>
      <c r="AJ26" s="481"/>
      <c r="AK26" s="481"/>
      <c r="AL26" s="481"/>
      <c r="AP26" t="s">
        <v>1074</v>
      </c>
      <c r="AQ26">
        <v>85</v>
      </c>
      <c r="AR26" t="str">
        <f>VLOOKUP(AQ26, Rankings!A$2:D$113, 4, FALSE)</f>
        <v>Hau'oli City</v>
      </c>
      <c r="AS26" t="str">
        <f>VLOOKUP(AQ26, Rankings!A$2:D$113, 2, FALSE)</f>
        <v>Lanakila</v>
      </c>
    </row>
    <row r="27" spans="2:45" ht="14.4" customHeight="1" x14ac:dyDescent="0.35">
      <c r="I27" s="63" t="s">
        <v>3647</v>
      </c>
      <c r="J27" s="303" t="s">
        <v>1007</v>
      </c>
      <c r="K27" s="310"/>
      <c r="L27" s="301" t="s">
        <v>1005</v>
      </c>
      <c r="M27" s="305" t="s">
        <v>1009</v>
      </c>
      <c r="O27" s="63" t="s">
        <v>2079</v>
      </c>
      <c r="P27" t="str">
        <f t="shared" ref="P27:U27" si="5">C$16</f>
        <v>Striaton City (Vertress)</v>
      </c>
      <c r="Q27">
        <f t="shared" si="5"/>
        <v>60</v>
      </c>
      <c r="R27" s="63">
        <f t="shared" si="5"/>
        <v>48</v>
      </c>
      <c r="S27" s="63">
        <f t="shared" si="5"/>
        <v>3</v>
      </c>
      <c r="T27" s="63">
        <f t="shared" si="5"/>
        <v>3</v>
      </c>
      <c r="U27" s="63">
        <f t="shared" si="5"/>
        <v>0</v>
      </c>
      <c r="X27" s="6"/>
      <c r="Y27" s="6"/>
      <c r="AC27" s="481"/>
      <c r="AD27" s="481"/>
      <c r="AE27" s="481"/>
      <c r="AF27" s="481"/>
      <c r="AG27" s="481"/>
      <c r="AH27" s="481"/>
      <c r="AI27" s="481"/>
      <c r="AJ27" s="481"/>
      <c r="AK27" s="481"/>
      <c r="AL27" s="481"/>
    </row>
    <row r="28" spans="2:45" ht="14.4" customHeight="1" x14ac:dyDescent="0.35">
      <c r="I28" s="63" t="s">
        <v>3648</v>
      </c>
      <c r="J28" s="302" t="s">
        <v>1006</v>
      </c>
      <c r="K28" s="304" t="s">
        <v>1008</v>
      </c>
      <c r="L28" s="310"/>
      <c r="M28" s="299" t="s">
        <v>1010</v>
      </c>
      <c r="X28" s="6"/>
      <c r="Y28" s="6"/>
    </row>
    <row r="29" spans="2:45" ht="14.4" customHeight="1" x14ac:dyDescent="0.35">
      <c r="I29" s="63" t="s">
        <v>3649</v>
      </c>
      <c r="J29" s="301" t="s">
        <v>1005</v>
      </c>
      <c r="K29" s="302" t="s">
        <v>1006</v>
      </c>
      <c r="L29" s="303" t="s">
        <v>1007</v>
      </c>
      <c r="M29" s="310"/>
      <c r="P29" s="481" t="s">
        <v>3654</v>
      </c>
      <c r="Q29" s="481"/>
      <c r="R29" s="481"/>
      <c r="S29" s="481"/>
      <c r="T29" s="481"/>
      <c r="U29" s="481"/>
      <c r="V29" s="481"/>
      <c r="W29" s="481"/>
      <c r="X29" s="481"/>
      <c r="Y29" s="481"/>
      <c r="Z29" s="481"/>
      <c r="AB29" s="237" t="s">
        <v>4261</v>
      </c>
      <c r="AC29" s="6" t="str">
        <f>IF(ISBLANK(AF20), "Semifinalist", IF(AF20&gt;AF21, AC20, AC21))</f>
        <v>Laverre City (Kalosite)</v>
      </c>
      <c r="AD29" s="63">
        <v>22</v>
      </c>
      <c r="AE29" s="63">
        <v>13</v>
      </c>
      <c r="AF29" s="300">
        <v>35</v>
      </c>
      <c r="AH29" s="237" t="s">
        <v>3564</v>
      </c>
      <c r="AI29" s="6" t="str">
        <f>IF(ISBLANK(AL20), "Semifinalist", IF(AL20&gt;AL21, AI20, AI21))</f>
        <v>Veilstone City (Lily Valley)</v>
      </c>
      <c r="AJ29" s="63">
        <v>7</v>
      </c>
      <c r="AK29" s="63">
        <v>20</v>
      </c>
      <c r="AL29" s="300">
        <v>27</v>
      </c>
      <c r="AR29" t="s">
        <v>2073</v>
      </c>
    </row>
    <row r="30" spans="2:45" ht="14.4" customHeight="1" x14ac:dyDescent="0.35">
      <c r="P30" s="481"/>
      <c r="Q30" s="481"/>
      <c r="R30" s="481"/>
      <c r="S30" s="481"/>
      <c r="T30" s="481"/>
      <c r="U30" s="481"/>
      <c r="V30" s="481"/>
      <c r="W30" s="481"/>
      <c r="X30" s="481"/>
      <c r="Y30" s="481"/>
      <c r="Z30" s="481"/>
      <c r="AB30" s="237" t="s">
        <v>4206</v>
      </c>
      <c r="AC30" s="1" t="str">
        <f>IF(ISBLANK(AF23), "Semifinalist", IF(AF23&gt;AF24, AC23, AC24))</f>
        <v>Resort Area (Lily Valley)</v>
      </c>
      <c r="AD30" s="378">
        <v>31</v>
      </c>
      <c r="AE30" s="379">
        <v>31</v>
      </c>
      <c r="AF30" s="300">
        <v>62</v>
      </c>
      <c r="AH30" s="237" t="s">
        <v>4260</v>
      </c>
      <c r="AI30" s="1" t="str">
        <f>IF(ISBLANK(AL23), "Semifinalist", IF(AL23&gt;AL24, AI23, AI24))</f>
        <v>Olivine City (Indigo)</v>
      </c>
      <c r="AJ30" s="378">
        <v>16</v>
      </c>
      <c r="AK30" s="379">
        <v>23</v>
      </c>
      <c r="AL30" s="300">
        <v>39</v>
      </c>
      <c r="AP30" t="s">
        <v>396</v>
      </c>
      <c r="AQ30">
        <v>108</v>
      </c>
      <c r="AR30" t="str">
        <f>VLOOKUP(AQ30, Rankings!A$2:D$113, 4, FALSE)</f>
        <v>Wedgehurst</v>
      </c>
      <c r="AS30" t="str">
        <f>VLOOKUP(AQ30, Rankings!A$2:D$113, 2, FALSE)</f>
        <v>Dynamax</v>
      </c>
    </row>
    <row r="31" spans="2:45" ht="14.4" customHeight="1" x14ac:dyDescent="0.35">
      <c r="I31" s="92" t="s">
        <v>3807</v>
      </c>
      <c r="AC31" s="1"/>
      <c r="AI31" s="1"/>
      <c r="AP31" t="s">
        <v>836</v>
      </c>
      <c r="AQ31">
        <v>109</v>
      </c>
      <c r="AR31" t="str">
        <f>VLOOKUP(AQ31, Rankings!A$2:D$113, 4, FALSE)</f>
        <v>Hulbury</v>
      </c>
      <c r="AS31" t="str">
        <f>VLOOKUP(AQ31, Rankings!A$2:D$113, 2, FALSE)</f>
        <v>Dynamax</v>
      </c>
    </row>
    <row r="32" spans="2:45" ht="14.4" customHeight="1" x14ac:dyDescent="0.35">
      <c r="B32" s="235" t="s">
        <v>1712</v>
      </c>
      <c r="C32" t="s">
        <v>1073</v>
      </c>
      <c r="O32" s="300" t="s">
        <v>3655</v>
      </c>
      <c r="P32" s="486" t="str">
        <f>P24</f>
        <v>Fallarbor Town (Delta)</v>
      </c>
      <c r="Q32" s="486"/>
      <c r="R32" s="486"/>
      <c r="S32">
        <v>16</v>
      </c>
      <c r="T32" s="1">
        <v>25</v>
      </c>
      <c r="U32" s="1">
        <v>41</v>
      </c>
      <c r="V32" s="300" t="str">
        <f>O24</f>
        <v>F</v>
      </c>
      <c r="X32" s="63" t="s">
        <v>2359</v>
      </c>
      <c r="Y32" s="63" t="s">
        <v>2117</v>
      </c>
      <c r="AC32" s="481" t="s">
        <v>3806</v>
      </c>
      <c r="AD32" s="481"/>
      <c r="AE32" s="481"/>
      <c r="AF32" s="481"/>
      <c r="AG32" s="481"/>
      <c r="AH32" s="481"/>
      <c r="AI32" s="481"/>
      <c r="AJ32" s="481"/>
      <c r="AK32" s="481"/>
      <c r="AL32" s="481"/>
      <c r="AP32" t="s">
        <v>837</v>
      </c>
      <c r="AQ32">
        <v>42</v>
      </c>
      <c r="AR32" t="str">
        <f>VLOOKUP(AQ32, Rankings!A$2:D$113, 4, FALSE)</f>
        <v>Resort Area</v>
      </c>
      <c r="AS32" t="str">
        <f>VLOOKUP(AQ32, Rankings!A$2:D$113, 2, FALSE)</f>
        <v>Lily Valley</v>
      </c>
    </row>
    <row r="33" spans="2:45" ht="14.4" customHeight="1" thickBot="1" x14ac:dyDescent="0.4">
      <c r="B33">
        <v>1</v>
      </c>
      <c r="C33" s="236">
        <v>1</v>
      </c>
      <c r="E33">
        <v>2</v>
      </c>
      <c r="F33" s="63" t="s">
        <v>3504</v>
      </c>
      <c r="H33">
        <v>1</v>
      </c>
      <c r="I33" s="63"/>
      <c r="K33">
        <v>12</v>
      </c>
      <c r="L33">
        <v>9</v>
      </c>
      <c r="M33">
        <v>8</v>
      </c>
      <c r="O33" s="141" t="s">
        <v>3658</v>
      </c>
      <c r="P33" s="487" t="str">
        <f>Master!P35</f>
        <v>Seafolk Village (Lanakila)</v>
      </c>
      <c r="Q33" s="487"/>
      <c r="R33" s="487"/>
      <c r="S33" s="44">
        <v>17</v>
      </c>
      <c r="T33" s="12">
        <v>15</v>
      </c>
      <c r="U33" s="44">
        <v>32</v>
      </c>
      <c r="V33" s="55"/>
      <c r="X33" s="361" t="s">
        <v>3655</v>
      </c>
      <c r="Y33" s="63"/>
      <c r="Z33" s="236">
        <f>Master!R28</f>
        <v>28</v>
      </c>
      <c r="AA33">
        <v>1</v>
      </c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P33" t="s">
        <v>921</v>
      </c>
      <c r="AQ33">
        <v>98</v>
      </c>
      <c r="AR33" t="str">
        <f>VLOOKUP(AQ33, Rankings!A$2:D$113, 4, FALSE)</f>
        <v>Stow-on-Side</v>
      </c>
      <c r="AS33" t="str">
        <f>VLOOKUP(AQ33, Rankings!A$2:D$113, 2, FALSE)</f>
        <v>Dynamax</v>
      </c>
    </row>
    <row r="34" spans="2:45" ht="14.4" customHeight="1" x14ac:dyDescent="0.35">
      <c r="B34">
        <v>2</v>
      </c>
      <c r="C34" s="236">
        <v>1</v>
      </c>
      <c r="E34">
        <v>1</v>
      </c>
      <c r="F34" s="63" t="s">
        <v>3505</v>
      </c>
      <c r="H34">
        <v>2</v>
      </c>
      <c r="I34" s="63">
        <v>1</v>
      </c>
      <c r="J34">
        <v>6</v>
      </c>
      <c r="L34">
        <v>1</v>
      </c>
      <c r="M34">
        <v>10</v>
      </c>
      <c r="O34" s="140" t="s">
        <v>3656</v>
      </c>
      <c r="P34" s="488" t="str">
        <f>P25</f>
        <v>Wedgehurst (Dynamax)</v>
      </c>
      <c r="Q34" s="488"/>
      <c r="R34" s="488"/>
      <c r="S34">
        <v>12</v>
      </c>
      <c r="T34" s="1">
        <v>18</v>
      </c>
      <c r="U34" s="1">
        <v>30</v>
      </c>
      <c r="V34" s="140" t="str">
        <f>O25</f>
        <v>A</v>
      </c>
      <c r="X34" s="68" t="s">
        <v>3656</v>
      </c>
      <c r="Y34" s="63"/>
      <c r="Z34" s="236">
        <f>Master!R29</f>
        <v>46</v>
      </c>
      <c r="AA34">
        <v>2</v>
      </c>
      <c r="AC34" s="237" t="s">
        <v>4206</v>
      </c>
      <c r="AD34" s="270">
        <v>30</v>
      </c>
      <c r="AE34" s="270">
        <v>20</v>
      </c>
      <c r="AF34" s="270">
        <v>50</v>
      </c>
      <c r="AG34" s="482" t="str">
        <f>IF(ISBLANK(AF29), "Finalist", IF(AF29&gt;AF30, AC29, AC30))</f>
        <v>Resort Area (Lily Valley)</v>
      </c>
      <c r="AH34" s="482"/>
      <c r="AI34" s="482"/>
      <c r="AJ34" s="482"/>
      <c r="AK34" s="482"/>
      <c r="AL34" s="482"/>
      <c r="AP34" t="s">
        <v>2079</v>
      </c>
      <c r="AQ34">
        <v>19</v>
      </c>
      <c r="AR34" t="str">
        <f>VLOOKUP(AQ34, Rankings!A$2:D$113, 4, FALSE)</f>
        <v>Oldale Town</v>
      </c>
      <c r="AS34" t="str">
        <f>VLOOKUP(AQ34, Rankings!A$2:D$113, 2, FALSE)</f>
        <v>Delta</v>
      </c>
    </row>
    <row r="35" spans="2:45" ht="14.4" customHeight="1" thickBot="1" x14ac:dyDescent="0.4">
      <c r="B35">
        <v>5</v>
      </c>
      <c r="C35" s="236">
        <v>3</v>
      </c>
      <c r="E35">
        <v>2</v>
      </c>
      <c r="F35" s="63" t="s">
        <v>3524</v>
      </c>
      <c r="G35">
        <v>2</v>
      </c>
      <c r="I35" s="63">
        <v>3</v>
      </c>
      <c r="J35">
        <v>3</v>
      </c>
      <c r="K35">
        <v>7</v>
      </c>
      <c r="M35">
        <v>11</v>
      </c>
      <c r="O35" s="55" t="s">
        <v>3659</v>
      </c>
      <c r="P35" s="485" t="str">
        <f>Master!P34</f>
        <v>Twinleaf Town (Lily Valley)</v>
      </c>
      <c r="Q35" s="485"/>
      <c r="R35" s="485"/>
      <c r="S35" s="44">
        <v>18</v>
      </c>
      <c r="T35" s="12">
        <v>17</v>
      </c>
      <c r="U35" s="44">
        <v>35</v>
      </c>
      <c r="V35" s="55"/>
      <c r="X35" s="68" t="s">
        <v>3660</v>
      </c>
      <c r="Y35" s="361" t="s">
        <v>3662</v>
      </c>
      <c r="Z35" s="236">
        <f>Master!R30</f>
        <v>72</v>
      </c>
      <c r="AA35">
        <v>3</v>
      </c>
      <c r="AC35" s="352"/>
      <c r="AD35" s="384"/>
      <c r="AE35" s="384"/>
      <c r="AF35" s="385"/>
      <c r="AG35" s="482"/>
      <c r="AH35" s="482"/>
      <c r="AI35" s="482"/>
      <c r="AJ35" s="482"/>
      <c r="AK35" s="482"/>
      <c r="AL35" s="482"/>
      <c r="AP35" t="s">
        <v>1074</v>
      </c>
      <c r="AQ35">
        <v>11</v>
      </c>
      <c r="AR35" t="str">
        <f>VLOOKUP(AQ35, Rankings!A$2:D$113, 4, FALSE)</f>
        <v>Saffron City</v>
      </c>
      <c r="AS35" t="str">
        <f>VLOOKUP(AQ35, Rankings!A$2:D$113, 2, FALSE)</f>
        <v>Indigo</v>
      </c>
    </row>
    <row r="36" spans="2:45" ht="14.4" customHeight="1" x14ac:dyDescent="0.35">
      <c r="B36">
        <v>1</v>
      </c>
      <c r="C36" s="236">
        <v>1</v>
      </c>
      <c r="E36">
        <v>1</v>
      </c>
      <c r="F36" s="63" t="s">
        <v>3506</v>
      </c>
      <c r="G36">
        <v>1</v>
      </c>
      <c r="H36">
        <v>1</v>
      </c>
      <c r="I36" s="63"/>
      <c r="J36">
        <v>2</v>
      </c>
      <c r="K36">
        <v>4</v>
      </c>
      <c r="L36">
        <v>5</v>
      </c>
      <c r="O36" s="140" t="s">
        <v>3660</v>
      </c>
      <c r="P36" s="484" t="str">
        <f>P26</f>
        <v>Fortree City (Delta)</v>
      </c>
      <c r="Q36" s="484"/>
      <c r="R36" s="484"/>
      <c r="S36">
        <v>16</v>
      </c>
      <c r="T36" s="1">
        <v>17</v>
      </c>
      <c r="U36" s="1">
        <v>33</v>
      </c>
      <c r="V36" s="140" t="str">
        <f>O26</f>
        <v>B</v>
      </c>
      <c r="W36" s="236"/>
      <c r="X36" s="68" t="s">
        <v>3657</v>
      </c>
      <c r="Y36" s="361" t="s">
        <v>3661</v>
      </c>
      <c r="Z36" s="236">
        <f>Master!R31</f>
        <v>43</v>
      </c>
      <c r="AA36">
        <v>4</v>
      </c>
      <c r="AC36" s="237" t="s">
        <v>4260</v>
      </c>
      <c r="AD36" s="383">
        <v>14</v>
      </c>
      <c r="AE36" s="383">
        <v>16</v>
      </c>
      <c r="AF36" s="270">
        <v>30</v>
      </c>
      <c r="AG36" s="480" t="str">
        <f>IF(ISBLANK(AL29), "Finalist", IF(AL29&gt;AL30, AI29, AI30))</f>
        <v>Olivine City (Indigo)</v>
      </c>
      <c r="AH36" s="480"/>
      <c r="AI36" s="480"/>
      <c r="AJ36" s="480"/>
      <c r="AK36" s="480"/>
      <c r="AL36" s="480"/>
    </row>
    <row r="37" spans="2:45" ht="14.4" customHeight="1" thickBot="1" x14ac:dyDescent="0.4">
      <c r="B37">
        <v>2</v>
      </c>
      <c r="C37" s="236">
        <v>1</v>
      </c>
      <c r="E37">
        <v>2</v>
      </c>
      <c r="F37" s="63" t="s">
        <v>3507</v>
      </c>
      <c r="H37">
        <v>1</v>
      </c>
      <c r="I37" s="63">
        <v>1</v>
      </c>
      <c r="O37" s="55" t="s">
        <v>3661</v>
      </c>
      <c r="P37" s="485" t="str">
        <f>Master!P33</f>
        <v>Lilycove City (Delta)</v>
      </c>
      <c r="Q37" s="485"/>
      <c r="R37" s="485"/>
      <c r="S37" s="44">
        <v>19</v>
      </c>
      <c r="T37" s="12">
        <v>15</v>
      </c>
      <c r="U37" s="44">
        <v>34</v>
      </c>
      <c r="V37" s="55"/>
      <c r="X37" s="140"/>
      <c r="Y37" s="361" t="s">
        <v>3659</v>
      </c>
      <c r="Z37" s="376">
        <f>Master!R32</f>
        <v>56</v>
      </c>
      <c r="AA37" s="1">
        <v>5</v>
      </c>
      <c r="AC37" s="352"/>
      <c r="AD37" s="385"/>
      <c r="AE37" s="385"/>
      <c r="AF37" s="385"/>
      <c r="AG37" s="480"/>
      <c r="AH37" s="480"/>
      <c r="AI37" s="480"/>
      <c r="AJ37" s="480"/>
      <c r="AK37" s="480"/>
      <c r="AL37" s="480"/>
    </row>
    <row r="38" spans="2:45" ht="14.4" customHeight="1" x14ac:dyDescent="0.35">
      <c r="B38">
        <v>3</v>
      </c>
      <c r="C38" s="236">
        <v>1</v>
      </c>
      <c r="E38">
        <v>2</v>
      </c>
      <c r="F38" s="63" t="s">
        <v>3508</v>
      </c>
      <c r="G38">
        <v>2</v>
      </c>
      <c r="I38" s="63">
        <v>2</v>
      </c>
      <c r="O38" s="140" t="s">
        <v>3657</v>
      </c>
      <c r="P38" s="484" t="str">
        <f>P27</f>
        <v>Striaton City (Vertress)</v>
      </c>
      <c r="Q38" s="484"/>
      <c r="R38" s="484"/>
      <c r="S38" s="1">
        <v>16</v>
      </c>
      <c r="T38" s="6">
        <v>13</v>
      </c>
      <c r="U38" s="1">
        <v>29</v>
      </c>
      <c r="V38" s="140" t="str">
        <f>O27</f>
        <v>E</v>
      </c>
      <c r="W38" s="236"/>
      <c r="X38" s="140"/>
      <c r="Y38" s="68" t="s">
        <v>3658</v>
      </c>
      <c r="Z38" s="376">
        <f>Master!R33</f>
        <v>49</v>
      </c>
      <c r="AA38" s="1">
        <v>6</v>
      </c>
    </row>
    <row r="39" spans="2:45" ht="14.4" customHeight="1" x14ac:dyDescent="0.35">
      <c r="B39">
        <v>2</v>
      </c>
      <c r="C39" s="236">
        <v>0</v>
      </c>
      <c r="E39">
        <v>2</v>
      </c>
      <c r="F39" s="63" t="s">
        <v>3509</v>
      </c>
      <c r="G39">
        <v>1</v>
      </c>
      <c r="H39">
        <v>1</v>
      </c>
      <c r="I39" s="63">
        <v>1</v>
      </c>
      <c r="O39" s="300" t="s">
        <v>3662</v>
      </c>
      <c r="P39" s="483" t="str">
        <f>Master!P32</f>
        <v>Oreburgh City (Lily Valley)</v>
      </c>
      <c r="Q39" s="483"/>
      <c r="R39" s="483"/>
      <c r="S39" s="162">
        <v>12</v>
      </c>
      <c r="T39" s="1">
        <v>19</v>
      </c>
      <c r="U39" s="1">
        <v>31</v>
      </c>
      <c r="V39" s="300"/>
      <c r="Z39" s="236">
        <f>Master!R34</f>
        <v>44</v>
      </c>
      <c r="AA39">
        <v>7</v>
      </c>
      <c r="AC39" s="238" t="s">
        <v>2810</v>
      </c>
    </row>
    <row r="40" spans="2:45" x14ac:dyDescent="0.35">
      <c r="AC40" t="s">
        <v>4262</v>
      </c>
    </row>
  </sheetData>
  <sortState xmlns:xlrd2="http://schemas.microsoft.com/office/spreadsheetml/2017/richdata2" ref="AM6:AM17">
    <sortCondition ref="AM5"/>
  </sortState>
  <mergeCells count="15">
    <mergeCell ref="P39:R39"/>
    <mergeCell ref="P36:R36"/>
    <mergeCell ref="P37:R37"/>
    <mergeCell ref="P38:R38"/>
    <mergeCell ref="P32:R32"/>
    <mergeCell ref="P33:R33"/>
    <mergeCell ref="P34:R34"/>
    <mergeCell ref="P35:R35"/>
    <mergeCell ref="P29:Z30"/>
    <mergeCell ref="AG34:AL35"/>
    <mergeCell ref="AG36:AL37"/>
    <mergeCell ref="AC2:AL3"/>
    <mergeCell ref="AC17:AL18"/>
    <mergeCell ref="AC26:AL27"/>
    <mergeCell ref="AC32:AL3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0.39997558519241921"/>
  </sheetPr>
  <dimension ref="A1:AN37"/>
  <sheetViews>
    <sheetView zoomScale="80" zoomScaleNormal="80" workbookViewId="0">
      <selection activeCell="AB9" sqref="AB9"/>
    </sheetView>
  </sheetViews>
  <sheetFormatPr defaultRowHeight="14.5" x14ac:dyDescent="0.35"/>
  <cols>
    <col min="2" max="2" width="30.453125" style="1" customWidth="1"/>
    <col min="3" max="3" width="3.81640625" style="170" customWidth="1"/>
    <col min="4" max="4" width="4.453125" style="1" hidden="1" customWidth="1"/>
    <col min="5" max="9" width="3" style="170" customWidth="1"/>
    <col min="10" max="10" width="4.81640625" style="1" customWidth="1"/>
    <col min="11" max="11" width="30.453125" style="1" customWidth="1"/>
    <col min="12" max="12" width="3.81640625" style="170" customWidth="1"/>
    <col min="13" max="13" width="4.453125" style="1" hidden="1" customWidth="1"/>
    <col min="14" max="18" width="3" style="170" customWidth="1"/>
    <col min="19" max="19" width="4.81640625" style="1" customWidth="1"/>
    <col min="20" max="20" width="30.453125" style="1" customWidth="1"/>
    <col min="21" max="21" width="3.81640625" style="170" customWidth="1"/>
    <col min="22" max="22" width="4.453125" style="1" hidden="1" customWidth="1"/>
    <col min="23" max="27" width="3" style="170" customWidth="1"/>
    <col min="28" max="28" width="4.81640625" style="1" customWidth="1"/>
    <col min="29" max="29" width="30.453125" style="1" customWidth="1"/>
    <col min="30" max="30" width="3.81640625" style="170" customWidth="1"/>
    <col min="31" max="31" width="4.453125" style="1" hidden="1" customWidth="1"/>
    <col min="32" max="36" width="3" style="170" customWidth="1"/>
  </cols>
  <sheetData>
    <row r="1" spans="1:38" ht="15" thickBot="1" x14ac:dyDescent="0.4"/>
    <row r="2" spans="1:38" ht="18.5" x14ac:dyDescent="0.45">
      <c r="B2" s="119" t="s">
        <v>4268</v>
      </c>
      <c r="C2" s="120" t="s">
        <v>1372</v>
      </c>
      <c r="D2" s="121"/>
      <c r="E2" s="122">
        <v>1</v>
      </c>
      <c r="F2" s="122">
        <v>2</v>
      </c>
      <c r="G2" s="122" t="s">
        <v>283</v>
      </c>
      <c r="H2" s="122" t="s">
        <v>1787</v>
      </c>
      <c r="I2" s="123" t="s">
        <v>1074</v>
      </c>
      <c r="J2" s="93"/>
      <c r="K2" s="132" t="s">
        <v>4270</v>
      </c>
      <c r="L2" s="120" t="s">
        <v>1372</v>
      </c>
      <c r="M2" s="121"/>
      <c r="N2" s="122">
        <v>1</v>
      </c>
      <c r="O2" s="122">
        <v>2</v>
      </c>
      <c r="P2" s="122" t="s">
        <v>283</v>
      </c>
      <c r="Q2" s="122" t="s">
        <v>1787</v>
      </c>
      <c r="R2" s="123" t="s">
        <v>1074</v>
      </c>
      <c r="S2" s="93"/>
      <c r="T2" s="134" t="s">
        <v>4272</v>
      </c>
      <c r="U2" s="120" t="s">
        <v>1372</v>
      </c>
      <c r="V2" s="121"/>
      <c r="W2" s="122">
        <v>1</v>
      </c>
      <c r="X2" s="122">
        <v>2</v>
      </c>
      <c r="Y2" s="122" t="s">
        <v>283</v>
      </c>
      <c r="Z2" s="122" t="s">
        <v>1787</v>
      </c>
      <c r="AA2" s="123" t="s">
        <v>1074</v>
      </c>
      <c r="AB2" s="93"/>
      <c r="AC2" s="136" t="s">
        <v>4273</v>
      </c>
      <c r="AD2" s="120" t="s">
        <v>1372</v>
      </c>
      <c r="AE2" s="121"/>
      <c r="AF2" s="122">
        <v>1</v>
      </c>
      <c r="AG2" s="122">
        <v>2</v>
      </c>
      <c r="AH2" s="122" t="s">
        <v>283</v>
      </c>
      <c r="AI2" s="122" t="s">
        <v>1787</v>
      </c>
      <c r="AJ2" s="123" t="s">
        <v>1074</v>
      </c>
    </row>
    <row r="3" spans="1:38" x14ac:dyDescent="0.35">
      <c r="A3">
        <v>1</v>
      </c>
      <c r="B3" s="272" t="str">
        <f>CONCATENATE(VLOOKUP($D3, Rankings!$A$2:$J$113, 3, FALSE), " - ", VLOOKUP($D3, Rankings!$A$2:$J$113, 4, FALSE))</f>
        <v>Outer Kanto - Cinnabar Island</v>
      </c>
      <c r="C3" s="116">
        <f>IF((VLOOKUP(D3, Rankings!$A$2:$AZ$113, 52, FALSE)), (VLOOKUP(D3, Rankings!$A$2:$AZ$113, 52, FALSE)), "")</f>
        <v>1</v>
      </c>
      <c r="D3" s="117">
        <v>13</v>
      </c>
      <c r="E3" s="118" t="s">
        <v>1112</v>
      </c>
      <c r="F3" s="118" t="s">
        <v>1112</v>
      </c>
      <c r="G3" s="175">
        <v>2</v>
      </c>
      <c r="H3" s="175">
        <v>2</v>
      </c>
      <c r="I3" s="306">
        <v>2</v>
      </c>
      <c r="J3" s="1">
        <v>1</v>
      </c>
      <c r="K3" s="272" t="str">
        <f>CONCATENATE(VLOOKUP($M3, Rankings!$A$2:$J$113, 3, FALSE), " - ", VLOOKUP($M3, Rankings!$A$2:$J$113, 4, FALSE))</f>
        <v>Valour - Veilstone City</v>
      </c>
      <c r="L3" s="116">
        <f>IF((VLOOKUP(M3, Rankings!$A$2:$AZ$113, 52, FALSE)), (VLOOKUP(M3, Rankings!$A$2:$AZ$113, 52, FALSE)), "")</f>
        <v>7</v>
      </c>
      <c r="M3" s="117">
        <v>44</v>
      </c>
      <c r="N3" s="118" t="s">
        <v>1112</v>
      </c>
      <c r="O3" s="176">
        <v>5</v>
      </c>
      <c r="P3" s="176">
        <v>5</v>
      </c>
      <c r="Q3" s="176">
        <v>5</v>
      </c>
      <c r="R3" s="307">
        <v>5</v>
      </c>
      <c r="S3" s="1">
        <v>1</v>
      </c>
      <c r="T3" s="272" t="str">
        <f>CONCATENATE(VLOOKUP($V3, Rankings!$A$2:$J$113, 3, FALSE), " - ", VLOOKUP($V3, Rankings!$A$2:$J$113, 4, FALSE))</f>
        <v>Central - Lumiose City</v>
      </c>
      <c r="U3" s="116">
        <f>IF((VLOOKUP(V3, Rankings!$A$2:$AZ$113, 52, FALSE)), (VLOOKUP(V3, Rankings!$A$2:$AZ$113, 52, FALSE)), "")</f>
        <v>2</v>
      </c>
      <c r="V3" s="117">
        <v>72</v>
      </c>
      <c r="W3" s="118" t="s">
        <v>1112</v>
      </c>
      <c r="X3" s="118" t="s">
        <v>1112</v>
      </c>
      <c r="Y3" s="177">
        <v>3</v>
      </c>
      <c r="Z3" s="177">
        <v>3</v>
      </c>
      <c r="AA3" s="315">
        <v>3</v>
      </c>
      <c r="AB3" s="1">
        <v>1</v>
      </c>
      <c r="AC3" s="272" t="str">
        <f>CONCATENATE(VLOOKUP($AE3, Rankings!$A$2:$J$113, 3, FALSE), " - ", VLOOKUP($AE3, Rankings!$A$2:$J$113, 4, FALSE))</f>
        <v>Scotland - Postwick</v>
      </c>
      <c r="AD3" s="116">
        <f>IF((VLOOKUP(AE3, Rankings!$A$2:$AZ$113, 52, FALSE)), (VLOOKUP(AE3, Rankings!$A$2:$AZ$113, 52, FALSE)), "")</f>
        <v>19</v>
      </c>
      <c r="AE3" s="117">
        <v>106</v>
      </c>
      <c r="AF3" s="118" t="s">
        <v>1112</v>
      </c>
      <c r="AG3" s="118" t="s">
        <v>1112</v>
      </c>
      <c r="AH3" s="174">
        <v>1</v>
      </c>
      <c r="AI3" s="174">
        <v>1</v>
      </c>
      <c r="AJ3" s="314">
        <v>1</v>
      </c>
    </row>
    <row r="4" spans="1:38" x14ac:dyDescent="0.35">
      <c r="A4">
        <v>2</v>
      </c>
      <c r="B4" s="124" t="str">
        <f>CONCATENATE(VLOOKUP($D4, Rankings!$A$2:$J$113, 3, FALSE), " - ", VLOOKUP($D4, Rankings!$A$2:$J$113, 4, FALSE))</f>
        <v>West Johto - Cianwood City</v>
      </c>
      <c r="C4" s="116">
        <f>IF((VLOOKUP(D4, Rankings!$A$2:$AZ$113, 52, FALSE)), (VLOOKUP(D4, Rankings!$A$2:$AZ$113, 52, FALSE)), "")</f>
        <v>14</v>
      </c>
      <c r="D4" s="117">
        <v>1</v>
      </c>
      <c r="E4" s="118" t="s">
        <v>1112</v>
      </c>
      <c r="F4" s="118" t="s">
        <v>1112</v>
      </c>
      <c r="G4" s="176">
        <v>4</v>
      </c>
      <c r="H4" s="176">
        <v>4</v>
      </c>
      <c r="I4" s="307">
        <v>4</v>
      </c>
      <c r="J4" s="1">
        <v>2</v>
      </c>
      <c r="K4" s="124" t="str">
        <f>CONCATENATE(VLOOKUP($M4, Rankings!$A$2:$J$113, 3, FALSE), " - ", VLOOKUP($M4, Rankings!$A$2:$J$113, 4, FALSE))</f>
        <v>Marsh - Celestic Town</v>
      </c>
      <c r="L4" s="116">
        <f>IF((VLOOKUP(M4, Rankings!$A$2:$AZ$113, 52, FALSE)), (VLOOKUP(M4, Rankings!$A$2:$AZ$113, 52, FALSE)), "")</f>
        <v>24</v>
      </c>
      <c r="M4" s="117">
        <v>45</v>
      </c>
      <c r="N4" s="118" t="s">
        <v>1112</v>
      </c>
      <c r="O4" s="177">
        <v>6</v>
      </c>
      <c r="P4" s="177">
        <v>6</v>
      </c>
      <c r="Q4" s="177">
        <v>6</v>
      </c>
      <c r="R4" s="315">
        <v>6</v>
      </c>
      <c r="S4" s="1">
        <v>2</v>
      </c>
      <c r="T4" s="124" t="str">
        <f>CONCATENATE(VLOOKUP($V4, Rankings!$A$2:$J$113, 3, FALSE), " - ", VLOOKUP($V4, Rankings!$A$2:$J$113, 4, FALSE))</f>
        <v>South - Vaniville Town</v>
      </c>
      <c r="U4" s="116">
        <f>IF((VLOOKUP(V4, Rankings!$A$2:$AZ$113, 52, FALSE)), (VLOOKUP(V4, Rankings!$A$2:$AZ$113, 52, FALSE)), "")</f>
        <v>8</v>
      </c>
      <c r="V4" s="117">
        <v>80</v>
      </c>
      <c r="W4" s="118" t="s">
        <v>1112</v>
      </c>
      <c r="X4" s="118" t="s">
        <v>1112</v>
      </c>
      <c r="Y4" s="176">
        <v>4</v>
      </c>
      <c r="Z4" s="176">
        <v>4</v>
      </c>
      <c r="AA4" s="307">
        <v>4</v>
      </c>
      <c r="AB4" s="1">
        <v>2</v>
      </c>
      <c r="AC4" s="124" t="str">
        <f>CONCATENATE(VLOOKUP($AE4, Rankings!$A$2:$J$113, 3, FALSE), " - ", VLOOKUP($AE4, Rankings!$A$2:$J$113, 4, FALSE))</f>
        <v>South Wild - Hulbury</v>
      </c>
      <c r="AD4" s="116">
        <f>IF((VLOOKUP(AE4, Rankings!$A$2:$AZ$113, 52, FALSE)), (VLOOKUP(AE4, Rankings!$A$2:$AZ$113, 52, FALSE)), "")</f>
        <v>20</v>
      </c>
      <c r="AE4" s="117">
        <v>109</v>
      </c>
      <c r="AF4" s="118" t="s">
        <v>1112</v>
      </c>
      <c r="AG4" s="175">
        <v>7</v>
      </c>
      <c r="AH4" s="175">
        <v>7</v>
      </c>
      <c r="AI4" s="175">
        <v>7</v>
      </c>
      <c r="AJ4" s="306">
        <v>7</v>
      </c>
    </row>
    <row r="5" spans="1:38" x14ac:dyDescent="0.35">
      <c r="A5">
        <v>3</v>
      </c>
      <c r="B5" s="124" t="str">
        <f>CONCATENATE(VLOOKUP($D5, Rankings!$A$2:$J$113, 3, FALSE), " - ", VLOOKUP($D5, Rankings!$A$2:$J$113, 4, FALSE))</f>
        <v>Outer Kanto - Viridian City</v>
      </c>
      <c r="C5" s="116">
        <f>IF((VLOOKUP(D5, Rankings!$A$2:$AZ$113, 52, FALSE)), (VLOOKUP(D5, Rankings!$A$2:$AZ$113, 52, FALSE)), "")</f>
        <v>105</v>
      </c>
      <c r="D5" s="117">
        <v>16</v>
      </c>
      <c r="E5" s="118" t="s">
        <v>1112</v>
      </c>
      <c r="F5" s="118" t="s">
        <v>1112</v>
      </c>
      <c r="G5" s="174">
        <v>1</v>
      </c>
      <c r="H5" s="174">
        <v>1</v>
      </c>
      <c r="I5" s="125"/>
      <c r="J5" s="1">
        <v>4</v>
      </c>
      <c r="K5" s="124" t="str">
        <f>CONCATENATE(VLOOKUP($M5, Rankings!$A$2:$J$113, 3, FALSE), " - ", VLOOKUP($M5, Rankings!$A$2:$J$113, 4, FALSE))</f>
        <v>Coronet - Oreburgh City</v>
      </c>
      <c r="L5" s="116">
        <f>IF((VLOOKUP(M5, Rankings!$A$2:$AZ$113, 52, FALSE)), (VLOOKUP(M5, Rankings!$A$2:$AZ$113, 52, FALSE)), "")</f>
        <v>56</v>
      </c>
      <c r="M5" s="117">
        <v>39</v>
      </c>
      <c r="N5" s="118" t="s">
        <v>1112</v>
      </c>
      <c r="O5" s="118" t="s">
        <v>1112</v>
      </c>
      <c r="P5" s="175">
        <v>2</v>
      </c>
      <c r="Q5" s="175">
        <v>2</v>
      </c>
      <c r="R5" s="125"/>
      <c r="S5" s="1">
        <v>4</v>
      </c>
      <c r="T5" s="124" t="str">
        <f>CONCATENATE(VLOOKUP($V5, Rankings!$A$2:$J$113, 3, FALSE), " - ", VLOOKUP($V5, Rankings!$A$2:$J$113, 4, FALSE))</f>
        <v>Central - Laverre City</v>
      </c>
      <c r="U5" s="116">
        <f>IF((VLOOKUP(V5, Rankings!$A$2:$AZ$113, 52, FALSE)), (VLOOKUP(V5, Rankings!$A$2:$AZ$113, 52, FALSE)), "")</f>
        <v>27</v>
      </c>
      <c r="V5" s="117">
        <v>71</v>
      </c>
      <c r="W5" s="118" t="s">
        <v>1112</v>
      </c>
      <c r="X5" s="175">
        <v>7</v>
      </c>
      <c r="Y5" s="175">
        <v>7</v>
      </c>
      <c r="Z5" s="175">
        <v>7</v>
      </c>
      <c r="AA5" s="125"/>
      <c r="AB5" s="1">
        <v>4</v>
      </c>
      <c r="AC5" s="124" t="str">
        <f>CONCATENATE(VLOOKUP($AE5, Rankings!$A$2:$J$113, 3, FALSE), " - ", VLOOKUP($AE5, Rankings!$A$2:$J$113, 4, FALSE))</f>
        <v>North Wild - City of Circhester</v>
      </c>
      <c r="AD5" s="116">
        <f>IF((VLOOKUP(AE5, Rankings!$A$2:$AZ$113, 52, FALSE)), (VLOOKUP(AE5, Rankings!$A$2:$AZ$113, 52, FALSE)), "")</f>
        <v>94</v>
      </c>
      <c r="AE5" s="117">
        <v>101</v>
      </c>
      <c r="AF5" s="118" t="s">
        <v>1112</v>
      </c>
      <c r="AG5" s="118" t="s">
        <v>1112</v>
      </c>
      <c r="AH5" s="177">
        <v>3</v>
      </c>
      <c r="AI5" s="177">
        <v>3</v>
      </c>
      <c r="AJ5" s="125"/>
      <c r="AL5" t="s">
        <v>4317</v>
      </c>
    </row>
    <row r="6" spans="1:38" x14ac:dyDescent="0.35">
      <c r="A6">
        <v>4</v>
      </c>
      <c r="B6" s="124" t="str">
        <f>CONCATENATE(VLOOKUP($D6, Rankings!$A$2:$J$113, 3, FALSE), " - ", VLOOKUP($D6, Rankings!$A$2:$J$113, 4, FALSE))</f>
        <v>West Johto - Olivine City</v>
      </c>
      <c r="C6" s="116">
        <f>IF((VLOOKUP(D6, Rankings!$A$2:$AZ$113, 52, FALSE)), (VLOOKUP(D6, Rankings!$A$2:$AZ$113, 52, FALSE)), "")</f>
        <v>12</v>
      </c>
      <c r="D6" s="117">
        <v>4</v>
      </c>
      <c r="E6" s="118" t="s">
        <v>1112</v>
      </c>
      <c r="F6" s="177">
        <v>6</v>
      </c>
      <c r="G6" s="177">
        <v>6</v>
      </c>
      <c r="H6" s="177">
        <v>6</v>
      </c>
      <c r="I6" s="125"/>
      <c r="J6" s="1">
        <v>5</v>
      </c>
      <c r="K6" s="124" t="str">
        <f>CONCATENATE(VLOOKUP($M6, Rankings!$A$2:$J$113, 3, FALSE), " - ", VLOOKUP($M6, Rankings!$A$2:$J$113, 4, FALSE))</f>
        <v>Valour - Resort Area</v>
      </c>
      <c r="L6" s="116">
        <f>IF((VLOOKUP(M6, Rankings!$A$2:$AZ$113, 52, FALSE)), (VLOOKUP(M6, Rankings!$A$2:$AZ$113, 52, FALSE)), "")</f>
        <v>3</v>
      </c>
      <c r="M6" s="117">
        <v>42</v>
      </c>
      <c r="N6" s="118" t="s">
        <v>1112</v>
      </c>
      <c r="O6" s="174">
        <v>8</v>
      </c>
      <c r="P6" s="174">
        <v>8</v>
      </c>
      <c r="Q6" s="174">
        <v>8</v>
      </c>
      <c r="R6" s="125"/>
      <c r="S6" s="1">
        <v>5</v>
      </c>
      <c r="T6" s="124" t="str">
        <f>CONCATENATE(VLOOKUP($V6, Rankings!$A$2:$J$113, 3, FALSE), " - ", VLOOKUP($V6, Rankings!$A$2:$J$113, 4, FALSE))</f>
        <v>Mountain - Dendemille Town</v>
      </c>
      <c r="U6" s="116">
        <f>IF((VLOOKUP(V6, Rankings!$A$2:$AZ$113, 52, FALSE)), (VLOOKUP(V6, Rankings!$A$2:$AZ$113, 52, FALSE)), "")</f>
        <v>110</v>
      </c>
      <c r="V6" s="117">
        <v>75</v>
      </c>
      <c r="W6" s="174">
        <v>16</v>
      </c>
      <c r="X6" s="174">
        <v>16</v>
      </c>
      <c r="Y6" s="174">
        <v>16</v>
      </c>
      <c r="Z6" s="174">
        <v>16</v>
      </c>
      <c r="AA6" s="125"/>
      <c r="AB6" s="1">
        <v>5</v>
      </c>
      <c r="AC6" s="124" t="str">
        <f>CONCATENATE(VLOOKUP($AE6, Rankings!$A$2:$J$113, 3, FALSE), " - ", VLOOKUP($AE6, Rankings!$A$2:$J$113, 4, FALSE))</f>
        <v>London - Wyndon South</v>
      </c>
      <c r="AD6" s="116">
        <f>IF((VLOOKUP(AE6, Rankings!$A$2:$AZ$113, 52, FALSE)), (VLOOKUP(AE6, Rankings!$A$2:$AZ$113, 52, FALSE)), "")</f>
        <v>37</v>
      </c>
      <c r="AE6" s="117">
        <v>100</v>
      </c>
      <c r="AF6" s="118" t="s">
        <v>1112</v>
      </c>
      <c r="AG6" s="176">
        <v>5</v>
      </c>
      <c r="AH6" s="176">
        <v>5</v>
      </c>
      <c r="AI6" s="176">
        <v>5</v>
      </c>
      <c r="AJ6" s="125"/>
      <c r="AL6" t="s">
        <v>4318</v>
      </c>
    </row>
    <row r="7" spans="1:38" x14ac:dyDescent="0.35">
      <c r="A7">
        <v>5</v>
      </c>
      <c r="B7" s="124" t="str">
        <f>CONCATENATE(VLOOKUP($D7, Rankings!$A$2:$J$113, 3, FALSE), " - ", VLOOKUP($D7, Rankings!$A$2:$J$113, 4, FALSE))</f>
        <v>West Johto - Goldenrod City</v>
      </c>
      <c r="C7" s="116">
        <f>IF((VLOOKUP(D7, Rankings!$A$2:$AZ$113, 52, FALSE)), (VLOOKUP(D7, Rankings!$A$2:$AZ$113, 52, FALSE)), "")</f>
        <v>45</v>
      </c>
      <c r="D7" s="117">
        <v>3</v>
      </c>
      <c r="E7" s="118" t="s">
        <v>1112</v>
      </c>
      <c r="F7" s="118" t="s">
        <v>1112</v>
      </c>
      <c r="G7" s="177">
        <v>3</v>
      </c>
      <c r="H7" s="118"/>
      <c r="I7" s="125"/>
      <c r="J7" s="1">
        <v>3</v>
      </c>
      <c r="K7" s="124" t="str">
        <f>CONCATENATE(VLOOKUP($M7, Rankings!$A$2:$J$113, 3, FALSE), " - ", VLOOKUP($M7, Rankings!$A$2:$J$113, 4, FALSE))</f>
        <v>Marsh - Solaceon Town</v>
      </c>
      <c r="L7" s="116">
        <f>IF((VLOOKUP(M7, Rankings!$A$2:$AZ$113, 52, FALSE)), (VLOOKUP(M7, Rankings!$A$2:$AZ$113, 52, FALSE)), "")</f>
        <v>28</v>
      </c>
      <c r="M7" s="117">
        <v>48</v>
      </c>
      <c r="N7" s="118" t="s">
        <v>1112</v>
      </c>
      <c r="O7" s="118" t="s">
        <v>1112</v>
      </c>
      <c r="P7" s="174">
        <v>1</v>
      </c>
      <c r="Q7" s="118"/>
      <c r="R7" s="125"/>
      <c r="S7" s="1">
        <v>3</v>
      </c>
      <c r="T7" s="124" t="str">
        <f>CONCATENATE(VLOOKUP($V7, Rankings!$A$2:$J$113, 3, FALSE), " - ", VLOOKUP($V7, Rankings!$A$2:$J$113, 4, FALSE))</f>
        <v>Coastal - Geosenge Town</v>
      </c>
      <c r="U7" s="116">
        <f>IF((VLOOKUP(V7, Rankings!$A$2:$AZ$113, 52, FALSE)), (VLOOKUP(V7, Rankings!$A$2:$AZ$113, 52, FALSE)), "")</f>
        <v>32</v>
      </c>
      <c r="V7" s="117">
        <v>67</v>
      </c>
      <c r="W7" s="118" t="s">
        <v>1112</v>
      </c>
      <c r="X7" s="118" t="s">
        <v>1112</v>
      </c>
      <c r="Y7" s="174">
        <v>1</v>
      </c>
      <c r="Z7" s="118"/>
      <c r="AA7" s="125"/>
      <c r="AB7" s="1">
        <v>3</v>
      </c>
      <c r="AC7" s="124" t="str">
        <f>CONCATENATE(VLOOKUP($AE7, Rankings!$A$2:$J$113, 3, FALSE), " - ", VLOOKUP($AE7, Rankings!$A$2:$J$113, 4, FALSE))</f>
        <v>South Wild - Isle of Armor</v>
      </c>
      <c r="AD7" s="116">
        <f>IF((VLOOKUP(AE7, Rankings!$A$2:$AZ$113, 52, FALSE)), (VLOOKUP(AE7, Rankings!$A$2:$AZ$113, 52, FALSE)), "")</f>
        <v>109</v>
      </c>
      <c r="AE7" s="117">
        <v>110</v>
      </c>
      <c r="AF7" s="118" t="s">
        <v>1112</v>
      </c>
      <c r="AG7" s="118" t="s">
        <v>1112</v>
      </c>
      <c r="AH7" s="175">
        <v>2</v>
      </c>
      <c r="AI7" s="118"/>
      <c r="AJ7" s="125"/>
      <c r="AL7" t="s">
        <v>4319</v>
      </c>
    </row>
    <row r="8" spans="1:38" x14ac:dyDescent="0.35">
      <c r="B8" s="124" t="str">
        <f>CONCATENATE(VLOOKUP($D8, Rankings!$A$2:$J$113, 3, FALSE), " - ", VLOOKUP($D8, Rankings!$A$2:$J$113, 4, FALSE))</f>
        <v>Central Kanto - Saffron City</v>
      </c>
      <c r="C8" s="116">
        <f>IF((VLOOKUP(D8, Rankings!$A$2:$AZ$113, 52, FALSE)), (VLOOKUP(D8, Rankings!$A$2:$AZ$113, 52, FALSE)), "")</f>
        <v>66</v>
      </c>
      <c r="D8" s="117">
        <v>11</v>
      </c>
      <c r="E8" s="118" t="s">
        <v>1112</v>
      </c>
      <c r="F8" s="175">
        <v>7</v>
      </c>
      <c r="G8" s="175">
        <v>7</v>
      </c>
      <c r="H8" s="118"/>
      <c r="I8" s="125"/>
      <c r="J8" s="1">
        <v>6</v>
      </c>
      <c r="K8" s="124" t="str">
        <f>CONCATENATE(VLOOKUP($M8, Rankings!$A$2:$J$113, 3, FALSE), " - ", VLOOKUP($M8, Rankings!$A$2:$J$113, 4, FALSE))</f>
        <v>Verity - Sandgem Town</v>
      </c>
      <c r="L8" s="116">
        <f>IF((VLOOKUP(M8, Rankings!$A$2:$AZ$113, 52, FALSE)), (VLOOKUP(M8, Rankings!$A$2:$AZ$113, 52, FALSE)), "")</f>
        <v>61</v>
      </c>
      <c r="M8" s="117">
        <v>35</v>
      </c>
      <c r="N8" s="118" t="s">
        <v>1112</v>
      </c>
      <c r="O8" s="118" t="s">
        <v>1112</v>
      </c>
      <c r="P8" s="177">
        <v>3</v>
      </c>
      <c r="Q8" s="118"/>
      <c r="R8" s="125"/>
      <c r="S8" s="1">
        <v>6</v>
      </c>
      <c r="T8" s="124" t="str">
        <f>CONCATENATE(VLOOKUP($V8, Rankings!$A$2:$J$113, 3, FALSE), " - ", VLOOKUP($V8, Rankings!$A$2:$J$113, 4, FALSE))</f>
        <v>South - Santalune City</v>
      </c>
      <c r="U8" s="116">
        <f>IF((VLOOKUP(V8, Rankings!$A$2:$AZ$113, 52, FALSE)), (VLOOKUP(V8, Rankings!$A$2:$AZ$113, 52, FALSE)), "")</f>
        <v>108</v>
      </c>
      <c r="V8" s="117">
        <v>79</v>
      </c>
      <c r="W8" s="118" t="s">
        <v>1112</v>
      </c>
      <c r="X8" s="118" t="s">
        <v>1112</v>
      </c>
      <c r="Y8" s="175">
        <v>2</v>
      </c>
      <c r="Z8" s="118"/>
      <c r="AA8" s="125"/>
      <c r="AB8" s="1">
        <v>6</v>
      </c>
      <c r="AC8" s="124" t="str">
        <f>CONCATENATE(VLOOKUP($AE8, Rankings!$A$2:$J$113, 3, FALSE), " - ", VLOOKUP($AE8, Rankings!$A$2:$J$113, 4, FALSE))</f>
        <v>North Wild - Spikemuth</v>
      </c>
      <c r="AD8" s="116">
        <f>IF((VLOOKUP(AE8, Rankings!$A$2:$AZ$113, 52, FALSE)), (VLOOKUP(AE8, Rankings!$A$2:$AZ$113, 52, FALSE)), "")</f>
        <v>72</v>
      </c>
      <c r="AE8" s="117">
        <v>104</v>
      </c>
      <c r="AF8" s="118" t="s">
        <v>1112</v>
      </c>
      <c r="AG8" s="118" t="s">
        <v>1112</v>
      </c>
      <c r="AH8" s="176">
        <v>4</v>
      </c>
      <c r="AI8" s="118"/>
      <c r="AJ8" s="125"/>
      <c r="AL8" t="s">
        <v>4320</v>
      </c>
    </row>
    <row r="9" spans="1:38" x14ac:dyDescent="0.35">
      <c r="B9" s="124" t="str">
        <f>CONCATENATE(VLOOKUP($D9, Rankings!$A$2:$J$113, 3, FALSE), " - ", VLOOKUP($D9, Rankings!$A$2:$J$113, 4, FALSE))</f>
        <v>East Johto - Violet City</v>
      </c>
      <c r="C9" s="116">
        <f>IF((VLOOKUP(D9, Rankings!$A$2:$AZ$113, 52, FALSE)), (VLOOKUP(D9, Rankings!$A$2:$AZ$113, 52, FALSE)), "")</f>
        <v>15</v>
      </c>
      <c r="D9" s="117">
        <v>8</v>
      </c>
      <c r="E9" s="174">
        <v>9</v>
      </c>
      <c r="F9" s="174">
        <v>9</v>
      </c>
      <c r="G9" s="174">
        <v>9</v>
      </c>
      <c r="H9" s="118"/>
      <c r="I9" s="125"/>
      <c r="K9" s="124" t="str">
        <f>CONCATENATE(VLOOKUP($M9, Rankings!$A$2:$J$113, 3, FALSE), " - ", VLOOKUP($M9, Rankings!$A$2:$J$113, 4, FALSE))</f>
        <v>Verity - Twinleaf Town</v>
      </c>
      <c r="L9" s="116">
        <f>IF((VLOOKUP(M9, Rankings!$A$2:$AZ$113, 52, FALSE)), (VLOOKUP(M9, Rankings!$A$2:$AZ$113, 52, FALSE)), "")</f>
        <v>44</v>
      </c>
      <c r="M9" s="117">
        <v>36</v>
      </c>
      <c r="N9" s="118" t="s">
        <v>1112</v>
      </c>
      <c r="O9" s="118" t="s">
        <v>1112</v>
      </c>
      <c r="P9" s="176">
        <v>4</v>
      </c>
      <c r="Q9" s="118"/>
      <c r="R9" s="125"/>
      <c r="T9" s="124" t="str">
        <f>CONCATENATE(VLOOKUP($V9, Rankings!$A$2:$J$113, 3, FALSE), " - ", VLOOKUP($V9, Rankings!$A$2:$J$113, 4, FALSE))</f>
        <v>Mountain - Anistar City</v>
      </c>
      <c r="U9" s="116">
        <f>IF((VLOOKUP(V9, Rankings!$A$2:$AZ$113, 52, FALSE)), (VLOOKUP(V9, Rankings!$A$2:$AZ$113, 52, FALSE)), "")</f>
        <v>46</v>
      </c>
      <c r="V9" s="117">
        <v>73</v>
      </c>
      <c r="W9" s="118" t="s">
        <v>1112</v>
      </c>
      <c r="X9" s="176">
        <v>5</v>
      </c>
      <c r="Y9" s="176">
        <v>5</v>
      </c>
      <c r="Z9" s="118"/>
      <c r="AA9" s="125"/>
      <c r="AC9" s="124" t="str">
        <f>CONCATENATE(VLOOKUP($AE9, Rankings!$A$2:$J$113, 3, FALSE), " - ", VLOOKUP($AE9, Rankings!$A$2:$J$113, 4, FALSE))</f>
        <v>London - Stow-on-Side</v>
      </c>
      <c r="AD9" s="116">
        <f>IF((VLOOKUP(AE9, Rankings!$A$2:$AZ$113, 52, FALSE)), (VLOOKUP(AE9, Rankings!$A$2:$AZ$113, 52, FALSE)), "")</f>
        <v>95</v>
      </c>
      <c r="AE9" s="117">
        <v>98</v>
      </c>
      <c r="AF9" s="118" t="s">
        <v>1112</v>
      </c>
      <c r="AG9" s="177">
        <v>6</v>
      </c>
      <c r="AH9" s="177">
        <v>6</v>
      </c>
      <c r="AI9" s="118"/>
      <c r="AJ9" s="125"/>
      <c r="AL9" t="s">
        <v>4321</v>
      </c>
    </row>
    <row r="10" spans="1:38" x14ac:dyDescent="0.35">
      <c r="B10" s="124" t="str">
        <f>CONCATENATE(VLOOKUP($D10, Rankings!$A$2:$J$113, 3, FALSE), " - ", VLOOKUP($D10, Rankings!$A$2:$J$113, 4, FALSE))</f>
        <v>Central Kanto - Vermilion City</v>
      </c>
      <c r="C10" s="116">
        <f>IF((VLOOKUP(D10, Rankings!$A$2:$AZ$113, 52, FALSE)), (VLOOKUP(D10, Rankings!$A$2:$AZ$113, 52, FALSE)), "")</f>
        <v>16</v>
      </c>
      <c r="D10" s="117">
        <v>12</v>
      </c>
      <c r="E10" s="176">
        <v>12</v>
      </c>
      <c r="F10" s="176">
        <v>12</v>
      </c>
      <c r="G10" s="176">
        <v>12</v>
      </c>
      <c r="H10" s="118"/>
      <c r="I10" s="125"/>
      <c r="K10" s="124" t="str">
        <f>CONCATENATE(VLOOKUP($M10, Rankings!$A$2:$J$113, 3, FALSE), " - ", VLOOKUP($M10, Rankings!$A$2:$J$113, 4, FALSE))</f>
        <v>Coronet - Snowpoint City</v>
      </c>
      <c r="L10" s="116">
        <f>IF((VLOOKUP(M10, Rankings!$A$2:$AZ$113, 52, FALSE)), (VLOOKUP(M10, Rankings!$A$2:$AZ$113, 52, FALSE)), "")</f>
        <v>22</v>
      </c>
      <c r="M10" s="117">
        <v>40</v>
      </c>
      <c r="N10" s="175">
        <v>15</v>
      </c>
      <c r="O10" s="175">
        <v>15</v>
      </c>
      <c r="P10" s="175">
        <v>15</v>
      </c>
      <c r="Q10" s="118"/>
      <c r="R10" s="125"/>
      <c r="T10" s="124" t="str">
        <f>CONCATENATE(VLOOKUP($V10, Rankings!$A$2:$J$113, 3, FALSE), " - ", VLOOKUP($V10, Rankings!$A$2:$J$113, 4, FALSE))</f>
        <v>Central - Coumarine City</v>
      </c>
      <c r="U10" s="116">
        <f>IF((VLOOKUP(V10, Rankings!$A$2:$AZ$113, 52, FALSE)), (VLOOKUP(V10, Rankings!$A$2:$AZ$113, 52, FALSE)), "")</f>
        <v>47</v>
      </c>
      <c r="V10" s="117">
        <v>70</v>
      </c>
      <c r="W10" s="177">
        <v>14</v>
      </c>
      <c r="X10" s="177">
        <v>14</v>
      </c>
      <c r="Y10" s="177">
        <v>14</v>
      </c>
      <c r="Z10" s="118"/>
      <c r="AA10" s="125"/>
      <c r="AC10" s="124" t="str">
        <f>CONCATENATE(VLOOKUP($AE10, Rankings!$A$2:$J$113, 3, FALSE), " - ", VLOOKUP($AE10, Rankings!$A$2:$J$113, 4, FALSE))</f>
        <v>London - Wyndon North</v>
      </c>
      <c r="AD10" s="116">
        <f>IF((VLOOKUP(AE10, Rankings!$A$2:$AZ$113, 52, FALSE)), (VLOOKUP(AE10, Rankings!$A$2:$AZ$113, 52, FALSE)), "")</f>
        <v>36</v>
      </c>
      <c r="AE10" s="117">
        <v>99</v>
      </c>
      <c r="AF10" s="174">
        <v>9</v>
      </c>
      <c r="AG10" s="174">
        <v>9</v>
      </c>
      <c r="AH10" s="174">
        <v>9</v>
      </c>
      <c r="AI10" s="118"/>
      <c r="AJ10" s="125"/>
      <c r="AL10" t="s">
        <v>4722</v>
      </c>
    </row>
    <row r="11" spans="1:38" x14ac:dyDescent="0.35">
      <c r="A11">
        <v>6</v>
      </c>
      <c r="B11" s="124" t="str">
        <f>CONCATENATE(VLOOKUP($D11, Rankings!$A$2:$J$113, 3, FALSE), " - ", VLOOKUP($D11, Rankings!$A$2:$J$113, 4, FALSE))</f>
        <v>East Johto - Mahogany Town</v>
      </c>
      <c r="C11" s="116">
        <f>IF((VLOOKUP(D11, Rankings!$A$2:$AZ$113, 52, FALSE)), (VLOOKUP(D11, Rankings!$A$2:$AZ$113, 52, FALSE)), "")</f>
        <v>64</v>
      </c>
      <c r="D11" s="117">
        <v>7</v>
      </c>
      <c r="E11" s="118" t="s">
        <v>1112</v>
      </c>
      <c r="F11" s="176">
        <v>5</v>
      </c>
      <c r="G11" s="118"/>
      <c r="H11" s="118"/>
      <c r="I11" s="125"/>
      <c r="K11" s="124" t="str">
        <f>CONCATENATE(VLOOKUP($M11, Rankings!$A$2:$J$113, 3, FALSE), " - ", VLOOKUP($M11, Rankings!$A$2:$J$113, 4, FALSE))</f>
        <v>Coronet - Floaroma City</v>
      </c>
      <c r="L11" s="116">
        <f>IF((VLOOKUP(M11, Rankings!$A$2:$AZ$113, 52, FALSE)), (VLOOKUP(M11, Rankings!$A$2:$AZ$113, 52, FALSE)), "")</f>
        <v>31</v>
      </c>
      <c r="M11" s="117">
        <v>38</v>
      </c>
      <c r="N11" s="118" t="s">
        <v>1112</v>
      </c>
      <c r="O11" s="175">
        <v>7</v>
      </c>
      <c r="P11" s="118"/>
      <c r="Q11" s="118"/>
      <c r="R11" s="125"/>
      <c r="T11" s="124" t="str">
        <f>CONCATENATE(VLOOKUP($V11, Rankings!$A$2:$J$113, 3, FALSE), " - ", VLOOKUP($V11, Rankings!$A$2:$J$113, 4, FALSE))</f>
        <v>Coastal - Cyllage City</v>
      </c>
      <c r="U11" s="116">
        <f>IF((VLOOKUP(V11, Rankings!$A$2:$AZ$113, 52, FALSE)), (VLOOKUP(V11, Rankings!$A$2:$AZ$113, 52, FALSE)), "")</f>
        <v>42</v>
      </c>
      <c r="V11" s="117">
        <v>66</v>
      </c>
      <c r="W11" s="118" t="s">
        <v>1112</v>
      </c>
      <c r="X11" s="177">
        <v>6</v>
      </c>
      <c r="Y11" s="118"/>
      <c r="Z11" s="118"/>
      <c r="AA11" s="125"/>
      <c r="AC11" s="124" t="str">
        <f>CONCATENATE(VLOOKUP($AE11, Rankings!$A$2:$J$113, 3, FALSE), " - ", VLOOKUP($AE11, Rankings!$A$2:$J$113, 4, FALSE))</f>
        <v>Scotland - Wedgehurst</v>
      </c>
      <c r="AD11" s="116">
        <f>IF((VLOOKUP(AE11, Rankings!$A$2:$AZ$113, 52, FALSE)), (VLOOKUP(AE11, Rankings!$A$2:$AZ$113, 52, FALSE)), "")</f>
        <v>34</v>
      </c>
      <c r="AE11" s="117">
        <v>108</v>
      </c>
      <c r="AF11" s="118" t="s">
        <v>1112</v>
      </c>
      <c r="AG11" s="174">
        <v>8</v>
      </c>
      <c r="AH11" s="118"/>
      <c r="AI11" s="118"/>
      <c r="AJ11" s="125"/>
    </row>
    <row r="12" spans="1:38" x14ac:dyDescent="0.35">
      <c r="B12" s="124" t="str">
        <f>CONCATENATE(VLOOKUP($D12, Rankings!$A$2:$J$113, 3, FALSE), " - ", VLOOKUP($D12, Rankings!$A$2:$J$113, 4, FALSE))</f>
        <v>East Johto - Azalea Town</v>
      </c>
      <c r="C12" s="116">
        <f>IF((VLOOKUP(D12, Rankings!$A$2:$AZ$113, 52, FALSE)), (VLOOKUP(D12, Rankings!$A$2:$AZ$113, 52, FALSE)), "")</f>
        <v>82</v>
      </c>
      <c r="D12" s="117">
        <v>5</v>
      </c>
      <c r="E12" s="118" t="s">
        <v>1112</v>
      </c>
      <c r="F12" s="174">
        <v>8</v>
      </c>
      <c r="G12" s="118"/>
      <c r="H12" s="118"/>
      <c r="I12" s="125"/>
      <c r="K12" s="124" t="str">
        <f>CONCATENATE(VLOOKUP($M12, Rankings!$A$2:$J$113, 3, FALSE), " - ", VLOOKUP($M12, Rankings!$A$2:$J$113, 4, FALSE))</f>
        <v>Marsh - Pastoria City</v>
      </c>
      <c r="L12" s="116">
        <f>IF((VLOOKUP(M12, Rankings!$A$2:$AZ$113, 52, FALSE)), (VLOOKUP(M12, Rankings!$A$2:$AZ$113, 52, FALSE)), "")</f>
        <v>103</v>
      </c>
      <c r="M12" s="117">
        <v>47</v>
      </c>
      <c r="N12" s="174">
        <v>9</v>
      </c>
      <c r="O12" s="174">
        <v>9</v>
      </c>
      <c r="P12" s="118"/>
      <c r="Q12" s="118"/>
      <c r="R12" s="125"/>
      <c r="T12" s="124" t="str">
        <f>CONCATENATE(VLOOKUP($V12, Rankings!$A$2:$J$113, 3, FALSE), " - ", VLOOKUP($V12, Rankings!$A$2:$J$113, 4, FALSE))</f>
        <v>South - Aquacorde Town</v>
      </c>
      <c r="U12" s="116">
        <f>IF((VLOOKUP(V12, Rankings!$A$2:$AZ$113, 52, FALSE)), (VLOOKUP(V12, Rankings!$A$2:$AZ$113, 52, FALSE)), "")</f>
        <v>70</v>
      </c>
      <c r="V12" s="117">
        <v>77</v>
      </c>
      <c r="W12" s="118" t="s">
        <v>1112</v>
      </c>
      <c r="X12" s="174">
        <v>8</v>
      </c>
      <c r="Y12" s="118"/>
      <c r="Z12" s="118"/>
      <c r="AA12" s="125"/>
      <c r="AC12" s="124" t="str">
        <f>CONCATENATE(VLOOKUP($AE12, Rankings!$A$2:$J$113, 3, FALSE), " - ", VLOOKUP($AE12, Rankings!$A$2:$J$113, 4, FALSE))</f>
        <v>Scotland - South Lakes</v>
      </c>
      <c r="AD12" s="116">
        <f>IF((VLOOKUP(AE12, Rankings!$A$2:$AZ$113, 52, FALSE)), (VLOOKUP(AE12, Rankings!$A$2:$AZ$113, 52, FALSE)), "")</f>
        <v>5</v>
      </c>
      <c r="AE12" s="117">
        <v>107</v>
      </c>
      <c r="AF12" s="176">
        <v>12</v>
      </c>
      <c r="AG12" s="176">
        <v>12</v>
      </c>
      <c r="AH12" s="118"/>
      <c r="AI12" s="118"/>
      <c r="AJ12" s="125"/>
    </row>
    <row r="13" spans="1:38" x14ac:dyDescent="0.35">
      <c r="B13" s="124" t="str">
        <f>CONCATENATE(VLOOKUP($D13, Rankings!$A$2:$J$113, 3, FALSE), " - ", VLOOKUP($D13, Rankings!$A$2:$J$113, 4, FALSE))</f>
        <v>Central Kanto - Cerulean City</v>
      </c>
      <c r="C13" s="116">
        <f>IF((VLOOKUP(D13, Rankings!$A$2:$AZ$113, 52, FALSE)), (VLOOKUP(D13, Rankings!$A$2:$AZ$113, 52, FALSE)), "")</f>
        <v>73</v>
      </c>
      <c r="D13" s="117">
        <v>10</v>
      </c>
      <c r="E13" s="175">
        <v>10</v>
      </c>
      <c r="F13" s="175">
        <v>10</v>
      </c>
      <c r="G13" s="118"/>
      <c r="H13" s="118"/>
      <c r="I13" s="125"/>
      <c r="K13" s="124" t="str">
        <f>CONCATENATE(VLOOKUP($M13, Rankings!$A$2:$J$113, 3, FALSE), " - ", VLOOKUP($M13, Rankings!$A$2:$J$113, 4, FALSE))</f>
        <v>Verity - Jubilife City</v>
      </c>
      <c r="L13" s="116">
        <f>IF((VLOOKUP(M13, Rankings!$A$2:$AZ$113, 52, FALSE)), (VLOOKUP(M13, Rankings!$A$2:$AZ$113, 52, FALSE)), "")</f>
        <v>63</v>
      </c>
      <c r="M13" s="117">
        <v>34</v>
      </c>
      <c r="N13" s="177">
        <v>11</v>
      </c>
      <c r="O13" s="177">
        <v>11</v>
      </c>
      <c r="P13" s="118"/>
      <c r="Q13" s="118"/>
      <c r="R13" s="125"/>
      <c r="T13" s="124" t="str">
        <f>CONCATENATE(VLOOKUP($V13, Rankings!$A$2:$J$113, 3, FALSE), " - ", VLOOKUP($V13, Rankings!$A$2:$J$113, 4, FALSE))</f>
        <v>Central - Camphrier Town</v>
      </c>
      <c r="U13" s="116">
        <f>IF((VLOOKUP(V13, Rankings!$A$2:$AZ$113, 52, FALSE)), (VLOOKUP(V13, Rankings!$A$2:$AZ$113, 52, FALSE)), "")</f>
        <v>92</v>
      </c>
      <c r="V13" s="117">
        <v>69</v>
      </c>
      <c r="W13" s="176">
        <v>13</v>
      </c>
      <c r="X13" s="176">
        <v>13</v>
      </c>
      <c r="Y13" s="118"/>
      <c r="Z13" s="118"/>
      <c r="AA13" s="125"/>
      <c r="AC13" s="124" t="str">
        <f>CONCATENATE(VLOOKUP($AE13, Rankings!$A$2:$J$113, 3, FALSE), " - ", VLOOKUP($AE13, Rankings!$A$2:$J$113, 4, FALSE))</f>
        <v>South Wild - Motostoke</v>
      </c>
      <c r="AD13" s="116">
        <f>IF((VLOOKUP(AE13, Rankings!$A$2:$AZ$113, 52, FALSE)), (VLOOKUP(AE13, Rankings!$A$2:$AZ$113, 52, FALSE)), "")</f>
        <v>111</v>
      </c>
      <c r="AE13" s="117">
        <v>111</v>
      </c>
      <c r="AF13" s="177">
        <v>14</v>
      </c>
      <c r="AG13" s="177">
        <v>14</v>
      </c>
      <c r="AH13" s="118"/>
      <c r="AI13" s="118"/>
      <c r="AJ13" s="125"/>
    </row>
    <row r="14" spans="1:38" x14ac:dyDescent="0.35">
      <c r="B14" s="124" t="str">
        <f>CONCATENATE(VLOOKUP($D14, Rankings!$A$2:$J$113, 3, FALSE), " - ", VLOOKUP($D14, Rankings!$A$2:$J$113, 4, FALSE))</f>
        <v>Outer Kanto - Fuchsia City</v>
      </c>
      <c r="C14" s="116">
        <f>IF((VLOOKUP(D14, Rankings!$A$2:$AZ$113, 52, FALSE)), (VLOOKUP(D14, Rankings!$A$2:$AZ$113, 52, FALSE)), "")</f>
        <v>30</v>
      </c>
      <c r="D14" s="117">
        <v>14</v>
      </c>
      <c r="E14" s="177">
        <v>14</v>
      </c>
      <c r="F14" s="177">
        <v>14</v>
      </c>
      <c r="G14" s="118"/>
      <c r="H14" s="118"/>
      <c r="I14" s="125"/>
      <c r="K14" s="124" t="str">
        <f>CONCATENATE(VLOOKUP($M14, Rankings!$A$2:$J$113, 3, FALSE), " - ", VLOOKUP($M14, Rankings!$A$2:$J$113, 4, FALSE))</f>
        <v>Coronet - Eterna City</v>
      </c>
      <c r="L14" s="116">
        <f>IF((VLOOKUP(M14, Rankings!$A$2:$AZ$113, 52, FALSE)), (VLOOKUP(M14, Rankings!$A$2:$AZ$113, 52, FALSE)), "")</f>
        <v>41</v>
      </c>
      <c r="M14" s="117">
        <v>37</v>
      </c>
      <c r="N14" s="176">
        <v>13</v>
      </c>
      <c r="O14" s="176">
        <v>13</v>
      </c>
      <c r="P14" s="118"/>
      <c r="Q14" s="118"/>
      <c r="R14" s="125"/>
      <c r="T14" s="124" t="str">
        <f>CONCATENATE(VLOOKUP($V14, Rankings!$A$2:$J$113, 3, FALSE), " - ", VLOOKUP($V14, Rankings!$A$2:$J$113, 4, FALSE))</f>
        <v>Coastal - Ambrette Town</v>
      </c>
      <c r="U14" s="116">
        <f>IF((VLOOKUP(V14, Rankings!$A$2:$AZ$113, 52, FALSE)), (VLOOKUP(V14, Rankings!$A$2:$AZ$113, 52, FALSE)), "")</f>
        <v>57</v>
      </c>
      <c r="V14" s="117">
        <v>65</v>
      </c>
      <c r="W14" s="175">
        <v>15</v>
      </c>
      <c r="X14" s="175">
        <v>15</v>
      </c>
      <c r="Y14" s="118"/>
      <c r="Z14" s="118"/>
      <c r="AA14" s="125"/>
      <c r="AC14" s="124" t="str">
        <f>CONCATENATE(VLOOKUP($AE14, Rankings!$A$2:$J$113, 3, FALSE), " - ", VLOOKUP($AE14, Rankings!$A$2:$J$113, 4, FALSE))</f>
        <v>Scotland - Crown Tundra</v>
      </c>
      <c r="AD14" s="116">
        <f>IF((VLOOKUP(AE14, Rankings!$A$2:$AZ$113, 52, FALSE)), (VLOOKUP(AE14, Rankings!$A$2:$AZ$113, 52, FALSE)), "")</f>
        <v>80</v>
      </c>
      <c r="AE14" s="117">
        <v>105</v>
      </c>
      <c r="AF14" s="175">
        <v>15</v>
      </c>
      <c r="AG14" s="175">
        <v>15</v>
      </c>
      <c r="AH14" s="118"/>
      <c r="AI14" s="118"/>
      <c r="AJ14" s="125"/>
    </row>
    <row r="15" spans="1:38" x14ac:dyDescent="0.35">
      <c r="B15" s="124" t="str">
        <f>CONCATENATE(VLOOKUP($D15, Rankings!$A$2:$J$113, 3, FALSE), " - ", VLOOKUP($D15, Rankings!$A$2:$J$113, 4, FALSE))</f>
        <v>Central Kanto - Celadon City</v>
      </c>
      <c r="C15" s="116">
        <f>IF((VLOOKUP(D15, Rankings!$A$2:$AZ$113, 52, FALSE)), (VLOOKUP(D15, Rankings!$A$2:$AZ$113, 52, FALSE)), "")</f>
        <v>81</v>
      </c>
      <c r="D15" s="117">
        <v>9</v>
      </c>
      <c r="E15" s="177">
        <v>11</v>
      </c>
      <c r="F15" s="118"/>
      <c r="G15" s="118"/>
      <c r="H15" s="118"/>
      <c r="I15" s="125"/>
      <c r="K15" s="124" t="str">
        <f>CONCATENATE(VLOOKUP($M15, Rankings!$A$2:$J$113, 3, FALSE), " - ", VLOOKUP($M15, Rankings!$A$2:$J$113, 4, FALSE))</f>
        <v>Marsh - Hearthome City</v>
      </c>
      <c r="L15" s="116">
        <f>IF((VLOOKUP(M15, Rankings!$A$2:$AZ$113, 52, FALSE)), (VLOOKUP(M15, Rankings!$A$2:$AZ$113, 52, FALSE)), "")</f>
        <v>99</v>
      </c>
      <c r="M15" s="117">
        <v>46</v>
      </c>
      <c r="N15" s="175">
        <v>10</v>
      </c>
      <c r="O15" s="118"/>
      <c r="P15" s="118"/>
      <c r="Q15" s="118"/>
      <c r="R15" s="125"/>
      <c r="T15" s="124" t="str">
        <f>CONCATENATE(VLOOKUP($V15, Rankings!$A$2:$J$113, 3, FALSE), " - ", VLOOKUP($V15, Rankings!$A$2:$J$113, 4, FALSE))</f>
        <v>Coastal - Shalour City</v>
      </c>
      <c r="U15" s="116">
        <f>IF((VLOOKUP(V15, Rankings!$A$2:$AZ$113, 52, FALSE)), (VLOOKUP(V15, Rankings!$A$2:$AZ$113, 52, FALSE)), "")</f>
        <v>86</v>
      </c>
      <c r="V15" s="117">
        <v>68</v>
      </c>
      <c r="W15" s="174">
        <v>9</v>
      </c>
      <c r="X15" s="118"/>
      <c r="Y15" s="118"/>
      <c r="Z15" s="118"/>
      <c r="AA15" s="125"/>
      <c r="AC15" s="124" t="str">
        <f>CONCATENATE(VLOOKUP($AE15, Rankings!$A$2:$J$113, 3, FALSE), " - ", VLOOKUP($AE15, Rankings!$A$2:$J$113, 4, FALSE))</f>
        <v>South Wild - Turffield</v>
      </c>
      <c r="AD15" s="116">
        <f>IF((VLOOKUP(AE15, Rankings!$A$2:$AZ$113, 52, FALSE)), (VLOOKUP(AE15, Rankings!$A$2:$AZ$113, 52, FALSE)), "")</f>
        <v>90</v>
      </c>
      <c r="AE15" s="117">
        <v>112</v>
      </c>
      <c r="AF15" s="175">
        <v>10</v>
      </c>
      <c r="AG15" s="118"/>
      <c r="AH15" s="118"/>
      <c r="AI15" s="118"/>
      <c r="AJ15" s="125"/>
    </row>
    <row r="16" spans="1:38" x14ac:dyDescent="0.35">
      <c r="B16" s="124" t="str">
        <f>CONCATENATE(VLOOKUP($D16, Rankings!$A$2:$J$113, 3, FALSE), " - ", VLOOKUP($D16, Rankings!$A$2:$J$113, 4, FALSE))</f>
        <v>East Johto - Blackthorn City</v>
      </c>
      <c r="C16" s="116">
        <f>IF((VLOOKUP(D16, Rankings!$A$2:$AZ$113, 52, FALSE)), (VLOOKUP(D16, Rankings!$A$2:$AZ$113, 52, FALSE)), "")</f>
        <v>51</v>
      </c>
      <c r="D16" s="117">
        <v>6</v>
      </c>
      <c r="E16" s="176">
        <v>13</v>
      </c>
      <c r="F16" s="118"/>
      <c r="G16" s="118"/>
      <c r="H16" s="118"/>
      <c r="I16" s="125"/>
      <c r="K16" s="124" t="str">
        <f>CONCATENATE(VLOOKUP($M16, Rankings!$A$2:$J$113, 3, FALSE), " - ", VLOOKUP($M16, Rankings!$A$2:$J$113, 4, FALSE))</f>
        <v>Verity - Canalave City</v>
      </c>
      <c r="L16" s="116">
        <f>IF((VLOOKUP(M16, Rankings!$A$2:$AZ$113, 52, FALSE)), (VLOOKUP(M16, Rankings!$A$2:$AZ$113, 52, FALSE)), "")</f>
        <v>112</v>
      </c>
      <c r="M16" s="117">
        <v>33</v>
      </c>
      <c r="N16" s="176">
        <v>12</v>
      </c>
      <c r="O16" s="118"/>
      <c r="P16" s="118"/>
      <c r="Q16" s="118"/>
      <c r="R16" s="125"/>
      <c r="T16" s="124" t="str">
        <f>CONCATENATE(VLOOKUP($V16, Rankings!$A$2:$J$113, 3, FALSE), " - ", VLOOKUP($V16, Rankings!$A$2:$J$113, 4, FALSE))</f>
        <v>Mountain - Snowbelle City</v>
      </c>
      <c r="U16" s="116">
        <f>IF((VLOOKUP(V16, Rankings!$A$2:$AZ$113, 52, FALSE)), (VLOOKUP(V16, Rankings!$A$2:$AZ$113, 52, FALSE)), "")</f>
        <v>62</v>
      </c>
      <c r="V16" s="117">
        <v>76</v>
      </c>
      <c r="W16" s="175">
        <v>10</v>
      </c>
      <c r="X16" s="118"/>
      <c r="Y16" s="118"/>
      <c r="Z16" s="118"/>
      <c r="AA16" s="125"/>
      <c r="AC16" s="124" t="str">
        <f>CONCATENATE(VLOOKUP($AE16, Rankings!$A$2:$J$113, 3, FALSE), " - ", VLOOKUP($AE16, Rankings!$A$2:$J$113, 4, FALSE))</f>
        <v>North Wild - Circhester Bay</v>
      </c>
      <c r="AD16" s="116">
        <f>IF((VLOOKUP(AE16, Rankings!$A$2:$AZ$113, 52, FALSE)), (VLOOKUP(AE16, Rankings!$A$2:$AZ$113, 52, FALSE)), "")</f>
        <v>74</v>
      </c>
      <c r="AE16" s="117">
        <v>102</v>
      </c>
      <c r="AF16" s="177">
        <v>11</v>
      </c>
      <c r="AG16" s="118"/>
      <c r="AH16" s="118"/>
      <c r="AI16" s="118"/>
      <c r="AJ16" s="125"/>
    </row>
    <row r="17" spans="1:40" x14ac:dyDescent="0.35">
      <c r="B17" s="124" t="str">
        <f>CONCATENATE(VLOOKUP($D17, Rankings!$A$2:$J$113, 3, FALSE), " - ", VLOOKUP($D17, Rankings!$A$2:$J$113, 4, FALSE))</f>
        <v>Outer Kanto - Pewter City</v>
      </c>
      <c r="C17" s="116">
        <f>IF((VLOOKUP(D17, Rankings!$A$2:$AZ$113, 52, FALSE)), (VLOOKUP(D17, Rankings!$A$2:$AZ$113, 52, FALSE)), "")</f>
        <v>100</v>
      </c>
      <c r="D17" s="117">
        <v>15</v>
      </c>
      <c r="E17" s="175">
        <v>15</v>
      </c>
      <c r="F17" s="118"/>
      <c r="G17" s="118"/>
      <c r="H17" s="118"/>
      <c r="I17" s="125"/>
      <c r="K17" s="124" t="str">
        <f>CONCATENATE(VLOOKUP($M17, Rankings!$A$2:$J$113, 3, FALSE), " - ", VLOOKUP($M17, Rankings!$A$2:$J$113, 4, FALSE))</f>
        <v>Valour - Sunyshore City</v>
      </c>
      <c r="L17" s="116">
        <f>IF((VLOOKUP(M17, Rankings!$A$2:$AZ$113, 52, FALSE)), (VLOOKUP(M17, Rankings!$A$2:$AZ$113, 52, FALSE)), "")</f>
        <v>79</v>
      </c>
      <c r="M17" s="117">
        <v>43</v>
      </c>
      <c r="N17" s="177">
        <v>14</v>
      </c>
      <c r="O17" s="118"/>
      <c r="P17" s="118"/>
      <c r="Q17" s="118"/>
      <c r="R17" s="125"/>
      <c r="T17" s="124" t="str">
        <f>CONCATENATE(VLOOKUP($V17, Rankings!$A$2:$J$113, 3, FALSE), " - ", VLOOKUP($V17, Rankings!$A$2:$J$113, 4, FALSE))</f>
        <v>Mountain - Couriway Town</v>
      </c>
      <c r="U17" s="116">
        <f>IF((VLOOKUP(V17, Rankings!$A$2:$AZ$113, 52, FALSE)), (VLOOKUP(V17, Rankings!$A$2:$AZ$113, 52, FALSE)), "")</f>
        <v>84</v>
      </c>
      <c r="V17" s="117">
        <v>74</v>
      </c>
      <c r="W17" s="177">
        <v>11</v>
      </c>
      <c r="X17" s="118"/>
      <c r="Y17" s="118"/>
      <c r="Z17" s="118"/>
      <c r="AA17" s="125"/>
      <c r="AC17" s="124" t="str">
        <f>CONCATENATE(VLOOKUP($AE17, Rankings!$A$2:$J$113, 3, FALSE), " - ", VLOOKUP($AE17, Rankings!$A$2:$J$113, 4, FALSE))</f>
        <v>London - Ballonlea</v>
      </c>
      <c r="AD17" s="116">
        <f>IF((VLOOKUP(AE17, Rankings!$A$2:$AZ$113, 52, FALSE)), (VLOOKUP(AE17, Rankings!$A$2:$AZ$113, 52, FALSE)), "")</f>
        <v>85</v>
      </c>
      <c r="AE17" s="117">
        <v>97</v>
      </c>
      <c r="AF17" s="176">
        <v>13</v>
      </c>
      <c r="AG17" s="118"/>
      <c r="AH17" s="118"/>
      <c r="AI17" s="118"/>
      <c r="AJ17" s="125"/>
      <c r="AN17" s="235"/>
    </row>
    <row r="18" spans="1:40" ht="15" thickBot="1" x14ac:dyDescent="0.4">
      <c r="B18" s="126" t="str">
        <f>CONCATENATE(VLOOKUP($D18, Rankings!$A$2:$J$113, 3, FALSE), " - ", VLOOKUP($D18, Rankings!$A$2:$J$113, 4, FALSE))</f>
        <v>West Johto - Ecruteak City</v>
      </c>
      <c r="C18" s="127">
        <f>IF((VLOOKUP(D18, Rankings!$A$2:$AZ$113, 52, FALSE)), (VLOOKUP(D18, Rankings!$A$2:$AZ$113, 52, FALSE)), "")</f>
        <v>107</v>
      </c>
      <c r="D18" s="128">
        <v>2</v>
      </c>
      <c r="E18" s="173">
        <v>16</v>
      </c>
      <c r="F18" s="129"/>
      <c r="G18" s="129"/>
      <c r="H18" s="129"/>
      <c r="I18" s="130"/>
      <c r="K18" s="126" t="str">
        <f>CONCATENATE(VLOOKUP($M18, Rankings!$A$2:$J$113, 3, FALSE), " - ", VLOOKUP($M18, Rankings!$A$2:$J$113, 4, FALSE))</f>
        <v>Valour - Fight Area</v>
      </c>
      <c r="L18" s="127">
        <f>IF((VLOOKUP(M18, Rankings!$A$2:$AZ$113, 52, FALSE)), (VLOOKUP(M18, Rankings!$A$2:$AZ$113, 52, FALSE)), "")</f>
        <v>93</v>
      </c>
      <c r="M18" s="128">
        <v>41</v>
      </c>
      <c r="N18" s="173">
        <v>16</v>
      </c>
      <c r="O18" s="129"/>
      <c r="P18" s="129"/>
      <c r="Q18" s="129"/>
      <c r="R18" s="130"/>
      <c r="T18" s="126" t="str">
        <f>CONCATENATE(VLOOKUP($V18, Rankings!$A$2:$J$113, 3, FALSE), " - ", VLOOKUP($V18, Rankings!$A$2:$J$113, 4, FALSE))</f>
        <v>South - Kiloude City</v>
      </c>
      <c r="U18" s="127">
        <f>IF((VLOOKUP(V18, Rankings!$A$2:$AZ$113, 52, FALSE)), (VLOOKUP(V18, Rankings!$A$2:$AZ$113, 52, FALSE)), "")</f>
        <v>89</v>
      </c>
      <c r="V18" s="128">
        <v>78</v>
      </c>
      <c r="W18" s="231">
        <v>12</v>
      </c>
      <c r="X18" s="129"/>
      <c r="Y18" s="129"/>
      <c r="Z18" s="129"/>
      <c r="AA18" s="130"/>
      <c r="AC18" s="126" t="str">
        <f>CONCATENATE(VLOOKUP($AE18, Rankings!$A$2:$J$113, 3, FALSE), " - ", VLOOKUP($AE18, Rankings!$A$2:$J$113, 4, FALSE))</f>
        <v>North Wild - Hammerlocke</v>
      </c>
      <c r="AD18" s="127">
        <f>IF((VLOOKUP(AE18, Rankings!$A$2:$AZ$113, 52, FALSE)), (VLOOKUP(AE18, Rankings!$A$2:$AZ$113, 52, FALSE)), "")</f>
        <v>33</v>
      </c>
      <c r="AE18" s="128">
        <v>103</v>
      </c>
      <c r="AF18" s="173">
        <v>16</v>
      </c>
      <c r="AG18" s="129"/>
      <c r="AH18" s="129"/>
      <c r="AI18" s="129"/>
      <c r="AJ18" s="130"/>
    </row>
    <row r="19" spans="1:40" ht="15" thickBot="1" x14ac:dyDescent="0.4"/>
    <row r="20" spans="1:40" ht="18.5" x14ac:dyDescent="0.45">
      <c r="B20" s="131" t="s">
        <v>4269</v>
      </c>
      <c r="C20" s="120" t="s">
        <v>1372</v>
      </c>
      <c r="D20" s="121"/>
      <c r="E20" s="122">
        <v>1</v>
      </c>
      <c r="F20" s="122">
        <v>2</v>
      </c>
      <c r="G20" s="122" t="s">
        <v>283</v>
      </c>
      <c r="H20" s="122" t="s">
        <v>1787</v>
      </c>
      <c r="I20" s="123" t="s">
        <v>1074</v>
      </c>
      <c r="J20" s="93"/>
      <c r="K20" s="133" t="s">
        <v>4271</v>
      </c>
      <c r="L20" s="120" t="s">
        <v>1372</v>
      </c>
      <c r="M20" s="121"/>
      <c r="N20" s="122">
        <v>1</v>
      </c>
      <c r="O20" s="122">
        <v>2</v>
      </c>
      <c r="P20" s="122" t="s">
        <v>283</v>
      </c>
      <c r="Q20" s="122" t="s">
        <v>1787</v>
      </c>
      <c r="R20" s="123" t="s">
        <v>1074</v>
      </c>
      <c r="S20" s="93"/>
      <c r="T20" s="135" t="s">
        <v>4450</v>
      </c>
      <c r="U20" s="120" t="s">
        <v>1372</v>
      </c>
      <c r="V20" s="121"/>
      <c r="W20" s="122">
        <v>1</v>
      </c>
      <c r="X20" s="122">
        <v>2</v>
      </c>
      <c r="Y20" s="122" t="s">
        <v>283</v>
      </c>
      <c r="Z20" s="122" t="s">
        <v>1787</v>
      </c>
      <c r="AA20" s="123" t="s">
        <v>1074</v>
      </c>
      <c r="AB20" s="93"/>
      <c r="AC20" s="365" t="s">
        <v>4721</v>
      </c>
      <c r="AD20"/>
      <c r="AE20"/>
      <c r="AF20"/>
      <c r="AG20"/>
      <c r="AH20"/>
      <c r="AI20"/>
      <c r="AJ20"/>
    </row>
    <row r="21" spans="1:40" x14ac:dyDescent="0.35">
      <c r="A21">
        <v>1</v>
      </c>
      <c r="B21" s="272" t="str">
        <f>CONCATENATE(VLOOKUP($D21, Rankings!$A$2:$J$113, 3, FALSE), " - ", VLOOKUP($D21, Rankings!$A$2:$J$113, 4, FALSE))</f>
        <v>Northwest - Rustboro City</v>
      </c>
      <c r="C21" s="116">
        <f>IF((VLOOKUP(D21, Rankings!$A$2:$AZ$113, 52, FALSE)), (VLOOKUP(D21, Rankings!$A$2:$AZ$113, 52, FALSE)), "")</f>
        <v>25</v>
      </c>
      <c r="D21" s="117">
        <v>23</v>
      </c>
      <c r="E21" s="118" t="s">
        <v>1112</v>
      </c>
      <c r="F21" s="118" t="s">
        <v>1112</v>
      </c>
      <c r="G21" s="174">
        <v>1</v>
      </c>
      <c r="H21" s="174">
        <v>1</v>
      </c>
      <c r="I21" s="314">
        <v>1</v>
      </c>
      <c r="J21" s="1">
        <v>1</v>
      </c>
      <c r="K21" s="272" t="str">
        <f>CONCATENATE(VLOOKUP($M21, Rankings!$A$2:$J$113, 3, FALSE), " - ", VLOOKUP($M21, Rankings!$A$2:$J$113, 4, FALSE))</f>
        <v>Midwest - Virbank City</v>
      </c>
      <c r="L21" s="116">
        <f>IF((VLOOKUP(M21, Rankings!$A$2:$AZ$113, 52, FALSE)), (VLOOKUP(M21, Rankings!$A$2:$AZ$113, 52, FALSE)), "")</f>
        <v>6</v>
      </c>
      <c r="M21" s="117">
        <v>56</v>
      </c>
      <c r="N21" s="118" t="s">
        <v>1112</v>
      </c>
      <c r="O21" s="118" t="s">
        <v>1112</v>
      </c>
      <c r="P21" s="175">
        <v>2</v>
      </c>
      <c r="Q21" s="175">
        <v>2</v>
      </c>
      <c r="R21" s="306">
        <v>2</v>
      </c>
      <c r="S21" s="1">
        <v>1</v>
      </c>
      <c r="T21" s="272" t="str">
        <f>CONCATENATE(VLOOKUP($V21, Rankings!$A$2:$J$113, 3, FALSE), " - ", VLOOKUP($V21, Rankings!$A$2:$J$113, 4, FALSE))</f>
        <v>Melemele - Kala'e Bay</v>
      </c>
      <c r="U21" s="116">
        <f>IF((VLOOKUP(V21, Rankings!$A$2:$AZ$113, 52, FALSE)), (VLOOKUP(V21, Rankings!$A$2:$AZ$113, 52, FALSE)), "")</f>
        <v>4</v>
      </c>
      <c r="V21" s="117">
        <v>87</v>
      </c>
      <c r="W21" s="118" t="s">
        <v>1112</v>
      </c>
      <c r="X21" s="118" t="s">
        <v>1112</v>
      </c>
      <c r="Y21" s="177">
        <v>3</v>
      </c>
      <c r="Z21" s="177">
        <v>3</v>
      </c>
      <c r="AA21" s="315">
        <v>3</v>
      </c>
      <c r="AC21" s="6"/>
      <c r="AE21" s="6"/>
      <c r="AF21" s="6"/>
      <c r="AG21" s="6"/>
      <c r="AH21"/>
      <c r="AI21" s="6"/>
      <c r="AJ21" s="6"/>
    </row>
    <row r="22" spans="1:40" x14ac:dyDescent="0.35">
      <c r="A22">
        <v>2</v>
      </c>
      <c r="B22" s="124" t="str">
        <f>CONCATENATE(VLOOKUP($D22, Rankings!$A$2:$J$113, 3, FALSE), " - ", VLOOKUP($D22, Rankings!$A$2:$J$113, 4, FALSE))</f>
        <v>Southwest - Dewford Town</v>
      </c>
      <c r="C22" s="116">
        <f>IF((VLOOKUP(D22, Rankings!$A$2:$AZ$113, 52, FALSE)), (VLOOKUP(D22, Rankings!$A$2:$AZ$113, 52, FALSE)), "")</f>
        <v>13</v>
      </c>
      <c r="D22" s="117">
        <v>17</v>
      </c>
      <c r="E22" s="118" t="s">
        <v>1112</v>
      </c>
      <c r="F22" s="177">
        <v>6</v>
      </c>
      <c r="G22" s="177">
        <v>6</v>
      </c>
      <c r="H22" s="177">
        <v>6</v>
      </c>
      <c r="I22" s="315">
        <v>6</v>
      </c>
      <c r="J22" s="1">
        <v>2</v>
      </c>
      <c r="K22" s="124" t="str">
        <f>CONCATENATE(VLOOKUP($M22, Rankings!$A$2:$J$113, 3, FALSE), " - ", VLOOKUP($M22, Rankings!$A$2:$J$113, 4, FALSE))</f>
        <v>Northeast - Humilau City</v>
      </c>
      <c r="L22" s="116">
        <f>IF((VLOOKUP(M22, Rankings!$A$2:$AZ$113, 52, FALSE)), (VLOOKUP(M22, Rankings!$A$2:$AZ$113, 52, FALSE)), "")</f>
        <v>17</v>
      </c>
      <c r="M22" s="117">
        <v>61</v>
      </c>
      <c r="N22" s="118" t="s">
        <v>1112</v>
      </c>
      <c r="O22" s="176">
        <v>5</v>
      </c>
      <c r="P22" s="176">
        <v>5</v>
      </c>
      <c r="Q22" s="176">
        <v>5</v>
      </c>
      <c r="R22" s="307">
        <v>5</v>
      </c>
      <c r="S22" s="1">
        <v>2</v>
      </c>
      <c r="T22" s="124" t="str">
        <f>CONCATENATE(VLOOKUP($V22, Rankings!$A$2:$J$113, 3, FALSE), " - ", VLOOKUP($V22, Rankings!$A$2:$J$113, 4, FALSE))</f>
        <v>Ula'ula - Mount Hokulani</v>
      </c>
      <c r="U22" s="116">
        <f>IF((VLOOKUP(V22, Rankings!$A$2:$AZ$113, 52, FALSE)), (VLOOKUP(V22, Rankings!$A$2:$AZ$113, 52, FALSE)), "")</f>
        <v>58</v>
      </c>
      <c r="V22" s="117">
        <v>90</v>
      </c>
      <c r="W22" s="118" t="s">
        <v>1112</v>
      </c>
      <c r="X22" s="118" t="s">
        <v>1112</v>
      </c>
      <c r="Y22" s="176">
        <v>4</v>
      </c>
      <c r="Z22" s="176">
        <v>4</v>
      </c>
      <c r="AA22" s="307">
        <v>4</v>
      </c>
      <c r="AC22" s="6"/>
      <c r="AD22" s="155" t="s">
        <v>2288</v>
      </c>
      <c r="AE22"/>
      <c r="AF22" s="6"/>
      <c r="AG22" s="6"/>
      <c r="AH22"/>
      <c r="AI22" s="6"/>
      <c r="AJ22" s="6"/>
    </row>
    <row r="23" spans="1:40" x14ac:dyDescent="0.35">
      <c r="A23">
        <v>4</v>
      </c>
      <c r="B23" s="124" t="str">
        <f>CONCATENATE(VLOOKUP($D23, Rankings!$A$2:$J$113, 3, FALSE), " - ", VLOOKUP($D23, Rankings!$A$2:$J$113, 4, FALSE))</f>
        <v>Seaside - Lilycove City</v>
      </c>
      <c r="C23" s="116">
        <f>IF((VLOOKUP(D23, Rankings!$A$2:$AZ$113, 52, FALSE)), (VLOOKUP(D23, Rankings!$A$2:$AZ$113, 52, FALSE)), "")</f>
        <v>49</v>
      </c>
      <c r="D23" s="117">
        <v>30</v>
      </c>
      <c r="E23" s="118" t="s">
        <v>1112</v>
      </c>
      <c r="F23" s="118" t="s">
        <v>1112</v>
      </c>
      <c r="G23" s="176">
        <v>4</v>
      </c>
      <c r="H23" s="176">
        <v>4</v>
      </c>
      <c r="I23" s="125"/>
      <c r="J23" s="1">
        <v>3</v>
      </c>
      <c r="K23" s="124" t="str">
        <f>CONCATENATE(VLOOKUP($M23, Rankings!$A$2:$J$113, 3, FALSE), " - ", VLOOKUP($M23, Rankings!$A$2:$J$113, 4, FALSE))</f>
        <v>Southeast - Castelia City</v>
      </c>
      <c r="L23" s="116">
        <f>IF((VLOOKUP(M23, Rankings!$A$2:$AZ$113, 52, FALSE)), (VLOOKUP(M23, Rankings!$A$2:$AZ$113, 52, FALSE)), "")</f>
        <v>9</v>
      </c>
      <c r="M23" s="117">
        <v>58</v>
      </c>
      <c r="N23" s="118" t="s">
        <v>1112</v>
      </c>
      <c r="O23" s="118" t="s">
        <v>1112</v>
      </c>
      <c r="P23" s="174">
        <v>1</v>
      </c>
      <c r="Q23" s="174">
        <v>1</v>
      </c>
      <c r="R23" s="125"/>
      <c r="S23" s="1">
        <v>3</v>
      </c>
      <c r="T23" s="124" t="str">
        <f>CONCATENATE(VLOOKUP($V23, Rankings!$A$2:$J$113, 3, FALSE), " - ", VLOOKUP($V23, Rankings!$A$2:$J$113, 4, FALSE))</f>
        <v>Akala - Paniola Town</v>
      </c>
      <c r="U23" s="116">
        <f>IF((VLOOKUP(V23, Rankings!$A$2:$AZ$113, 52, FALSE)), (VLOOKUP(V23, Rankings!$A$2:$AZ$113, 52, FALSE)), "")</f>
        <v>43</v>
      </c>
      <c r="V23" s="117">
        <v>96</v>
      </c>
      <c r="W23" s="118" t="s">
        <v>1112</v>
      </c>
      <c r="X23" s="118" t="s">
        <v>1112</v>
      </c>
      <c r="Y23" s="174">
        <v>1</v>
      </c>
      <c r="Z23" s="174">
        <v>1</v>
      </c>
      <c r="AA23" s="125"/>
      <c r="AC23" s="6"/>
      <c r="AD23" s="156" t="s">
        <v>2289</v>
      </c>
      <c r="AE23"/>
      <c r="AF23" s="6"/>
      <c r="AG23" s="6"/>
      <c r="AH23"/>
      <c r="AI23" s="6"/>
      <c r="AJ23" s="6"/>
    </row>
    <row r="24" spans="1:40" x14ac:dyDescent="0.35">
      <c r="A24">
        <v>5</v>
      </c>
      <c r="B24" s="124" t="str">
        <f>CONCATENATE(VLOOKUP($D24, Rankings!$A$2:$J$113, 3, FALSE), " - ", VLOOKUP($D24, Rankings!$A$2:$J$113, 4, FALSE))</f>
        <v>Northwest - Fallarbor Town</v>
      </c>
      <c r="C24" s="116">
        <f>IF((VLOOKUP(D24, Rankings!$A$2:$AZ$113, 52, FALSE)), (VLOOKUP(D24, Rankings!$A$2:$AZ$113, 52, FALSE)), "")</f>
        <v>21</v>
      </c>
      <c r="D24" s="117">
        <v>21</v>
      </c>
      <c r="E24" s="118" t="s">
        <v>1112</v>
      </c>
      <c r="F24" s="175">
        <v>7</v>
      </c>
      <c r="G24" s="175">
        <v>7</v>
      </c>
      <c r="H24" s="175">
        <v>7</v>
      </c>
      <c r="I24" s="125"/>
      <c r="J24" s="1">
        <v>4</v>
      </c>
      <c r="K24" s="124" t="str">
        <f>CONCATENATE(VLOOKUP($M24, Rankings!$A$2:$J$113, 3, FALSE), " - ", VLOOKUP($M24, Rankings!$A$2:$J$113, 4, FALSE))</f>
        <v>Northeast - Undella Town</v>
      </c>
      <c r="L24" s="116">
        <f>IF((VLOOKUP(M24, Rankings!$A$2:$AZ$113, 52, FALSE)), (VLOOKUP(M24, Rankings!$A$2:$AZ$113, 52, FALSE)), "")</f>
        <v>50</v>
      </c>
      <c r="M24" s="117">
        <v>64</v>
      </c>
      <c r="N24" s="118" t="s">
        <v>1112</v>
      </c>
      <c r="O24" s="118" t="s">
        <v>1112</v>
      </c>
      <c r="P24" s="177">
        <v>3</v>
      </c>
      <c r="Q24" s="177">
        <v>3</v>
      </c>
      <c r="R24" s="125"/>
      <c r="S24" s="1">
        <v>4</v>
      </c>
      <c r="T24" s="124" t="str">
        <f>CONCATENATE(VLOOKUP($V24, Rankings!$A$2:$J$113, 3, FALSE), " - ", VLOOKUP($V24, Rankings!$A$2:$J$113, 4, FALSE))</f>
        <v>Melemele - Iki Town</v>
      </c>
      <c r="U24" s="116">
        <f>IF((VLOOKUP(V24, Rankings!$A$2:$AZ$113, 52, FALSE)), (VLOOKUP(V24, Rankings!$A$2:$AZ$113, 52, FALSE)), "")</f>
        <v>35</v>
      </c>
      <c r="V24" s="117">
        <v>86</v>
      </c>
      <c r="W24" s="175">
        <v>10</v>
      </c>
      <c r="X24" s="175">
        <v>10</v>
      </c>
      <c r="Y24" s="175">
        <v>10</v>
      </c>
      <c r="Z24" s="175">
        <v>10</v>
      </c>
      <c r="AA24" s="125"/>
      <c r="AC24" s="6"/>
      <c r="AD24" s="157" t="s">
        <v>2290</v>
      </c>
      <c r="AE24" s="6"/>
      <c r="AF24" s="6"/>
      <c r="AG24" s="6"/>
      <c r="AH24"/>
      <c r="AI24" s="6"/>
      <c r="AJ24" s="6"/>
    </row>
    <row r="25" spans="1:40" x14ac:dyDescent="0.35">
      <c r="A25">
        <v>3</v>
      </c>
      <c r="B25" s="124" t="str">
        <f>CONCATENATE(VLOOKUP($D25, Rankings!$A$2:$J$113, 3, FALSE), " - ", VLOOKUP($D25, Rankings!$A$2:$J$113, 4, FALSE))</f>
        <v>Northwest - Verdanturf Town</v>
      </c>
      <c r="C25" s="116">
        <f>IF((VLOOKUP(D25, Rankings!$A$2:$AZ$113, 52, FALSE)), (VLOOKUP(D25, Rankings!$A$2:$AZ$113, 52, FALSE)), "")</f>
        <v>101</v>
      </c>
      <c r="D25" s="117">
        <v>24</v>
      </c>
      <c r="E25" s="118" t="s">
        <v>1112</v>
      </c>
      <c r="F25" s="118" t="s">
        <v>1112</v>
      </c>
      <c r="G25" s="175">
        <v>2</v>
      </c>
      <c r="H25" s="118"/>
      <c r="I25" s="125"/>
      <c r="J25" s="1">
        <v>5</v>
      </c>
      <c r="K25" s="124" t="str">
        <f>CONCATENATE(VLOOKUP($M25, Rankings!$A$2:$J$113, 3, FALSE), " - ", VLOOKUP($M25, Rankings!$A$2:$J$113, 4, FALSE))</f>
        <v>Midwest - Nimbasa City</v>
      </c>
      <c r="L25" s="116">
        <f>IF((VLOOKUP(M25, Rankings!$A$2:$AZ$113, 52, FALSE)), (VLOOKUP(M25, Rankings!$A$2:$AZ$113, 52, FALSE)), "")</f>
        <v>60</v>
      </c>
      <c r="M25" s="117">
        <v>55</v>
      </c>
      <c r="N25" s="118" t="s">
        <v>1112</v>
      </c>
      <c r="O25" s="118" t="s">
        <v>1112</v>
      </c>
      <c r="P25" s="176">
        <v>4</v>
      </c>
      <c r="Q25" s="118"/>
      <c r="R25" s="125"/>
      <c r="S25" s="1">
        <v>5</v>
      </c>
      <c r="T25" s="124" t="str">
        <f>CONCATENATE(VLOOKUP($V25, Rankings!$A$2:$J$113, 3, FALSE), " - ", VLOOKUP($V25, Rankings!$A$2:$J$113, 4, FALSE))</f>
        <v>Poni - Seafolk Village</v>
      </c>
      <c r="U25" s="116">
        <f>IF((VLOOKUP(V25, Rankings!$A$2:$AZ$113, 52, FALSE)), (VLOOKUP(V25, Rankings!$A$2:$AZ$113, 52, FALSE)), "")</f>
        <v>76</v>
      </c>
      <c r="V25" s="117">
        <v>83</v>
      </c>
      <c r="W25" s="118" t="s">
        <v>1112</v>
      </c>
      <c r="X25" s="118" t="s">
        <v>1112</v>
      </c>
      <c r="Y25" s="175">
        <v>2</v>
      </c>
      <c r="Z25" s="118"/>
      <c r="AA25" s="125"/>
      <c r="AD25" s="158" t="s">
        <v>2291</v>
      </c>
      <c r="AE25" s="6"/>
      <c r="AF25" s="6"/>
      <c r="AG25" s="6"/>
      <c r="AH25"/>
      <c r="AI25" s="6"/>
      <c r="AJ25" s="306"/>
      <c r="AK25" t="s">
        <v>3815</v>
      </c>
      <c r="AN25" s="155" t="s">
        <v>4707</v>
      </c>
    </row>
    <row r="26" spans="1:40" x14ac:dyDescent="0.35">
      <c r="A26">
        <v>6</v>
      </c>
      <c r="B26" s="124" t="str">
        <f>CONCATENATE(VLOOKUP($D26, Rankings!$A$2:$J$113, 3, FALSE), " - ", VLOOKUP($D26, Rankings!$A$2:$J$113, 4, FALSE))</f>
        <v>Seaside - Slateport City</v>
      </c>
      <c r="C26" s="116">
        <f>IF((VLOOKUP(D26, Rankings!$A$2:$AZ$113, 52, FALSE)), (VLOOKUP(D26, Rankings!$A$2:$AZ$113, 52, FALSE)), "")</f>
        <v>10</v>
      </c>
      <c r="D26" s="117">
        <v>32</v>
      </c>
      <c r="E26" s="118" t="s">
        <v>1112</v>
      </c>
      <c r="F26" s="118" t="s">
        <v>1112</v>
      </c>
      <c r="G26" s="177">
        <v>3</v>
      </c>
      <c r="H26" s="118"/>
      <c r="I26" s="125"/>
      <c r="J26" s="1">
        <v>6</v>
      </c>
      <c r="K26" s="124" t="str">
        <f>CONCATENATE(VLOOKUP($M26, Rankings!$A$2:$J$113, 3, FALSE), " - ", VLOOKUP($M26, Rankings!$A$2:$J$113, 4, FALSE))</f>
        <v>Southeast - Striaton City</v>
      </c>
      <c r="L26" s="116">
        <f>IF((VLOOKUP(M26, Rankings!$A$2:$AZ$113, 52, FALSE)), (VLOOKUP(M26, Rankings!$A$2:$AZ$113, 52, FALSE)), "")</f>
        <v>48</v>
      </c>
      <c r="M26" s="117">
        <v>60</v>
      </c>
      <c r="N26" s="118" t="s">
        <v>1112</v>
      </c>
      <c r="O26" s="177">
        <v>6</v>
      </c>
      <c r="P26" s="177">
        <v>6</v>
      </c>
      <c r="Q26" s="118"/>
      <c r="R26" s="125"/>
      <c r="T26" s="124" t="str">
        <f>CONCATENATE(VLOOKUP($V26, Rankings!$A$2:$J$113, 3, FALSE), " - ", VLOOKUP($V26, Rankings!$A$2:$J$113, 4, FALSE))</f>
        <v>Ula'ula - Malie City</v>
      </c>
      <c r="U26" s="116">
        <f>IF((VLOOKUP(V26, Rankings!$A$2:$AZ$113, 52, FALSE)), (VLOOKUP(V26, Rankings!$A$2:$AZ$113, 52, FALSE)), "")</f>
        <v>18</v>
      </c>
      <c r="V26" s="117">
        <v>89</v>
      </c>
      <c r="W26" s="118" t="s">
        <v>1112</v>
      </c>
      <c r="X26" s="174">
        <v>8</v>
      </c>
      <c r="Y26" s="174">
        <v>8</v>
      </c>
      <c r="Z26" s="118"/>
      <c r="AA26" s="125"/>
      <c r="AC26" s="6"/>
      <c r="AD26" s="159" t="s">
        <v>2292</v>
      </c>
      <c r="AE26" s="6"/>
      <c r="AF26" s="6"/>
      <c r="AG26" s="6"/>
      <c r="AH26"/>
      <c r="AI26" s="6"/>
      <c r="AJ26" s="315"/>
      <c r="AN26" s="156" t="s">
        <v>4708</v>
      </c>
    </row>
    <row r="27" spans="1:40" x14ac:dyDescent="0.35">
      <c r="B27" s="124" t="str">
        <f>CONCATENATE(VLOOKUP($D27, Rankings!$A$2:$J$113, 3, FALSE), " - ", VLOOKUP($D27, Rankings!$A$2:$J$113, 4, FALSE))</f>
        <v>Southwest - Oldale Town</v>
      </c>
      <c r="C27" s="116">
        <f>IF((VLOOKUP(D27, Rankings!$A$2:$AZ$113, 52, FALSE)), (VLOOKUP(D27, Rankings!$A$2:$AZ$113, 52, FALSE)), "")</f>
        <v>68</v>
      </c>
      <c r="D27" s="117">
        <v>19</v>
      </c>
      <c r="E27" s="118" t="s">
        <v>1112</v>
      </c>
      <c r="F27" s="174">
        <v>8</v>
      </c>
      <c r="G27" s="174">
        <v>8</v>
      </c>
      <c r="H27" s="118"/>
      <c r="I27" s="125"/>
      <c r="K27" s="124" t="str">
        <f>CONCATENATE(VLOOKUP($M27, Rankings!$A$2:$J$113, 3, FALSE), " - ", VLOOKUP($M27, Rankings!$A$2:$J$113, 4, FALSE))</f>
        <v>Southeast - Nacrene City</v>
      </c>
      <c r="L27" s="116">
        <f>IF((VLOOKUP(M27, Rankings!$A$2:$AZ$113, 52, FALSE)), (VLOOKUP(M27, Rankings!$A$2:$AZ$113, 52, FALSE)), "")</f>
        <v>52</v>
      </c>
      <c r="M27" s="117">
        <v>59</v>
      </c>
      <c r="N27" s="118" t="s">
        <v>1112</v>
      </c>
      <c r="O27" s="175">
        <v>7</v>
      </c>
      <c r="P27" s="175">
        <v>7</v>
      </c>
      <c r="Q27" s="118"/>
      <c r="R27" s="125"/>
      <c r="T27" s="124" t="str">
        <f>CONCATENATE(VLOOKUP($V27, Rankings!$A$2:$J$113, 3, FALSE), " - ", VLOOKUP($V27, Rankings!$A$2:$J$113, 4, FALSE))</f>
        <v>Akala - Heahea City</v>
      </c>
      <c r="U27" s="116">
        <f>IF((VLOOKUP(V27, Rankings!$A$2:$AZ$113, 52, FALSE)), (VLOOKUP(V27, Rankings!$A$2:$AZ$113, 52, FALSE)), "")</f>
        <v>55</v>
      </c>
      <c r="V27" s="117">
        <v>94</v>
      </c>
      <c r="W27" s="176">
        <v>13</v>
      </c>
      <c r="X27" s="176">
        <v>13</v>
      </c>
      <c r="Y27" s="176">
        <v>13</v>
      </c>
      <c r="Z27" s="118"/>
      <c r="AA27" s="125"/>
      <c r="AC27" s="6"/>
      <c r="AD27" s="6"/>
      <c r="AE27"/>
      <c r="AF27" s="6"/>
      <c r="AG27" s="6"/>
      <c r="AH27"/>
      <c r="AI27" s="6"/>
      <c r="AN27" s="157" t="s">
        <v>4709</v>
      </c>
    </row>
    <row r="28" spans="1:40" x14ac:dyDescent="0.35">
      <c r="B28" s="124" t="str">
        <f>CONCATENATE(VLOOKUP($D28, Rankings!$A$2:$J$113, 3, FALSE), " - ", VLOOKUP($D28, Rankings!$A$2:$J$113, 4, FALSE))</f>
        <v>Islands - Sootopolis City</v>
      </c>
      <c r="C28" s="116">
        <f>IF((VLOOKUP(D28, Rankings!$A$2:$AZ$113, 52, FALSE)), (VLOOKUP(D28, Rankings!$A$2:$AZ$113, 52, FALSE)), "")</f>
        <v>71</v>
      </c>
      <c r="D28" s="117">
        <v>28</v>
      </c>
      <c r="E28" s="176">
        <v>12</v>
      </c>
      <c r="F28" s="176">
        <v>12</v>
      </c>
      <c r="G28" s="176">
        <v>12</v>
      </c>
      <c r="H28" s="118"/>
      <c r="I28" s="125"/>
      <c r="K28" s="124" t="str">
        <f>CONCATENATE(VLOOKUP($M28, Rankings!$A$2:$J$113, 3, FALSE), " - ", VLOOKUP($M28, Rankings!$A$2:$J$113, 4, FALSE))</f>
        <v>West - Anville Town</v>
      </c>
      <c r="L28" s="116">
        <f>IF((VLOOKUP(M28, Rankings!$A$2:$AZ$113, 52, FALSE)), (VLOOKUP(M28, Rankings!$A$2:$AZ$113, 52, FALSE)), "")</f>
        <v>38</v>
      </c>
      <c r="M28" s="117">
        <v>49</v>
      </c>
      <c r="N28" s="118" t="s">
        <v>1112</v>
      </c>
      <c r="O28" s="174">
        <v>8</v>
      </c>
      <c r="P28" s="174">
        <v>8</v>
      </c>
      <c r="Q28" s="118"/>
      <c r="R28" s="125"/>
      <c r="T28" s="124" t="str">
        <f>CONCATENATE(VLOOKUP($V28, Rankings!$A$2:$J$113, 3, FALSE), " - ", VLOOKUP($V28, Rankings!$A$2:$J$113, 4, FALSE))</f>
        <v>Ula'ula - Tapu Village</v>
      </c>
      <c r="U28" s="116">
        <f>IF((VLOOKUP(V28, Rankings!$A$2:$AZ$113, 52, FALSE)), (VLOOKUP(V28, Rankings!$A$2:$AZ$113, 52, FALSE)), "")</f>
        <v>65</v>
      </c>
      <c r="V28" s="117">
        <v>92</v>
      </c>
      <c r="W28" s="177">
        <v>14</v>
      </c>
      <c r="X28" s="177">
        <v>14</v>
      </c>
      <c r="Y28" s="177">
        <v>14</v>
      </c>
      <c r="Z28" s="118"/>
      <c r="AA28" s="125"/>
      <c r="AD28" s="155" t="s">
        <v>1565</v>
      </c>
      <c r="AE28" s="6"/>
      <c r="AF28" s="6"/>
      <c r="AG28" s="6"/>
      <c r="AH28"/>
      <c r="AI28" s="6"/>
      <c r="AJ28" s="314"/>
      <c r="AK28" t="s">
        <v>3816</v>
      </c>
      <c r="AN28" s="158" t="s">
        <v>4710</v>
      </c>
    </row>
    <row r="29" spans="1:40" x14ac:dyDescent="0.35">
      <c r="B29" s="124" t="str">
        <f>CONCATENATE(VLOOKUP($D29, Rankings!$A$2:$J$113, 3, FALSE), " - ", VLOOKUP($D29, Rankings!$A$2:$J$113, 4, FALSE))</f>
        <v>Seaside - Fortree City</v>
      </c>
      <c r="C29" s="116">
        <f>IF((VLOOKUP(D29, Rankings!$A$2:$AZ$113, 52, FALSE)), (VLOOKUP(D29, Rankings!$A$2:$AZ$113, 52, FALSE)), "")</f>
        <v>23</v>
      </c>
      <c r="D29" s="117">
        <v>29</v>
      </c>
      <c r="E29" s="118" t="s">
        <v>1112</v>
      </c>
      <c r="F29" s="176">
        <v>5</v>
      </c>
      <c r="G29" s="118"/>
      <c r="H29" s="118"/>
      <c r="I29" s="125"/>
      <c r="K29" s="124" t="str">
        <f>CONCATENATE(VLOOKUP($M29, Rankings!$A$2:$J$113, 3, FALSE), " - ", VLOOKUP($M29, Rankings!$A$2:$J$113, 4, FALSE))</f>
        <v>Northeast - Opelucid City</v>
      </c>
      <c r="L29" s="116">
        <f>IF((VLOOKUP(M29, Rankings!$A$2:$AZ$113, 52, FALSE)), (VLOOKUP(M29, Rankings!$A$2:$AZ$113, 52, FALSE)), "")</f>
        <v>67</v>
      </c>
      <c r="M29" s="117">
        <v>63</v>
      </c>
      <c r="N29" s="175">
        <v>10</v>
      </c>
      <c r="O29" s="175">
        <v>10</v>
      </c>
      <c r="P29" s="118"/>
      <c r="Q29" s="118"/>
      <c r="R29" s="125"/>
      <c r="S29" s="1">
        <v>6</v>
      </c>
      <c r="T29" s="124" t="str">
        <f>CONCATENATE(VLOOKUP($V29, Rankings!$A$2:$J$113, 3, FALSE), " - ", VLOOKUP($V29, Rankings!$A$2:$J$113, 4, FALSE))</f>
        <v>Ula'ula - Po Town</v>
      </c>
      <c r="U29" s="116">
        <f>IF((VLOOKUP(V29, Rankings!$A$2:$AZ$113, 52, FALSE)), (VLOOKUP(V29, Rankings!$A$2:$AZ$113, 52, FALSE)), "")</f>
        <v>88</v>
      </c>
      <c r="V29" s="117">
        <v>91</v>
      </c>
      <c r="W29" s="118" t="s">
        <v>1112</v>
      </c>
      <c r="X29" s="176">
        <v>5</v>
      </c>
      <c r="Y29" s="118"/>
      <c r="Z29" s="118"/>
      <c r="AA29" s="125"/>
      <c r="AC29" s="6"/>
      <c r="AD29" s="156" t="s">
        <v>1566</v>
      </c>
      <c r="AE29"/>
      <c r="AF29" s="6"/>
      <c r="AG29" s="6"/>
      <c r="AH29"/>
      <c r="AI29" s="6"/>
      <c r="AJ29" s="307"/>
      <c r="AN29" s="159" t="s">
        <v>4711</v>
      </c>
    </row>
    <row r="30" spans="1:40" x14ac:dyDescent="0.35">
      <c r="B30" s="124" t="str">
        <f>CONCATENATE(VLOOKUP($D30, Rankings!$A$2:$J$113, 3, FALSE), " - ", VLOOKUP($D30, Rankings!$A$2:$J$113, 4, FALSE))</f>
        <v>Islands - Ever Grande City</v>
      </c>
      <c r="C30" s="116">
        <f>IF((VLOOKUP(D30, Rankings!$A$2:$AZ$113, 52, FALSE)), (VLOOKUP(D30, Rankings!$A$2:$AZ$113, 52, FALSE)), "")</f>
        <v>11</v>
      </c>
      <c r="D30" s="117">
        <v>25</v>
      </c>
      <c r="E30" s="177">
        <v>14</v>
      </c>
      <c r="F30" s="177">
        <v>14</v>
      </c>
      <c r="G30" s="118"/>
      <c r="H30" s="118"/>
      <c r="I30" s="125"/>
      <c r="K30" s="124" t="str">
        <f>CONCATENATE(VLOOKUP($M30, Rankings!$A$2:$J$113, 3, FALSE), " - ", VLOOKUP($M30, Rankings!$A$2:$J$113, 4, FALSE))</f>
        <v>West - Mistralton City</v>
      </c>
      <c r="L30" s="116">
        <f>IF((VLOOKUP(M30, Rankings!$A$2:$AZ$113, 52, FALSE)), (VLOOKUP(M30, Rankings!$A$2:$AZ$113, 52, FALSE)), "")</f>
        <v>59</v>
      </c>
      <c r="M30" s="117">
        <v>52</v>
      </c>
      <c r="N30" s="177">
        <v>11</v>
      </c>
      <c r="O30" s="177">
        <v>11</v>
      </c>
      <c r="P30" s="118"/>
      <c r="Q30" s="118"/>
      <c r="R30" s="125"/>
      <c r="T30" s="124" t="str">
        <f>CONCATENATE(VLOOKUP($V30, Rankings!$A$2:$J$113, 3, FALSE), " - ", VLOOKUP($V30, Rankings!$A$2:$J$113, 4, FALSE))</f>
        <v>Melemele - Hau'oli City</v>
      </c>
      <c r="U30" s="116">
        <f>IF((VLOOKUP(V30, Rankings!$A$2:$AZ$113, 52, FALSE)), (VLOOKUP(V30, Rankings!$A$2:$AZ$113, 52, FALSE)), "")</f>
        <v>106</v>
      </c>
      <c r="V30" s="117">
        <v>85</v>
      </c>
      <c r="W30" s="118" t="s">
        <v>1112</v>
      </c>
      <c r="X30" s="177">
        <v>6</v>
      </c>
      <c r="Y30" s="118"/>
      <c r="Z30" s="118"/>
      <c r="AA30" s="125"/>
      <c r="AC30" s="6"/>
      <c r="AD30" s="157" t="s">
        <v>1567</v>
      </c>
      <c r="AE30"/>
      <c r="AF30" s="6"/>
      <c r="AG30" s="6"/>
      <c r="AH30"/>
      <c r="AI30" s="6"/>
      <c r="AN30" s="160" t="s">
        <v>4712</v>
      </c>
    </row>
    <row r="31" spans="1:40" x14ac:dyDescent="0.35">
      <c r="B31" s="124" t="str">
        <f>CONCATENATE(VLOOKUP($D31, Rankings!$A$2:$J$113, 3, FALSE), " - ", VLOOKUP($D31, Rankings!$A$2:$J$113, 4, FALSE))</f>
        <v>Islands - Mossdeep City</v>
      </c>
      <c r="C31" s="116">
        <f>IF((VLOOKUP(D31, Rankings!$A$2:$AZ$113, 52, FALSE)), (VLOOKUP(D31, Rankings!$A$2:$AZ$113, 52, FALSE)), "")</f>
        <v>97</v>
      </c>
      <c r="D31" s="117">
        <v>26</v>
      </c>
      <c r="E31" s="175">
        <v>15</v>
      </c>
      <c r="F31" s="175">
        <v>15</v>
      </c>
      <c r="G31" s="118"/>
      <c r="H31" s="118"/>
      <c r="I31" s="125"/>
      <c r="K31" s="124" t="str">
        <f>CONCATENATE(VLOOKUP($M31, Rankings!$A$2:$J$113, 3, FALSE), " - ", VLOOKUP($M31, Rankings!$A$2:$J$113, 4, FALSE))</f>
        <v>West - Floccesy Town</v>
      </c>
      <c r="L31" s="116">
        <f>IF((VLOOKUP(M31, Rankings!$A$2:$AZ$113, 52, FALSE)), (VLOOKUP(M31, Rankings!$A$2:$AZ$113, 52, FALSE)), "")</f>
        <v>39</v>
      </c>
      <c r="M31" s="117">
        <v>51</v>
      </c>
      <c r="N31" s="176">
        <v>12</v>
      </c>
      <c r="O31" s="176">
        <v>12</v>
      </c>
      <c r="P31" s="118"/>
      <c r="Q31" s="118"/>
      <c r="R31" s="125"/>
      <c r="T31" s="124" t="str">
        <f>CONCATENATE(VLOOKUP($V31, Rankings!$A$2:$J$113, 3, FALSE), " - ", VLOOKUP($V31, Rankings!$A$2:$J$113, 4, FALSE))</f>
        <v>Poni - Exeggutor Island</v>
      </c>
      <c r="U31" s="116">
        <f>IF((VLOOKUP(V31, Rankings!$A$2:$AZ$113, 52, FALSE)), (VLOOKUP(V31, Rankings!$A$2:$AZ$113, 52, FALSE)), "")</f>
        <v>91</v>
      </c>
      <c r="V31" s="117">
        <v>81</v>
      </c>
      <c r="W31" s="118" t="s">
        <v>1112</v>
      </c>
      <c r="X31" s="175">
        <v>7</v>
      </c>
      <c r="Y31" s="118"/>
      <c r="Z31" s="118"/>
      <c r="AA31" s="125"/>
      <c r="AC31" s="6"/>
      <c r="AD31" s="158" t="s">
        <v>1568</v>
      </c>
      <c r="AE31"/>
      <c r="AF31" s="6"/>
      <c r="AG31" s="6"/>
      <c r="AH31"/>
      <c r="AI31" s="6"/>
      <c r="AN31" s="161" t="s">
        <v>4713</v>
      </c>
    </row>
    <row r="32" spans="1:40" x14ac:dyDescent="0.35">
      <c r="B32" s="124" t="str">
        <f>CONCATENATE(VLOOKUP($D32, Rankings!$A$2:$J$113, 3, FALSE), " - ", VLOOKUP($D32, Rankings!$A$2:$J$113, 4, FALSE))</f>
        <v>Southwest - Littleroot Town</v>
      </c>
      <c r="C32" s="116">
        <f>IF((VLOOKUP(D32, Rankings!$A$2:$AZ$113, 52, FALSE)), (VLOOKUP(D32, Rankings!$A$2:$AZ$113, 52, FALSE)), "")</f>
        <v>26</v>
      </c>
      <c r="D32" s="117">
        <v>18</v>
      </c>
      <c r="E32" s="174">
        <v>16</v>
      </c>
      <c r="F32" s="174">
        <v>16</v>
      </c>
      <c r="G32" s="118"/>
      <c r="H32" s="118"/>
      <c r="I32" s="125"/>
      <c r="K32" s="124" t="str">
        <f>CONCATENATE(VLOOKUP($M32, Rankings!$A$2:$J$113, 3, FALSE), " - ", VLOOKUP($M32, Rankings!$A$2:$J$113, 4, FALSE))</f>
        <v>Midwest - Driftveil City</v>
      </c>
      <c r="L32" s="116">
        <f>IF((VLOOKUP(M32, Rankings!$A$2:$AZ$113, 52, FALSE)), (VLOOKUP(M32, Rankings!$A$2:$AZ$113, 52, FALSE)), "")</f>
        <v>77</v>
      </c>
      <c r="M32" s="117">
        <v>53</v>
      </c>
      <c r="N32" s="174">
        <v>16</v>
      </c>
      <c r="O32" s="174">
        <v>16</v>
      </c>
      <c r="P32" s="118"/>
      <c r="Q32" s="118"/>
      <c r="R32" s="125"/>
      <c r="T32" s="124" t="str">
        <f>CONCATENATE(VLOOKUP($V32, Rankings!$A$2:$J$113, 3, FALSE), " - ", VLOOKUP($V32, Rankings!$A$2:$J$113, 4, FALSE))</f>
        <v>Poni - Vast Poni Canyon</v>
      </c>
      <c r="U32" s="116">
        <f>IF((VLOOKUP(V32, Rankings!$A$2:$AZ$113, 52, FALSE)), (VLOOKUP(V32, Rankings!$A$2:$AZ$113, 52, FALSE)), "")</f>
        <v>104</v>
      </c>
      <c r="V32" s="117">
        <v>84</v>
      </c>
      <c r="W32" s="174">
        <v>16</v>
      </c>
      <c r="X32" s="174">
        <v>16</v>
      </c>
      <c r="Y32" s="118"/>
      <c r="Z32" s="118"/>
      <c r="AA32" s="125"/>
      <c r="AC32" s="6"/>
      <c r="AD32" s="159" t="s">
        <v>1569</v>
      </c>
      <c r="AE32" s="6"/>
      <c r="AF32" s="6"/>
      <c r="AG32" s="6"/>
      <c r="AH32"/>
      <c r="AI32" s="6"/>
      <c r="AJ32" s="6"/>
    </row>
    <row r="33" spans="2:36" x14ac:dyDescent="0.35">
      <c r="B33" s="124" t="str">
        <f>CONCATENATE(VLOOKUP($D33, Rankings!$A$2:$J$113, 3, FALSE), " - ", VLOOKUP($D33, Rankings!$A$2:$J$113, 4, FALSE))</f>
        <v>Seaside - Mauville City</v>
      </c>
      <c r="C33" s="116">
        <f>IF((VLOOKUP(D33, Rankings!$A$2:$AZ$113, 52, FALSE)), (VLOOKUP(D33, Rankings!$A$2:$AZ$113, 52, FALSE)), "")</f>
        <v>40</v>
      </c>
      <c r="D33" s="117">
        <v>31</v>
      </c>
      <c r="E33" s="174">
        <v>9</v>
      </c>
      <c r="F33" s="118"/>
      <c r="G33" s="118"/>
      <c r="H33" s="118"/>
      <c r="I33" s="125"/>
      <c r="K33" s="124" t="str">
        <f>CONCATENATE(VLOOKUP($M33, Rankings!$A$2:$J$113, 3, FALSE), " - ", VLOOKUP($M33, Rankings!$A$2:$J$113, 4, FALSE))</f>
        <v>West - Aspertia City</v>
      </c>
      <c r="L33" s="116">
        <f>IF((VLOOKUP(M33, Rankings!$A$2:$AZ$113, 52, FALSE)), (VLOOKUP(M33, Rankings!$A$2:$AZ$113, 52, FALSE)), "")</f>
        <v>83</v>
      </c>
      <c r="M33" s="117">
        <v>50</v>
      </c>
      <c r="N33" s="174">
        <v>9</v>
      </c>
      <c r="O33" s="118"/>
      <c r="P33" s="118"/>
      <c r="Q33" s="118"/>
      <c r="R33" s="125"/>
      <c r="T33" s="124" t="str">
        <f>CONCATENATE(VLOOKUP($V33, Rankings!$A$2:$J$113, 3, FALSE), " - ", VLOOKUP($V33, Rankings!$A$2:$J$113, 4, FALSE))</f>
        <v>Akala - Aether Paradise</v>
      </c>
      <c r="U33" s="116">
        <f>IF((VLOOKUP(V33, Rankings!$A$2:$AZ$113, 52, FALSE)), (VLOOKUP(V33, Rankings!$A$2:$AZ$113, 52, FALSE)), "")</f>
        <v>87</v>
      </c>
      <c r="V33" s="117">
        <v>93</v>
      </c>
      <c r="W33" s="174">
        <v>9</v>
      </c>
      <c r="X33" s="118"/>
      <c r="Y33" s="118"/>
      <c r="Z33" s="118"/>
      <c r="AA33" s="125"/>
      <c r="AC33" s="6"/>
      <c r="AD33" s="160" t="s">
        <v>1570</v>
      </c>
      <c r="AE33" s="6"/>
      <c r="AF33" s="6"/>
      <c r="AG33" s="6"/>
      <c r="AH33"/>
      <c r="AI33" s="6"/>
      <c r="AJ33" s="6"/>
    </row>
    <row r="34" spans="2:36" x14ac:dyDescent="0.35">
      <c r="B34" s="124" t="str">
        <f>CONCATENATE(VLOOKUP($D34, Rankings!$A$2:$J$113, 3, FALSE), " - ", VLOOKUP($D34, Rankings!$A$2:$J$113, 4, FALSE))</f>
        <v>Southwest - Petalburg City</v>
      </c>
      <c r="C34" s="116">
        <f>IF((VLOOKUP(D34, Rankings!$A$2:$AZ$113, 52, FALSE)), (VLOOKUP(D34, Rankings!$A$2:$AZ$113, 52, FALSE)), "")</f>
        <v>102</v>
      </c>
      <c r="D34" s="117">
        <v>20</v>
      </c>
      <c r="E34" s="175">
        <v>10</v>
      </c>
      <c r="F34" s="118"/>
      <c r="G34" s="118"/>
      <c r="H34" s="118"/>
      <c r="I34" s="125"/>
      <c r="K34" s="124" t="str">
        <f>CONCATENATE(VLOOKUP($M34, Rankings!$A$2:$J$113, 3, FALSE), " - ", VLOOKUP($M34, Rankings!$A$2:$J$113, 4, FALSE))</f>
        <v>Northeast - Lacunosa Town</v>
      </c>
      <c r="L34" s="116">
        <f>IF((VLOOKUP(M34, Rankings!$A$2:$AZ$113, 52, FALSE)), (VLOOKUP(M34, Rankings!$A$2:$AZ$113, 52, FALSE)), "")</f>
        <v>75</v>
      </c>
      <c r="M34" s="117">
        <v>62</v>
      </c>
      <c r="N34" s="176">
        <v>13</v>
      </c>
      <c r="O34" s="118"/>
      <c r="P34" s="118"/>
      <c r="Q34" s="118"/>
      <c r="R34" s="125"/>
      <c r="T34" s="124" t="str">
        <f>CONCATENATE(VLOOKUP($V34, Rankings!$A$2:$J$113, 3, FALSE), " - ", VLOOKUP($V34, Rankings!$A$2:$J$113, 4, FALSE))</f>
        <v>Poni - Poni Meadow</v>
      </c>
      <c r="U34" s="116">
        <f>IF((VLOOKUP(V34, Rankings!$A$2:$AZ$113, 52, FALSE)), (VLOOKUP(V34, Rankings!$A$2:$AZ$113, 52, FALSE)), "")</f>
        <v>54</v>
      </c>
      <c r="V34" s="117">
        <v>82</v>
      </c>
      <c r="W34" s="177">
        <v>11</v>
      </c>
      <c r="X34" s="118"/>
      <c r="Y34" s="118"/>
      <c r="Z34" s="118"/>
      <c r="AA34" s="125"/>
      <c r="AD34" s="161" t="s">
        <v>1656</v>
      </c>
      <c r="AE34" s="6"/>
      <c r="AF34" s="6"/>
      <c r="AG34" s="6"/>
      <c r="AH34"/>
      <c r="AI34" s="6"/>
      <c r="AJ34" s="6"/>
    </row>
    <row r="35" spans="2:36" x14ac:dyDescent="0.35">
      <c r="B35" s="124" t="str">
        <f>CONCATENATE(VLOOKUP($D35, Rankings!$A$2:$J$113, 3, FALSE), " - ", VLOOKUP($D35, Rankings!$A$2:$J$113, 4, FALSE))</f>
        <v>Northwest - Lavaridge Town</v>
      </c>
      <c r="C35" s="116">
        <f>IF((VLOOKUP(D35, Rankings!$A$2:$AZ$113, 52, FALSE)), (VLOOKUP(D35, Rankings!$A$2:$AZ$113, 52, FALSE)), "")</f>
        <v>98</v>
      </c>
      <c r="D35" s="117">
        <v>22</v>
      </c>
      <c r="E35" s="177">
        <v>11</v>
      </c>
      <c r="F35" s="118"/>
      <c r="G35" s="118"/>
      <c r="H35" s="118"/>
      <c r="I35" s="125"/>
      <c r="K35" s="124" t="str">
        <f>CONCATENATE(VLOOKUP($M35, Rankings!$A$2:$J$113, 3, FALSE), " - ", VLOOKUP($M35, Rankings!$A$2:$J$113, 4, FALSE))</f>
        <v>Midwest - Icirrus City</v>
      </c>
      <c r="L35" s="116">
        <f>IF((VLOOKUP(M35, Rankings!$A$2:$AZ$113, 52, FALSE)), (VLOOKUP(M35, Rankings!$A$2:$AZ$113, 52, FALSE)), "")</f>
        <v>69</v>
      </c>
      <c r="M35" s="117">
        <v>54</v>
      </c>
      <c r="N35" s="177">
        <v>14</v>
      </c>
      <c r="O35" s="118"/>
      <c r="P35" s="118"/>
      <c r="Q35" s="118"/>
      <c r="R35" s="125"/>
      <c r="T35" s="124" t="str">
        <f>CONCATENATE(VLOOKUP($V35, Rankings!$A$2:$J$113, 3, FALSE), " - ", VLOOKUP($V35, Rankings!$A$2:$J$113, 4, FALSE))</f>
        <v>Akala - Konikoni City</v>
      </c>
      <c r="U35" s="116">
        <f>IF((VLOOKUP(V35, Rankings!$A$2:$AZ$113, 52, FALSE)), (VLOOKUP(V35, Rankings!$A$2:$AZ$113, 52, FALSE)), "")</f>
        <v>96</v>
      </c>
      <c r="V35" s="117">
        <v>95</v>
      </c>
      <c r="W35" s="176">
        <v>12</v>
      </c>
      <c r="X35" s="118"/>
      <c r="Y35" s="118"/>
      <c r="Z35" s="118"/>
      <c r="AA35" s="125"/>
      <c r="AC35" s="6"/>
      <c r="AD35" s="6"/>
      <c r="AE35"/>
      <c r="AF35" s="6"/>
      <c r="AG35" s="6"/>
      <c r="AH35"/>
      <c r="AI35" s="6"/>
      <c r="AJ35" s="6"/>
    </row>
    <row r="36" spans="2:36" ht="15" thickBot="1" x14ac:dyDescent="0.4">
      <c r="B36" s="126" t="str">
        <f>CONCATENATE(VLOOKUP($D36, Rankings!$A$2:$J$113, 3, FALSE), " - ", VLOOKUP($D36, Rankings!$A$2:$J$113, 4, FALSE))</f>
        <v>Islands - Pacifidlog Town</v>
      </c>
      <c r="C36" s="127">
        <f>IF((VLOOKUP(D36, Rankings!$A$2:$AZ$113, 52, FALSE)), (VLOOKUP(D36, Rankings!$A$2:$AZ$113, 52, FALSE)), "")</f>
        <v>78</v>
      </c>
      <c r="D36" s="128">
        <v>27</v>
      </c>
      <c r="E36" s="231">
        <v>13</v>
      </c>
      <c r="F36" s="129"/>
      <c r="G36" s="129"/>
      <c r="H36" s="129"/>
      <c r="I36" s="130"/>
      <c r="K36" s="126" t="str">
        <f>CONCATENATE(VLOOKUP($M36, Rankings!$A$2:$J$113, 3, FALSE), " - ", VLOOKUP($M36, Rankings!$A$2:$J$113, 4, FALSE))</f>
        <v>Southeast - Accumula Town</v>
      </c>
      <c r="L36" s="127">
        <f>IF((VLOOKUP(M36, Rankings!$A$2:$AZ$113, 52, FALSE)), (VLOOKUP(M36, Rankings!$A$2:$AZ$113, 52, FALSE)), "")</f>
        <v>53</v>
      </c>
      <c r="M36" s="128">
        <v>57</v>
      </c>
      <c r="N36" s="232">
        <v>15</v>
      </c>
      <c r="O36" s="129"/>
      <c r="P36" s="129"/>
      <c r="Q36" s="129"/>
      <c r="R36" s="130"/>
      <c r="T36" s="126" t="str">
        <f>CONCATENATE(VLOOKUP($V36, Rankings!$A$2:$J$113, 3, FALSE), " - ", VLOOKUP($V36, Rankings!$A$2:$J$113, 4, FALSE))</f>
        <v>Melemele - Ultra Megalopolis</v>
      </c>
      <c r="U36" s="127">
        <f>IF((VLOOKUP(V36, Rankings!$A$2:$AZ$113, 52, FALSE)), (VLOOKUP(V36, Rankings!$A$2:$AZ$113, 52, FALSE)), "")</f>
        <v>29</v>
      </c>
      <c r="V36" s="128">
        <v>88</v>
      </c>
      <c r="W36" s="232">
        <v>15</v>
      </c>
      <c r="X36" s="129"/>
      <c r="Y36" s="129"/>
      <c r="Z36" s="129"/>
      <c r="AA36" s="130"/>
      <c r="AC36" s="6"/>
      <c r="AD36" s="6"/>
      <c r="AE36"/>
      <c r="AF36" s="6"/>
      <c r="AG36" s="6"/>
      <c r="AH36"/>
      <c r="AI36" s="6"/>
      <c r="AJ36" s="6"/>
    </row>
    <row r="37" spans="2:36" x14ac:dyDescent="0.35">
      <c r="AC37" s="6"/>
    </row>
  </sheetData>
  <sortState xmlns:xlrd2="http://schemas.microsoft.com/office/spreadsheetml/2017/richdata2" ref="AC3:AJ18">
    <sortCondition ref="AJ3:AJ18"/>
  </sortState>
  <conditionalFormatting sqref="C3:C18">
    <cfRule type="cellIs" dxfId="29" priority="13" operator="greaterThan">
      <formula>25</formula>
    </cfRule>
    <cfRule type="cellIs" dxfId="28" priority="14" operator="lessThan">
      <formula>26</formula>
    </cfRule>
  </conditionalFormatting>
  <conditionalFormatting sqref="C21:C36">
    <cfRule type="cellIs" dxfId="27" priority="11" operator="greaterThan">
      <formula>25</formula>
    </cfRule>
    <cfRule type="cellIs" dxfId="26" priority="12" operator="lessThan">
      <formula>26</formula>
    </cfRule>
  </conditionalFormatting>
  <conditionalFormatting sqref="AD3:AD18">
    <cfRule type="cellIs" dxfId="25" priority="9" operator="greaterThan">
      <formula>25</formula>
    </cfRule>
    <cfRule type="cellIs" dxfId="24" priority="10" operator="lessThan">
      <formula>26</formula>
    </cfRule>
  </conditionalFormatting>
  <conditionalFormatting sqref="L3:L18">
    <cfRule type="cellIs" dxfId="23" priority="7" operator="greaterThan">
      <formula>25</formula>
    </cfRule>
    <cfRule type="cellIs" dxfId="22" priority="8" operator="lessThan">
      <formula>26</formula>
    </cfRule>
  </conditionalFormatting>
  <conditionalFormatting sqref="L21:L36">
    <cfRule type="cellIs" dxfId="21" priority="5" operator="greaterThan">
      <formula>25</formula>
    </cfRule>
    <cfRule type="cellIs" dxfId="20" priority="6" operator="lessThan">
      <formula>26</formula>
    </cfRule>
  </conditionalFormatting>
  <conditionalFormatting sqref="U3:U18">
    <cfRule type="cellIs" dxfId="19" priority="3" operator="greaterThan">
      <formula>25</formula>
    </cfRule>
    <cfRule type="cellIs" dxfId="18" priority="4" operator="lessThan">
      <formula>26</formula>
    </cfRule>
  </conditionalFormatting>
  <conditionalFormatting sqref="U21:U36">
    <cfRule type="cellIs" dxfId="17" priority="1" operator="greaterThan">
      <formula>25</formula>
    </cfRule>
    <cfRule type="cellIs" dxfId="16" priority="2" operator="lessThan">
      <formula>26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D55"/>
  <sheetViews>
    <sheetView zoomScale="76" zoomScaleNormal="76" workbookViewId="0">
      <selection activeCell="O3" sqref="O3:O9"/>
    </sheetView>
  </sheetViews>
  <sheetFormatPr defaultRowHeight="14.5" x14ac:dyDescent="0.35"/>
  <cols>
    <col min="1" max="1" width="3.81640625" customWidth="1"/>
    <col min="2" max="2" width="3.54296875" customWidth="1"/>
    <col min="3" max="3" width="16.81640625" customWidth="1"/>
    <col min="4" max="8" width="6.1796875" customWidth="1"/>
    <col min="9" max="9" width="3.81640625" customWidth="1"/>
    <col min="10" max="10" width="3.54296875" customWidth="1"/>
    <col min="11" max="11" width="16.81640625" customWidth="1"/>
    <col min="12" max="16" width="6.1796875" customWidth="1"/>
    <col min="17" max="17" width="3.81640625" customWidth="1"/>
    <col min="18" max="18" width="3.54296875" customWidth="1"/>
    <col min="19" max="19" width="16.81640625" customWidth="1"/>
    <col min="20" max="24" width="6.1796875" customWidth="1"/>
    <col min="25" max="25" width="3.81640625" customWidth="1"/>
    <col min="26" max="26" width="3.54296875" customWidth="1"/>
    <col min="27" max="27" width="16.81640625" customWidth="1"/>
    <col min="28" max="32" width="6.1796875" customWidth="1"/>
    <col min="33" max="33" width="3.81640625" customWidth="1"/>
    <col min="34" max="34" width="3.54296875" customWidth="1"/>
    <col min="35" max="35" width="16.81640625" customWidth="1"/>
    <col min="36" max="40" width="6.1796875" customWidth="1"/>
    <col min="41" max="41" width="3.81640625" customWidth="1"/>
    <col min="42" max="42" width="3.54296875" customWidth="1"/>
    <col min="43" max="43" width="16.81640625" customWidth="1"/>
    <col min="44" max="48" width="6.1796875" customWidth="1"/>
    <col min="49" max="49" width="3.81640625" customWidth="1"/>
    <col min="50" max="50" width="3.54296875" customWidth="1"/>
    <col min="51" max="51" width="16.81640625" customWidth="1"/>
    <col min="52" max="56" width="6.1796875" customWidth="1"/>
  </cols>
  <sheetData>
    <row r="1" spans="1:56" x14ac:dyDescent="0.35">
      <c r="G1" s="70"/>
    </row>
    <row r="2" spans="1:56" x14ac:dyDescent="0.35">
      <c r="N2" s="63" t="s">
        <v>3844</v>
      </c>
      <c r="O2" s="63" t="s">
        <v>3845</v>
      </c>
      <c r="P2" s="63"/>
    </row>
    <row r="3" spans="1:56" x14ac:dyDescent="0.35">
      <c r="E3">
        <v>2</v>
      </c>
      <c r="F3">
        <v>2</v>
      </c>
      <c r="G3">
        <v>1</v>
      </c>
      <c r="H3">
        <v>2</v>
      </c>
      <c r="I3">
        <v>3</v>
      </c>
      <c r="J3">
        <v>3</v>
      </c>
      <c r="K3" s="181" t="s">
        <v>143</v>
      </c>
      <c r="L3" s="323">
        <f>E38/10</f>
        <v>1.1928401369715729</v>
      </c>
      <c r="M3" s="323">
        <f t="shared" ref="M3:M9" si="0">((ABS(MIN(L$3:L$9))+L3))-L$11</f>
        <v>0.67780714215558913</v>
      </c>
      <c r="N3" s="316">
        <f>IF(M3&gt;0, M3/7, -(-M3/7))+1</f>
        <v>1.0968295917365127</v>
      </c>
      <c r="O3" s="316">
        <v>1.0968295917365127</v>
      </c>
      <c r="P3" s="324">
        <f>N3-O3</f>
        <v>0</v>
      </c>
      <c r="Q3">
        <f t="shared" ref="Q3:Q9" si="1">RANK(N3, N$3:N$9)</f>
        <v>3</v>
      </c>
      <c r="R3">
        <f>J3-Q3</f>
        <v>0</v>
      </c>
      <c r="T3" s="34"/>
      <c r="U3" t="s">
        <v>3873</v>
      </c>
      <c r="AJ3" s="34">
        <f>AVERAGE(L3:L9)</f>
        <v>0.51503299481598364</v>
      </c>
      <c r="AK3" s="34">
        <f>L3-$AJ$3</f>
        <v>0.67780714215558924</v>
      </c>
      <c r="AL3" s="34">
        <f>AK3/7+1</f>
        <v>1.0968295917365127</v>
      </c>
    </row>
    <row r="4" spans="1:56" x14ac:dyDescent="0.35">
      <c r="E4">
        <v>1</v>
      </c>
      <c r="F4">
        <v>1</v>
      </c>
      <c r="G4">
        <v>2</v>
      </c>
      <c r="H4">
        <v>1</v>
      </c>
      <c r="I4">
        <v>1</v>
      </c>
      <c r="J4">
        <v>2</v>
      </c>
      <c r="K4" s="182" t="s">
        <v>144</v>
      </c>
      <c r="L4" s="323">
        <f>M38/10</f>
        <v>1.5521138700525221</v>
      </c>
      <c r="M4" s="323">
        <f t="shared" si="0"/>
        <v>1.0370808752365384</v>
      </c>
      <c r="N4" s="317">
        <f t="shared" ref="N4:N9" si="2">IF(M4&gt;0, M4/7, -(-M4/7))+1</f>
        <v>1.148154410748077</v>
      </c>
      <c r="O4" s="317">
        <v>1.148154410748077</v>
      </c>
      <c r="P4" s="325">
        <f t="shared" ref="P4:P9" si="3">N4-O4</f>
        <v>0</v>
      </c>
      <c r="Q4">
        <f t="shared" si="1"/>
        <v>2</v>
      </c>
      <c r="R4">
        <f t="shared" ref="R4:R9" si="4">J4-Q4</f>
        <v>0</v>
      </c>
      <c r="T4" s="34"/>
      <c r="U4" t="s">
        <v>4158</v>
      </c>
      <c r="AJ4" s="34"/>
      <c r="AK4" s="34">
        <f t="shared" ref="AK4:AK9" si="5">L4-$AJ$3</f>
        <v>1.0370808752365384</v>
      </c>
      <c r="AL4" s="34">
        <f t="shared" ref="AL4:AL9" si="6">AK4/7+1</f>
        <v>1.148154410748077</v>
      </c>
    </row>
    <row r="5" spans="1:56" x14ac:dyDescent="0.35"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 s="183" t="s">
        <v>171</v>
      </c>
      <c r="L5" s="323">
        <f>U38/10</f>
        <v>0.87187220192789849</v>
      </c>
      <c r="M5" s="323">
        <f t="shared" si="0"/>
        <v>0.35683920711191486</v>
      </c>
      <c r="N5" s="318">
        <f t="shared" si="2"/>
        <v>1.0509770295874163</v>
      </c>
      <c r="O5" s="318">
        <v>1.0509770295874163</v>
      </c>
      <c r="P5" s="326">
        <f t="shared" si="3"/>
        <v>0</v>
      </c>
      <c r="Q5">
        <f t="shared" si="1"/>
        <v>4</v>
      </c>
      <c r="R5">
        <f t="shared" si="4"/>
        <v>0</v>
      </c>
      <c r="T5" s="34"/>
      <c r="U5" t="s">
        <v>3846</v>
      </c>
      <c r="AJ5" s="34"/>
      <c r="AK5" s="34">
        <f t="shared" si="5"/>
        <v>0.35683920711191486</v>
      </c>
      <c r="AL5" s="34">
        <f t="shared" si="6"/>
        <v>1.0509770295874163</v>
      </c>
    </row>
    <row r="6" spans="1:56" x14ac:dyDescent="0.35">
      <c r="E6">
        <v>3</v>
      </c>
      <c r="F6">
        <v>3</v>
      </c>
      <c r="G6">
        <v>3</v>
      </c>
      <c r="H6">
        <v>3</v>
      </c>
      <c r="I6">
        <v>2</v>
      </c>
      <c r="J6">
        <v>1</v>
      </c>
      <c r="K6" s="184" t="s">
        <v>172</v>
      </c>
      <c r="L6" s="323">
        <f>AC38/10</f>
        <v>1.7702059865740529</v>
      </c>
      <c r="M6" s="323">
        <f t="shared" si="0"/>
        <v>1.2551729917580694</v>
      </c>
      <c r="N6" s="319">
        <f t="shared" si="2"/>
        <v>1.1793104273940098</v>
      </c>
      <c r="O6" s="319">
        <v>1.1793104273940098</v>
      </c>
      <c r="P6" s="327">
        <f t="shared" si="3"/>
        <v>0</v>
      </c>
      <c r="Q6">
        <f t="shared" si="1"/>
        <v>1</v>
      </c>
      <c r="R6">
        <f t="shared" si="4"/>
        <v>0</v>
      </c>
      <c r="T6" s="34"/>
      <c r="U6" t="s">
        <v>4796</v>
      </c>
      <c r="AJ6" s="34"/>
      <c r="AK6" s="34">
        <f t="shared" si="5"/>
        <v>1.2551729917580694</v>
      </c>
      <c r="AL6" s="34">
        <f t="shared" si="6"/>
        <v>1.1793104273940098</v>
      </c>
    </row>
    <row r="7" spans="1:56" x14ac:dyDescent="0.35">
      <c r="E7">
        <v>5</v>
      </c>
      <c r="F7">
        <v>6</v>
      </c>
      <c r="G7">
        <v>6</v>
      </c>
      <c r="H7">
        <v>6</v>
      </c>
      <c r="I7">
        <v>6</v>
      </c>
      <c r="J7">
        <v>5</v>
      </c>
      <c r="K7" s="185" t="s">
        <v>173</v>
      </c>
      <c r="L7" s="323">
        <f>AK38/10</f>
        <v>-0.3660388143562372</v>
      </c>
      <c r="M7" s="323">
        <f t="shared" si="0"/>
        <v>-0.88107180917222083</v>
      </c>
      <c r="N7" s="320">
        <f t="shared" si="2"/>
        <v>0.87413259868968274</v>
      </c>
      <c r="O7" s="320">
        <v>0.87413259868968274</v>
      </c>
      <c r="P7" s="328">
        <f t="shared" si="3"/>
        <v>0</v>
      </c>
      <c r="Q7">
        <f t="shared" si="1"/>
        <v>5</v>
      </c>
      <c r="R7">
        <f t="shared" si="4"/>
        <v>0</v>
      </c>
      <c r="T7" s="34"/>
      <c r="U7" t="s">
        <v>4797</v>
      </c>
      <c r="AK7" s="34">
        <f t="shared" si="5"/>
        <v>-0.88107180917222083</v>
      </c>
      <c r="AL7" s="34">
        <f t="shared" si="6"/>
        <v>0.87413259868968274</v>
      </c>
    </row>
    <row r="8" spans="1:56" x14ac:dyDescent="0.35">
      <c r="E8">
        <v>6</v>
      </c>
      <c r="F8">
        <v>7</v>
      </c>
      <c r="G8">
        <v>7</v>
      </c>
      <c r="H8">
        <v>7</v>
      </c>
      <c r="I8">
        <v>7</v>
      </c>
      <c r="J8">
        <v>7</v>
      </c>
      <c r="K8" s="186" t="s">
        <v>799</v>
      </c>
      <c r="L8" s="323">
        <f>AS38/10</f>
        <v>-0.831248666555647</v>
      </c>
      <c r="M8" s="323">
        <f t="shared" si="0"/>
        <v>-1.3462816613716306</v>
      </c>
      <c r="N8" s="321">
        <f t="shared" si="2"/>
        <v>0.8076740483754814</v>
      </c>
      <c r="O8" s="321">
        <v>0.8076740483754814</v>
      </c>
      <c r="P8" s="329">
        <f t="shared" si="3"/>
        <v>0</v>
      </c>
      <c r="Q8">
        <f t="shared" si="1"/>
        <v>7</v>
      </c>
      <c r="R8">
        <f t="shared" si="4"/>
        <v>0</v>
      </c>
      <c r="T8" s="34"/>
      <c r="U8" t="s">
        <v>3832</v>
      </c>
      <c r="AK8" s="34">
        <f t="shared" si="5"/>
        <v>-1.3462816613716306</v>
      </c>
      <c r="AL8" s="34">
        <f t="shared" si="6"/>
        <v>0.8076740483754814</v>
      </c>
    </row>
    <row r="9" spans="1:56" x14ac:dyDescent="0.35">
      <c r="E9">
        <v>7</v>
      </c>
      <c r="F9">
        <v>5</v>
      </c>
      <c r="G9">
        <v>5</v>
      </c>
      <c r="H9">
        <v>5</v>
      </c>
      <c r="I9">
        <v>5</v>
      </c>
      <c r="J9">
        <v>6</v>
      </c>
      <c r="K9" s="187" t="s">
        <v>1296</v>
      </c>
      <c r="L9" s="323">
        <f>BA38/10</f>
        <v>-0.58451375090227697</v>
      </c>
      <c r="M9" s="323">
        <f t="shared" si="0"/>
        <v>-1.0995467457182606</v>
      </c>
      <c r="N9" s="322">
        <f t="shared" si="2"/>
        <v>0.84292189346881985</v>
      </c>
      <c r="O9" s="322">
        <v>0.84292189346881985</v>
      </c>
      <c r="P9" s="330">
        <f t="shared" si="3"/>
        <v>0</v>
      </c>
      <c r="Q9">
        <f t="shared" si="1"/>
        <v>6</v>
      </c>
      <c r="R9">
        <f t="shared" si="4"/>
        <v>0</v>
      </c>
      <c r="T9" s="34"/>
      <c r="AK9" s="34">
        <f t="shared" si="5"/>
        <v>-1.0995467457182606</v>
      </c>
      <c r="AL9" s="34">
        <f t="shared" si="6"/>
        <v>0.84292189346881985</v>
      </c>
    </row>
    <row r="11" spans="1:56" x14ac:dyDescent="0.35">
      <c r="L11" s="34">
        <f>(AVERAGE(L3:L9)+ABS(MIN(L3:L9)))</f>
        <v>1.3462816613716306</v>
      </c>
    </row>
    <row r="14" spans="1:56" x14ac:dyDescent="0.35">
      <c r="A14" s="268">
        <f>AVERAGE(H15:H30, P15:P30, X15:X30, AF15:AF30, AN15:AN30, AV15:AV30, BD15:BD30)</f>
        <v>54.455315021426983</v>
      </c>
      <c r="C14" s="181" t="s">
        <v>143</v>
      </c>
      <c r="D14" s="181" t="s">
        <v>3827</v>
      </c>
      <c r="E14" s="181" t="s">
        <v>3829</v>
      </c>
      <c r="F14" s="181" t="s">
        <v>3830</v>
      </c>
      <c r="G14" s="181" t="s">
        <v>3828</v>
      </c>
      <c r="H14" s="181" t="s">
        <v>2467</v>
      </c>
      <c r="K14" s="182" t="s">
        <v>144</v>
      </c>
      <c r="L14" s="182" t="s">
        <v>3827</v>
      </c>
      <c r="M14" s="182" t="s">
        <v>3829</v>
      </c>
      <c r="N14" s="182" t="s">
        <v>3830</v>
      </c>
      <c r="O14" s="182" t="s">
        <v>3828</v>
      </c>
      <c r="P14" s="182" t="s">
        <v>2467</v>
      </c>
      <c r="S14" s="183" t="s">
        <v>171</v>
      </c>
      <c r="T14" s="183" t="s">
        <v>3827</v>
      </c>
      <c r="U14" s="183" t="s">
        <v>3829</v>
      </c>
      <c r="V14" s="183" t="s">
        <v>3830</v>
      </c>
      <c r="W14" s="183" t="s">
        <v>3828</v>
      </c>
      <c r="X14" s="183" t="s">
        <v>2467</v>
      </c>
      <c r="AA14" s="184" t="s">
        <v>172</v>
      </c>
      <c r="AB14" s="184" t="s">
        <v>3827</v>
      </c>
      <c r="AC14" s="184" t="s">
        <v>3829</v>
      </c>
      <c r="AD14" s="184" t="s">
        <v>3830</v>
      </c>
      <c r="AE14" s="184" t="s">
        <v>3828</v>
      </c>
      <c r="AF14" s="184" t="s">
        <v>2467</v>
      </c>
      <c r="AI14" s="185" t="s">
        <v>173</v>
      </c>
      <c r="AJ14" s="185" t="s">
        <v>3827</v>
      </c>
      <c r="AK14" s="185" t="s">
        <v>3829</v>
      </c>
      <c r="AL14" s="185" t="s">
        <v>3830</v>
      </c>
      <c r="AM14" s="185" t="s">
        <v>3828</v>
      </c>
      <c r="AN14" s="185" t="s">
        <v>2467</v>
      </c>
      <c r="AQ14" s="186" t="s">
        <v>799</v>
      </c>
      <c r="AR14" s="186" t="s">
        <v>3827</v>
      </c>
      <c r="AS14" s="186" t="s">
        <v>3829</v>
      </c>
      <c r="AT14" s="186" t="s">
        <v>3830</v>
      </c>
      <c r="AU14" s="186" t="s">
        <v>3828</v>
      </c>
      <c r="AV14" s="186" t="s">
        <v>2467</v>
      </c>
      <c r="AY14" s="187" t="s">
        <v>1296</v>
      </c>
      <c r="AZ14" s="187" t="s">
        <v>3827</v>
      </c>
      <c r="BA14" s="187" t="s">
        <v>3829</v>
      </c>
      <c r="BB14" s="187" t="s">
        <v>3830</v>
      </c>
      <c r="BC14" s="187" t="s">
        <v>3828</v>
      </c>
      <c r="BD14" s="187" t="s">
        <v>2467</v>
      </c>
    </row>
    <row r="15" spans="1:56" x14ac:dyDescent="0.35">
      <c r="A15" s="331">
        <v>4.5</v>
      </c>
      <c r="B15">
        <v>1</v>
      </c>
      <c r="C15" t="str">
        <f>VLOOKUP(B15, Rankings!$A$2:$BA$113, 4, FALSE)</f>
        <v>Cianwood City</v>
      </c>
      <c r="D15">
        <f>VLOOKUP(B15, Rankings!$A$2:$BA$113, 53, FALSE)</f>
        <v>14</v>
      </c>
      <c r="E15">
        <f>VLOOKUP(B15, Rankings!$A$2:$BA$113, 6, FALSE)-VLOOKUP(B15, Rankings!$A$2:$BA$113, 9, FALSE)</f>
        <v>4</v>
      </c>
      <c r="F15">
        <f>VLOOKUP(B15, Rankings!$A$2:$BA$113, 12, FALSE)</f>
        <v>15</v>
      </c>
      <c r="G15" s="205">
        <f>VLOOKUP(B15, Rankings!$A$2:$BU$113, 46, FALSE)^2</f>
        <v>51.521187499999996</v>
      </c>
      <c r="H15" s="70">
        <f>VLOOKUP(B15, Rankings!$A$2:$BA$113, 44, FALSE)</f>
        <v>75.430555555555557</v>
      </c>
      <c r="J15">
        <v>17</v>
      </c>
      <c r="K15" t="str">
        <f>VLOOKUP(J15, Rankings!$A$2:$BA$113, 4, FALSE)</f>
        <v>Dewford Town</v>
      </c>
      <c r="L15">
        <f>VLOOKUP(J15, Rankings!$A$2:$BA$113, 53, FALSE)</f>
        <v>13</v>
      </c>
      <c r="M15">
        <f>VLOOKUP(J15, Rankings!$A$2:$BA$113, 6, FALSE)-VLOOKUP(J15, Rankings!$A$2:$BA$113, 9, FALSE)</f>
        <v>3</v>
      </c>
      <c r="N15">
        <f>VLOOKUP(J15, Rankings!$A$2:$BA$113, 12, FALSE)</f>
        <v>15</v>
      </c>
      <c r="O15" s="205">
        <f>VLOOKUP(J15, Rankings!$A$2:$BU$113, 46, FALSE)^2</f>
        <v>61.053593421052646</v>
      </c>
      <c r="P15" s="70">
        <f>VLOOKUP(J15, Rankings!$A$2:$BA$113, 44, FALSE)</f>
        <v>79.44736842105263</v>
      </c>
      <c r="R15">
        <v>33</v>
      </c>
      <c r="S15" t="str">
        <f>VLOOKUP(R15, Rankings!$A$2:$BA$113, 4, FALSE)</f>
        <v>Canalave City</v>
      </c>
      <c r="T15">
        <f>VLOOKUP(R15, Rankings!$A$2:$BA$113, 53, FALSE)</f>
        <v>112</v>
      </c>
      <c r="U15">
        <f>VLOOKUP(R15, Rankings!$A$2:$BA$113, 6, FALSE)-VLOOKUP(R15, Rankings!$A$2:$BA$113, 9, FALSE)</f>
        <v>2</v>
      </c>
      <c r="V15">
        <f>VLOOKUP(R15, Rankings!$A$2:$BA$113, 12, FALSE)</f>
        <v>1</v>
      </c>
      <c r="W15" s="205">
        <f>VLOOKUP(R15, Rankings!$A$2:$BU$113, 46, FALSE)^2</f>
        <v>15.418327272727272</v>
      </c>
      <c r="X15" s="70">
        <f>VLOOKUP(R15, Rankings!$A$2:$BA$113, 44, FALSE)</f>
        <v>26</v>
      </c>
      <c r="Z15">
        <v>49</v>
      </c>
      <c r="AA15" t="str">
        <f>VLOOKUP(Z15, Rankings!$A$2:$BA$113, 4, FALSE)</f>
        <v>Anville Town</v>
      </c>
      <c r="AB15">
        <f>VLOOKUP(Z15, Rankings!$A$2:$BA$113, 53, FALSE)</f>
        <v>38</v>
      </c>
      <c r="AC15">
        <f>VLOOKUP(Z15, Rankings!$A$2:$BA$113, 6, FALSE)-VLOOKUP(Z15, Rankings!$A$2:$BA$113, 9, FALSE)</f>
        <v>2</v>
      </c>
      <c r="AD15">
        <f>VLOOKUP(Z15, Rankings!$A$2:$BA$113, 12, FALSE)</f>
        <v>7</v>
      </c>
      <c r="AE15" s="205">
        <f>VLOOKUP(Z15, Rankings!$A$2:$BU$113, 46, FALSE)^2</f>
        <v>39.089340909090907</v>
      </c>
      <c r="AF15" s="70">
        <f>VLOOKUP(Z15, Rankings!$A$2:$BA$113, 44, FALSE)</f>
        <v>74.272727272727266</v>
      </c>
      <c r="AH15">
        <v>65</v>
      </c>
      <c r="AI15" t="str">
        <f>VLOOKUP(AH15, Rankings!$A$2:$BA$113, 4, FALSE)</f>
        <v>Ambrette Town</v>
      </c>
      <c r="AJ15">
        <f>VLOOKUP(AH15, Rankings!$A$2:$BA$113, 53, FALSE)</f>
        <v>57</v>
      </c>
      <c r="AK15">
        <f>VLOOKUP(AH15, Rankings!$A$2:$BA$113, 6, FALSE)-VLOOKUP(AH15, Rankings!$A$2:$BA$113, 9, FALSE)</f>
        <v>2</v>
      </c>
      <c r="AL15">
        <f>VLOOKUP(AH15, Rankings!$A$2:$BA$113, 12, FALSE)</f>
        <v>2</v>
      </c>
      <c r="AM15" s="205">
        <f>VLOOKUP(AH15, Rankings!$A$2:$BU$113, 46, FALSE)^2</f>
        <v>34.781639285714292</v>
      </c>
      <c r="AN15" s="70">
        <f>VLOOKUP(AH15, Rankings!$A$2:$BA$113, 44, FALSE)</f>
        <v>55.428571428571431</v>
      </c>
      <c r="AP15">
        <v>81</v>
      </c>
      <c r="AQ15" t="str">
        <f>VLOOKUP(AP15, Rankings!$A$2:$BA$113, 4, FALSE)</f>
        <v>Exeggutor Island</v>
      </c>
      <c r="AR15">
        <f>VLOOKUP(AP15, Rankings!$A$2:$BA$113, 53, FALSE)</f>
        <v>91</v>
      </c>
      <c r="AS15">
        <f>VLOOKUP(AP15, Rankings!$A$2:$BA$113, 6, FALSE)-VLOOKUP(AP15, Rankings!$A$2:$BA$113, 9, FALSE)</f>
        <v>0</v>
      </c>
      <c r="AT15">
        <f>VLOOKUP(AP15, Rankings!$A$2:$BA$113, 12, FALSE)</f>
        <v>2</v>
      </c>
      <c r="AU15" s="205">
        <f>VLOOKUP(AP15, Rankings!$A$2:$BU$113, 46, FALSE)^2</f>
        <v>26.839116666666669</v>
      </c>
      <c r="AV15" s="70">
        <f>VLOOKUP(AP15, Rankings!$A$2:$BA$113, 44, FALSE)</f>
        <v>41.35</v>
      </c>
      <c r="AX15">
        <v>97</v>
      </c>
      <c r="AY15" t="str">
        <f>VLOOKUP(AX15, Rankings!$A$2:$BA$113, 4, FALSE)</f>
        <v>Ballonlea</v>
      </c>
      <c r="AZ15">
        <f>VLOOKUP(AX15, Rankings!$A$2:$BA$113, 53, FALSE)</f>
        <v>85</v>
      </c>
      <c r="BA15">
        <f>VLOOKUP(AX15, Rankings!$A$2:$BA$113, 6, FALSE)-VLOOKUP(AX15, Rankings!$A$2:$BA$113, 9, FALSE)</f>
        <v>2</v>
      </c>
      <c r="BB15">
        <f>VLOOKUP(AX15, Rankings!$A$2:$BA$113, 12, FALSE)</f>
        <v>1</v>
      </c>
      <c r="BC15" s="205">
        <f>VLOOKUP(AX15, Rankings!$A$2:$BU$113, 46, FALSE)^2</f>
        <v>34.589767272727279</v>
      </c>
      <c r="BD15" s="70">
        <f>VLOOKUP(AX15, Rankings!$A$2:$BA$113, 44, FALSE)</f>
        <v>44.909090909090907</v>
      </c>
    </row>
    <row r="16" spans="1:56" x14ac:dyDescent="0.35">
      <c r="B16">
        <v>2</v>
      </c>
      <c r="C16" t="str">
        <f>VLOOKUP(B16, Rankings!$A$2:$BA$113, 4, FALSE)</f>
        <v>Ecruteak City</v>
      </c>
      <c r="D16">
        <f>VLOOKUP(B16, Rankings!$A$2:$BA$113, 53, FALSE)</f>
        <v>107</v>
      </c>
      <c r="E16">
        <f>VLOOKUP(B16, Rankings!$A$2:$BA$113, 6, FALSE)-VLOOKUP(B16, Rankings!$A$2:$BA$113, 9, FALSE)</f>
        <v>2</v>
      </c>
      <c r="F16">
        <f>VLOOKUP(B16, Rankings!$A$2:$BA$113, 12, FALSE)</f>
        <v>0</v>
      </c>
      <c r="G16" s="205">
        <f>VLOOKUP(B16, Rankings!$A$2:$BU$113, 46, FALSE)^2</f>
        <v>18.582870370370369</v>
      </c>
      <c r="H16" s="70">
        <f>VLOOKUP(B16, Rankings!$A$2:$BA$113, 44, FALSE)</f>
        <v>31.481481481481481</v>
      </c>
      <c r="J16">
        <v>18</v>
      </c>
      <c r="K16" t="str">
        <f>VLOOKUP(J16, Rankings!$A$2:$BA$113, 4, FALSE)</f>
        <v>Littleroot Town</v>
      </c>
      <c r="L16">
        <f>VLOOKUP(J16, Rankings!$A$2:$BA$113, 53, FALSE)</f>
        <v>26</v>
      </c>
      <c r="M16">
        <f>VLOOKUP(J16, Rankings!$A$2:$BA$113, 6, FALSE)-VLOOKUP(J16, Rankings!$A$2:$BA$113, 9, FALSE)</f>
        <v>4</v>
      </c>
      <c r="N16">
        <f>VLOOKUP(J16, Rankings!$A$2:$BA$113, 12, FALSE)</f>
        <v>2</v>
      </c>
      <c r="O16" s="205">
        <f>VLOOKUP(J16, Rankings!$A$2:$BU$113, 46, FALSE)^2</f>
        <v>61.418810714285719</v>
      </c>
      <c r="P16" s="70">
        <f>VLOOKUP(J16, Rankings!$A$2:$BA$113, 44, FALSE)</f>
        <v>52.571428571428569</v>
      </c>
      <c r="R16">
        <v>34</v>
      </c>
      <c r="S16" t="str">
        <f>VLOOKUP(R16, Rankings!$A$2:$BA$113, 4, FALSE)</f>
        <v>Jubilife City</v>
      </c>
      <c r="T16">
        <f>VLOOKUP(R16, Rankings!$A$2:$BA$113, 53, FALSE)</f>
        <v>63</v>
      </c>
      <c r="U16">
        <f>VLOOKUP(R16, Rankings!$A$2:$BA$113, 6, FALSE)-VLOOKUP(R16, Rankings!$A$2:$BA$113, 9, FALSE)</f>
        <v>2</v>
      </c>
      <c r="V16">
        <f>VLOOKUP(R16, Rankings!$A$2:$BA$113, 12, FALSE)</f>
        <v>1</v>
      </c>
      <c r="W16" s="205">
        <f>VLOOKUP(R16, Rankings!$A$2:$BU$113, 46, FALSE)^2</f>
        <v>37.786814545454547</v>
      </c>
      <c r="X16" s="70">
        <f>VLOOKUP(R16, Rankings!$A$2:$BA$113, 44, FALSE)</f>
        <v>43.981818181818184</v>
      </c>
      <c r="Z16">
        <v>50</v>
      </c>
      <c r="AA16" t="str">
        <f>VLOOKUP(Z16, Rankings!$A$2:$BA$113, 4, FALSE)</f>
        <v>Aspertia City</v>
      </c>
      <c r="AB16">
        <f>VLOOKUP(Z16, Rankings!$A$2:$BA$113, 53, FALSE)</f>
        <v>83</v>
      </c>
      <c r="AC16">
        <f>VLOOKUP(Z16, Rankings!$A$2:$BA$113, 6, FALSE)-VLOOKUP(Z16, Rankings!$A$2:$BA$113, 9, FALSE)</f>
        <v>2</v>
      </c>
      <c r="AD16">
        <f>VLOOKUP(Z16, Rankings!$A$2:$BA$113, 12, FALSE)</f>
        <v>0</v>
      </c>
      <c r="AE16" s="205">
        <f>VLOOKUP(Z16, Rankings!$A$2:$BU$113, 46, FALSE)^2</f>
        <v>24.384745454545456</v>
      </c>
      <c r="AF16" s="70">
        <f>VLOOKUP(Z16, Rankings!$A$2:$BA$113, 44, FALSE)</f>
        <v>37.709090909090911</v>
      </c>
      <c r="AH16">
        <v>66</v>
      </c>
      <c r="AI16" t="str">
        <f>VLOOKUP(AH16, Rankings!$A$2:$BA$113, 4, FALSE)</f>
        <v>Cyllage City</v>
      </c>
      <c r="AJ16">
        <f>VLOOKUP(AH16, Rankings!$A$2:$BA$113, 53, FALSE)</f>
        <v>42</v>
      </c>
      <c r="AK16">
        <f>VLOOKUP(AH16, Rankings!$A$2:$BA$113, 6, FALSE)-VLOOKUP(AH16, Rankings!$A$2:$BA$113, 9, FALSE)</f>
        <v>3</v>
      </c>
      <c r="AL16">
        <f>VLOOKUP(AH16, Rankings!$A$2:$BA$113, 12, FALSE)</f>
        <v>3</v>
      </c>
      <c r="AM16" s="205">
        <f>VLOOKUP(AH16, Rankings!$A$2:$BU$113, 46, FALSE)^2</f>
        <v>37.000836065573772</v>
      </c>
      <c r="AN16" s="70">
        <f>VLOOKUP(AH16, Rankings!$A$2:$BA$113, 44, FALSE)</f>
        <v>48.311475409836063</v>
      </c>
      <c r="AP16">
        <v>82</v>
      </c>
      <c r="AQ16" t="str">
        <f>VLOOKUP(AP16, Rankings!$A$2:$BA$113, 4, FALSE)</f>
        <v>Poni Meadow</v>
      </c>
      <c r="AR16">
        <f>VLOOKUP(AP16, Rankings!$A$2:$BA$113, 53, FALSE)</f>
        <v>54</v>
      </c>
      <c r="AS16">
        <f>VLOOKUP(AP16, Rankings!$A$2:$BA$113, 6, FALSE)-VLOOKUP(AP16, Rankings!$A$2:$BA$113, 9, FALSE)</f>
        <v>0</v>
      </c>
      <c r="AT16">
        <f>VLOOKUP(AP16, Rankings!$A$2:$BA$113, 12, FALSE)</f>
        <v>4</v>
      </c>
      <c r="AU16" s="205">
        <f>VLOOKUP(AP16, Rankings!$A$2:$BU$113, 46, FALSE)^2</f>
        <v>30.311800000000002</v>
      </c>
      <c r="AV16" s="70">
        <f>VLOOKUP(AP16, Rankings!$A$2:$BA$113, 44, FALSE)</f>
        <v>59.366666666666667</v>
      </c>
      <c r="AX16">
        <v>98</v>
      </c>
      <c r="AY16" t="str">
        <f>VLOOKUP(AX16, Rankings!$A$2:$BA$113, 4, FALSE)</f>
        <v>Stow-on-Side</v>
      </c>
      <c r="AZ16">
        <f>VLOOKUP(AX16, Rankings!$A$2:$BA$113, 53, FALSE)</f>
        <v>95</v>
      </c>
      <c r="BA16">
        <f>VLOOKUP(AX16, Rankings!$A$2:$BA$113, 6, FALSE)-VLOOKUP(AX16, Rankings!$A$2:$BA$113, 9, FALSE)</f>
        <v>0</v>
      </c>
      <c r="BB16">
        <f>VLOOKUP(AX16, Rankings!$A$2:$BA$113, 12, FALSE)</f>
        <v>4</v>
      </c>
      <c r="BC16" s="205">
        <f>VLOOKUP(AX16, Rankings!$A$2:$BU$113, 46, FALSE)^2</f>
        <v>22.725790322580643</v>
      </c>
      <c r="BD16" s="70">
        <f>VLOOKUP(AX16, Rankings!$A$2:$BA$113, 44, FALSE)</f>
        <v>39.62903225806452</v>
      </c>
    </row>
    <row r="17" spans="2:56" x14ac:dyDescent="0.35">
      <c r="B17">
        <v>3</v>
      </c>
      <c r="C17" t="str">
        <f>VLOOKUP(B17, Rankings!$A$2:$BA$113, 4, FALSE)</f>
        <v>Goldenrod City</v>
      </c>
      <c r="D17">
        <f>VLOOKUP(B17, Rankings!$A$2:$BA$113, 53, FALSE)</f>
        <v>45</v>
      </c>
      <c r="E17">
        <f>VLOOKUP(B17, Rankings!$A$2:$BA$113, 6, FALSE)-VLOOKUP(B17, Rankings!$A$2:$BA$113, 9, FALSE)</f>
        <v>2</v>
      </c>
      <c r="F17">
        <f>VLOOKUP(B17, Rankings!$A$2:$BA$113, 12, FALSE)</f>
        <v>4</v>
      </c>
      <c r="G17" s="205">
        <f>VLOOKUP(B17, Rankings!$A$2:$BU$113, 46, FALSE)^2</f>
        <v>34.668761904761901</v>
      </c>
      <c r="H17" s="70">
        <f>VLOOKUP(B17, Rankings!$A$2:$BA$113, 44, FALSE)</f>
        <v>64.015873015873012</v>
      </c>
      <c r="J17">
        <v>19</v>
      </c>
      <c r="K17" t="str">
        <f>VLOOKUP(J17, Rankings!$A$2:$BA$113, 4, FALSE)</f>
        <v>Oldale Town</v>
      </c>
      <c r="L17">
        <f>VLOOKUP(J17, Rankings!$A$2:$BA$113, 53, FALSE)</f>
        <v>68</v>
      </c>
      <c r="M17">
        <f>VLOOKUP(J17, Rankings!$A$2:$BA$113, 6, FALSE)-VLOOKUP(J17, Rankings!$A$2:$BA$113, 9, FALSE)</f>
        <v>2</v>
      </c>
      <c r="N17">
        <f>VLOOKUP(J17, Rankings!$A$2:$BA$113, 12, FALSE)</f>
        <v>6</v>
      </c>
      <c r="O17" s="205">
        <f>VLOOKUP(J17, Rankings!$A$2:$BU$113, 46, FALSE)^2</f>
        <v>33.83012121212122</v>
      </c>
      <c r="P17" s="70">
        <f>VLOOKUP(J17, Rankings!$A$2:$BA$113, 44, FALSE)</f>
        <v>53.121212121212125</v>
      </c>
      <c r="R17">
        <v>35</v>
      </c>
      <c r="S17" t="str">
        <f>VLOOKUP(R17, Rankings!$A$2:$BA$113, 4, FALSE)</f>
        <v>Sandgem Town</v>
      </c>
      <c r="T17">
        <f>VLOOKUP(R17, Rankings!$A$2:$BA$113, 53, FALSE)</f>
        <v>61</v>
      </c>
      <c r="U17">
        <f>VLOOKUP(R17, Rankings!$A$2:$BA$113, 6, FALSE)-VLOOKUP(R17, Rankings!$A$2:$BA$113, 9, FALSE)</f>
        <v>2</v>
      </c>
      <c r="V17">
        <f>VLOOKUP(R17, Rankings!$A$2:$BA$113, 12, FALSE)</f>
        <v>2</v>
      </c>
      <c r="W17" s="205">
        <f>VLOOKUP(R17, Rankings!$A$2:$BU$113, 46, FALSE)^2</f>
        <v>29.988081967213112</v>
      </c>
      <c r="X17" s="70">
        <f>VLOOKUP(R17, Rankings!$A$2:$BA$113, 44, FALSE)</f>
        <v>56.754098360655739</v>
      </c>
      <c r="Z17">
        <v>51</v>
      </c>
      <c r="AA17" t="str">
        <f>VLOOKUP(Z17, Rankings!$A$2:$BA$113, 4, FALSE)</f>
        <v>Floccesy Town</v>
      </c>
      <c r="AB17">
        <f>VLOOKUP(Z17, Rankings!$A$2:$BA$113, 53, FALSE)</f>
        <v>39</v>
      </c>
      <c r="AC17">
        <f>VLOOKUP(Z17, Rankings!$A$2:$BA$113, 6, FALSE)-VLOOKUP(Z17, Rankings!$A$2:$BA$113, 9, FALSE)</f>
        <v>3</v>
      </c>
      <c r="AD17">
        <f>VLOOKUP(Z17, Rankings!$A$2:$BA$113, 12, FALSE)</f>
        <v>1</v>
      </c>
      <c r="AE17" s="205">
        <f>VLOOKUP(Z17, Rankings!$A$2:$BU$113, 46, FALSE)^2</f>
        <v>36.685327272727278</v>
      </c>
      <c r="AF17" s="70">
        <f>VLOOKUP(Z17, Rankings!$A$2:$BA$113, 44, FALSE)</f>
        <v>55.436363636363637</v>
      </c>
      <c r="AH17">
        <v>67</v>
      </c>
      <c r="AI17" t="str">
        <f>VLOOKUP(AH17, Rankings!$A$2:$BA$113, 4, FALSE)</f>
        <v>Geosenge Town</v>
      </c>
      <c r="AJ17">
        <f>VLOOKUP(AH17, Rankings!$A$2:$BA$113, 53, FALSE)</f>
        <v>32</v>
      </c>
      <c r="AK17">
        <f>VLOOKUP(AH17, Rankings!$A$2:$BA$113, 6, FALSE)-VLOOKUP(AH17, Rankings!$A$2:$BA$113, 9, FALSE)</f>
        <v>1</v>
      </c>
      <c r="AL17">
        <f>VLOOKUP(AH17, Rankings!$A$2:$BA$113, 12, FALSE)</f>
        <v>4</v>
      </c>
      <c r="AM17" s="205">
        <f>VLOOKUP(AH17, Rankings!$A$2:$BU$113, 46, FALSE)^2</f>
        <v>44.53418412698413</v>
      </c>
      <c r="AN17" s="70">
        <f>VLOOKUP(AH17, Rankings!$A$2:$BA$113, 44, FALSE)</f>
        <v>69.158730158730165</v>
      </c>
      <c r="AP17">
        <v>83</v>
      </c>
      <c r="AQ17" t="str">
        <f>VLOOKUP(AP17, Rankings!$A$2:$BA$113, 4, FALSE)</f>
        <v>Seafolk Village</v>
      </c>
      <c r="AR17">
        <f>VLOOKUP(AP17, Rankings!$A$2:$BA$113, 53, FALSE)</f>
        <v>76</v>
      </c>
      <c r="AS17">
        <f>VLOOKUP(AP17, Rankings!$A$2:$BA$113, 6, FALSE)-VLOOKUP(AP17, Rankings!$A$2:$BA$113, 9, FALSE)</f>
        <v>2</v>
      </c>
      <c r="AT17">
        <f>VLOOKUP(AP17, Rankings!$A$2:$BA$113, 12, FALSE)</f>
        <v>3</v>
      </c>
      <c r="AU17" s="205">
        <f>VLOOKUP(AP17, Rankings!$A$2:$BU$113, 46, FALSE)^2</f>
        <v>20.591000000000001</v>
      </c>
      <c r="AV17" s="70">
        <f>VLOOKUP(AP17, Rankings!$A$2:$BA$113, 44, FALSE)</f>
        <v>47.841269841269842</v>
      </c>
      <c r="AX17">
        <v>99</v>
      </c>
      <c r="AY17" t="str">
        <f>VLOOKUP(AX17, Rankings!$A$2:$BA$113, 4, FALSE)</f>
        <v>Wyndon North</v>
      </c>
      <c r="AZ17">
        <f>VLOOKUP(AX17, Rankings!$A$2:$BA$113, 53, FALSE)</f>
        <v>36</v>
      </c>
      <c r="BA17">
        <f>VLOOKUP(AX17, Rankings!$A$2:$BA$113, 6, FALSE)-VLOOKUP(AX17, Rankings!$A$2:$BA$113, 9, FALSE)</f>
        <v>3</v>
      </c>
      <c r="BB17">
        <f>VLOOKUP(AX17, Rankings!$A$2:$BA$113, 12, FALSE)</f>
        <v>4</v>
      </c>
      <c r="BC17" s="205">
        <f>VLOOKUP(AX17, Rankings!$A$2:$BU$113, 46, FALSE)^2</f>
        <v>43.166103448275855</v>
      </c>
      <c r="BD17" s="70">
        <f>VLOOKUP(AX17, Rankings!$A$2:$BA$113, 44, FALSE)</f>
        <v>61.568965517241381</v>
      </c>
    </row>
    <row r="18" spans="2:56" x14ac:dyDescent="0.35">
      <c r="B18">
        <v>4</v>
      </c>
      <c r="C18" t="str">
        <f>VLOOKUP(B18, Rankings!$A$2:$BA$113, 4, FALSE)</f>
        <v>Olivine City</v>
      </c>
      <c r="D18">
        <f>VLOOKUP(B18, Rankings!$A$2:$BA$113, 53, FALSE)</f>
        <v>12</v>
      </c>
      <c r="E18">
        <f>VLOOKUP(B18, Rankings!$A$2:$BA$113, 6, FALSE)-VLOOKUP(B18, Rankings!$A$2:$BA$113, 9, FALSE)</f>
        <v>3</v>
      </c>
      <c r="F18">
        <f>VLOOKUP(B18, Rankings!$A$2:$BA$113, 12, FALSE)</f>
        <v>15</v>
      </c>
      <c r="G18" s="205">
        <f>VLOOKUP(B18, Rankings!$A$2:$BU$113, 46, FALSE)^2</f>
        <v>45.931306976744189</v>
      </c>
      <c r="H18" s="70">
        <f>VLOOKUP(B18, Rankings!$A$2:$BA$113, 44, FALSE)</f>
        <v>76</v>
      </c>
      <c r="J18">
        <v>20</v>
      </c>
      <c r="K18" t="str">
        <f>VLOOKUP(J18, Rankings!$A$2:$BA$113, 4, FALSE)</f>
        <v>Petalburg City</v>
      </c>
      <c r="L18">
        <f>VLOOKUP(J18, Rankings!$A$2:$BA$113, 53, FALSE)</f>
        <v>102</v>
      </c>
      <c r="M18">
        <f>VLOOKUP(J18, Rankings!$A$2:$BA$113, 6, FALSE)-VLOOKUP(J18, Rankings!$A$2:$BA$113, 9, FALSE)</f>
        <v>3</v>
      </c>
      <c r="N18">
        <f>VLOOKUP(J18, Rankings!$A$2:$BA$113, 12, FALSE)</f>
        <v>1</v>
      </c>
      <c r="O18" s="205">
        <f>VLOOKUP(J18, Rankings!$A$2:$BU$113, 46, FALSE)^2</f>
        <v>21.543127272727272</v>
      </c>
      <c r="P18" s="70">
        <f>VLOOKUP(J18, Rankings!$A$2:$BA$113, 44, FALSE)</f>
        <v>37.454545454545453</v>
      </c>
      <c r="R18">
        <v>36</v>
      </c>
      <c r="S18" t="str">
        <f>VLOOKUP(R18, Rankings!$A$2:$BA$113, 4, FALSE)</f>
        <v>Twinleaf Town</v>
      </c>
      <c r="T18">
        <f>VLOOKUP(R18, Rankings!$A$2:$BA$113, 53, FALSE)</f>
        <v>44</v>
      </c>
      <c r="U18">
        <f>VLOOKUP(R18, Rankings!$A$2:$BA$113, 6, FALSE)-VLOOKUP(R18, Rankings!$A$2:$BA$113, 9, FALSE)</f>
        <v>1</v>
      </c>
      <c r="V18">
        <f>VLOOKUP(R18, Rankings!$A$2:$BA$113, 12, FALSE)</f>
        <v>4</v>
      </c>
      <c r="W18" s="205">
        <f>VLOOKUP(R18, Rankings!$A$2:$BU$113, 46, FALSE)^2</f>
        <v>39.099184615384615</v>
      </c>
      <c r="X18" s="70">
        <f>VLOOKUP(R18, Rankings!$A$2:$BA$113, 44, FALSE)</f>
        <v>64.138461538461542</v>
      </c>
      <c r="Z18">
        <v>52</v>
      </c>
      <c r="AA18" t="str">
        <f>VLOOKUP(Z18, Rankings!$A$2:$BA$113, 4, FALSE)</f>
        <v>Mistralton City</v>
      </c>
      <c r="AB18">
        <f>VLOOKUP(Z18, Rankings!$A$2:$BA$113, 53, FALSE)</f>
        <v>59</v>
      </c>
      <c r="AC18">
        <f>VLOOKUP(Z18, Rankings!$A$2:$BA$113, 6, FALSE)-VLOOKUP(Z18, Rankings!$A$2:$BA$113, 9, FALSE)</f>
        <v>1</v>
      </c>
      <c r="AD18">
        <f>VLOOKUP(Z18, Rankings!$A$2:$BA$113, 12, FALSE)</f>
        <v>1</v>
      </c>
      <c r="AE18" s="205">
        <f>VLOOKUP(Z18, Rankings!$A$2:$BU$113, 46, FALSE)^2</f>
        <v>31.532836363636367</v>
      </c>
      <c r="AF18" s="70">
        <f>VLOOKUP(Z18, Rankings!$A$2:$BA$113, 44, FALSE)</f>
        <v>60.709090909090911</v>
      </c>
      <c r="AH18">
        <v>68</v>
      </c>
      <c r="AI18" t="str">
        <f>VLOOKUP(AH18, Rankings!$A$2:$BA$113, 4, FALSE)</f>
        <v>Shalour City</v>
      </c>
      <c r="AJ18">
        <f>VLOOKUP(AH18, Rankings!$A$2:$BA$113, 53, FALSE)</f>
        <v>86</v>
      </c>
      <c r="AK18">
        <f>VLOOKUP(AH18, Rankings!$A$2:$BA$113, 6, FALSE)-VLOOKUP(AH18, Rankings!$A$2:$BA$113, 9, FALSE)</f>
        <v>1</v>
      </c>
      <c r="AL18">
        <f>VLOOKUP(AH18, Rankings!$A$2:$BA$113, 12, FALSE)</f>
        <v>1</v>
      </c>
      <c r="AM18" s="205">
        <f>VLOOKUP(AH18, Rankings!$A$2:$BU$113, 46, FALSE)^2</f>
        <v>21.031418181818182</v>
      </c>
      <c r="AN18" s="70">
        <f>VLOOKUP(AH18, Rankings!$A$2:$BA$113, 44, FALSE)</f>
        <v>38.636363636363633</v>
      </c>
      <c r="AP18">
        <v>84</v>
      </c>
      <c r="AQ18" t="str">
        <f>VLOOKUP(AP18, Rankings!$A$2:$BA$113, 4, FALSE)</f>
        <v>Vast Poni Canyon</v>
      </c>
      <c r="AR18">
        <f>VLOOKUP(AP18, Rankings!$A$2:$BA$113, 53, FALSE)</f>
        <v>104</v>
      </c>
      <c r="AS18">
        <f>VLOOKUP(AP18, Rankings!$A$2:$BA$113, 6, FALSE)-VLOOKUP(AP18, Rankings!$A$2:$BA$113, 9, FALSE)</f>
        <v>0</v>
      </c>
      <c r="AT18">
        <f>VLOOKUP(AP18, Rankings!$A$2:$BA$113, 12, FALSE)</f>
        <v>1</v>
      </c>
      <c r="AU18" s="205">
        <f>VLOOKUP(AP18, Rankings!$A$2:$BU$113, 46, FALSE)^2</f>
        <v>17.296381818181818</v>
      </c>
      <c r="AV18" s="70">
        <f>VLOOKUP(AP18, Rankings!$A$2:$BA$113, 44, FALSE)</f>
        <v>30.218181818181819</v>
      </c>
      <c r="AX18">
        <v>100</v>
      </c>
      <c r="AY18" t="str">
        <f>VLOOKUP(AX18, Rankings!$A$2:$BA$113, 4, FALSE)</f>
        <v>Wyndon South</v>
      </c>
      <c r="AZ18">
        <f>VLOOKUP(AX18, Rankings!$A$2:$BA$113, 53, FALSE)</f>
        <v>37</v>
      </c>
      <c r="BA18">
        <f>VLOOKUP(AX18, Rankings!$A$2:$BA$113, 6, FALSE)-VLOOKUP(AX18, Rankings!$A$2:$BA$113, 9, FALSE)</f>
        <v>2</v>
      </c>
      <c r="BB18">
        <f>VLOOKUP(AX18, Rankings!$A$2:$BA$113, 12, FALSE)</f>
        <v>5</v>
      </c>
      <c r="BC18" s="205">
        <f>VLOOKUP(AX18, Rankings!$A$2:$BU$113, 46, FALSE)^2</f>
        <v>28.907492187500001</v>
      </c>
      <c r="BD18" s="70">
        <f>VLOOKUP(AX18, Rankings!$A$2:$BA$113, 44, FALSE)</f>
        <v>62.25</v>
      </c>
    </row>
    <row r="19" spans="2:56" x14ac:dyDescent="0.35">
      <c r="B19">
        <v>5</v>
      </c>
      <c r="C19" t="str">
        <f>VLOOKUP(B19, Rankings!$A$2:$BA$113, 4, FALSE)</f>
        <v>Azalea Town</v>
      </c>
      <c r="D19">
        <f>VLOOKUP(B19, Rankings!$A$2:$BA$113, 53, FALSE)</f>
        <v>82</v>
      </c>
      <c r="E19">
        <f>VLOOKUP(B19, Rankings!$A$2:$BA$113, 6, FALSE)-VLOOKUP(B19, Rankings!$A$2:$BA$113, 9, FALSE)</f>
        <v>0</v>
      </c>
      <c r="F19">
        <f>VLOOKUP(B19, Rankings!$A$2:$BA$113, 12, FALSE)</f>
        <v>4</v>
      </c>
      <c r="G19" s="205">
        <f>VLOOKUP(B19, Rankings!$A$2:$BU$113, 46, FALSE)^2</f>
        <v>23.517278688524591</v>
      </c>
      <c r="H19" s="70">
        <f>VLOOKUP(B19, Rankings!$A$2:$BA$113, 44, FALSE)</f>
        <v>57.540983606557376</v>
      </c>
      <c r="J19">
        <v>21</v>
      </c>
      <c r="K19" t="str">
        <f>VLOOKUP(J19, Rankings!$A$2:$BA$113, 4, FALSE)</f>
        <v>Fallarbor Town</v>
      </c>
      <c r="L19">
        <f>VLOOKUP(J19, Rankings!$A$2:$BA$113, 53, FALSE)</f>
        <v>21</v>
      </c>
      <c r="M19">
        <f>VLOOKUP(J19, Rankings!$A$2:$BA$113, 6, FALSE)-VLOOKUP(J19, Rankings!$A$2:$BA$113, 9, FALSE)</f>
        <v>3</v>
      </c>
      <c r="N19">
        <f>VLOOKUP(J19, Rankings!$A$2:$BA$113, 12, FALSE)</f>
        <v>11</v>
      </c>
      <c r="O19" s="205">
        <f>VLOOKUP(J19, Rankings!$A$2:$BU$113, 46, FALSE)^2</f>
        <v>41.582401315789461</v>
      </c>
      <c r="P19" s="70">
        <f>VLOOKUP(J19, Rankings!$A$2:$BA$113, 44, FALSE)</f>
        <v>69.39473684210526</v>
      </c>
      <c r="R19">
        <v>37</v>
      </c>
      <c r="S19" t="str">
        <f>VLOOKUP(R19, Rankings!$A$2:$BA$113, 4, FALSE)</f>
        <v>Eterna City</v>
      </c>
      <c r="T19">
        <f>VLOOKUP(R19, Rankings!$A$2:$BA$113, 53, FALSE)</f>
        <v>41</v>
      </c>
      <c r="U19">
        <f>VLOOKUP(R19, Rankings!$A$2:$BA$113, 6, FALSE)-VLOOKUP(R19, Rankings!$A$2:$BA$113, 9, FALSE)</f>
        <v>3</v>
      </c>
      <c r="V19">
        <f>VLOOKUP(R19, Rankings!$A$2:$BA$113, 12, FALSE)</f>
        <v>1</v>
      </c>
      <c r="W19" s="205">
        <f>VLOOKUP(R19, Rankings!$A$2:$BU$113, 46, FALSE)^2</f>
        <v>40.040981818181834</v>
      </c>
      <c r="X19" s="70">
        <f>VLOOKUP(R19, Rankings!$A$2:$BA$113, 44, FALSE)</f>
        <v>49.327272727272728</v>
      </c>
      <c r="Z19">
        <v>53</v>
      </c>
      <c r="AA19" t="str">
        <f>VLOOKUP(Z19, Rankings!$A$2:$BA$113, 4, FALSE)</f>
        <v>Driftveil City</v>
      </c>
      <c r="AB19">
        <f>VLOOKUP(Z19, Rankings!$A$2:$BA$113, 53, FALSE)</f>
        <v>77</v>
      </c>
      <c r="AC19">
        <f>VLOOKUP(Z19, Rankings!$A$2:$BA$113, 6, FALSE)-VLOOKUP(Z19, Rankings!$A$2:$BA$113, 9, FALSE)</f>
        <v>1</v>
      </c>
      <c r="AD19">
        <f>VLOOKUP(Z19, Rankings!$A$2:$BA$113, 12, FALSE)</f>
        <v>1</v>
      </c>
      <c r="AE19" s="205">
        <f>VLOOKUP(Z19, Rankings!$A$2:$BU$113, 46, FALSE)^2</f>
        <v>18.494345454545456</v>
      </c>
      <c r="AF19" s="70">
        <f>VLOOKUP(Z19, Rankings!$A$2:$BA$113, 44, FALSE)</f>
        <v>33.490909090909092</v>
      </c>
      <c r="AH19">
        <v>69</v>
      </c>
      <c r="AI19" t="str">
        <f>VLOOKUP(AH19, Rankings!$A$2:$BA$113, 4, FALSE)</f>
        <v>Camphrier Town</v>
      </c>
      <c r="AJ19">
        <f>VLOOKUP(AH19, Rankings!$A$2:$BA$113, 53, FALSE)</f>
        <v>92</v>
      </c>
      <c r="AK19">
        <f>VLOOKUP(AH19, Rankings!$A$2:$BA$113, 6, FALSE)-VLOOKUP(AH19, Rankings!$A$2:$BA$113, 9, FALSE)</f>
        <v>1</v>
      </c>
      <c r="AL19">
        <f>VLOOKUP(AH19, Rankings!$A$2:$BA$113, 12, FALSE)</f>
        <v>3</v>
      </c>
      <c r="AM19" s="205">
        <f>VLOOKUP(AH19, Rankings!$A$2:$BU$113, 46, FALSE)^2</f>
        <v>25.244620689655168</v>
      </c>
      <c r="AN19" s="70">
        <f>VLOOKUP(AH19, Rankings!$A$2:$BA$113, 44, FALSE)</f>
        <v>39.982758620689658</v>
      </c>
      <c r="AP19">
        <v>85</v>
      </c>
      <c r="AQ19" t="str">
        <f>VLOOKUP(AP19, Rankings!$A$2:$BA$113, 4, FALSE)</f>
        <v>Hau'oli City</v>
      </c>
      <c r="AR19">
        <f>VLOOKUP(AP19, Rankings!$A$2:$BA$113, 53, FALSE)</f>
        <v>106</v>
      </c>
      <c r="AS19">
        <f>VLOOKUP(AP19, Rankings!$A$2:$BA$113, 6, FALSE)-VLOOKUP(AP19, Rankings!$A$2:$BA$113, 9, FALSE)</f>
        <v>0</v>
      </c>
      <c r="AT19">
        <f>VLOOKUP(AP19, Rankings!$A$2:$BA$113, 12, FALSE)</f>
        <v>1</v>
      </c>
      <c r="AU19" s="205">
        <f>VLOOKUP(AP19, Rankings!$A$2:$BU$113, 46, FALSE)^2</f>
        <v>16.298700000000004</v>
      </c>
      <c r="AV19" s="70">
        <f>VLOOKUP(AP19, Rankings!$A$2:$BA$113, 44, FALSE)</f>
        <v>39.466666666666669</v>
      </c>
      <c r="AX19">
        <v>101</v>
      </c>
      <c r="AY19" t="str">
        <f>VLOOKUP(AX19, Rankings!$A$2:$BA$113, 4, FALSE)</f>
        <v>City of Circhester</v>
      </c>
      <c r="AZ19">
        <f>VLOOKUP(AX19, Rankings!$A$2:$BA$113, 53, FALSE)</f>
        <v>94</v>
      </c>
      <c r="BA19">
        <f>VLOOKUP(AX19, Rankings!$A$2:$BA$113, 6, FALSE)-VLOOKUP(AX19, Rankings!$A$2:$BA$113, 9, FALSE)</f>
        <v>0</v>
      </c>
      <c r="BB19">
        <f>VLOOKUP(AX19, Rankings!$A$2:$BA$113, 12, FALSE)</f>
        <v>2</v>
      </c>
      <c r="BC19" s="205">
        <f>VLOOKUP(AX19, Rankings!$A$2:$BU$113, 46, FALSE)^2</f>
        <v>21.369380952380954</v>
      </c>
      <c r="BD19" s="70">
        <f>VLOOKUP(AX19, Rankings!$A$2:$BA$113, 44, FALSE)</f>
        <v>45.365079365079367</v>
      </c>
    </row>
    <row r="20" spans="2:56" x14ac:dyDescent="0.35">
      <c r="B20">
        <v>6</v>
      </c>
      <c r="C20" t="str">
        <f>VLOOKUP(B20, Rankings!$A$2:$BA$113, 4, FALSE)</f>
        <v>Blackthorn City</v>
      </c>
      <c r="D20">
        <f>VLOOKUP(B20, Rankings!$A$2:$BA$113, 53, FALSE)</f>
        <v>51</v>
      </c>
      <c r="E20">
        <f>VLOOKUP(B20, Rankings!$A$2:$BA$113, 6, FALSE)-VLOOKUP(B20, Rankings!$A$2:$BA$113, 9, FALSE)</f>
        <v>3</v>
      </c>
      <c r="F20">
        <f>VLOOKUP(B20, Rankings!$A$2:$BA$113, 12, FALSE)</f>
        <v>1</v>
      </c>
      <c r="G20" s="205">
        <f>VLOOKUP(B20, Rankings!$A$2:$BU$113, 46, FALSE)^2</f>
        <v>37.717410714285712</v>
      </c>
      <c r="H20" s="70">
        <f>VLOOKUP(B20, Rankings!$A$2:$BA$113, 44, FALSE)</f>
        <v>38.821428571428569</v>
      </c>
      <c r="J20">
        <v>22</v>
      </c>
      <c r="K20" t="str">
        <f>VLOOKUP(J20, Rankings!$A$2:$BA$113, 4, FALSE)</f>
        <v>Lavaridge Town</v>
      </c>
      <c r="L20">
        <f>VLOOKUP(J20, Rankings!$A$2:$BA$113, 53, FALSE)</f>
        <v>98</v>
      </c>
      <c r="M20">
        <f>VLOOKUP(J20, Rankings!$A$2:$BA$113, 6, FALSE)-VLOOKUP(J20, Rankings!$A$2:$BA$113, 9, FALSE)</f>
        <v>1</v>
      </c>
      <c r="N20">
        <f>VLOOKUP(J20, Rankings!$A$2:$BA$113, 12, FALSE)</f>
        <v>0</v>
      </c>
      <c r="O20" s="205">
        <f>VLOOKUP(J20, Rankings!$A$2:$BU$113, 46, FALSE)^2</f>
        <v>23.150370370370371</v>
      </c>
      <c r="P20" s="70">
        <f>VLOOKUP(J20, Rankings!$A$2:$BA$113, 44, FALSE)</f>
        <v>42.703703703703702</v>
      </c>
      <c r="R20">
        <v>38</v>
      </c>
      <c r="S20" t="str">
        <f>VLOOKUP(R20, Rankings!$A$2:$BA$113, 4, FALSE)</f>
        <v>Floaroma City</v>
      </c>
      <c r="T20">
        <f>VLOOKUP(R20, Rankings!$A$2:$BA$113, 53, FALSE)</f>
        <v>31</v>
      </c>
      <c r="U20">
        <f>VLOOKUP(R20, Rankings!$A$2:$BA$113, 6, FALSE)-VLOOKUP(R20, Rankings!$A$2:$BA$113, 9, FALSE)</f>
        <v>1</v>
      </c>
      <c r="V20">
        <f>VLOOKUP(R20, Rankings!$A$2:$BA$113, 12, FALSE)</f>
        <v>4</v>
      </c>
      <c r="W20" s="205">
        <f>VLOOKUP(R20, Rankings!$A$2:$BU$113, 46, FALSE)^2</f>
        <v>40.941714285714276</v>
      </c>
      <c r="X20" s="70">
        <f>VLOOKUP(R20, Rankings!$A$2:$BA$113, 44, FALSE)</f>
        <v>66.365079365079367</v>
      </c>
      <c r="Z20">
        <v>54</v>
      </c>
      <c r="AA20" t="str">
        <f>VLOOKUP(Z20, Rankings!$A$2:$BA$113, 4, FALSE)</f>
        <v>Icirrus City</v>
      </c>
      <c r="AB20">
        <f>VLOOKUP(Z20, Rankings!$A$2:$BA$113, 53, FALSE)</f>
        <v>69</v>
      </c>
      <c r="AC20">
        <f>VLOOKUP(Z20, Rankings!$A$2:$BA$113, 6, FALSE)-VLOOKUP(Z20, Rankings!$A$2:$BA$113, 9, FALSE)</f>
        <v>3</v>
      </c>
      <c r="AD20">
        <f>VLOOKUP(Z20, Rankings!$A$2:$BA$113, 12, FALSE)</f>
        <v>0</v>
      </c>
      <c r="AE20" s="205">
        <f>VLOOKUP(Z20, Rankings!$A$2:$BU$113, 46, FALSE)^2</f>
        <v>26.211481481481481</v>
      </c>
      <c r="AF20" s="70">
        <f>VLOOKUP(Z20, Rankings!$A$2:$BA$113, 44, FALSE)</f>
        <v>55.851851851851855</v>
      </c>
      <c r="AH20">
        <v>70</v>
      </c>
      <c r="AI20" t="str">
        <f>VLOOKUP(AH20, Rankings!$A$2:$BA$113, 4, FALSE)</f>
        <v>Coumarine City</v>
      </c>
      <c r="AJ20">
        <f>VLOOKUP(AH20, Rankings!$A$2:$BA$113, 53, FALSE)</f>
        <v>47</v>
      </c>
      <c r="AK20">
        <f>VLOOKUP(AH20, Rankings!$A$2:$BA$113, 6, FALSE)-VLOOKUP(AH20, Rankings!$A$2:$BA$113, 9, FALSE)</f>
        <v>2</v>
      </c>
      <c r="AL20">
        <f>VLOOKUP(AH20, Rankings!$A$2:$BA$113, 12, FALSE)</f>
        <v>2</v>
      </c>
      <c r="AM20" s="205">
        <f>VLOOKUP(AH20, Rankings!$A$2:$BU$113, 46, FALSE)^2</f>
        <v>45.265178571428571</v>
      </c>
      <c r="AN20" s="70">
        <f>VLOOKUP(AH20, Rankings!$A$2:$BA$113, 44, FALSE)</f>
        <v>35.25</v>
      </c>
      <c r="AP20">
        <v>86</v>
      </c>
      <c r="AQ20" t="str">
        <f>VLOOKUP(AP20, Rankings!$A$2:$BA$113, 4, FALSE)</f>
        <v>Iki Town</v>
      </c>
      <c r="AR20">
        <f>VLOOKUP(AP20, Rankings!$A$2:$BA$113, 53, FALSE)</f>
        <v>35</v>
      </c>
      <c r="AS20">
        <f>VLOOKUP(AP20, Rankings!$A$2:$BA$113, 6, FALSE)-VLOOKUP(AP20, Rankings!$A$2:$BA$113, 9, FALSE)</f>
        <v>2</v>
      </c>
      <c r="AT20">
        <f>VLOOKUP(AP20, Rankings!$A$2:$BA$113, 12, FALSE)</f>
        <v>3</v>
      </c>
      <c r="AU20" s="205">
        <f>VLOOKUP(AP20, Rankings!$A$2:$BU$113, 46, FALSE)^2</f>
        <v>47.047068965517241</v>
      </c>
      <c r="AV20" s="70">
        <f>VLOOKUP(AP20, Rankings!$A$2:$BA$113, 44, FALSE)</f>
        <v>69.068965517241381</v>
      </c>
      <c r="AX20">
        <v>102</v>
      </c>
      <c r="AY20" t="str">
        <f>VLOOKUP(AX20, Rankings!$A$2:$BA$113, 4, FALSE)</f>
        <v>Circhester Bay</v>
      </c>
      <c r="AZ20">
        <f>VLOOKUP(AX20, Rankings!$A$2:$BA$113, 53, FALSE)</f>
        <v>74</v>
      </c>
      <c r="BA20">
        <f>VLOOKUP(AX20, Rankings!$A$2:$BA$113, 6, FALSE)-VLOOKUP(AX20, Rankings!$A$2:$BA$113, 9, FALSE)</f>
        <v>1</v>
      </c>
      <c r="BB20">
        <f>VLOOKUP(AX20, Rankings!$A$2:$BA$113, 12, FALSE)</f>
        <v>0</v>
      </c>
      <c r="BC20" s="205">
        <f>VLOOKUP(AX20, Rankings!$A$2:$BU$113, 46, FALSE)^2</f>
        <v>24.670166666666663</v>
      </c>
      <c r="BD20" s="70">
        <f>VLOOKUP(AX20, Rankings!$A$2:$BA$113, 44, FALSE)</f>
        <v>30.62962962962963</v>
      </c>
    </row>
    <row r="21" spans="2:56" x14ac:dyDescent="0.35">
      <c r="B21">
        <v>7</v>
      </c>
      <c r="C21" t="str">
        <f>VLOOKUP(B21, Rankings!$A$2:$BA$113, 4, FALSE)</f>
        <v>Mahogany Town</v>
      </c>
      <c r="D21">
        <f>VLOOKUP(B21, Rankings!$A$2:$BA$113, 53, FALSE)</f>
        <v>64</v>
      </c>
      <c r="E21">
        <f>VLOOKUP(B21, Rankings!$A$2:$BA$113, 6, FALSE)-VLOOKUP(B21, Rankings!$A$2:$BA$113, 9, FALSE)</f>
        <v>1</v>
      </c>
      <c r="F21">
        <f>VLOOKUP(B21, Rankings!$A$2:$BA$113, 12, FALSE)</f>
        <v>3</v>
      </c>
      <c r="G21" s="205">
        <f>VLOOKUP(B21, Rankings!$A$2:$BU$113, 46, FALSE)^2</f>
        <v>29.449730158730151</v>
      </c>
      <c r="H21" s="70">
        <f>VLOOKUP(B21, Rankings!$A$2:$BA$113, 44, FALSE)</f>
        <v>63.333333333333336</v>
      </c>
      <c r="J21">
        <v>23</v>
      </c>
      <c r="K21" t="str">
        <f>VLOOKUP(J21, Rankings!$A$2:$BA$113, 4, FALSE)</f>
        <v>Rustboro City</v>
      </c>
      <c r="L21">
        <f>VLOOKUP(J21, Rankings!$A$2:$BA$113, 53, FALSE)</f>
        <v>25</v>
      </c>
      <c r="M21">
        <f>VLOOKUP(J21, Rankings!$A$2:$BA$113, 6, FALSE)-VLOOKUP(J21, Rankings!$A$2:$BA$113, 9, FALSE)</f>
        <v>2</v>
      </c>
      <c r="N21">
        <f>VLOOKUP(J21, Rankings!$A$2:$BA$113, 12, FALSE)</f>
        <v>12</v>
      </c>
      <c r="O21" s="205">
        <f>VLOOKUP(J21, Rankings!$A$2:$BU$113, 46, FALSE)^2</f>
        <v>54.170173913043485</v>
      </c>
      <c r="P21" s="70">
        <f>VLOOKUP(J21, Rankings!$A$2:$BA$113, 44, FALSE)</f>
        <v>68.608695652173907</v>
      </c>
      <c r="R21">
        <v>39</v>
      </c>
      <c r="S21" t="str">
        <f>VLOOKUP(R21, Rankings!$A$2:$BA$113, 4, FALSE)</f>
        <v>Oreburgh City</v>
      </c>
      <c r="T21">
        <f>VLOOKUP(R21, Rankings!$A$2:$BA$113, 53, FALSE)</f>
        <v>56</v>
      </c>
      <c r="U21">
        <f>VLOOKUP(R21, Rankings!$A$2:$BA$113, 6, FALSE)-VLOOKUP(R21, Rankings!$A$2:$BA$113, 9, FALSE)</f>
        <v>2</v>
      </c>
      <c r="V21">
        <f>VLOOKUP(R21, Rankings!$A$2:$BA$113, 12, FALSE)</f>
        <v>9</v>
      </c>
      <c r="W21" s="205">
        <f>VLOOKUP(R21, Rankings!$A$2:$BU$113, 46, FALSE)^2</f>
        <v>30.144095890410959</v>
      </c>
      <c r="X21" s="70">
        <f>VLOOKUP(R21, Rankings!$A$2:$BA$113, 44, FALSE)</f>
        <v>67.054794520547944</v>
      </c>
      <c r="Z21">
        <v>55</v>
      </c>
      <c r="AA21" t="str">
        <f>VLOOKUP(Z21, Rankings!$A$2:$BA$113, 4, FALSE)</f>
        <v>Nimbasa City</v>
      </c>
      <c r="AB21">
        <f>VLOOKUP(Z21, Rankings!$A$2:$BA$113, 53, FALSE)</f>
        <v>60</v>
      </c>
      <c r="AC21">
        <f>VLOOKUP(Z21, Rankings!$A$2:$BA$113, 6, FALSE)-VLOOKUP(Z21, Rankings!$A$2:$BA$113, 9, FALSE)</f>
        <v>1</v>
      </c>
      <c r="AD21">
        <f>VLOOKUP(Z21, Rankings!$A$2:$BA$113, 12, FALSE)</f>
        <v>0</v>
      </c>
      <c r="AE21" s="205">
        <f>VLOOKUP(Z21, Rankings!$A$2:$BU$113, 46, FALSE)^2</f>
        <v>33.743131147540993</v>
      </c>
      <c r="AF21" s="70">
        <f>VLOOKUP(Z21, Rankings!$A$2:$BA$113, 44, FALSE)</f>
        <v>49.114754098360656</v>
      </c>
      <c r="AH21">
        <v>71</v>
      </c>
      <c r="AI21" t="str">
        <f>VLOOKUP(AH21, Rankings!$A$2:$BA$113, 4, FALSE)</f>
        <v>Laverre City</v>
      </c>
      <c r="AJ21">
        <f>VLOOKUP(AH21, Rankings!$A$2:$BA$113, 53, FALSE)</f>
        <v>27</v>
      </c>
      <c r="AK21">
        <f>VLOOKUP(AH21, Rankings!$A$2:$BA$113, 6, FALSE)-VLOOKUP(AH21, Rankings!$A$2:$BA$113, 9, FALSE)</f>
        <v>1</v>
      </c>
      <c r="AL21">
        <f>VLOOKUP(AH21, Rankings!$A$2:$BA$113, 12, FALSE)</f>
        <v>9</v>
      </c>
      <c r="AM21" s="205">
        <f>VLOOKUP(AH21, Rankings!$A$2:$BU$113, 46, FALSE)^2</f>
        <v>52.387264285714267</v>
      </c>
      <c r="AN21" s="70">
        <f>VLOOKUP(AH21, Rankings!$A$2:$BA$113, 44, FALSE)</f>
        <v>71.842857142857142</v>
      </c>
      <c r="AP21">
        <v>87</v>
      </c>
      <c r="AQ21" t="str">
        <f>VLOOKUP(AP21, Rankings!$A$2:$BA$113, 4, FALSE)</f>
        <v>Kala'e Bay</v>
      </c>
      <c r="AR21">
        <f>VLOOKUP(AP21, Rankings!$A$2:$BA$113, 53, FALSE)</f>
        <v>4</v>
      </c>
      <c r="AS21">
        <f>VLOOKUP(AP21, Rankings!$A$2:$BA$113, 6, FALSE)-VLOOKUP(AP21, Rankings!$A$2:$BA$113, 9, FALSE)</f>
        <v>5</v>
      </c>
      <c r="AT21">
        <f>VLOOKUP(AP21, Rankings!$A$2:$BA$113, 12, FALSE)</f>
        <v>29</v>
      </c>
      <c r="AU21" s="205">
        <f>VLOOKUP(AP21, Rankings!$A$2:$BU$113, 46, FALSE)^2</f>
        <v>65.297549999999987</v>
      </c>
      <c r="AV21" s="70">
        <f>VLOOKUP(AP21, Rankings!$A$2:$BA$113, 44, FALSE)</f>
        <v>81.125</v>
      </c>
      <c r="AX21">
        <v>103</v>
      </c>
      <c r="AY21" t="str">
        <f>VLOOKUP(AX21, Rankings!$A$2:$BA$113, 4, FALSE)</f>
        <v>Hammerlocke</v>
      </c>
      <c r="AZ21">
        <f>VLOOKUP(AX21, Rankings!$A$2:$BA$113, 53, FALSE)</f>
        <v>33</v>
      </c>
      <c r="BA21">
        <f>VLOOKUP(AX21, Rankings!$A$2:$BA$113, 6, FALSE)-VLOOKUP(AX21, Rankings!$A$2:$BA$113, 9, FALSE)</f>
        <v>2</v>
      </c>
      <c r="BB21">
        <f>VLOOKUP(AX21, Rankings!$A$2:$BA$113, 12, FALSE)</f>
        <v>6</v>
      </c>
      <c r="BC21" s="205">
        <f>VLOOKUP(AX21, Rankings!$A$2:$BU$113, 46, FALSE)^2</f>
        <v>46.79068253968255</v>
      </c>
      <c r="BD21" s="70">
        <f>VLOOKUP(AX21, Rankings!$A$2:$BA$113, 44, FALSE)</f>
        <v>60.301587301587304</v>
      </c>
    </row>
    <row r="22" spans="2:56" x14ac:dyDescent="0.35">
      <c r="B22">
        <v>8</v>
      </c>
      <c r="C22" t="str">
        <f>VLOOKUP(B22, Rankings!$A$2:$BA$113, 4, FALSE)</f>
        <v>Violet City</v>
      </c>
      <c r="D22">
        <f>VLOOKUP(B22, Rankings!$A$2:$BA$113, 53, FALSE)</f>
        <v>15</v>
      </c>
      <c r="E22">
        <f>VLOOKUP(B22, Rankings!$A$2:$BA$113, 6, FALSE)-VLOOKUP(B22, Rankings!$A$2:$BA$113, 9, FALSE)</f>
        <v>3</v>
      </c>
      <c r="F22">
        <f>VLOOKUP(B22, Rankings!$A$2:$BA$113, 12, FALSE)</f>
        <v>2</v>
      </c>
      <c r="G22" s="205">
        <f>VLOOKUP(B22, Rankings!$A$2:$BU$113, 46, FALSE)^2</f>
        <v>56.240732142857155</v>
      </c>
      <c r="H22" s="70">
        <f>VLOOKUP(B22, Rankings!$A$2:$BA$113, 44, FALSE)</f>
        <v>52.625</v>
      </c>
      <c r="J22">
        <v>24</v>
      </c>
      <c r="K22" t="str">
        <f>VLOOKUP(J22, Rankings!$A$2:$BA$113, 4, FALSE)</f>
        <v>Verdanturf Town</v>
      </c>
      <c r="L22">
        <f>VLOOKUP(J22, Rankings!$A$2:$BA$113, 53, FALSE)</f>
        <v>101</v>
      </c>
      <c r="M22">
        <f>VLOOKUP(J22, Rankings!$A$2:$BA$113, 6, FALSE)-VLOOKUP(J22, Rankings!$A$2:$BA$113, 9, FALSE)</f>
        <v>0</v>
      </c>
      <c r="N22">
        <f>VLOOKUP(J22, Rankings!$A$2:$BA$113, 12, FALSE)</f>
        <v>0</v>
      </c>
      <c r="O22" s="205">
        <f>VLOOKUP(J22, Rankings!$A$2:$BU$113, 46, FALSE)^2</f>
        <v>16.651721311475409</v>
      </c>
      <c r="P22" s="70">
        <f>VLOOKUP(J22, Rankings!$A$2:$BA$113, 44, FALSE)</f>
        <v>40.622950819672134</v>
      </c>
      <c r="R22">
        <v>40</v>
      </c>
      <c r="S22" t="str">
        <f>VLOOKUP(R22, Rankings!$A$2:$BA$113, 4, FALSE)</f>
        <v>Snowpoint City</v>
      </c>
      <c r="T22">
        <f>VLOOKUP(R22, Rankings!$A$2:$BA$113, 53, FALSE)</f>
        <v>22</v>
      </c>
      <c r="U22">
        <f>VLOOKUP(R22, Rankings!$A$2:$BA$113, 6, FALSE)-VLOOKUP(R22, Rankings!$A$2:$BA$113, 9, FALSE)</f>
        <v>3</v>
      </c>
      <c r="V22">
        <f>VLOOKUP(R22, Rankings!$A$2:$BA$113, 12, FALSE)</f>
        <v>7</v>
      </c>
      <c r="W22" s="205">
        <f>VLOOKUP(R22, Rankings!$A$2:$BU$113, 46, FALSE)^2</f>
        <v>45.171015873015868</v>
      </c>
      <c r="X22" s="70">
        <f>VLOOKUP(R22, Rankings!$A$2:$BA$113, 44, FALSE)</f>
        <v>60.349206349206348</v>
      </c>
      <c r="Z22">
        <v>56</v>
      </c>
      <c r="AA22" t="str">
        <f>VLOOKUP(Z22, Rankings!$A$2:$BA$113, 4, FALSE)</f>
        <v>Virbank City</v>
      </c>
      <c r="AB22">
        <f>VLOOKUP(Z22, Rankings!$A$2:$BA$113, 53, FALSE)</f>
        <v>6</v>
      </c>
      <c r="AC22">
        <f>VLOOKUP(Z22, Rankings!$A$2:$BA$113, 6, FALSE)-VLOOKUP(Z22, Rankings!$A$2:$BA$113, 9, FALSE)</f>
        <v>3</v>
      </c>
      <c r="AD22">
        <f>VLOOKUP(Z22, Rankings!$A$2:$BA$113, 12, FALSE)</f>
        <v>21</v>
      </c>
      <c r="AE22" s="205">
        <f>VLOOKUP(Z22, Rankings!$A$2:$BU$113, 46, FALSE)^2</f>
        <v>53.519557303370775</v>
      </c>
      <c r="AF22" s="70">
        <f>VLOOKUP(Z22, Rankings!$A$2:$BA$113, 44, FALSE)</f>
        <v>77.146067415730343</v>
      </c>
      <c r="AH22">
        <v>72</v>
      </c>
      <c r="AI22" t="str">
        <f>VLOOKUP(AH22, Rankings!$A$2:$BA$113, 4, FALSE)</f>
        <v>Lumiose City</v>
      </c>
      <c r="AJ22">
        <f>VLOOKUP(AH22, Rankings!$A$2:$BA$113, 53, FALSE)</f>
        <v>2</v>
      </c>
      <c r="AK22">
        <f>VLOOKUP(AH22, Rankings!$A$2:$BA$113, 6, FALSE)-VLOOKUP(AH22, Rankings!$A$2:$BA$113, 9, FALSE)</f>
        <v>5</v>
      </c>
      <c r="AL22">
        <f>VLOOKUP(AH22, Rankings!$A$2:$BA$113, 12, FALSE)</f>
        <v>23</v>
      </c>
      <c r="AM22" s="205">
        <f>VLOOKUP(AH22, Rankings!$A$2:$BU$113, 46, FALSE)^2</f>
        <v>63.70652134831461</v>
      </c>
      <c r="AN22" s="70">
        <f>VLOOKUP(AH22, Rankings!$A$2:$BA$113, 44, FALSE)</f>
        <v>81.415730337078656</v>
      </c>
      <c r="AP22">
        <v>88</v>
      </c>
      <c r="AQ22" t="str">
        <f>VLOOKUP(AP22, Rankings!$A$2:$BA$113, 4, FALSE)</f>
        <v>Ultra Megalopolis</v>
      </c>
      <c r="AR22">
        <f>VLOOKUP(AP22, Rankings!$A$2:$BA$113, 53, FALSE)</f>
        <v>29</v>
      </c>
      <c r="AS22">
        <f>VLOOKUP(AP22, Rankings!$A$2:$BA$113, 6, FALSE)-VLOOKUP(AP22, Rankings!$A$2:$BA$113, 9, FALSE)</f>
        <v>3</v>
      </c>
      <c r="AT22">
        <f>VLOOKUP(AP22, Rankings!$A$2:$BA$113, 12, FALSE)</f>
        <v>0</v>
      </c>
      <c r="AU22" s="205">
        <f>VLOOKUP(AP22, Rankings!$A$2:$BU$113, 46, FALSE)^2</f>
        <v>47.100448275862071</v>
      </c>
      <c r="AV22" s="70">
        <f>VLOOKUP(AP22, Rankings!$A$2:$BA$113, 44, FALSE)</f>
        <v>56.827586206896555</v>
      </c>
      <c r="AX22">
        <v>104</v>
      </c>
      <c r="AY22" t="str">
        <f>VLOOKUP(AX22, Rankings!$A$2:$BA$113, 4, FALSE)</f>
        <v>Spikemuth</v>
      </c>
      <c r="AZ22">
        <f>VLOOKUP(AX22, Rankings!$A$2:$BA$113, 53, FALSE)</f>
        <v>72</v>
      </c>
      <c r="BA22">
        <f>VLOOKUP(AX22, Rankings!$A$2:$BA$113, 6, FALSE)-VLOOKUP(AX22, Rankings!$A$2:$BA$113, 9, FALSE)</f>
        <v>1</v>
      </c>
      <c r="BB22">
        <f>VLOOKUP(AX22, Rankings!$A$2:$BA$113, 12, FALSE)</f>
        <v>5</v>
      </c>
      <c r="BC22" s="205">
        <f>VLOOKUP(AX22, Rankings!$A$2:$BU$113, 46, FALSE)^2</f>
        <v>27.516507692307698</v>
      </c>
      <c r="BD22" s="70">
        <f>VLOOKUP(AX22, Rankings!$A$2:$BA$113, 44, FALSE)</f>
        <v>68.723076923076917</v>
      </c>
    </row>
    <row r="23" spans="2:56" x14ac:dyDescent="0.35">
      <c r="B23">
        <v>9</v>
      </c>
      <c r="C23" t="str">
        <f>VLOOKUP(B23, Rankings!$A$2:$BA$113, 4, FALSE)</f>
        <v>Celadon City</v>
      </c>
      <c r="D23">
        <f>VLOOKUP(B23, Rankings!$A$2:$BA$113, 53, FALSE)</f>
        <v>81</v>
      </c>
      <c r="E23">
        <f>VLOOKUP(B23, Rankings!$A$2:$BA$113, 6, FALSE)-VLOOKUP(B23, Rankings!$A$2:$BA$113, 9, FALSE)</f>
        <v>3</v>
      </c>
      <c r="F23">
        <f>VLOOKUP(B23, Rankings!$A$2:$BA$113, 12, FALSE)</f>
        <v>0</v>
      </c>
      <c r="G23" s="205">
        <f>VLOOKUP(B23, Rankings!$A$2:$BU$113, 46, FALSE)^2</f>
        <v>20.008000000000003</v>
      </c>
      <c r="H23" s="70">
        <f>VLOOKUP(B23, Rankings!$A$2:$BA$113, 44, FALSE)</f>
        <v>37.018518518518519</v>
      </c>
      <c r="J23">
        <v>25</v>
      </c>
      <c r="K23" t="str">
        <f>VLOOKUP(J23, Rankings!$A$2:$BA$113, 4, FALSE)</f>
        <v>Ever Grande City</v>
      </c>
      <c r="L23">
        <f>VLOOKUP(J23, Rankings!$A$2:$BA$113, 53, FALSE)</f>
        <v>11</v>
      </c>
      <c r="M23">
        <f>VLOOKUP(J23, Rankings!$A$2:$BA$113, 6, FALSE)-VLOOKUP(J23, Rankings!$A$2:$BA$113, 9, FALSE)</f>
        <v>5</v>
      </c>
      <c r="N23">
        <f>VLOOKUP(J23, Rankings!$A$2:$BA$113, 12, FALSE)</f>
        <v>8</v>
      </c>
      <c r="O23" s="205">
        <f>VLOOKUP(J23, Rankings!$A$2:$BU$113, 46, FALSE)^2</f>
        <v>49.643026388888899</v>
      </c>
      <c r="P23" s="70">
        <f>VLOOKUP(J23, Rankings!$A$2:$BA$113, 44, FALSE)</f>
        <v>70.388888888888886</v>
      </c>
      <c r="R23">
        <v>41</v>
      </c>
      <c r="S23" t="str">
        <f>VLOOKUP(R23, Rankings!$A$2:$BA$113, 4, FALSE)</f>
        <v>Fight Area</v>
      </c>
      <c r="T23">
        <f>VLOOKUP(R23, Rankings!$A$2:$BA$113, 53, FALSE)</f>
        <v>93</v>
      </c>
      <c r="U23">
        <f>VLOOKUP(R23, Rankings!$A$2:$BA$113, 6, FALSE)-VLOOKUP(R23, Rankings!$A$2:$BA$113, 9, FALSE)</f>
        <v>0</v>
      </c>
      <c r="V23">
        <f>VLOOKUP(R23, Rankings!$A$2:$BA$113, 12, FALSE)</f>
        <v>0</v>
      </c>
      <c r="W23" s="205">
        <f>VLOOKUP(R23, Rankings!$A$2:$BU$113, 46, FALSE)^2</f>
        <v>25.798148148148144</v>
      </c>
      <c r="X23" s="70">
        <f>VLOOKUP(R23, Rankings!$A$2:$BA$113, 44, FALSE)</f>
        <v>32.870370370370374</v>
      </c>
      <c r="Z23">
        <v>57</v>
      </c>
      <c r="AA23" t="str">
        <f>VLOOKUP(Z23, Rankings!$A$2:$BA$113, 4, FALSE)</f>
        <v>Accumula Town</v>
      </c>
      <c r="AB23">
        <f>VLOOKUP(Z23, Rankings!$A$2:$BA$113, 53, FALSE)</f>
        <v>53</v>
      </c>
      <c r="AC23">
        <f>VLOOKUP(Z23, Rankings!$A$2:$BA$113, 6, FALSE)-VLOOKUP(Z23, Rankings!$A$2:$BA$113, 9, FALSE)</f>
        <v>2</v>
      </c>
      <c r="AD23">
        <f>VLOOKUP(Z23, Rankings!$A$2:$BA$113, 12, FALSE)</f>
        <v>3</v>
      </c>
      <c r="AE23" s="205">
        <f>VLOOKUP(Z23, Rankings!$A$2:$BU$113, 46, FALSE)^2</f>
        <v>39.665736842105247</v>
      </c>
      <c r="AF23" s="70">
        <f>VLOOKUP(Z23, Rankings!$A$2:$BA$113, 44, FALSE)</f>
        <v>48.824561403508774</v>
      </c>
      <c r="AH23">
        <v>73</v>
      </c>
      <c r="AI23" t="str">
        <f>VLOOKUP(AH23, Rankings!$A$2:$BA$113, 4, FALSE)</f>
        <v>Anistar City</v>
      </c>
      <c r="AJ23">
        <f>VLOOKUP(AH23, Rankings!$A$2:$BA$113, 53, FALSE)</f>
        <v>46</v>
      </c>
      <c r="AK23">
        <f>VLOOKUP(AH23, Rankings!$A$2:$BA$113, 6, FALSE)-VLOOKUP(AH23, Rankings!$A$2:$BA$113, 9, FALSE)</f>
        <v>3</v>
      </c>
      <c r="AL23">
        <f>VLOOKUP(AH23, Rankings!$A$2:$BA$113, 12, FALSE)</f>
        <v>5</v>
      </c>
      <c r="AM23" s="205">
        <f>VLOOKUP(AH23, Rankings!$A$2:$BU$113, 46, FALSE)^2</f>
        <v>27.689761904761912</v>
      </c>
      <c r="AN23" s="70">
        <f>VLOOKUP(AH23, Rankings!$A$2:$BA$113, 44, FALSE)</f>
        <v>46.238095238095241</v>
      </c>
      <c r="AP23">
        <v>89</v>
      </c>
      <c r="AQ23" t="str">
        <f>VLOOKUP(AP23, Rankings!$A$2:$BA$113, 4, FALSE)</f>
        <v>Malie City</v>
      </c>
      <c r="AR23">
        <f>VLOOKUP(AP23, Rankings!$A$2:$BA$113, 53, FALSE)</f>
        <v>18</v>
      </c>
      <c r="AS23">
        <f>VLOOKUP(AP23, Rankings!$A$2:$BA$113, 6, FALSE)-VLOOKUP(AP23, Rankings!$A$2:$BA$113, 9, FALSE)</f>
        <v>4</v>
      </c>
      <c r="AT23">
        <f>VLOOKUP(AP23, Rankings!$A$2:$BA$113, 12, FALSE)</f>
        <v>7</v>
      </c>
      <c r="AU23" s="205">
        <f>VLOOKUP(AP23, Rankings!$A$2:$BU$113, 46, FALSE)^2</f>
        <v>50.795692307692313</v>
      </c>
      <c r="AV23" s="70">
        <f>VLOOKUP(AP23, Rankings!$A$2:$BA$113, 44, FALSE)</f>
        <v>68.184615384615384</v>
      </c>
      <c r="AX23">
        <v>105</v>
      </c>
      <c r="AY23" t="str">
        <f>VLOOKUP(AX23, Rankings!$A$2:$BA$113, 4, FALSE)</f>
        <v>Crown Tundra</v>
      </c>
      <c r="AZ23">
        <f>VLOOKUP(AX23, Rankings!$A$2:$BA$113, 53, FALSE)</f>
        <v>80</v>
      </c>
      <c r="BA23">
        <f>VLOOKUP(AX23, Rankings!$A$2:$BA$113, 6, FALSE)-VLOOKUP(AX23, Rankings!$A$2:$BA$113, 9, FALSE)</f>
        <v>2</v>
      </c>
      <c r="BB23">
        <f>VLOOKUP(AX23, Rankings!$A$2:$BA$113, 12, FALSE)</f>
        <v>2</v>
      </c>
      <c r="BC23" s="205">
        <f>VLOOKUP(AX23, Rankings!$A$2:$BU$113, 46, FALSE)^2</f>
        <v>28.32010714285714</v>
      </c>
      <c r="BD23" s="70">
        <f>VLOOKUP(AX23, Rankings!$A$2:$BA$113, 44, FALSE)</f>
        <v>44.517857142857146</v>
      </c>
    </row>
    <row r="24" spans="2:56" x14ac:dyDescent="0.35">
      <c r="B24">
        <v>10</v>
      </c>
      <c r="C24" t="str">
        <f>VLOOKUP(B24, Rankings!$A$2:$BA$113, 4, FALSE)</f>
        <v>Cerulean City</v>
      </c>
      <c r="D24">
        <f>VLOOKUP(B24, Rankings!$A$2:$BA$113, 53, FALSE)</f>
        <v>73</v>
      </c>
      <c r="E24">
        <f>VLOOKUP(B24, Rankings!$A$2:$BA$113, 6, FALSE)-VLOOKUP(B24, Rankings!$A$2:$BA$113, 9, FALSE)</f>
        <v>2</v>
      </c>
      <c r="F24">
        <f>VLOOKUP(B24, Rankings!$A$2:$BA$113, 12, FALSE)</f>
        <v>2</v>
      </c>
      <c r="G24" s="205">
        <f>VLOOKUP(B24, Rankings!$A$2:$BU$113, 46, FALSE)^2</f>
        <v>29.844206896551718</v>
      </c>
      <c r="H24" s="70">
        <f>VLOOKUP(B24, Rankings!$A$2:$BA$113, 44, FALSE)</f>
        <v>54.982758620689658</v>
      </c>
      <c r="J24">
        <v>26</v>
      </c>
      <c r="K24" t="str">
        <f>VLOOKUP(J24, Rankings!$A$2:$BA$113, 4, FALSE)</f>
        <v>Mossdeep City</v>
      </c>
      <c r="L24">
        <f>VLOOKUP(J24, Rankings!$A$2:$BA$113, 53, FALSE)</f>
        <v>97</v>
      </c>
      <c r="M24">
        <f>VLOOKUP(J24, Rankings!$A$2:$BA$113, 6, FALSE)-VLOOKUP(J24, Rankings!$A$2:$BA$113, 9, FALSE)</f>
        <v>2</v>
      </c>
      <c r="N24">
        <f>VLOOKUP(J24, Rankings!$A$2:$BA$113, 12, FALSE)</f>
        <v>2</v>
      </c>
      <c r="O24" s="205">
        <f>VLOOKUP(J24, Rankings!$A$2:$BU$113, 46, FALSE)^2</f>
        <v>18.322535714285717</v>
      </c>
      <c r="P24" s="70">
        <f>VLOOKUP(J24, Rankings!$A$2:$BA$113, 44, FALSE)</f>
        <v>28.303571428571427</v>
      </c>
      <c r="R24">
        <v>42</v>
      </c>
      <c r="S24" t="str">
        <f>VLOOKUP(R24, Rankings!$A$2:$BA$113, 4, FALSE)</f>
        <v>Resort Area</v>
      </c>
      <c r="T24">
        <f>VLOOKUP(R24, Rankings!$A$2:$BA$113, 53, FALSE)</f>
        <v>3</v>
      </c>
      <c r="U24">
        <f>VLOOKUP(R24, Rankings!$A$2:$BA$113, 6, FALSE)-VLOOKUP(R24, Rankings!$A$2:$BA$113, 9, FALSE)</f>
        <v>5</v>
      </c>
      <c r="V24">
        <f>VLOOKUP(R24, Rankings!$A$2:$BA$113, 12, FALSE)</f>
        <v>25</v>
      </c>
      <c r="W24" s="205">
        <f>VLOOKUP(R24, Rankings!$A$2:$BU$113, 46, FALSE)^2</f>
        <v>69.5459120879121</v>
      </c>
      <c r="X24" s="70">
        <f>VLOOKUP(R24, Rankings!$A$2:$BA$113, 44, FALSE)</f>
        <v>81.164835164835168</v>
      </c>
      <c r="Z24">
        <v>58</v>
      </c>
      <c r="AA24" t="str">
        <f>VLOOKUP(Z24, Rankings!$A$2:$BA$113, 4, FALSE)</f>
        <v>Castelia City</v>
      </c>
      <c r="AB24">
        <f>VLOOKUP(Z24, Rankings!$A$2:$BA$113, 53, FALSE)</f>
        <v>9</v>
      </c>
      <c r="AC24">
        <f>VLOOKUP(Z24, Rankings!$A$2:$BA$113, 6, FALSE)-VLOOKUP(Z24, Rankings!$A$2:$BA$113, 9, FALSE)</f>
        <v>4</v>
      </c>
      <c r="AD24">
        <f>VLOOKUP(Z24, Rankings!$A$2:$BA$113, 12, FALSE)</f>
        <v>16</v>
      </c>
      <c r="AE24" s="205">
        <f>VLOOKUP(Z24, Rankings!$A$2:$BU$113, 46, FALSE)^2</f>
        <v>56.417661445783125</v>
      </c>
      <c r="AF24" s="70">
        <f>VLOOKUP(Z24, Rankings!$A$2:$BA$113, 44, FALSE)</f>
        <v>79.265060240963862</v>
      </c>
      <c r="AH24">
        <v>74</v>
      </c>
      <c r="AI24" t="str">
        <f>VLOOKUP(AH24, Rankings!$A$2:$BA$113, 4, FALSE)</f>
        <v>Couriway Town</v>
      </c>
      <c r="AJ24">
        <f>VLOOKUP(AH24, Rankings!$A$2:$BA$113, 53, FALSE)</f>
        <v>84</v>
      </c>
      <c r="AK24">
        <f>VLOOKUP(AH24, Rankings!$A$2:$BA$113, 6, FALSE)-VLOOKUP(AH24, Rankings!$A$2:$BA$113, 9, FALSE)</f>
        <v>2</v>
      </c>
      <c r="AL24">
        <f>VLOOKUP(AH24, Rankings!$A$2:$BA$113, 12, FALSE)</f>
        <v>0</v>
      </c>
      <c r="AM24" s="205">
        <f>VLOOKUP(AH24, Rankings!$A$2:$BU$113, 46, FALSE)^2</f>
        <v>20.953814814814812</v>
      </c>
      <c r="AN24" s="70">
        <f>VLOOKUP(AH24, Rankings!$A$2:$BA$113, 44, FALSE)</f>
        <v>33.222222222222221</v>
      </c>
      <c r="AP24">
        <v>90</v>
      </c>
      <c r="AQ24" t="str">
        <f>VLOOKUP(AP24, Rankings!$A$2:$BA$113, 4, FALSE)</f>
        <v>Mount Hokulani</v>
      </c>
      <c r="AR24">
        <f>VLOOKUP(AP24, Rankings!$A$2:$BA$113, 53, FALSE)</f>
        <v>58</v>
      </c>
      <c r="AS24">
        <f>VLOOKUP(AP24, Rankings!$A$2:$BA$113, 6, FALSE)-VLOOKUP(AP24, Rankings!$A$2:$BA$113, 9, FALSE)</f>
        <v>1</v>
      </c>
      <c r="AT24">
        <f>VLOOKUP(AP24, Rankings!$A$2:$BA$113, 12, FALSE)</f>
        <v>10</v>
      </c>
      <c r="AU24" s="205">
        <f>VLOOKUP(AP24, Rankings!$A$2:$BU$113, 46, FALSE)^2</f>
        <v>33.987550724637686</v>
      </c>
      <c r="AV24" s="70">
        <f>VLOOKUP(AP24, Rankings!$A$2:$BA$113, 44, FALSE)</f>
        <v>47.391304347826086</v>
      </c>
      <c r="AX24">
        <v>106</v>
      </c>
      <c r="AY24" t="str">
        <f>VLOOKUP(AX24, Rankings!$A$2:$BA$113, 4, FALSE)</f>
        <v>Postwick</v>
      </c>
      <c r="AZ24">
        <f>VLOOKUP(AX24, Rankings!$A$2:$BA$113, 53, FALSE)</f>
        <v>19</v>
      </c>
      <c r="BA24">
        <f>VLOOKUP(AX24, Rankings!$A$2:$BA$113, 6, FALSE)-VLOOKUP(AX24, Rankings!$A$2:$BA$113, 9, FALSE)</f>
        <v>4</v>
      </c>
      <c r="BB24">
        <f>VLOOKUP(AX24, Rankings!$A$2:$BA$113, 12, FALSE)</f>
        <v>10</v>
      </c>
      <c r="BC24" s="205">
        <f>VLOOKUP(AX24, Rankings!$A$2:$BU$113, 46, FALSE)^2</f>
        <v>47.880708955223881</v>
      </c>
      <c r="BD24" s="70">
        <f>VLOOKUP(AX24, Rankings!$A$2:$BA$113, 44, FALSE)</f>
        <v>77.149253731343279</v>
      </c>
    </row>
    <row r="25" spans="2:56" x14ac:dyDescent="0.35">
      <c r="B25">
        <v>11</v>
      </c>
      <c r="C25" t="str">
        <f>VLOOKUP(B25, Rankings!$A$2:$BA$113, 4, FALSE)</f>
        <v>Saffron City</v>
      </c>
      <c r="D25">
        <f>VLOOKUP(B25, Rankings!$A$2:$BA$113, 53, FALSE)</f>
        <v>66</v>
      </c>
      <c r="E25">
        <f>VLOOKUP(B25, Rankings!$A$2:$BA$113, 6, FALSE)-VLOOKUP(B25, Rankings!$A$2:$BA$113, 9, FALSE)</f>
        <v>4</v>
      </c>
      <c r="F25">
        <f>VLOOKUP(B25, Rankings!$A$2:$BA$113, 12, FALSE)</f>
        <v>4</v>
      </c>
      <c r="G25" s="205">
        <f>VLOOKUP(B25, Rankings!$A$2:$BU$113, 46, FALSE)^2</f>
        <v>32.479975806451613</v>
      </c>
      <c r="H25" s="70">
        <f>VLOOKUP(B25, Rankings!$A$2:$BA$113, 44, FALSE)</f>
        <v>45.677419354838712</v>
      </c>
      <c r="J25">
        <v>27</v>
      </c>
      <c r="K25" t="str">
        <f>VLOOKUP(J25, Rankings!$A$2:$BA$113, 4, FALSE)</f>
        <v>Pacifidlog Town</v>
      </c>
      <c r="L25">
        <f>VLOOKUP(J25, Rankings!$A$2:$BA$113, 53, FALSE)</f>
        <v>78</v>
      </c>
      <c r="M25">
        <f>VLOOKUP(J25, Rankings!$A$2:$BA$113, 6, FALSE)-VLOOKUP(J25, Rankings!$A$2:$BA$113, 9, FALSE)</f>
        <v>1</v>
      </c>
      <c r="N25">
        <f>VLOOKUP(J25, Rankings!$A$2:$BA$113, 12, FALSE)</f>
        <v>1</v>
      </c>
      <c r="O25" s="205">
        <f>VLOOKUP(J25, Rankings!$A$2:$BU$113, 46, FALSE)^2</f>
        <v>24.127745454545448</v>
      </c>
      <c r="P25" s="70">
        <f>VLOOKUP(J25, Rankings!$A$2:$BA$113, 44, FALSE)</f>
        <v>31.563636363636363</v>
      </c>
      <c r="R25">
        <v>43</v>
      </c>
      <c r="S25" t="str">
        <f>VLOOKUP(R25, Rankings!$A$2:$BA$113, 4, FALSE)</f>
        <v>Sunyshore City</v>
      </c>
      <c r="T25">
        <f>VLOOKUP(R25, Rankings!$A$2:$BA$113, 53, FALSE)</f>
        <v>79</v>
      </c>
      <c r="U25">
        <f>VLOOKUP(R25, Rankings!$A$2:$BA$113, 6, FALSE)-VLOOKUP(R25, Rankings!$A$2:$BA$113, 9, FALSE)</f>
        <v>1</v>
      </c>
      <c r="V25">
        <f>VLOOKUP(R25, Rankings!$A$2:$BA$113, 12, FALSE)</f>
        <v>1</v>
      </c>
      <c r="W25" s="205">
        <f>VLOOKUP(R25, Rankings!$A$2:$BU$113, 46, FALSE)^2</f>
        <v>27.190490909090908</v>
      </c>
      <c r="X25" s="70">
        <f>VLOOKUP(R25, Rankings!$A$2:$BA$113, 44, FALSE)</f>
        <v>34.436363636363637</v>
      </c>
      <c r="Z25">
        <v>59</v>
      </c>
      <c r="AA25" t="str">
        <f>VLOOKUP(Z25, Rankings!$A$2:$BA$113, 4, FALSE)</f>
        <v>Nacrene City</v>
      </c>
      <c r="AB25">
        <f>VLOOKUP(Z25, Rankings!$A$2:$BA$113, 53, FALSE)</f>
        <v>52</v>
      </c>
      <c r="AC25">
        <f>VLOOKUP(Z25, Rankings!$A$2:$BA$113, 6, FALSE)-VLOOKUP(Z25, Rankings!$A$2:$BA$113, 9, FALSE)</f>
        <v>3</v>
      </c>
      <c r="AD25">
        <f>VLOOKUP(Z25, Rankings!$A$2:$BA$113, 12, FALSE)</f>
        <v>4</v>
      </c>
      <c r="AE25" s="205">
        <f>VLOOKUP(Z25, Rankings!$A$2:$BU$113, 46, FALSE)^2</f>
        <v>32.171952380952376</v>
      </c>
      <c r="AF25" s="70">
        <f>VLOOKUP(Z25, Rankings!$A$2:$BA$113, 44, FALSE)</f>
        <v>69.634920634920633</v>
      </c>
      <c r="AH25">
        <v>75</v>
      </c>
      <c r="AI25" t="str">
        <f>VLOOKUP(AH25, Rankings!$A$2:$BA$113, 4, FALSE)</f>
        <v>Dendemille Town</v>
      </c>
      <c r="AJ25">
        <f>VLOOKUP(AH25, Rankings!$A$2:$BA$113, 53, FALSE)</f>
        <v>110</v>
      </c>
      <c r="AK25">
        <f>VLOOKUP(AH25, Rankings!$A$2:$BA$113, 6, FALSE)-VLOOKUP(AH25, Rankings!$A$2:$BA$113, 9, FALSE)</f>
        <v>1</v>
      </c>
      <c r="AL25">
        <f>VLOOKUP(AH25, Rankings!$A$2:$BA$113, 12, FALSE)</f>
        <v>3</v>
      </c>
      <c r="AM25" s="205">
        <f>VLOOKUP(AH25, Rankings!$A$2:$BU$113, 46, FALSE)^2</f>
        <v>16.753448275862066</v>
      </c>
      <c r="AN25" s="70">
        <f>VLOOKUP(AH25, Rankings!$A$2:$BA$113, 44, FALSE)</f>
        <v>42.068965517241381</v>
      </c>
      <c r="AP25">
        <v>91</v>
      </c>
      <c r="AQ25" t="str">
        <f>VLOOKUP(AP25, Rankings!$A$2:$BA$113, 4, FALSE)</f>
        <v>Po Town</v>
      </c>
      <c r="AR25">
        <f>VLOOKUP(AP25, Rankings!$A$2:$BA$113, 53, FALSE)</f>
        <v>88</v>
      </c>
      <c r="AS25">
        <f>VLOOKUP(AP25, Rankings!$A$2:$BA$113, 6, FALSE)-VLOOKUP(AP25, Rankings!$A$2:$BA$113, 9, FALSE)</f>
        <v>1</v>
      </c>
      <c r="AT25">
        <f>VLOOKUP(AP25, Rankings!$A$2:$BA$113, 12, FALSE)</f>
        <v>0</v>
      </c>
      <c r="AU25" s="205">
        <f>VLOOKUP(AP25, Rankings!$A$2:$BU$113, 46, FALSE)^2</f>
        <v>25.588098360655739</v>
      </c>
      <c r="AV25" s="70">
        <f>VLOOKUP(AP25, Rankings!$A$2:$BA$113, 44, FALSE)</f>
        <v>48.327868852459019</v>
      </c>
      <c r="AX25">
        <v>107</v>
      </c>
      <c r="AY25" t="str">
        <f>VLOOKUP(AX25, Rankings!$A$2:$BA$113, 4, FALSE)</f>
        <v>South Lakes</v>
      </c>
      <c r="AZ25">
        <f>VLOOKUP(AX25, Rankings!$A$2:$BA$113, 53, FALSE)</f>
        <v>5</v>
      </c>
      <c r="BA25">
        <f>VLOOKUP(AX25, Rankings!$A$2:$BA$113, 6, FALSE)-VLOOKUP(AX25, Rankings!$A$2:$BA$113, 9, FALSE)</f>
        <v>4</v>
      </c>
      <c r="BB25">
        <f>VLOOKUP(AX25, Rankings!$A$2:$BA$113, 12, FALSE)</f>
        <v>15</v>
      </c>
      <c r="BC25" s="205">
        <f>VLOOKUP(AX25, Rankings!$A$2:$BU$113, 46, FALSE)^2</f>
        <v>67.35376883116885</v>
      </c>
      <c r="BD25" s="70">
        <f>VLOOKUP(AX25, Rankings!$A$2:$BA$113, 44, FALSE)</f>
        <v>77.441558441558442</v>
      </c>
    </row>
    <row r="26" spans="2:56" x14ac:dyDescent="0.35">
      <c r="B26">
        <v>12</v>
      </c>
      <c r="C26" t="str">
        <f>VLOOKUP(B26, Rankings!$A$2:$BA$113, 4, FALSE)</f>
        <v>Vermilion City</v>
      </c>
      <c r="D26">
        <f>VLOOKUP(B26, Rankings!$A$2:$BA$113, 53, FALSE)</f>
        <v>16</v>
      </c>
      <c r="E26">
        <f>VLOOKUP(B26, Rankings!$A$2:$BA$113, 6, FALSE)-VLOOKUP(B26, Rankings!$A$2:$BA$113, 9, FALSE)</f>
        <v>4</v>
      </c>
      <c r="F26">
        <f>VLOOKUP(B26, Rankings!$A$2:$BA$113, 12, FALSE)</f>
        <v>7</v>
      </c>
      <c r="G26" s="205">
        <f>VLOOKUP(B26, Rankings!$A$2:$BU$113, 46, FALSE)^2</f>
        <v>49.347909375</v>
      </c>
      <c r="H26" s="70">
        <f>VLOOKUP(B26, Rankings!$A$2:$BA$113, 44, FALSE)</f>
        <v>72.3125</v>
      </c>
      <c r="J26">
        <v>28</v>
      </c>
      <c r="K26" t="str">
        <f>VLOOKUP(J26, Rankings!$A$2:$BA$113, 4, FALSE)</f>
        <v>Sootopolis City</v>
      </c>
      <c r="L26">
        <f>VLOOKUP(J26, Rankings!$A$2:$BA$113, 53, FALSE)</f>
        <v>71</v>
      </c>
      <c r="M26">
        <f>VLOOKUP(J26, Rankings!$A$2:$BA$113, 6, FALSE)-VLOOKUP(J26, Rankings!$A$2:$BA$113, 9, FALSE)</f>
        <v>2</v>
      </c>
      <c r="N26">
        <f>VLOOKUP(J26, Rankings!$A$2:$BA$113, 12, FALSE)</f>
        <v>2</v>
      </c>
      <c r="O26" s="205">
        <f>VLOOKUP(J26, Rankings!$A$2:$BU$113, 46, FALSE)^2</f>
        <v>26.842339285714282</v>
      </c>
      <c r="P26" s="70">
        <f>VLOOKUP(J26, Rankings!$A$2:$BA$113, 44, FALSE)</f>
        <v>52.910714285714285</v>
      </c>
      <c r="R26">
        <v>44</v>
      </c>
      <c r="S26" t="str">
        <f>VLOOKUP(R26, Rankings!$A$2:$BA$113, 4, FALSE)</f>
        <v>Veilstone City</v>
      </c>
      <c r="T26">
        <f>VLOOKUP(R26, Rankings!$A$2:$BA$113, 53, FALSE)</f>
        <v>7</v>
      </c>
      <c r="U26">
        <f>VLOOKUP(R26, Rankings!$A$2:$BA$113, 6, FALSE)-VLOOKUP(R26, Rankings!$A$2:$BA$113, 9, FALSE)</f>
        <v>3</v>
      </c>
      <c r="V26">
        <f>VLOOKUP(R26, Rankings!$A$2:$BA$113, 12, FALSE)</f>
        <v>23</v>
      </c>
      <c r="W26" s="205">
        <f>VLOOKUP(R26, Rankings!$A$2:$BU$113, 46, FALSE)^2</f>
        <v>54.586357954545448</v>
      </c>
      <c r="X26" s="70">
        <f>VLOOKUP(R26, Rankings!$A$2:$BA$113, 44, FALSE)</f>
        <v>75.875</v>
      </c>
      <c r="Z26">
        <v>60</v>
      </c>
      <c r="AA26" t="str">
        <f>VLOOKUP(Z26, Rankings!$A$2:$BA$113, 4, FALSE)</f>
        <v>Striaton City</v>
      </c>
      <c r="AB26">
        <f>VLOOKUP(Z26, Rankings!$A$2:$BA$113, 53, FALSE)</f>
        <v>48</v>
      </c>
      <c r="AC26">
        <f>VLOOKUP(Z26, Rankings!$A$2:$BA$113, 6, FALSE)-VLOOKUP(Z26, Rankings!$A$2:$BA$113, 9, FALSE)</f>
        <v>3</v>
      </c>
      <c r="AD26">
        <f>VLOOKUP(Z26, Rankings!$A$2:$BA$113, 12, FALSE)</f>
        <v>7</v>
      </c>
      <c r="AE26" s="205">
        <f>VLOOKUP(Z26, Rankings!$A$2:$BU$113, 46, FALSE)^2</f>
        <v>31.174029411764703</v>
      </c>
      <c r="AF26" s="70">
        <f>VLOOKUP(Z26, Rankings!$A$2:$BA$113, 44, FALSE)</f>
        <v>59.264705882352942</v>
      </c>
      <c r="AH26">
        <v>76</v>
      </c>
      <c r="AI26" t="str">
        <f>VLOOKUP(AH26, Rankings!$A$2:$BA$113, 4, FALSE)</f>
        <v>Snowbelle City</v>
      </c>
      <c r="AJ26">
        <f>VLOOKUP(AH26, Rankings!$A$2:$BA$113, 53, FALSE)</f>
        <v>62</v>
      </c>
      <c r="AK26">
        <f>VLOOKUP(AH26, Rankings!$A$2:$BA$113, 6, FALSE)-VLOOKUP(AH26, Rankings!$A$2:$BA$113, 9, FALSE)</f>
        <v>2</v>
      </c>
      <c r="AL26">
        <f>VLOOKUP(AH26, Rankings!$A$2:$BA$113, 12, FALSE)</f>
        <v>2</v>
      </c>
      <c r="AM26" s="205">
        <f>VLOOKUP(AH26, Rankings!$A$2:$BU$113, 46, FALSE)^2</f>
        <v>29.885631578947372</v>
      </c>
      <c r="AN26" s="70">
        <f>VLOOKUP(AH26, Rankings!$A$2:$BA$113, 44, FALSE)</f>
        <v>51</v>
      </c>
      <c r="AP26">
        <v>92</v>
      </c>
      <c r="AQ26" t="str">
        <f>VLOOKUP(AP26, Rankings!$A$2:$BA$113, 4, FALSE)</f>
        <v>Tapu Village</v>
      </c>
      <c r="AR26">
        <f>VLOOKUP(AP26, Rankings!$A$2:$BA$113, 53, FALSE)</f>
        <v>65</v>
      </c>
      <c r="AS26">
        <f>VLOOKUP(AP26, Rankings!$A$2:$BA$113, 6, FALSE)-VLOOKUP(AP26, Rankings!$A$2:$BA$113, 9, FALSE)</f>
        <v>1</v>
      </c>
      <c r="AT26">
        <f>VLOOKUP(AP26, Rankings!$A$2:$BA$113, 12, FALSE)</f>
        <v>2</v>
      </c>
      <c r="AU26" s="205">
        <f>VLOOKUP(AP26, Rankings!$A$2:$BU$113, 46, FALSE)^2</f>
        <v>26.441089285714284</v>
      </c>
      <c r="AV26" s="70">
        <f>VLOOKUP(AP26, Rankings!$A$2:$BA$113, 44, FALSE)</f>
        <v>48.178571428571431</v>
      </c>
      <c r="AX26">
        <v>108</v>
      </c>
      <c r="AY26" t="str">
        <f>VLOOKUP(AX26, Rankings!$A$2:$BA$113, 4, FALSE)</f>
        <v>Wedgehurst</v>
      </c>
      <c r="AZ26">
        <f>VLOOKUP(AX26, Rankings!$A$2:$BA$113, 53, FALSE)</f>
        <v>34</v>
      </c>
      <c r="BA26">
        <f>VLOOKUP(AX26, Rankings!$A$2:$BA$113, 6, FALSE)-VLOOKUP(AX26, Rankings!$A$2:$BA$113, 9, FALSE)</f>
        <v>3</v>
      </c>
      <c r="BB26">
        <f>VLOOKUP(AX26, Rankings!$A$2:$BA$113, 12, FALSE)</f>
        <v>5</v>
      </c>
      <c r="BC26" s="205">
        <f>VLOOKUP(AX26, Rankings!$A$2:$BU$113, 46, FALSE)^2</f>
        <v>48.583174603174605</v>
      </c>
      <c r="BD26" s="70">
        <f>VLOOKUP(AX26, Rankings!$A$2:$BA$113, 44, FALSE)</f>
        <v>58.317460317460316</v>
      </c>
    </row>
    <row r="27" spans="2:56" x14ac:dyDescent="0.35">
      <c r="B27">
        <v>13</v>
      </c>
      <c r="C27" t="str">
        <f>VLOOKUP(B27, Rankings!$A$2:$BA$113, 4, FALSE)</f>
        <v>Cinnabar Island</v>
      </c>
      <c r="D27">
        <f>VLOOKUP(B27, Rankings!$A$2:$BA$113, 53, FALSE)</f>
        <v>1</v>
      </c>
      <c r="E27">
        <f>VLOOKUP(B27, Rankings!$A$2:$BA$113, 6, FALSE)-VLOOKUP(B27, Rankings!$A$2:$BA$113, 9, FALSE)</f>
        <v>4</v>
      </c>
      <c r="F27">
        <f>VLOOKUP(B27, Rankings!$A$2:$BA$113, 12, FALSE)</f>
        <v>19</v>
      </c>
      <c r="G27" s="205">
        <f>VLOOKUP(B27, Rankings!$A$2:$BU$113, 46, FALSE)^2</f>
        <v>77.360863953488362</v>
      </c>
      <c r="H27" s="70">
        <f>VLOOKUP(B27, Rankings!$A$2:$BA$113, 44, FALSE)</f>
        <v>85.034883720930239</v>
      </c>
      <c r="J27">
        <v>29</v>
      </c>
      <c r="K27" t="str">
        <f>VLOOKUP(J27, Rankings!$A$2:$BA$113, 4, FALSE)</f>
        <v>Fortree City</v>
      </c>
      <c r="L27">
        <f>VLOOKUP(J27, Rankings!$A$2:$BA$113, 53, FALSE)</f>
        <v>23</v>
      </c>
      <c r="M27">
        <f>VLOOKUP(J27, Rankings!$A$2:$BA$113, 6, FALSE)-VLOOKUP(J27, Rankings!$A$2:$BA$113, 9, FALSE)</f>
        <v>2</v>
      </c>
      <c r="N27">
        <f>VLOOKUP(J27, Rankings!$A$2:$BA$113, 12, FALSE)</f>
        <v>7</v>
      </c>
      <c r="O27" s="205">
        <f>VLOOKUP(J27, Rankings!$A$2:$BU$113, 46, FALSE)^2</f>
        <v>41.886373134328359</v>
      </c>
      <c r="P27" s="70">
        <f>VLOOKUP(J27, Rankings!$A$2:$BA$113, 44, FALSE)</f>
        <v>65.388059701492537</v>
      </c>
      <c r="R27">
        <v>45</v>
      </c>
      <c r="S27" t="str">
        <f>VLOOKUP(R27, Rankings!$A$2:$BA$113, 4, FALSE)</f>
        <v>Celestic Town</v>
      </c>
      <c r="T27">
        <f>VLOOKUP(R27, Rankings!$A$2:$BA$113, 53, FALSE)</f>
        <v>24</v>
      </c>
      <c r="U27">
        <f>VLOOKUP(R27, Rankings!$A$2:$BA$113, 6, FALSE)-VLOOKUP(R27, Rankings!$A$2:$BA$113, 9, FALSE)</f>
        <v>3</v>
      </c>
      <c r="V27">
        <f>VLOOKUP(R27, Rankings!$A$2:$BA$113, 12, FALSE)</f>
        <v>8</v>
      </c>
      <c r="W27" s="205">
        <f>VLOOKUP(R27, Rankings!$A$2:$BU$113, 46, FALSE)^2</f>
        <v>35.405053846153848</v>
      </c>
      <c r="X27" s="70">
        <f>VLOOKUP(R27, Rankings!$A$2:$BA$113, 44, FALSE)</f>
        <v>66.769230769230774</v>
      </c>
      <c r="Z27">
        <v>61</v>
      </c>
      <c r="AA27" t="str">
        <f>VLOOKUP(Z27, Rankings!$A$2:$BA$113, 4, FALSE)</f>
        <v>Humilau City</v>
      </c>
      <c r="AB27">
        <f>VLOOKUP(Z27, Rankings!$A$2:$BA$113, 53, FALSE)</f>
        <v>17</v>
      </c>
      <c r="AC27">
        <f>VLOOKUP(Z27, Rankings!$A$2:$BA$113, 6, FALSE)-VLOOKUP(Z27, Rankings!$A$2:$BA$113, 9, FALSE)</f>
        <v>3</v>
      </c>
      <c r="AD27">
        <f>VLOOKUP(Z27, Rankings!$A$2:$BA$113, 12, FALSE)</f>
        <v>18</v>
      </c>
      <c r="AE27" s="205">
        <f>VLOOKUP(Z27, Rankings!$A$2:$BU$113, 46, FALSE)^2</f>
        <v>43.626789473684198</v>
      </c>
      <c r="AF27" s="70">
        <f>VLOOKUP(Z27, Rankings!$A$2:$BA$113, 44, FALSE)</f>
        <v>71.578947368421055</v>
      </c>
      <c r="AH27">
        <v>77</v>
      </c>
      <c r="AI27" t="str">
        <f>VLOOKUP(AH27, Rankings!$A$2:$BA$113, 4, FALSE)</f>
        <v>Aquacorde Town</v>
      </c>
      <c r="AJ27">
        <f>VLOOKUP(AH27, Rankings!$A$2:$BA$113, 53, FALSE)</f>
        <v>70</v>
      </c>
      <c r="AK27">
        <f>VLOOKUP(AH27, Rankings!$A$2:$BA$113, 6, FALSE)-VLOOKUP(AH27, Rankings!$A$2:$BA$113, 9, FALSE)</f>
        <v>3</v>
      </c>
      <c r="AL27">
        <f>VLOOKUP(AH27, Rankings!$A$2:$BA$113, 12, FALSE)</f>
        <v>2</v>
      </c>
      <c r="AM27" s="205">
        <f>VLOOKUP(AH27, Rankings!$A$2:$BU$113, 46, FALSE)^2</f>
        <v>32.803566666666669</v>
      </c>
      <c r="AN27" s="70">
        <f>VLOOKUP(AH27, Rankings!$A$2:$BA$113, 44, FALSE)</f>
        <v>41.733333333333334</v>
      </c>
      <c r="AP27">
        <v>93</v>
      </c>
      <c r="AQ27" t="str">
        <f>VLOOKUP(AP27, Rankings!$A$2:$BA$113, 4, FALSE)</f>
        <v>Aether Paradise</v>
      </c>
      <c r="AR27">
        <f>VLOOKUP(AP27, Rankings!$A$2:$BA$113, 53, FALSE)</f>
        <v>87</v>
      </c>
      <c r="AS27">
        <f>VLOOKUP(AP27, Rankings!$A$2:$BA$113, 6, FALSE)-VLOOKUP(AP27, Rankings!$A$2:$BA$113, 9, FALSE)</f>
        <v>1</v>
      </c>
      <c r="AT27">
        <f>VLOOKUP(AP27, Rankings!$A$2:$BA$113, 12, FALSE)</f>
        <v>0</v>
      </c>
      <c r="AU27" s="205">
        <f>VLOOKUP(AP27, Rankings!$A$2:$BU$113, 46, FALSE)^2</f>
        <v>21.412666666666659</v>
      </c>
      <c r="AV27" s="70">
        <f>VLOOKUP(AP27, Rankings!$A$2:$BA$113, 44, FALSE)</f>
        <v>38.537037037037038</v>
      </c>
      <c r="AX27">
        <v>109</v>
      </c>
      <c r="AY27" t="str">
        <f>VLOOKUP(AX27, Rankings!$A$2:$BA$113, 4, FALSE)</f>
        <v>Hulbury</v>
      </c>
      <c r="AZ27">
        <f>VLOOKUP(AX27, Rankings!$A$2:$BA$113, 53, FALSE)</f>
        <v>20</v>
      </c>
      <c r="BA27">
        <f>VLOOKUP(AX27, Rankings!$A$2:$BA$113, 6, FALSE)-VLOOKUP(AX27, Rankings!$A$2:$BA$113, 9, FALSE)</f>
        <v>2</v>
      </c>
      <c r="BB27">
        <f>VLOOKUP(AX27, Rankings!$A$2:$BA$113, 12, FALSE)</f>
        <v>10</v>
      </c>
      <c r="BC27" s="205">
        <f>VLOOKUP(AX27, Rankings!$A$2:$BU$113, 46, FALSE)^2</f>
        <v>47.718487500000016</v>
      </c>
      <c r="BD27" s="70">
        <f>VLOOKUP(AX27, Rankings!$A$2:$BA$113, 44, FALSE)</f>
        <v>72.180555555555557</v>
      </c>
    </row>
    <row r="28" spans="2:56" x14ac:dyDescent="0.35">
      <c r="B28">
        <v>14</v>
      </c>
      <c r="C28" t="str">
        <f>VLOOKUP(B28, Rankings!$A$2:$BA$113, 4, FALSE)</f>
        <v>Fuchsia City</v>
      </c>
      <c r="D28">
        <f>VLOOKUP(B28, Rankings!$A$2:$BA$113, 53, FALSE)</f>
        <v>30</v>
      </c>
      <c r="E28">
        <f>VLOOKUP(B28, Rankings!$A$2:$BA$113, 6, FALSE)-VLOOKUP(B28, Rankings!$A$2:$BA$113, 9, FALSE)</f>
        <v>1</v>
      </c>
      <c r="F28">
        <f>VLOOKUP(B28, Rankings!$A$2:$BA$113, 12, FALSE)</f>
        <v>8</v>
      </c>
      <c r="G28" s="205">
        <f>VLOOKUP(B28, Rankings!$A$2:$BU$113, 46, FALSE)^2</f>
        <v>47.377906249999995</v>
      </c>
      <c r="H28" s="70">
        <f>VLOOKUP(B28, Rankings!$A$2:$BA$113, 44, FALSE)</f>
        <v>63.78125</v>
      </c>
      <c r="J28">
        <v>30</v>
      </c>
      <c r="K28" t="str">
        <f>VLOOKUP(J28, Rankings!$A$2:$BA$113, 4, FALSE)</f>
        <v>Lilycove City</v>
      </c>
      <c r="L28">
        <f>VLOOKUP(J28, Rankings!$A$2:$BA$113, 53, FALSE)</f>
        <v>49</v>
      </c>
      <c r="M28">
        <f>VLOOKUP(J28, Rankings!$A$2:$BA$113, 6, FALSE)-VLOOKUP(J28, Rankings!$A$2:$BA$113, 9, FALSE)</f>
        <v>3</v>
      </c>
      <c r="N28">
        <f>VLOOKUP(J28, Rankings!$A$2:$BA$113, 12, FALSE)</f>
        <v>9</v>
      </c>
      <c r="O28" s="205">
        <f>VLOOKUP(J28, Rankings!$A$2:$BU$113, 46, FALSE)^2</f>
        <v>35.132260273972598</v>
      </c>
      <c r="P28" s="70">
        <f>VLOOKUP(J28, Rankings!$A$2:$BA$113, 44, FALSE)</f>
        <v>62.671232876712331</v>
      </c>
      <c r="R28">
        <v>46</v>
      </c>
      <c r="S28" t="str">
        <f>VLOOKUP(R28, Rankings!$A$2:$BA$113, 4, FALSE)</f>
        <v>Hearthome City</v>
      </c>
      <c r="T28">
        <f>VLOOKUP(R28, Rankings!$A$2:$BA$113, 53, FALSE)</f>
        <v>99</v>
      </c>
      <c r="U28">
        <f>VLOOKUP(R28, Rankings!$A$2:$BA$113, 6, FALSE)-VLOOKUP(R28, Rankings!$A$2:$BA$113, 9, FALSE)</f>
        <v>3</v>
      </c>
      <c r="V28">
        <f>VLOOKUP(R28, Rankings!$A$2:$BA$113, 12, FALSE)</f>
        <v>0</v>
      </c>
      <c r="W28" s="205">
        <f>VLOOKUP(R28, Rankings!$A$2:$BU$113, 46, FALSE)^2</f>
        <v>21.876370370370367</v>
      </c>
      <c r="X28" s="70">
        <f>VLOOKUP(R28, Rankings!$A$2:$BA$113, 44, FALSE)</f>
        <v>33.018518518518519</v>
      </c>
      <c r="Z28">
        <v>62</v>
      </c>
      <c r="AA28" t="str">
        <f>VLOOKUP(Z28, Rankings!$A$2:$BA$113, 4, FALSE)</f>
        <v>Lacunosa Town</v>
      </c>
      <c r="AB28">
        <f>VLOOKUP(Z28, Rankings!$A$2:$BA$113, 53, FALSE)</f>
        <v>75</v>
      </c>
      <c r="AC28">
        <f>VLOOKUP(Z28, Rankings!$A$2:$BA$113, 6, FALSE)-VLOOKUP(Z28, Rankings!$A$2:$BA$113, 9, FALSE)</f>
        <v>2</v>
      </c>
      <c r="AD28">
        <f>VLOOKUP(Z28, Rankings!$A$2:$BA$113, 12, FALSE)</f>
        <v>2</v>
      </c>
      <c r="AE28" s="205">
        <f>VLOOKUP(Z28, Rankings!$A$2:$BU$113, 46, FALSE)^2</f>
        <v>26.642892857142858</v>
      </c>
      <c r="AF28" s="70">
        <f>VLOOKUP(Z28, Rankings!$A$2:$BA$113, 44, FALSE)</f>
        <v>41.428571428571431</v>
      </c>
      <c r="AH28">
        <v>78</v>
      </c>
      <c r="AI28" t="str">
        <f>VLOOKUP(AH28, Rankings!$A$2:$BA$113, 4, FALSE)</f>
        <v>Kiloude City</v>
      </c>
      <c r="AJ28">
        <f>VLOOKUP(AH28, Rankings!$A$2:$BA$113, 53, FALSE)</f>
        <v>89</v>
      </c>
      <c r="AK28">
        <f>VLOOKUP(AH28, Rankings!$A$2:$BA$113, 6, FALSE)-VLOOKUP(AH28, Rankings!$A$2:$BA$113, 9, FALSE)</f>
        <v>2</v>
      </c>
      <c r="AL28">
        <f>VLOOKUP(AH28, Rankings!$A$2:$BA$113, 12, FALSE)</f>
        <v>2</v>
      </c>
      <c r="AM28" s="205">
        <f>VLOOKUP(AH28, Rankings!$A$2:$BU$113, 46, FALSE)^2</f>
        <v>27.174877192982461</v>
      </c>
      <c r="AN28" s="70">
        <f>VLOOKUP(AH28, Rankings!$A$2:$BA$113, 44, FALSE)</f>
        <v>47.543859649122808</v>
      </c>
      <c r="AP28">
        <v>94</v>
      </c>
      <c r="AQ28" t="str">
        <f>VLOOKUP(AP28, Rankings!$A$2:$BA$113, 4, FALSE)</f>
        <v>Heahea City</v>
      </c>
      <c r="AR28">
        <f>VLOOKUP(AP28, Rankings!$A$2:$BA$113, 53, FALSE)</f>
        <v>55</v>
      </c>
      <c r="AS28">
        <f>VLOOKUP(AP28, Rankings!$A$2:$BA$113, 6, FALSE)-VLOOKUP(AP28, Rankings!$A$2:$BA$113, 9, FALSE)</f>
        <v>1</v>
      </c>
      <c r="AT28">
        <f>VLOOKUP(AP28, Rankings!$A$2:$BA$113, 12, FALSE)</f>
        <v>6</v>
      </c>
      <c r="AU28" s="205">
        <f>VLOOKUP(AP28, Rankings!$A$2:$BU$113, 46, FALSE)^2</f>
        <v>33.300451612903217</v>
      </c>
      <c r="AV28" s="70">
        <f>VLOOKUP(AP28, Rankings!$A$2:$BA$113, 44, FALSE)</f>
        <v>57.112903225806448</v>
      </c>
      <c r="AX28">
        <v>110</v>
      </c>
      <c r="AY28" t="str">
        <f>VLOOKUP(AX28, Rankings!$A$2:$BA$113, 4, FALSE)</f>
        <v>Isle of Armor</v>
      </c>
      <c r="AZ28">
        <f>VLOOKUP(AX28, Rankings!$A$2:$BA$113, 53, FALSE)</f>
        <v>109</v>
      </c>
      <c r="BA28">
        <f>VLOOKUP(AX28, Rankings!$A$2:$BA$113, 6, FALSE)-VLOOKUP(AX28, Rankings!$A$2:$BA$113, 9, FALSE)</f>
        <v>0</v>
      </c>
      <c r="BB28">
        <f>VLOOKUP(AX28, Rankings!$A$2:$BA$113, 12, FALSE)</f>
        <v>1</v>
      </c>
      <c r="BC28" s="205">
        <f>VLOOKUP(AX28, Rankings!$A$2:$BU$113, 46, FALSE)^2</f>
        <v>12.616508196721309</v>
      </c>
      <c r="BD28" s="70">
        <f>VLOOKUP(AX28, Rankings!$A$2:$BA$113, 44, FALSE)</f>
        <v>34.016393442622949</v>
      </c>
    </row>
    <row r="29" spans="2:56" x14ac:dyDescent="0.35">
      <c r="B29">
        <v>15</v>
      </c>
      <c r="C29" t="str">
        <f>VLOOKUP(B29, Rankings!$A$2:$BA$113, 4, FALSE)</f>
        <v>Pewter City</v>
      </c>
      <c r="D29">
        <f>VLOOKUP(B29, Rankings!$A$2:$BA$113, 53, FALSE)</f>
        <v>100</v>
      </c>
      <c r="E29">
        <f>VLOOKUP(B29, Rankings!$A$2:$BA$113, 6, FALSE)-VLOOKUP(B29, Rankings!$A$2:$BA$113, 9, FALSE)</f>
        <v>1</v>
      </c>
      <c r="F29">
        <f>VLOOKUP(B29, Rankings!$A$2:$BA$113, 12, FALSE)</f>
        <v>0</v>
      </c>
      <c r="G29" s="205">
        <f>VLOOKUP(B29, Rankings!$A$2:$BU$113, 46, FALSE)^2</f>
        <v>21.681759259259255</v>
      </c>
      <c r="H29" s="70">
        <f>VLOOKUP(B29, Rankings!$A$2:$BA$113, 44, FALSE)</f>
        <v>48.851851851851855</v>
      </c>
      <c r="J29">
        <v>31</v>
      </c>
      <c r="K29" t="str">
        <f>VLOOKUP(J29, Rankings!$A$2:$BA$113, 4, FALSE)</f>
        <v>Mauville City</v>
      </c>
      <c r="L29">
        <f>VLOOKUP(J29, Rankings!$A$2:$BA$113, 53, FALSE)</f>
        <v>40</v>
      </c>
      <c r="M29">
        <f>VLOOKUP(J29, Rankings!$A$2:$BA$113, 6, FALSE)-VLOOKUP(J29, Rankings!$A$2:$BA$113, 9, FALSE)</f>
        <v>3</v>
      </c>
      <c r="N29">
        <f>VLOOKUP(J29, Rankings!$A$2:$BA$113, 12, FALSE)</f>
        <v>6</v>
      </c>
      <c r="O29" s="205">
        <f>VLOOKUP(J29, Rankings!$A$2:$BU$113, 46, FALSE)^2</f>
        <v>36.555327868852459</v>
      </c>
      <c r="P29" s="70">
        <f>VLOOKUP(J29, Rankings!$A$2:$BA$113, 44, FALSE)</f>
        <v>64.786885245901644</v>
      </c>
      <c r="R29">
        <v>47</v>
      </c>
      <c r="S29" t="str">
        <f>VLOOKUP(R29, Rankings!$A$2:$BA$113, 4, FALSE)</f>
        <v>Pastoria City</v>
      </c>
      <c r="T29">
        <f>VLOOKUP(R29, Rankings!$A$2:$BA$113, 53, FALSE)</f>
        <v>103</v>
      </c>
      <c r="U29">
        <f>VLOOKUP(R29, Rankings!$A$2:$BA$113, 6, FALSE)-VLOOKUP(R29, Rankings!$A$2:$BA$113, 9, FALSE)</f>
        <v>0</v>
      </c>
      <c r="V29">
        <f>VLOOKUP(R29, Rankings!$A$2:$BA$113, 12, FALSE)</f>
        <v>2</v>
      </c>
      <c r="W29" s="205">
        <f>VLOOKUP(R29, Rankings!$A$2:$BU$113, 46, FALSE)^2</f>
        <v>16.084105263157898</v>
      </c>
      <c r="X29" s="70">
        <f>VLOOKUP(R29, Rankings!$A$2:$BA$113, 44, FALSE)</f>
        <v>32.087719298245617</v>
      </c>
      <c r="Z29">
        <v>63</v>
      </c>
      <c r="AA29" t="str">
        <f>VLOOKUP(Z29, Rankings!$A$2:$BA$113, 4, FALSE)</f>
        <v>Opelucid City</v>
      </c>
      <c r="AB29">
        <f>VLOOKUP(Z29, Rankings!$A$2:$BA$113, 53, FALSE)</f>
        <v>67</v>
      </c>
      <c r="AC29">
        <f>VLOOKUP(Z29, Rankings!$A$2:$BA$113, 6, FALSE)-VLOOKUP(Z29, Rankings!$A$2:$BA$113, 9, FALSE)</f>
        <v>3</v>
      </c>
      <c r="AD29">
        <f>VLOOKUP(Z29, Rankings!$A$2:$BA$113, 12, FALSE)</f>
        <v>4</v>
      </c>
      <c r="AE29" s="205">
        <f>VLOOKUP(Z29, Rankings!$A$2:$BU$113, 46, FALSE)^2</f>
        <v>30.310844827586209</v>
      </c>
      <c r="AF29" s="70">
        <f>VLOOKUP(Z29, Rankings!$A$2:$BA$113, 44, FALSE)</f>
        <v>55.53448275862069</v>
      </c>
      <c r="AH29">
        <v>79</v>
      </c>
      <c r="AI29" t="str">
        <f>VLOOKUP(AH29, Rankings!$A$2:$BA$113, 4, FALSE)</f>
        <v>Santalune City</v>
      </c>
      <c r="AJ29">
        <f>VLOOKUP(AH29, Rankings!$A$2:$BA$113, 53, FALSE)</f>
        <v>108</v>
      </c>
      <c r="AK29">
        <f>VLOOKUP(AH29, Rankings!$A$2:$BA$113, 6, FALSE)-VLOOKUP(AH29, Rankings!$A$2:$BA$113, 9, FALSE)</f>
        <v>0</v>
      </c>
      <c r="AL29">
        <f>VLOOKUP(AH29, Rankings!$A$2:$BA$113, 12, FALSE)</f>
        <v>2</v>
      </c>
      <c r="AM29" s="205">
        <f>VLOOKUP(AH29, Rankings!$A$2:$BU$113, 46, FALSE)^2</f>
        <v>12.507940983606556</v>
      </c>
      <c r="AN29" s="70">
        <f>VLOOKUP(AH29, Rankings!$A$2:$BA$113, 44, FALSE)</f>
        <v>38</v>
      </c>
      <c r="AP29">
        <v>95</v>
      </c>
      <c r="AQ29" t="str">
        <f>VLOOKUP(AP29, Rankings!$A$2:$BA$113, 4, FALSE)</f>
        <v>Konikoni City</v>
      </c>
      <c r="AR29">
        <f>VLOOKUP(AP29, Rankings!$A$2:$BA$113, 53, FALSE)</f>
        <v>96</v>
      </c>
      <c r="AS29">
        <f>VLOOKUP(AP29, Rankings!$A$2:$BA$113, 6, FALSE)-VLOOKUP(AP29, Rankings!$A$2:$BA$113, 9, FALSE)</f>
        <v>3</v>
      </c>
      <c r="AT29">
        <f>VLOOKUP(AP29, Rankings!$A$2:$BA$113, 12, FALSE)</f>
        <v>3</v>
      </c>
      <c r="AU29" s="205">
        <f>VLOOKUP(AP29, Rankings!$A$2:$BU$113, 46, FALSE)^2</f>
        <v>23.011175438596499</v>
      </c>
      <c r="AV29" s="70">
        <f>VLOOKUP(AP29, Rankings!$A$2:$BA$113, 44, FALSE)</f>
        <v>40.438596491228068</v>
      </c>
      <c r="AX29">
        <v>111</v>
      </c>
      <c r="AY29" t="str">
        <f>VLOOKUP(AX29, Rankings!$A$2:$BA$113, 4, FALSE)</f>
        <v>Motostoke</v>
      </c>
      <c r="AZ29">
        <f>VLOOKUP(AX29, Rankings!$A$2:$BA$113, 53, FALSE)</f>
        <v>111</v>
      </c>
      <c r="BA29">
        <f>VLOOKUP(AX29, Rankings!$A$2:$BA$113, 6, FALSE)-VLOOKUP(AX29, Rankings!$A$2:$BA$113, 9, FALSE)</f>
        <v>0</v>
      </c>
      <c r="BB29">
        <f>VLOOKUP(AX29, Rankings!$A$2:$BA$113, 12, FALSE)</f>
        <v>1</v>
      </c>
      <c r="BC29" s="205">
        <f>VLOOKUP(AX29, Rankings!$A$2:$BU$113, 46, FALSE)^2</f>
        <v>14.59610909090909</v>
      </c>
      <c r="BD29" s="70">
        <f>VLOOKUP(AX29, Rankings!$A$2:$BA$113, 44, FALSE)</f>
        <v>24.781818181818181</v>
      </c>
    </row>
    <row r="30" spans="2:56" x14ac:dyDescent="0.35">
      <c r="B30">
        <v>16</v>
      </c>
      <c r="C30" t="str">
        <f>VLOOKUP(B30, Rankings!$A$2:$BA$113, 4, FALSE)</f>
        <v>Viridian City</v>
      </c>
      <c r="D30">
        <f>VLOOKUP(B30, Rankings!$A$2:$BA$113, 53, FALSE)</f>
        <v>105</v>
      </c>
      <c r="E30">
        <f>VLOOKUP(B30, Rankings!$A$2:$BA$113, 6, FALSE)-VLOOKUP(B30, Rankings!$A$2:$BA$113, 9, FALSE)</f>
        <v>0</v>
      </c>
      <c r="F30">
        <f>VLOOKUP(B30, Rankings!$A$2:$BA$113, 12, FALSE)</f>
        <v>6</v>
      </c>
      <c r="G30" s="205">
        <f>VLOOKUP(B30, Rankings!$A$2:$BU$113, 46, FALSE)^2</f>
        <v>16.401155223880597</v>
      </c>
      <c r="H30" s="70">
        <f>VLOOKUP(B30, Rankings!$A$2:$BA$113, 44, FALSE)</f>
        <v>40.865671641791046</v>
      </c>
      <c r="J30">
        <v>32</v>
      </c>
      <c r="K30" t="str">
        <f>VLOOKUP(J30, Rankings!$A$2:$BA$113, 4, FALSE)</f>
        <v>Slateport City</v>
      </c>
      <c r="L30">
        <f>VLOOKUP(J30, Rankings!$A$2:$BA$113, 53, FALSE)</f>
        <v>10</v>
      </c>
      <c r="M30">
        <f>VLOOKUP(J30, Rankings!$A$2:$BA$113, 6, FALSE)-VLOOKUP(J30, Rankings!$A$2:$BA$113, 9, FALSE)</f>
        <v>3</v>
      </c>
      <c r="N30">
        <f>VLOOKUP(J30, Rankings!$A$2:$BA$113, 12, FALSE)</f>
        <v>7</v>
      </c>
      <c r="O30" s="205">
        <f>VLOOKUP(J30, Rankings!$A$2:$BU$113, 46, FALSE)^2</f>
        <v>65.18271014492754</v>
      </c>
      <c r="P30" s="70">
        <f>VLOOKUP(J30, Rankings!$A$2:$BA$113, 44, FALSE)</f>
        <v>75.79710144927536</v>
      </c>
      <c r="R30">
        <v>48</v>
      </c>
      <c r="S30" t="str">
        <f>VLOOKUP(R30, Rankings!$A$2:$BA$113, 4, FALSE)</f>
        <v>Solaceon Town</v>
      </c>
      <c r="T30">
        <f>VLOOKUP(R30, Rankings!$A$2:$BA$113, 53, FALSE)</f>
        <v>28</v>
      </c>
      <c r="U30">
        <f>VLOOKUP(R30, Rankings!$A$2:$BA$113, 6, FALSE)-VLOOKUP(R30, Rankings!$A$2:$BA$113, 9, FALSE)</f>
        <v>2</v>
      </c>
      <c r="V30">
        <f>VLOOKUP(R30, Rankings!$A$2:$BA$113, 12, FALSE)</f>
        <v>8</v>
      </c>
      <c r="W30" s="205">
        <f>VLOOKUP(R30, Rankings!$A$2:$BU$113, 46, FALSE)^2</f>
        <v>43.291573529411771</v>
      </c>
      <c r="X30" s="70">
        <f>VLOOKUP(R30, Rankings!$A$2:$BA$113, 44, FALSE)</f>
        <v>73.25</v>
      </c>
      <c r="Z30">
        <v>64</v>
      </c>
      <c r="AA30" t="str">
        <f>VLOOKUP(Z30, Rankings!$A$2:$BA$113, 4, FALSE)</f>
        <v>Undella Town</v>
      </c>
      <c r="AB30">
        <f>VLOOKUP(Z30, Rankings!$A$2:$BA$113, 53, FALSE)</f>
        <v>50</v>
      </c>
      <c r="AC30">
        <f>VLOOKUP(Z30, Rankings!$A$2:$BA$113, 6, FALSE)-VLOOKUP(Z30, Rankings!$A$2:$BA$113, 9, FALSE)</f>
        <v>2</v>
      </c>
      <c r="AD30">
        <f>VLOOKUP(Z30, Rankings!$A$2:$BA$113, 12, FALSE)</f>
        <v>6</v>
      </c>
      <c r="AE30" s="205">
        <f>VLOOKUP(Z30, Rankings!$A$2:$BU$113, 46, FALSE)^2</f>
        <v>36.595399999999998</v>
      </c>
      <c r="AF30" s="70">
        <f>VLOOKUP(Z30, Rankings!$A$2:$BA$113, 44, FALSE)</f>
        <v>56.430769230769229</v>
      </c>
      <c r="AH30">
        <v>80</v>
      </c>
      <c r="AI30" t="str">
        <f>VLOOKUP(AH30, Rankings!$A$2:$BA$113, 4, FALSE)</f>
        <v>Vaniville Town</v>
      </c>
      <c r="AJ30">
        <f>VLOOKUP(AH30, Rankings!$A$2:$BA$113, 53, FALSE)</f>
        <v>8</v>
      </c>
      <c r="AK30">
        <f>VLOOKUP(AH30, Rankings!$A$2:$BA$113, 6, FALSE)-VLOOKUP(AH30, Rankings!$A$2:$BA$113, 9, FALSE)</f>
        <v>2</v>
      </c>
      <c r="AL30">
        <f>VLOOKUP(AH30, Rankings!$A$2:$BA$113, 12, FALSE)</f>
        <v>20</v>
      </c>
      <c r="AM30" s="205">
        <f>VLOOKUP(AH30, Rankings!$A$2:$BU$113, 46, FALSE)^2</f>
        <v>62.672247058823515</v>
      </c>
      <c r="AN30" s="70">
        <f>VLOOKUP(AH30, Rankings!$A$2:$BA$113, 44, FALSE)</f>
        <v>79.658823529411762</v>
      </c>
      <c r="AP30">
        <v>96</v>
      </c>
      <c r="AQ30" t="str">
        <f>VLOOKUP(AP30, Rankings!$A$2:$BA$113, 4, FALSE)</f>
        <v>Paniola Town</v>
      </c>
      <c r="AR30">
        <f>VLOOKUP(AP30, Rankings!$A$2:$BA$113, 53, FALSE)</f>
        <v>43</v>
      </c>
      <c r="AS30">
        <f>VLOOKUP(AP30, Rankings!$A$2:$BA$113, 6, FALSE)-VLOOKUP(AP30, Rankings!$A$2:$BA$113, 9, FALSE)</f>
        <v>2</v>
      </c>
      <c r="AT30">
        <f>VLOOKUP(AP30, Rankings!$A$2:$BA$113, 12, FALSE)</f>
        <v>4</v>
      </c>
      <c r="AU30" s="205">
        <f>VLOOKUP(AP30, Rankings!$A$2:$BU$113, 46, FALSE)^2</f>
        <v>35.422076923076922</v>
      </c>
      <c r="AV30" s="70">
        <f>VLOOKUP(AP30, Rankings!$A$2:$BA$113, 44, FALSE)</f>
        <v>65.661538461538456</v>
      </c>
      <c r="AX30">
        <v>112</v>
      </c>
      <c r="AY30" t="str">
        <f>VLOOKUP(AX30, Rankings!$A$2:$BA$113, 4, FALSE)</f>
        <v>Turffield</v>
      </c>
      <c r="AZ30">
        <f>VLOOKUP(AX30, Rankings!$A$2:$BA$113, 53, FALSE)</f>
        <v>90</v>
      </c>
      <c r="BA30">
        <f>VLOOKUP(AX30, Rankings!$A$2:$BA$113, 6, FALSE)-VLOOKUP(AX30, Rankings!$A$2:$BA$113, 9, FALSE)</f>
        <v>1</v>
      </c>
      <c r="BB30">
        <f>VLOOKUP(AX30, Rankings!$A$2:$BA$113, 12, FALSE)</f>
        <v>0</v>
      </c>
      <c r="BC30" s="205">
        <f>VLOOKUP(AX30, Rankings!$A$2:$BU$113, 46, FALSE)^2</f>
        <v>25.559148148148147</v>
      </c>
      <c r="BD30" s="70">
        <f>VLOOKUP(AX30, Rankings!$A$2:$BA$113, 44, FALSE)</f>
        <v>45.981481481481481</v>
      </c>
    </row>
    <row r="32" spans="2:56" x14ac:dyDescent="0.35">
      <c r="C32" t="s">
        <v>3824</v>
      </c>
      <c r="D32" s="205">
        <f>AVERAGE(D15:D30)</f>
        <v>53.875</v>
      </c>
      <c r="E32" s="205">
        <f>56.5-D32</f>
        <v>2.625</v>
      </c>
      <c r="K32" t="s">
        <v>3824</v>
      </c>
      <c r="L32" s="205">
        <f>AVERAGE(L15:L30)</f>
        <v>52.0625</v>
      </c>
      <c r="M32" s="205">
        <f>56.5-L32</f>
        <v>4.4375</v>
      </c>
      <c r="S32" t="s">
        <v>3824</v>
      </c>
      <c r="T32" s="205">
        <f>AVERAGE(T15:T30)</f>
        <v>54.125</v>
      </c>
      <c r="U32" s="205">
        <f>56.5-T32</f>
        <v>2.375</v>
      </c>
      <c r="AA32" t="s">
        <v>3824</v>
      </c>
      <c r="AB32" s="205">
        <f>AVERAGE(AB15:AB30)</f>
        <v>50.125</v>
      </c>
      <c r="AC32" s="205">
        <f>56.5-AB32</f>
        <v>6.375</v>
      </c>
      <c r="AI32" t="s">
        <v>3824</v>
      </c>
      <c r="AJ32" s="205">
        <f>AVERAGE(AJ15:AJ30)</f>
        <v>60.125</v>
      </c>
      <c r="AK32" s="205">
        <f>56.5-AJ32</f>
        <v>-3.625</v>
      </c>
      <c r="AQ32" t="s">
        <v>3824</v>
      </c>
      <c r="AR32" s="205">
        <f>AVERAGE(AR15:AR30)</f>
        <v>63.0625</v>
      </c>
      <c r="AS32" s="205">
        <f>56.5-AR32</f>
        <v>-6.5625</v>
      </c>
      <c r="AY32" t="s">
        <v>3824</v>
      </c>
      <c r="AZ32" s="205">
        <f>AVERAGE(AZ15:AZ30)</f>
        <v>62.125</v>
      </c>
      <c r="BA32" s="205">
        <f>56.5-AZ32</f>
        <v>-5.625</v>
      </c>
    </row>
    <row r="33" spans="3:54" x14ac:dyDescent="0.35">
      <c r="C33" t="s">
        <v>3843</v>
      </c>
      <c r="D33" s="205"/>
      <c r="E33" s="205">
        <f>SUM(E40:E47)</f>
        <v>0.5</v>
      </c>
      <c r="K33" t="s">
        <v>3843</v>
      </c>
      <c r="L33" s="205"/>
      <c r="M33" s="205">
        <f>SUM(M40:M47)</f>
        <v>1.5</v>
      </c>
      <c r="S33" t="s">
        <v>3843</v>
      </c>
      <c r="T33" s="205"/>
      <c r="U33" s="205">
        <f>SUM(U40:U47)</f>
        <v>0.5</v>
      </c>
      <c r="AA33" t="s">
        <v>3843</v>
      </c>
      <c r="AB33" s="205"/>
      <c r="AC33" s="205">
        <f>SUM(AC40:AC47)</f>
        <v>2</v>
      </c>
      <c r="AI33" t="s">
        <v>3843</v>
      </c>
      <c r="AJ33" s="205"/>
      <c r="AK33" s="205">
        <f>SUM(AK40:AK47)</f>
        <v>-1.75</v>
      </c>
      <c r="AQ33" t="s">
        <v>3843</v>
      </c>
      <c r="AR33" s="205"/>
      <c r="AS33" s="205">
        <f>SUM(AS40:AS47)</f>
        <v>-2.25</v>
      </c>
      <c r="AY33" t="s">
        <v>3843</v>
      </c>
      <c r="AZ33" s="205"/>
      <c r="BA33" s="205">
        <f>SUM(BA40:BA47)</f>
        <v>-1.75</v>
      </c>
    </row>
    <row r="34" spans="3:54" x14ac:dyDescent="0.35">
      <c r="C34" t="s">
        <v>3825</v>
      </c>
      <c r="D34" s="205">
        <f>AVERAGE(E15:E30)</f>
        <v>2.3125</v>
      </c>
      <c r="E34" s="205">
        <f>D34-(F34/2)</f>
        <v>0.3125</v>
      </c>
      <c r="F34">
        <v>4</v>
      </c>
      <c r="K34" t="s">
        <v>3825</v>
      </c>
      <c r="L34" s="205">
        <f>AVERAGE(M15:M30)</f>
        <v>2.4375</v>
      </c>
      <c r="M34" s="205">
        <f>L34-(N34/2)</f>
        <v>0.4375</v>
      </c>
      <c r="N34">
        <v>4</v>
      </c>
      <c r="S34" t="s">
        <v>3825</v>
      </c>
      <c r="T34" s="205">
        <f>AVERAGE(U15:U30)</f>
        <v>2.0625</v>
      </c>
      <c r="U34" s="205">
        <f>T34-(V34/2)</f>
        <v>6.25E-2</v>
      </c>
      <c r="V34">
        <v>4</v>
      </c>
      <c r="AA34" t="s">
        <v>3825</v>
      </c>
      <c r="AB34" s="205">
        <f>AVERAGE(AC15:AC30)</f>
        <v>2.375</v>
      </c>
      <c r="AC34" s="205">
        <f>AB34-(AD34/2)</f>
        <v>0.375</v>
      </c>
      <c r="AD34">
        <v>4</v>
      </c>
      <c r="AI34" t="s">
        <v>3825</v>
      </c>
      <c r="AJ34" s="205">
        <f>AVERAGE(AK15:AK30)</f>
        <v>1.9375</v>
      </c>
      <c r="AK34" s="205">
        <f>AJ34-(AL34/2)</f>
        <v>-6.25E-2</v>
      </c>
      <c r="AL34">
        <v>4</v>
      </c>
      <c r="AQ34" t="s">
        <v>3825</v>
      </c>
      <c r="AR34" s="205">
        <f>AVERAGE(AS15:AS30)</f>
        <v>1.625</v>
      </c>
      <c r="AS34" s="205">
        <f>AR34-(AT34/2)</f>
        <v>-0.375</v>
      </c>
      <c r="AT34">
        <v>4</v>
      </c>
      <c r="AY34" t="s">
        <v>3825</v>
      </c>
      <c r="AZ34" s="205">
        <f>AVERAGE(BA15:BA30)</f>
        <v>1.6875</v>
      </c>
      <c r="BA34" s="205">
        <f>AZ34-(BB34/2)</f>
        <v>-0.3125</v>
      </c>
      <c r="BB34">
        <v>4</v>
      </c>
    </row>
    <row r="35" spans="3:54" x14ac:dyDescent="0.35">
      <c r="C35" t="s">
        <v>3826</v>
      </c>
      <c r="D35">
        <f>SUM(F15:F30)-($A$15*4)</f>
        <v>72</v>
      </c>
      <c r="E35" s="205">
        <f>D35/16</f>
        <v>4.5</v>
      </c>
      <c r="K35" t="s">
        <v>3826</v>
      </c>
      <c r="L35">
        <f>SUM(N15:N30)-($A$15*4)</f>
        <v>71</v>
      </c>
      <c r="M35" s="205">
        <f>L35/16</f>
        <v>4.4375</v>
      </c>
      <c r="S35" t="s">
        <v>3826</v>
      </c>
      <c r="T35">
        <f>SUM(V15:V30)-($A$15*4)</f>
        <v>78</v>
      </c>
      <c r="U35" s="205">
        <f>T35/16</f>
        <v>4.875</v>
      </c>
      <c r="AA35" t="s">
        <v>3826</v>
      </c>
      <c r="AB35">
        <f>SUM(AD15:AD30)-($A$15*4)</f>
        <v>73</v>
      </c>
      <c r="AC35" s="205">
        <f>AB35/16</f>
        <v>4.5625</v>
      </c>
      <c r="AI35" t="s">
        <v>3826</v>
      </c>
      <c r="AJ35">
        <f>SUM(AL15:AL30)-($A$15*4)</f>
        <v>65</v>
      </c>
      <c r="AK35" s="205">
        <f>AJ35/16</f>
        <v>4.0625</v>
      </c>
      <c r="AQ35" t="s">
        <v>3826</v>
      </c>
      <c r="AR35">
        <f>SUM(AT15:AT30)-($A$15*4)</f>
        <v>57</v>
      </c>
      <c r="AS35" s="205">
        <f>AR35/16</f>
        <v>3.5625</v>
      </c>
      <c r="AY35" t="s">
        <v>3826</v>
      </c>
      <c r="AZ35">
        <f>SUM(BB15:BB30)-($A$15*4)</f>
        <v>53</v>
      </c>
      <c r="BA35" s="205">
        <f>AZ35/16</f>
        <v>3.3125</v>
      </c>
    </row>
    <row r="36" spans="3:54" x14ac:dyDescent="0.35">
      <c r="C36" t="s">
        <v>3831</v>
      </c>
      <c r="D36" s="205">
        <f>AVERAGE(G15:G30)</f>
        <v>37.008190951306595</v>
      </c>
      <c r="E36" s="205">
        <f>D36-F36</f>
        <v>1.7103720615896307</v>
      </c>
      <c r="F36" s="205">
        <f>AVERAGE(G15:G30, O15:O30, W15:W30, AE15:AE30, AM15:AM30, AU15:AU30, BC15:BC30)</f>
        <v>35.297818889716964</v>
      </c>
      <c r="K36" t="s">
        <v>3831</v>
      </c>
      <c r="L36" s="205">
        <f>AVERAGE(O15:O30)</f>
        <v>38.193289862273808</v>
      </c>
      <c r="M36" s="205">
        <f>L36-N36</f>
        <v>3.1805329828217737</v>
      </c>
      <c r="N36" s="205">
        <f>AVERAGE(O15:O30, W15:W30, AE15:AE30, AM15:AM30, AU15:AU30, BC15:BC30, BK15:BK30)</f>
        <v>35.012756879452034</v>
      </c>
      <c r="S36" t="s">
        <v>3831</v>
      </c>
      <c r="T36" s="205">
        <f>AVERAGE(W15:W30)</f>
        <v>35.773014273555809</v>
      </c>
      <c r="U36" s="205">
        <f>T36-V36</f>
        <v>1.3963639906681138</v>
      </c>
      <c r="V36" s="205">
        <f>AVERAGE(W15:W30, AE15:AE30, AM15:AM30, AU15:AU30, BC15:BC30, BK15:BK30, BS15:BS30)</f>
        <v>34.376650282887695</v>
      </c>
      <c r="AA36" t="s">
        <v>3831</v>
      </c>
      <c r="AB36" s="205">
        <f>AVERAGE(AE15:AE30)</f>
        <v>35.016629539122341</v>
      </c>
      <c r="AC36" s="205">
        <f>AB36-AD36</f>
        <v>0.98907025390168712</v>
      </c>
      <c r="AD36" s="205">
        <f>AVERAGE(AE15:AE30, AM15:AM30, AU15:AU30, BC15:BC30, BK15:BK30, BS15:BS30, CA15:CA30)</f>
        <v>34.027559285220654</v>
      </c>
      <c r="AI36" t="s">
        <v>3831</v>
      </c>
      <c r="AJ36" s="205">
        <f>AVERAGE(AM15:AM30)</f>
        <v>34.649559439479269</v>
      </c>
      <c r="AK36" s="205">
        <f>AJ36-AL36</f>
        <v>0.95169023889251747</v>
      </c>
      <c r="AL36" s="205">
        <f>AVERAGE(AM15:AM30, AU15:AU30, BC15:BC30, BK15:BK30, BS15:BS30, CA15:CA30, CI15:CI30)</f>
        <v>33.697869200586752</v>
      </c>
      <c r="AQ36" t="s">
        <v>3831</v>
      </c>
      <c r="AR36" s="205">
        <f>AVERAGE(AU15:AU30)</f>
        <v>32.54630419038569</v>
      </c>
      <c r="AS36" s="205">
        <f>AR36-AT36</f>
        <v>-0.67571989075479877</v>
      </c>
      <c r="AT36" s="205">
        <f>AVERAGE(AU15:AU30, BC15:BC30, BK15:BK30, BS15:BS30, CA15:CA30, CI15:CI30, CQ15:CQ30)</f>
        <v>33.222024081140489</v>
      </c>
      <c r="AY36" t="s">
        <v>3831</v>
      </c>
      <c r="AZ36" s="205">
        <f>AVERAGE(BC15:BC30)</f>
        <v>33.897743971895295</v>
      </c>
      <c r="BA36" s="205">
        <f>AZ36-BB36</f>
        <v>0</v>
      </c>
      <c r="BB36" s="205">
        <f>AVERAGE(BC15:BC30, BK15:BK30, BS15:BS30, CA15:CA30, CI15:CI30, CQ15:CQ30, CY15:CY30)</f>
        <v>33.897743971895295</v>
      </c>
    </row>
    <row r="37" spans="3:54" x14ac:dyDescent="0.35">
      <c r="C37" t="s">
        <v>3834</v>
      </c>
      <c r="D37" s="205">
        <f>AVERAGE(H15:H30)</f>
        <v>56.735844329553082</v>
      </c>
      <c r="E37" s="205">
        <f>D37-F37</f>
        <v>2.2805293081260984</v>
      </c>
      <c r="F37" s="260">
        <f>$A$14</f>
        <v>54.455315021426983</v>
      </c>
      <c r="K37" t="s">
        <v>3834</v>
      </c>
      <c r="L37" s="205">
        <f>AVERAGE(P15:P30)</f>
        <v>55.98342073913043</v>
      </c>
      <c r="M37" s="205">
        <f>L37-N37</f>
        <v>1.5281057177034469</v>
      </c>
      <c r="N37" s="260">
        <f>$A$14</f>
        <v>54.455315021426983</v>
      </c>
      <c r="S37" t="s">
        <v>3834</v>
      </c>
      <c r="T37" s="205">
        <f>AVERAGE(X15:X30)</f>
        <v>53.965173050037855</v>
      </c>
      <c r="U37" s="205">
        <f>T37-V37</f>
        <v>-0.49014197138912863</v>
      </c>
      <c r="V37" s="260">
        <f>$A$14</f>
        <v>54.455315021426983</v>
      </c>
      <c r="AA37" t="s">
        <v>3834</v>
      </c>
      <c r="AB37" s="205">
        <f>AVERAGE(AF15:AF30)</f>
        <v>57.855804633265826</v>
      </c>
      <c r="AC37" s="205">
        <f>AB37-AD37</f>
        <v>3.400489611838843</v>
      </c>
      <c r="AD37" s="260">
        <f>$A$14</f>
        <v>54.455315021426983</v>
      </c>
      <c r="AI37" t="s">
        <v>3834</v>
      </c>
      <c r="AJ37" s="205">
        <f>AVERAGE(AN15:AN30)</f>
        <v>51.218236638972094</v>
      </c>
      <c r="AK37" s="205">
        <f>AJ37-AL37</f>
        <v>-3.2370783824548894</v>
      </c>
      <c r="AL37" s="260">
        <f>$A$14</f>
        <v>54.455315021426983</v>
      </c>
      <c r="AQ37" t="s">
        <v>3834</v>
      </c>
      <c r="AR37" s="205">
        <f>AVERAGE(AV15:AV30)</f>
        <v>52.443548246625312</v>
      </c>
      <c r="AS37" s="205">
        <f>AR37-AT37</f>
        <v>-2.0117667748016714</v>
      </c>
      <c r="AT37" s="260">
        <f>$A$14</f>
        <v>54.455315021426983</v>
      </c>
      <c r="AY37" t="s">
        <v>3834</v>
      </c>
      <c r="AZ37" s="205">
        <f>AVERAGE(BD15:BD30)</f>
        <v>52.985177512404213</v>
      </c>
      <c r="BA37" s="205">
        <f>AZ37-BB37</f>
        <v>-1.47013750902277</v>
      </c>
      <c r="BB37" s="260">
        <f>$A$14</f>
        <v>54.455315021426983</v>
      </c>
    </row>
    <row r="38" spans="3:54" s="1" customFormat="1" x14ac:dyDescent="0.35">
      <c r="E38" s="1">
        <f>SUM(E32:E37)</f>
        <v>11.928401369715729</v>
      </c>
      <c r="M38" s="1">
        <f>SUM(M32:M37)</f>
        <v>15.521138700525221</v>
      </c>
      <c r="U38" s="1">
        <f>SUM(U32:U37)</f>
        <v>8.7187220192789852</v>
      </c>
      <c r="AC38" s="1">
        <f>SUM(AC32:AC37)</f>
        <v>17.70205986574053</v>
      </c>
      <c r="AK38" s="1">
        <f>SUM(AK32:AK37)</f>
        <v>-3.660388143562372</v>
      </c>
      <c r="AS38" s="1">
        <f>SUM(AS32:AS37)</f>
        <v>-8.3124866655564702</v>
      </c>
      <c r="BA38" s="1">
        <f>SUM(BA32:BA37)</f>
        <v>-5.84513750902277</v>
      </c>
    </row>
    <row r="40" spans="3:54" x14ac:dyDescent="0.35">
      <c r="C40" t="s">
        <v>3835</v>
      </c>
      <c r="D40">
        <f>COUNTIF(D$15:D$30, "&lt;15")</f>
        <v>3</v>
      </c>
      <c r="E40">
        <f t="shared" ref="E40:E47" si="7">D40*F40</f>
        <v>2.625</v>
      </c>
      <c r="F40">
        <v>0.875</v>
      </c>
      <c r="K40" t="s">
        <v>3835</v>
      </c>
      <c r="L40">
        <f>COUNTIF(L$15:L$30, "&lt;15")</f>
        <v>3</v>
      </c>
      <c r="M40">
        <f t="shared" ref="M40:M47" si="8">L40*N40</f>
        <v>2.625</v>
      </c>
      <c r="N40">
        <v>0.875</v>
      </c>
      <c r="S40" t="s">
        <v>3835</v>
      </c>
      <c r="T40">
        <f>COUNTIF(T$15:T$30, "&lt;15")</f>
        <v>2</v>
      </c>
      <c r="U40">
        <f t="shared" ref="U40:U47" si="9">T40*V40</f>
        <v>1.75</v>
      </c>
      <c r="V40">
        <v>0.875</v>
      </c>
      <c r="AA40" t="s">
        <v>3835</v>
      </c>
      <c r="AB40">
        <f>COUNTIF(AB$15:AB$30, "&lt;15")</f>
        <v>2</v>
      </c>
      <c r="AC40">
        <f t="shared" ref="AC40:AC47" si="10">AB40*AD40</f>
        <v>1.75</v>
      </c>
      <c r="AD40">
        <v>0.875</v>
      </c>
      <c r="AI40" t="s">
        <v>3835</v>
      </c>
      <c r="AJ40">
        <f>COUNTIF(AJ$15:AJ$30, "&lt;15")</f>
        <v>2</v>
      </c>
      <c r="AK40">
        <f t="shared" ref="AK40:AK47" si="11">AJ40*AL40</f>
        <v>1.75</v>
      </c>
      <c r="AL40">
        <v>0.875</v>
      </c>
      <c r="AQ40" t="s">
        <v>3835</v>
      </c>
      <c r="AR40">
        <f>COUNTIF(AR$15:AR$30, "&lt;15")</f>
        <v>1</v>
      </c>
      <c r="AS40">
        <f t="shared" ref="AS40:AS47" si="12">AR40*AT40</f>
        <v>0.875</v>
      </c>
      <c r="AT40">
        <v>0.875</v>
      </c>
      <c r="AY40" t="s">
        <v>3835</v>
      </c>
      <c r="AZ40">
        <f>COUNTIF(AZ$15:AZ$30, "&lt;15")</f>
        <v>1</v>
      </c>
      <c r="BA40">
        <f t="shared" ref="BA40:BA47" si="13">AZ40*BB40</f>
        <v>0.875</v>
      </c>
      <c r="BB40">
        <v>0.875</v>
      </c>
    </row>
    <row r="41" spans="3:54" x14ac:dyDescent="0.35">
      <c r="C41" t="s">
        <v>3836</v>
      </c>
      <c r="D41">
        <f>COUNTIF(D$15:D$30, "&lt;29")-SUM(D40:D40)</f>
        <v>2</v>
      </c>
      <c r="E41">
        <f t="shared" si="7"/>
        <v>1.25</v>
      </c>
      <c r="F41">
        <v>0.625</v>
      </c>
      <c r="K41" t="s">
        <v>3836</v>
      </c>
      <c r="L41">
        <f>COUNTIF(L$15:L$30, "&lt;29")-SUM(L40:L40)</f>
        <v>4</v>
      </c>
      <c r="M41">
        <f t="shared" si="8"/>
        <v>2.5</v>
      </c>
      <c r="N41">
        <v>0.625</v>
      </c>
      <c r="S41" t="s">
        <v>3836</v>
      </c>
      <c r="T41">
        <f>COUNTIF(T$15:T$30, "&lt;29")-SUM(T40:T40)</f>
        <v>3</v>
      </c>
      <c r="U41">
        <f t="shared" si="9"/>
        <v>1.875</v>
      </c>
      <c r="V41">
        <v>0.625</v>
      </c>
      <c r="AA41" t="s">
        <v>3836</v>
      </c>
      <c r="AB41">
        <f>COUNTIF(AB$15:AB$30, "&lt;29")-SUM(AB40:AB40)</f>
        <v>1</v>
      </c>
      <c r="AC41">
        <f t="shared" si="10"/>
        <v>0.625</v>
      </c>
      <c r="AD41">
        <v>0.625</v>
      </c>
      <c r="AI41" t="s">
        <v>3836</v>
      </c>
      <c r="AJ41">
        <f>COUNTIF(AJ$15:AJ$30, "&lt;29")-SUM(AJ40:AJ40)</f>
        <v>1</v>
      </c>
      <c r="AK41">
        <f t="shared" si="11"/>
        <v>0.625</v>
      </c>
      <c r="AL41">
        <v>0.625</v>
      </c>
      <c r="AQ41" t="s">
        <v>3836</v>
      </c>
      <c r="AR41">
        <f>COUNTIF(AR$15:AR$30, "&lt;29")-SUM(AR40:AR40)</f>
        <v>1</v>
      </c>
      <c r="AS41">
        <f t="shared" si="12"/>
        <v>0.625</v>
      </c>
      <c r="AT41">
        <v>0.625</v>
      </c>
      <c r="AY41" t="s">
        <v>3836</v>
      </c>
      <c r="AZ41">
        <f>COUNTIF(AZ$15:AZ$30, "&lt;29")-SUM(AZ40:AZ40)</f>
        <v>2</v>
      </c>
      <c r="BA41">
        <f t="shared" si="13"/>
        <v>1.25</v>
      </c>
      <c r="BB41">
        <v>0.625</v>
      </c>
    </row>
    <row r="42" spans="3:54" x14ac:dyDescent="0.35">
      <c r="C42" t="s">
        <v>3839</v>
      </c>
      <c r="D42">
        <f>COUNTIF(D$15:D$30, "&lt;42")-SUM(D40:D41)</f>
        <v>1</v>
      </c>
      <c r="E42">
        <f t="shared" si="7"/>
        <v>0.375</v>
      </c>
      <c r="F42">
        <v>0.375</v>
      </c>
      <c r="K42" t="s">
        <v>3839</v>
      </c>
      <c r="L42">
        <f>COUNTIF(L$15:L$30, "&lt;42")-SUM(L40:L41)</f>
        <v>1</v>
      </c>
      <c r="M42">
        <f t="shared" si="8"/>
        <v>0.375</v>
      </c>
      <c r="N42">
        <v>0.375</v>
      </c>
      <c r="S42" t="s">
        <v>3839</v>
      </c>
      <c r="T42">
        <f>COUNTIF(T$15:T$30, "&lt;42")-SUM(T40:T41)</f>
        <v>2</v>
      </c>
      <c r="U42">
        <f t="shared" si="9"/>
        <v>0.75</v>
      </c>
      <c r="V42">
        <v>0.375</v>
      </c>
      <c r="AA42" t="s">
        <v>3839</v>
      </c>
      <c r="AB42">
        <f>COUNTIF(AB$15:AB$30, "&lt;42")-SUM(AB40:AB41)</f>
        <v>2</v>
      </c>
      <c r="AC42">
        <f t="shared" si="10"/>
        <v>0.75</v>
      </c>
      <c r="AD42">
        <v>0.375</v>
      </c>
      <c r="AI42" t="s">
        <v>3839</v>
      </c>
      <c r="AJ42">
        <f>COUNTIF(AJ$15:AJ$30, "&lt;42")-SUM(AJ40:AJ41)</f>
        <v>1</v>
      </c>
      <c r="AK42">
        <f t="shared" si="11"/>
        <v>0.375</v>
      </c>
      <c r="AL42">
        <v>0.375</v>
      </c>
      <c r="AQ42" t="s">
        <v>3839</v>
      </c>
      <c r="AR42">
        <f>COUNTIF(AR$15:AR$30, "&lt;42")-SUM(AR40:AR41)</f>
        <v>2</v>
      </c>
      <c r="AS42">
        <f t="shared" si="12"/>
        <v>0.75</v>
      </c>
      <c r="AT42">
        <v>0.375</v>
      </c>
      <c r="AY42" t="s">
        <v>3839</v>
      </c>
      <c r="AZ42">
        <f>COUNTIF(AZ$15:AZ$30, "&lt;42")-SUM(AZ40:AZ41)</f>
        <v>4</v>
      </c>
      <c r="BA42">
        <f t="shared" si="13"/>
        <v>1.5</v>
      </c>
      <c r="BB42">
        <v>0.375</v>
      </c>
    </row>
    <row r="43" spans="3:54" x14ac:dyDescent="0.35">
      <c r="C43" t="s">
        <v>3840</v>
      </c>
      <c r="D43">
        <f>COUNTIF(D$15:D$30, "&lt;56")-SUM(D40:D42)</f>
        <v>2</v>
      </c>
      <c r="E43">
        <f t="shared" si="7"/>
        <v>0.25</v>
      </c>
      <c r="F43">
        <v>0.125</v>
      </c>
      <c r="K43" t="s">
        <v>3840</v>
      </c>
      <c r="L43">
        <f>COUNTIF(L$15:L$30, "&lt;56")-SUM(L40:L42)</f>
        <v>1</v>
      </c>
      <c r="M43">
        <f t="shared" si="8"/>
        <v>0.125</v>
      </c>
      <c r="N43">
        <v>0.125</v>
      </c>
      <c r="S43" t="s">
        <v>3840</v>
      </c>
      <c r="T43">
        <f>COUNTIF(T$15:T$30, "&lt;56")-SUM(T40:T42)</f>
        <v>1</v>
      </c>
      <c r="U43">
        <f t="shared" si="9"/>
        <v>0.125</v>
      </c>
      <c r="V43">
        <v>0.125</v>
      </c>
      <c r="AA43" t="s">
        <v>3840</v>
      </c>
      <c r="AB43">
        <f>COUNTIF(AB$15:AB$30, "&lt;56")-SUM(AB40:AB42)</f>
        <v>4</v>
      </c>
      <c r="AC43">
        <f t="shared" si="10"/>
        <v>0.5</v>
      </c>
      <c r="AD43">
        <v>0.125</v>
      </c>
      <c r="AI43" t="s">
        <v>3840</v>
      </c>
      <c r="AJ43">
        <f>COUNTIF(AJ$15:AJ$30, "&lt;56")-SUM(AJ40:AJ42)</f>
        <v>3</v>
      </c>
      <c r="AK43">
        <f t="shared" si="11"/>
        <v>0.375</v>
      </c>
      <c r="AL43">
        <v>0.125</v>
      </c>
      <c r="AQ43" t="s">
        <v>3840</v>
      </c>
      <c r="AR43">
        <f>COUNTIF(AR$15:AR$30, "&lt;56")-SUM(AR40:AR42)</f>
        <v>3</v>
      </c>
      <c r="AS43">
        <f t="shared" si="12"/>
        <v>0.375</v>
      </c>
      <c r="AT43">
        <v>0.125</v>
      </c>
      <c r="AY43" t="s">
        <v>3840</v>
      </c>
      <c r="AZ43">
        <f>COUNTIF(AZ$15:AZ$30, "&lt;56")-SUM(AZ40:AZ42)</f>
        <v>0</v>
      </c>
      <c r="BA43">
        <f t="shared" si="13"/>
        <v>0</v>
      </c>
      <c r="BB43">
        <v>0.125</v>
      </c>
    </row>
    <row r="44" spans="3:54" x14ac:dyDescent="0.35">
      <c r="C44" t="s">
        <v>3841</v>
      </c>
      <c r="D44">
        <f>COUNTIF(D$15:D$30, "&lt;70")-SUM(D40:D43)</f>
        <v>2</v>
      </c>
      <c r="E44">
        <f t="shared" si="7"/>
        <v>-0.25</v>
      </c>
      <c r="F44" s="34">
        <f>F43-0.25</f>
        <v>-0.125</v>
      </c>
      <c r="K44" t="s">
        <v>3841</v>
      </c>
      <c r="L44">
        <f>COUNTIF(L$15:L$30, "&lt;70")-SUM(L40:L43)</f>
        <v>1</v>
      </c>
      <c r="M44">
        <f t="shared" si="8"/>
        <v>-0.125</v>
      </c>
      <c r="N44" s="34">
        <f>N43-0.25</f>
        <v>-0.125</v>
      </c>
      <c r="S44" t="s">
        <v>3841</v>
      </c>
      <c r="T44">
        <f>COUNTIF(T$15:T$30, "&lt;70")-SUM(T40:T43)</f>
        <v>3</v>
      </c>
      <c r="U44">
        <f t="shared" si="9"/>
        <v>-0.375</v>
      </c>
      <c r="V44" s="34">
        <f>V43-0.25</f>
        <v>-0.125</v>
      </c>
      <c r="AA44" t="s">
        <v>3841</v>
      </c>
      <c r="AB44">
        <f>COUNTIF(AB$15:AB$30, "&lt;70")-SUM(AB40:AB43)</f>
        <v>4</v>
      </c>
      <c r="AC44">
        <f t="shared" si="10"/>
        <v>-0.5</v>
      </c>
      <c r="AD44" s="34">
        <f>AD43-0.25</f>
        <v>-0.125</v>
      </c>
      <c r="AI44" t="s">
        <v>3841</v>
      </c>
      <c r="AJ44">
        <f>COUNTIF(AJ$15:AJ$30, "&lt;70")-SUM(AJ40:AJ43)</f>
        <v>2</v>
      </c>
      <c r="AK44">
        <f t="shared" si="11"/>
        <v>-0.25</v>
      </c>
      <c r="AL44" s="34">
        <f>AL43-0.25</f>
        <v>-0.125</v>
      </c>
      <c r="AQ44" t="s">
        <v>3841</v>
      </c>
      <c r="AR44">
        <f>COUNTIF(AR$15:AR$30, "&lt;70")-SUM(AR40:AR43)</f>
        <v>2</v>
      </c>
      <c r="AS44">
        <f t="shared" si="12"/>
        <v>-0.25</v>
      </c>
      <c r="AT44" s="34">
        <f>AT43-0.25</f>
        <v>-0.125</v>
      </c>
      <c r="AY44" t="s">
        <v>3841</v>
      </c>
      <c r="AZ44">
        <f>COUNTIF(AZ$15:AZ$30, "&lt;70")-SUM(AZ40:AZ43)</f>
        <v>0</v>
      </c>
      <c r="BA44">
        <f t="shared" si="13"/>
        <v>0</v>
      </c>
      <c r="BB44" s="34">
        <f>BB43-0.25</f>
        <v>-0.125</v>
      </c>
    </row>
    <row r="45" spans="3:54" x14ac:dyDescent="0.35">
      <c r="C45" t="s">
        <v>3842</v>
      </c>
      <c r="D45">
        <f>COUNTIF(D$15:D$30, "&lt;84")-SUM(D40:D44)</f>
        <v>3</v>
      </c>
      <c r="E45">
        <f t="shared" si="7"/>
        <v>-1.125</v>
      </c>
      <c r="F45" s="34">
        <f>F44-0.25</f>
        <v>-0.375</v>
      </c>
      <c r="K45" t="s">
        <v>3842</v>
      </c>
      <c r="L45">
        <f>COUNTIF(L$15:L$30, "&lt;84")-SUM(L40:L44)</f>
        <v>2</v>
      </c>
      <c r="M45">
        <f t="shared" si="8"/>
        <v>-0.75</v>
      </c>
      <c r="N45" s="34">
        <f>N44-0.25</f>
        <v>-0.375</v>
      </c>
      <c r="S45" t="s">
        <v>3842</v>
      </c>
      <c r="T45">
        <f>COUNTIF(T$15:T$30, "&lt;84")-SUM(T40:T44)</f>
        <v>1</v>
      </c>
      <c r="U45">
        <f t="shared" si="9"/>
        <v>-0.375</v>
      </c>
      <c r="V45" s="34">
        <f>V44-0.25</f>
        <v>-0.375</v>
      </c>
      <c r="AA45" t="s">
        <v>3842</v>
      </c>
      <c r="AB45">
        <f>COUNTIF(AB$15:AB$30, "&lt;84")-SUM(AB40:AB44)</f>
        <v>3</v>
      </c>
      <c r="AC45">
        <f t="shared" si="10"/>
        <v>-1.125</v>
      </c>
      <c r="AD45" s="34">
        <f>AD44-0.25</f>
        <v>-0.375</v>
      </c>
      <c r="AI45" t="s">
        <v>3842</v>
      </c>
      <c r="AJ45">
        <f>COUNTIF(AJ$15:AJ$30, "&lt;84")-SUM(AJ40:AJ44)</f>
        <v>1</v>
      </c>
      <c r="AK45">
        <f t="shared" si="11"/>
        <v>-0.375</v>
      </c>
      <c r="AL45" s="34">
        <f>AL44-0.25</f>
        <v>-0.375</v>
      </c>
      <c r="AQ45" t="s">
        <v>3842</v>
      </c>
      <c r="AR45">
        <f>COUNTIF(AR$15:AR$30, "&lt;84")-SUM(AR40:AR44)</f>
        <v>1</v>
      </c>
      <c r="AS45">
        <f t="shared" si="12"/>
        <v>-0.375</v>
      </c>
      <c r="AT45" s="34">
        <f>AT44-0.25</f>
        <v>-0.375</v>
      </c>
      <c r="AY45" t="s">
        <v>3842</v>
      </c>
      <c r="AZ45">
        <f>COUNTIF(AZ$15:AZ$30, "&lt;84")-SUM(AZ40:AZ44)</f>
        <v>3</v>
      </c>
      <c r="BA45">
        <f t="shared" si="13"/>
        <v>-1.125</v>
      </c>
      <c r="BB45" s="34">
        <f>BB44-0.25</f>
        <v>-0.375</v>
      </c>
    </row>
    <row r="46" spans="3:54" x14ac:dyDescent="0.35">
      <c r="C46" t="s">
        <v>3837</v>
      </c>
      <c r="D46">
        <f>COUNTIF(D$15:D$30, "&lt;98")-SUM(D40:D45)</f>
        <v>0</v>
      </c>
      <c r="E46">
        <f t="shared" si="7"/>
        <v>0</v>
      </c>
      <c r="F46" s="34">
        <f>F45-0.25</f>
        <v>-0.625</v>
      </c>
      <c r="K46" t="s">
        <v>3837</v>
      </c>
      <c r="L46">
        <f>COUNTIF(L$15:L$30, "&lt;98")-SUM(L40:L45)</f>
        <v>1</v>
      </c>
      <c r="M46">
        <f t="shared" si="8"/>
        <v>-0.625</v>
      </c>
      <c r="N46" s="34">
        <f>N45-0.25</f>
        <v>-0.625</v>
      </c>
      <c r="S46" t="s">
        <v>3837</v>
      </c>
      <c r="T46">
        <f>COUNTIF(T$15:T$30, "&lt;98")-SUM(T40:T45)</f>
        <v>1</v>
      </c>
      <c r="U46">
        <f t="shared" si="9"/>
        <v>-0.625</v>
      </c>
      <c r="V46" s="34">
        <f>V45-0.25</f>
        <v>-0.625</v>
      </c>
      <c r="AA46" t="s">
        <v>3837</v>
      </c>
      <c r="AB46">
        <f>COUNTIF(AB$15:AB$30, "&lt;98")-SUM(AB40:AB45)</f>
        <v>0</v>
      </c>
      <c r="AC46">
        <f t="shared" si="10"/>
        <v>0</v>
      </c>
      <c r="AD46" s="34">
        <f>AD45-0.25</f>
        <v>-0.625</v>
      </c>
      <c r="AI46" t="s">
        <v>3837</v>
      </c>
      <c r="AJ46">
        <f>COUNTIF(AJ$15:AJ$30, "&lt;98")-SUM(AJ40:AJ45)</f>
        <v>4</v>
      </c>
      <c r="AK46">
        <f t="shared" si="11"/>
        <v>-2.5</v>
      </c>
      <c r="AL46" s="34">
        <f>AL45-0.25</f>
        <v>-0.625</v>
      </c>
      <c r="AQ46" t="s">
        <v>3837</v>
      </c>
      <c r="AR46">
        <f>COUNTIF(AR$15:AR$30, "&lt;98")-SUM(AR40:AR45)</f>
        <v>4</v>
      </c>
      <c r="AS46">
        <f t="shared" si="12"/>
        <v>-2.5</v>
      </c>
      <c r="AT46" s="34">
        <f>AT45-0.25</f>
        <v>-0.625</v>
      </c>
      <c r="AY46" t="s">
        <v>3837</v>
      </c>
      <c r="AZ46">
        <f>COUNTIF(AZ$15:AZ$30, "&lt;98")-SUM(AZ40:AZ45)</f>
        <v>4</v>
      </c>
      <c r="BA46">
        <f t="shared" si="13"/>
        <v>-2.5</v>
      </c>
      <c r="BB46" s="34">
        <f>BB45-0.25</f>
        <v>-0.625</v>
      </c>
    </row>
    <row r="47" spans="3:54" x14ac:dyDescent="0.35">
      <c r="C47" t="s">
        <v>3838</v>
      </c>
      <c r="D47">
        <f>16-SUM(D40:D46)</f>
        <v>3</v>
      </c>
      <c r="E47">
        <f t="shared" si="7"/>
        <v>-2.625</v>
      </c>
      <c r="F47" s="34">
        <f>F46-0.25</f>
        <v>-0.875</v>
      </c>
      <c r="K47" t="s">
        <v>3838</v>
      </c>
      <c r="L47">
        <f>16-SUM(L40:L46)</f>
        <v>3</v>
      </c>
      <c r="M47">
        <f t="shared" si="8"/>
        <v>-2.625</v>
      </c>
      <c r="N47" s="34">
        <f>N46-0.25</f>
        <v>-0.875</v>
      </c>
      <c r="S47" t="s">
        <v>3838</v>
      </c>
      <c r="T47">
        <f>16-SUM(T40:T46)</f>
        <v>3</v>
      </c>
      <c r="U47">
        <f t="shared" si="9"/>
        <v>-2.625</v>
      </c>
      <c r="V47" s="34">
        <f>V46-0.25</f>
        <v>-0.875</v>
      </c>
      <c r="AA47" t="s">
        <v>3838</v>
      </c>
      <c r="AB47">
        <f>16-SUM(AB40:AB46)</f>
        <v>0</v>
      </c>
      <c r="AC47">
        <f t="shared" si="10"/>
        <v>0</v>
      </c>
      <c r="AD47" s="34">
        <f>AD46-0.25</f>
        <v>-0.875</v>
      </c>
      <c r="AI47" t="s">
        <v>3838</v>
      </c>
      <c r="AJ47">
        <f>16-SUM(AJ40:AJ46)</f>
        <v>2</v>
      </c>
      <c r="AK47">
        <f t="shared" si="11"/>
        <v>-1.75</v>
      </c>
      <c r="AL47" s="34">
        <f>AL46-0.25</f>
        <v>-0.875</v>
      </c>
      <c r="AQ47" t="s">
        <v>3838</v>
      </c>
      <c r="AR47">
        <f>16-SUM(AR40:AR46)</f>
        <v>2</v>
      </c>
      <c r="AS47">
        <f t="shared" si="12"/>
        <v>-1.75</v>
      </c>
      <c r="AT47" s="34">
        <f>AT46-0.25</f>
        <v>-0.875</v>
      </c>
      <c r="AY47" t="s">
        <v>3838</v>
      </c>
      <c r="AZ47">
        <f>16-SUM(AZ40:AZ46)</f>
        <v>2</v>
      </c>
      <c r="BA47">
        <f t="shared" si="13"/>
        <v>-1.75</v>
      </c>
      <c r="BB47" s="34">
        <f>BB46-0.25</f>
        <v>-0.875</v>
      </c>
    </row>
    <row r="48" spans="3:54" x14ac:dyDescent="0.35">
      <c r="E48">
        <f>SUM(E40:E47)</f>
        <v>0.5</v>
      </c>
      <c r="M48">
        <f>SUM(M40:M47)</f>
        <v>1.5</v>
      </c>
      <c r="U48">
        <f>SUM(U40:U47)</f>
        <v>0.5</v>
      </c>
      <c r="AC48">
        <f>SUM(AC40:AC47)</f>
        <v>2</v>
      </c>
      <c r="AK48">
        <f>SUM(AK40:AK47)</f>
        <v>-1.75</v>
      </c>
      <c r="AS48">
        <f>SUM(AS40:AS47)</f>
        <v>-2.25</v>
      </c>
      <c r="BA48">
        <f>SUM(BA40:BA47)</f>
        <v>-1.75</v>
      </c>
    </row>
    <row r="50" spans="3:53" x14ac:dyDescent="0.35">
      <c r="C50" t="s">
        <v>4060</v>
      </c>
      <c r="D50">
        <f>D40+D41</f>
        <v>5</v>
      </c>
      <c r="K50" t="s">
        <v>4060</v>
      </c>
      <c r="L50">
        <f>L40+L41</f>
        <v>7</v>
      </c>
      <c r="S50" t="s">
        <v>4060</v>
      </c>
      <c r="T50">
        <f>T40+T41</f>
        <v>5</v>
      </c>
      <c r="AA50" t="s">
        <v>4060</v>
      </c>
      <c r="AB50">
        <f>AB40+AB41</f>
        <v>3</v>
      </c>
      <c r="AI50" t="s">
        <v>4060</v>
      </c>
      <c r="AJ50">
        <f>AJ40+AJ41</f>
        <v>3</v>
      </c>
      <c r="AQ50" t="s">
        <v>4060</v>
      </c>
      <c r="AR50">
        <f>AR40+AR41</f>
        <v>2</v>
      </c>
      <c r="AY50" t="s">
        <v>4060</v>
      </c>
      <c r="AZ50">
        <f>AZ40+AZ41</f>
        <v>3</v>
      </c>
    </row>
    <row r="51" spans="3:53" x14ac:dyDescent="0.35">
      <c r="C51" t="s">
        <v>4061</v>
      </c>
      <c r="D51">
        <f>D42+D43</f>
        <v>3</v>
      </c>
      <c r="E51">
        <f>D50+D51</f>
        <v>8</v>
      </c>
      <c r="K51" t="s">
        <v>4061</v>
      </c>
      <c r="L51">
        <f>L42+L43</f>
        <v>2</v>
      </c>
      <c r="M51">
        <f>L50+L51</f>
        <v>9</v>
      </c>
      <c r="S51" t="s">
        <v>4061</v>
      </c>
      <c r="T51">
        <f>T42+T43</f>
        <v>3</v>
      </c>
      <c r="U51">
        <f>T50+T51</f>
        <v>8</v>
      </c>
      <c r="AA51" t="s">
        <v>4061</v>
      </c>
      <c r="AB51">
        <f>AB42+AB43</f>
        <v>6</v>
      </c>
      <c r="AC51">
        <f>AB50+AB51</f>
        <v>9</v>
      </c>
      <c r="AI51" t="s">
        <v>4061</v>
      </c>
      <c r="AJ51">
        <f>AJ42+AJ43</f>
        <v>4</v>
      </c>
      <c r="AK51">
        <f>AJ50+AJ51</f>
        <v>7</v>
      </c>
      <c r="AQ51" t="s">
        <v>4061</v>
      </c>
      <c r="AR51">
        <f>AR42+AR43</f>
        <v>5</v>
      </c>
      <c r="AS51">
        <f>AR50+AR51</f>
        <v>7</v>
      </c>
      <c r="AY51" t="s">
        <v>4061</v>
      </c>
      <c r="AZ51">
        <f>AZ42+AZ43</f>
        <v>4</v>
      </c>
      <c r="BA51">
        <f>AZ50+AZ51</f>
        <v>7</v>
      </c>
    </row>
    <row r="52" spans="3:53" x14ac:dyDescent="0.35">
      <c r="C52" t="s">
        <v>4062</v>
      </c>
      <c r="D52">
        <f>D44+D45</f>
        <v>5</v>
      </c>
      <c r="E52">
        <f>D53+D52</f>
        <v>8</v>
      </c>
      <c r="K52" t="s">
        <v>4062</v>
      </c>
      <c r="L52">
        <f>L44+L45</f>
        <v>3</v>
      </c>
      <c r="M52">
        <f>L53+L52</f>
        <v>7</v>
      </c>
      <c r="S52" t="s">
        <v>4062</v>
      </c>
      <c r="T52">
        <f>T44+T45</f>
        <v>4</v>
      </c>
      <c r="U52">
        <f>T53+T52</f>
        <v>8</v>
      </c>
      <c r="AA52" t="s">
        <v>4062</v>
      </c>
      <c r="AB52">
        <f>AB44+AB45</f>
        <v>7</v>
      </c>
      <c r="AC52">
        <f>AB53+AB52</f>
        <v>7</v>
      </c>
      <c r="AI52" t="s">
        <v>4062</v>
      </c>
      <c r="AJ52">
        <f>AJ44+AJ45</f>
        <v>3</v>
      </c>
      <c r="AK52">
        <f>AJ53+AJ52</f>
        <v>9</v>
      </c>
      <c r="AQ52" t="s">
        <v>4062</v>
      </c>
      <c r="AR52">
        <f>AR44+AR45</f>
        <v>3</v>
      </c>
      <c r="AS52">
        <f>AR53+AR52</f>
        <v>9</v>
      </c>
      <c r="AY52" t="s">
        <v>4062</v>
      </c>
      <c r="AZ52">
        <f>AZ44+AZ45</f>
        <v>3</v>
      </c>
      <c r="BA52">
        <f>AZ53+AZ52</f>
        <v>9</v>
      </c>
    </row>
    <row r="53" spans="3:53" x14ac:dyDescent="0.35">
      <c r="C53" t="s">
        <v>4063</v>
      </c>
      <c r="D53">
        <f>D46+D47</f>
        <v>3</v>
      </c>
      <c r="K53" t="s">
        <v>4063</v>
      </c>
      <c r="L53">
        <f>L46+L47</f>
        <v>4</v>
      </c>
      <c r="S53" t="s">
        <v>4063</v>
      </c>
      <c r="T53">
        <f>T46+T47</f>
        <v>4</v>
      </c>
      <c r="AA53" t="s">
        <v>4063</v>
      </c>
      <c r="AB53">
        <f>AB46+AB47</f>
        <v>0</v>
      </c>
      <c r="AI53" t="s">
        <v>4063</v>
      </c>
      <c r="AJ53">
        <f>AJ46+AJ47</f>
        <v>6</v>
      </c>
      <c r="AQ53" t="s">
        <v>4063</v>
      </c>
      <c r="AR53">
        <f>AR46+AR47</f>
        <v>6</v>
      </c>
      <c r="AY53" t="s">
        <v>4063</v>
      </c>
      <c r="AZ53">
        <f>AZ46+AZ47</f>
        <v>6</v>
      </c>
    </row>
    <row r="55" spans="3:53" x14ac:dyDescent="0.35">
      <c r="C55" s="181" t="s">
        <v>143</v>
      </c>
      <c r="K55" s="182" t="s">
        <v>144</v>
      </c>
      <c r="S55" s="183" t="s">
        <v>171</v>
      </c>
      <c r="AA55" s="184" t="s">
        <v>172</v>
      </c>
      <c r="AI55" s="185" t="s">
        <v>173</v>
      </c>
      <c r="AQ55" s="186" t="s">
        <v>799</v>
      </c>
      <c r="AY55" s="187" t="s">
        <v>1296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1:PJ30"/>
  <sheetViews>
    <sheetView topLeftCell="OK1" workbookViewId="0">
      <selection activeCell="OY12" sqref="OY12"/>
    </sheetView>
  </sheetViews>
  <sheetFormatPr defaultRowHeight="14.5" x14ac:dyDescent="0.35"/>
  <cols>
    <col min="2" max="2" width="4.6328125" style="13" customWidth="1"/>
    <col min="3" max="3" width="16.08984375" bestFit="1" customWidth="1"/>
    <col min="4" max="4" width="6.453125" customWidth="1"/>
    <col min="5" max="5" width="5" customWidth="1"/>
    <col min="6" max="6" width="3.6328125" customWidth="1"/>
    <col min="7" max="7" width="4.6328125" style="13" customWidth="1"/>
    <col min="8" max="8" width="15.90625" bestFit="1" customWidth="1"/>
    <col min="9" max="9" width="6.08984375" customWidth="1"/>
    <col min="10" max="10" width="6.36328125" customWidth="1"/>
    <col min="11" max="11" width="5" customWidth="1"/>
    <col min="12" max="12" width="4.90625" customWidth="1"/>
    <col min="13" max="13" width="4.6328125" style="13" customWidth="1"/>
    <col min="14" max="14" width="15.90625" bestFit="1" customWidth="1"/>
    <col min="15" max="15" width="6.08984375" customWidth="1"/>
    <col min="16" max="16" width="6.36328125" customWidth="1"/>
    <col min="17" max="17" width="6.08984375" customWidth="1"/>
    <col min="18" max="18" width="4.90625" customWidth="1"/>
    <col min="19" max="19" width="4.6328125" style="13" customWidth="1"/>
    <col min="20" max="20" width="15.90625" bestFit="1" customWidth="1"/>
    <col min="21" max="21" width="6.08984375" customWidth="1"/>
    <col min="22" max="22" width="6.36328125" customWidth="1"/>
    <col min="23" max="23" width="6.08984375" customWidth="1"/>
    <col min="25" max="25" width="4.6328125" style="13" customWidth="1"/>
    <col min="26" max="26" width="15.90625" bestFit="1" customWidth="1"/>
    <col min="27" max="27" width="6.08984375" customWidth="1"/>
    <col min="28" max="28" width="6.36328125" customWidth="1"/>
    <col min="29" max="29" width="6.08984375" customWidth="1"/>
    <col min="31" max="31" width="4.6328125" style="13" customWidth="1"/>
    <col min="32" max="32" width="15.90625" bestFit="1" customWidth="1"/>
    <col min="33" max="33" width="6.08984375" customWidth="1"/>
    <col min="34" max="34" width="6.36328125" customWidth="1"/>
    <col min="35" max="35" width="6.08984375" customWidth="1"/>
    <col min="37" max="37" width="4.6328125" style="13" customWidth="1"/>
    <col min="38" max="38" width="15.90625" bestFit="1" customWidth="1"/>
    <col min="39" max="39" width="6.08984375" customWidth="1"/>
    <col min="40" max="40" width="6.36328125" customWidth="1"/>
    <col min="41" max="41" width="6.08984375" customWidth="1"/>
    <col min="43" max="43" width="4.6328125" style="13" customWidth="1"/>
    <col min="44" max="44" width="15.90625" bestFit="1" customWidth="1"/>
    <col min="45" max="45" width="6.08984375" customWidth="1"/>
    <col min="46" max="46" width="6.36328125" customWidth="1"/>
    <col min="47" max="47" width="6.08984375" customWidth="1"/>
    <col min="49" max="49" width="4.6328125" style="13" customWidth="1"/>
    <col min="50" max="50" width="15.90625" bestFit="1" customWidth="1"/>
    <col min="51" max="52" width="2.6328125" customWidth="1"/>
    <col min="53" max="53" width="7.36328125" customWidth="1"/>
    <col min="54" max="54" width="6.08984375" customWidth="1"/>
    <col min="56" max="56" width="4.6328125" style="13" customWidth="1"/>
    <col min="57" max="57" width="15.90625" customWidth="1"/>
    <col min="58" max="59" width="2.6328125" customWidth="1"/>
    <col min="60" max="60" width="7.90625" customWidth="1"/>
    <col min="61" max="61" width="6.08984375" customWidth="1"/>
    <col min="63" max="63" width="4.6328125" style="13" customWidth="1"/>
    <col min="64" max="64" width="15.90625" customWidth="1"/>
    <col min="65" max="65" width="3" customWidth="1"/>
    <col min="66" max="66" width="2.6328125" customWidth="1"/>
    <col min="67" max="67" width="7.90625" customWidth="1"/>
    <col min="68" max="68" width="6.08984375" customWidth="1"/>
    <col min="70" max="70" width="4.6328125" style="13" customWidth="1"/>
    <col min="71" max="71" width="15.90625" customWidth="1"/>
    <col min="72" max="72" width="3" customWidth="1"/>
    <col min="73" max="73" width="2.6328125" customWidth="1"/>
    <col min="74" max="74" width="7.90625" customWidth="1"/>
    <col min="75" max="75" width="6.08984375" customWidth="1"/>
    <col min="77" max="77" width="4.6328125" style="13" customWidth="1"/>
    <col min="78" max="78" width="15.90625" customWidth="1"/>
    <col min="79" max="79" width="3" customWidth="1"/>
    <col min="80" max="80" width="2.6328125" customWidth="1"/>
    <col min="81" max="81" width="7.90625" customWidth="1"/>
    <col min="82" max="82" width="6.08984375" customWidth="1"/>
    <col min="84" max="84" width="4.6328125" style="13" customWidth="1"/>
    <col min="85" max="85" width="15.90625" customWidth="1"/>
    <col min="86" max="86" width="3" customWidth="1"/>
    <col min="87" max="87" width="2.6328125" customWidth="1"/>
    <col min="88" max="88" width="7.90625" customWidth="1"/>
    <col min="89" max="89" width="6.08984375" customWidth="1"/>
    <col min="91" max="91" width="4.6328125" style="13" customWidth="1"/>
    <col min="92" max="92" width="15.90625" customWidth="1"/>
    <col min="93" max="93" width="3" customWidth="1"/>
    <col min="94" max="94" width="2.6328125" customWidth="1"/>
    <col min="95" max="95" width="7.90625" customWidth="1"/>
    <col min="96" max="96" width="6.08984375" customWidth="1"/>
    <col min="98" max="98" width="4.6328125" style="13" customWidth="1"/>
    <col min="99" max="99" width="15.90625" customWidth="1"/>
    <col min="100" max="100" width="3" customWidth="1"/>
    <col min="101" max="101" width="2.6328125" customWidth="1"/>
    <col min="102" max="102" width="7.90625" customWidth="1"/>
    <col min="103" max="103" width="6.08984375" customWidth="1"/>
    <col min="105" max="105" width="4.6328125" style="13" customWidth="1"/>
    <col min="106" max="106" width="15.90625" customWidth="1"/>
    <col min="107" max="107" width="3" customWidth="1"/>
    <col min="108" max="108" width="2.6328125" customWidth="1"/>
    <col min="109" max="109" width="7.90625" customWidth="1"/>
    <col min="110" max="110" width="6.08984375" customWidth="1"/>
    <col min="112" max="112" width="4.6328125" style="13" customWidth="1"/>
    <col min="113" max="113" width="15.90625" customWidth="1"/>
    <col min="114" max="114" width="3" customWidth="1"/>
    <col min="115" max="115" width="2.6328125" customWidth="1"/>
    <col min="116" max="116" width="7.90625" customWidth="1"/>
    <col min="117" max="117" width="6.08984375" customWidth="1"/>
    <col min="119" max="119" width="4.6328125" style="13" customWidth="1"/>
    <col min="120" max="120" width="15.90625" customWidth="1"/>
    <col min="121" max="121" width="3" customWidth="1"/>
    <col min="122" max="122" width="2.6328125" customWidth="1"/>
    <col min="123" max="123" width="7.90625" customWidth="1"/>
    <col min="124" max="124" width="6.08984375" customWidth="1"/>
    <col min="126" max="126" width="4.6328125" style="13" customWidth="1"/>
    <col min="127" max="127" width="15.90625" customWidth="1"/>
    <col min="128" max="128" width="3" customWidth="1"/>
    <col min="129" max="129" width="2.6328125" customWidth="1"/>
    <col min="130" max="130" width="7.90625" customWidth="1"/>
    <col min="131" max="131" width="6.08984375" customWidth="1"/>
    <col min="133" max="133" width="4.6328125" style="13" customWidth="1"/>
    <col min="134" max="134" width="15.90625" customWidth="1"/>
    <col min="135" max="135" width="3" customWidth="1"/>
    <col min="136" max="136" width="2.6328125" customWidth="1"/>
    <col min="137" max="137" width="7.90625" customWidth="1"/>
    <col min="138" max="138" width="6.08984375" customWidth="1"/>
    <col min="140" max="140" width="4.6328125" style="13" customWidth="1"/>
    <col min="141" max="141" width="15.90625" customWidth="1"/>
    <col min="142" max="142" width="3" customWidth="1"/>
    <col min="143" max="143" width="2.6328125" customWidth="1"/>
    <col min="144" max="144" width="7.90625" customWidth="1"/>
    <col min="145" max="145" width="6.08984375" customWidth="1"/>
    <col min="147" max="147" width="4.6328125" style="13" customWidth="1"/>
    <col min="148" max="148" width="15.90625" customWidth="1"/>
    <col min="149" max="149" width="3" customWidth="1"/>
    <col min="150" max="150" width="2.6328125" customWidth="1"/>
    <col min="151" max="151" width="7.90625" customWidth="1"/>
    <col min="152" max="152" width="6.08984375" customWidth="1"/>
    <col min="154" max="154" width="4.6328125" style="13" customWidth="1"/>
    <col min="155" max="155" width="15.90625" customWidth="1"/>
    <col min="156" max="156" width="3" customWidth="1"/>
    <col min="157" max="157" width="2.6328125" customWidth="1"/>
    <col min="158" max="158" width="7.90625" customWidth="1"/>
    <col min="159" max="159" width="6.08984375" customWidth="1"/>
    <col min="161" max="161" width="4.6328125" style="13" customWidth="1"/>
    <col min="162" max="162" width="15.90625" customWidth="1"/>
    <col min="163" max="163" width="3" customWidth="1"/>
    <col min="164" max="164" width="2.6328125" customWidth="1"/>
    <col min="165" max="165" width="7.90625" customWidth="1"/>
    <col min="166" max="166" width="6.08984375" customWidth="1"/>
    <col min="168" max="168" width="4.6328125" style="13" customWidth="1"/>
    <col min="169" max="169" width="15.90625" customWidth="1"/>
    <col min="170" max="170" width="3" customWidth="1"/>
    <col min="171" max="171" width="2.6328125" customWidth="1"/>
    <col min="172" max="172" width="7.90625" customWidth="1"/>
    <col min="173" max="173" width="6.08984375" customWidth="1"/>
    <col min="175" max="175" width="4.6328125" style="13" customWidth="1"/>
    <col min="176" max="176" width="15.90625" customWidth="1"/>
    <col min="177" max="177" width="3" customWidth="1"/>
    <col min="178" max="178" width="2.6328125" customWidth="1"/>
    <col min="179" max="179" width="7.90625" customWidth="1"/>
    <col min="180" max="180" width="6.08984375" customWidth="1"/>
    <col min="182" max="182" width="4.6328125" style="13" customWidth="1"/>
    <col min="183" max="183" width="15.90625" customWidth="1"/>
    <col min="184" max="184" width="3" customWidth="1"/>
    <col min="185" max="185" width="2.6328125" customWidth="1"/>
    <col min="186" max="186" width="7.90625" customWidth="1"/>
    <col min="187" max="187" width="6.08984375" customWidth="1"/>
    <col min="189" max="189" width="4.6328125" style="13" customWidth="1"/>
    <col min="190" max="190" width="15.90625" customWidth="1"/>
    <col min="191" max="191" width="3" customWidth="1"/>
    <col min="192" max="192" width="2.6328125" customWidth="1"/>
    <col min="193" max="193" width="7.90625" customWidth="1"/>
    <col min="194" max="194" width="6.08984375" customWidth="1"/>
    <col min="196" max="196" width="4.6328125" style="13" customWidth="1"/>
    <col min="197" max="197" width="15.90625" customWidth="1"/>
    <col min="198" max="198" width="3" customWidth="1"/>
    <col min="199" max="199" width="2.6328125" customWidth="1"/>
    <col min="200" max="200" width="7.90625" customWidth="1"/>
    <col min="201" max="201" width="6.08984375" customWidth="1"/>
    <col min="203" max="203" width="4.6328125" style="13" customWidth="1"/>
    <col min="204" max="204" width="15.90625" customWidth="1"/>
    <col min="205" max="205" width="3" customWidth="1"/>
    <col min="206" max="206" width="2.6328125" customWidth="1"/>
    <col min="207" max="207" width="7.90625" customWidth="1"/>
    <col min="208" max="208" width="6.08984375" customWidth="1"/>
    <col min="210" max="210" width="4.6328125" style="13" customWidth="1"/>
    <col min="211" max="211" width="15.90625" customWidth="1"/>
    <col min="212" max="212" width="3" customWidth="1"/>
    <col min="213" max="213" width="2.6328125" customWidth="1"/>
    <col min="214" max="214" width="7.90625" customWidth="1"/>
    <col min="215" max="215" width="6.08984375" customWidth="1"/>
    <col min="217" max="217" width="4.6328125" style="13" customWidth="1"/>
    <col min="218" max="218" width="15.90625" customWidth="1"/>
    <col min="219" max="219" width="3" customWidth="1"/>
    <col min="220" max="220" width="2.6328125" customWidth="1"/>
    <col min="221" max="221" width="7.90625" customWidth="1"/>
    <col min="222" max="222" width="6.08984375" customWidth="1"/>
    <col min="224" max="224" width="4.6328125" style="13" customWidth="1"/>
    <col min="225" max="225" width="15.90625" customWidth="1"/>
    <col min="226" max="226" width="3" customWidth="1"/>
    <col min="227" max="227" width="2.6328125" customWidth="1"/>
    <col min="228" max="228" width="7.90625" customWidth="1"/>
    <col min="229" max="229" width="6.08984375" customWidth="1"/>
    <col min="231" max="231" width="4.6328125" style="13" customWidth="1"/>
    <col min="232" max="232" width="15.90625" customWidth="1"/>
    <col min="233" max="233" width="3" customWidth="1"/>
    <col min="234" max="234" width="2.6328125" customWidth="1"/>
    <col min="235" max="235" width="7.90625" customWidth="1"/>
    <col min="236" max="236" width="6.08984375" customWidth="1"/>
    <col min="238" max="238" width="4.6328125" style="13" customWidth="1"/>
    <col min="239" max="239" width="15.90625" customWidth="1"/>
    <col min="240" max="240" width="3" customWidth="1"/>
    <col min="241" max="241" width="2.6328125" customWidth="1"/>
    <col min="242" max="242" width="7.90625" customWidth="1"/>
    <col min="243" max="243" width="6.08984375" customWidth="1"/>
    <col min="245" max="245" width="4.6328125" style="13" customWidth="1"/>
    <col min="246" max="246" width="15.90625" customWidth="1"/>
    <col min="247" max="247" width="3" customWidth="1"/>
    <col min="248" max="248" width="2.6328125" customWidth="1"/>
    <col min="249" max="249" width="7.90625" customWidth="1"/>
    <col min="250" max="250" width="6.08984375" customWidth="1"/>
    <col min="252" max="252" width="4.6328125" style="13" customWidth="1"/>
    <col min="253" max="253" width="15.90625" customWidth="1"/>
    <col min="254" max="254" width="3" customWidth="1"/>
    <col min="255" max="255" width="2.6328125" customWidth="1"/>
    <col min="256" max="256" width="7.90625" customWidth="1"/>
    <col min="257" max="257" width="6.08984375" customWidth="1"/>
    <col min="259" max="259" width="4.6328125" style="13" customWidth="1"/>
    <col min="260" max="260" width="15.90625" customWidth="1"/>
    <col min="261" max="261" width="3" customWidth="1"/>
    <col min="262" max="262" width="2.6328125" customWidth="1"/>
    <col min="263" max="263" width="7.90625" customWidth="1"/>
    <col min="264" max="264" width="6.08984375" customWidth="1"/>
    <col min="266" max="266" width="4.6328125" style="13" customWidth="1"/>
    <col min="267" max="267" width="15.90625" customWidth="1"/>
    <col min="268" max="268" width="3" customWidth="1"/>
    <col min="269" max="269" width="2.6328125" customWidth="1"/>
    <col min="270" max="270" width="7.90625" customWidth="1"/>
    <col min="271" max="271" width="6.08984375" customWidth="1"/>
    <col min="273" max="273" width="4.6328125" style="13" customWidth="1"/>
    <col min="274" max="274" width="15.90625" customWidth="1"/>
    <col min="275" max="275" width="3" customWidth="1"/>
    <col min="276" max="276" width="2.6328125" customWidth="1"/>
    <col min="277" max="277" width="7.90625" customWidth="1"/>
    <col min="278" max="278" width="6.08984375" customWidth="1"/>
    <col min="279" max="279" width="8.90625" customWidth="1"/>
    <col min="280" max="280" width="4.6328125" style="13" customWidth="1"/>
    <col min="281" max="281" width="15.90625" customWidth="1"/>
    <col min="282" max="282" width="3" customWidth="1"/>
    <col min="283" max="283" width="2.6328125" customWidth="1"/>
    <col min="284" max="284" width="7.90625" customWidth="1"/>
    <col min="285" max="286" width="6.08984375" customWidth="1"/>
    <col min="288" max="288" width="4.6328125" style="13" customWidth="1"/>
    <col min="289" max="289" width="15.90625" customWidth="1"/>
    <col min="290" max="290" width="3" customWidth="1"/>
    <col min="291" max="291" width="2.6328125" customWidth="1"/>
    <col min="292" max="292" width="7.90625" customWidth="1"/>
    <col min="293" max="293" width="6.08984375" customWidth="1"/>
    <col min="294" max="294" width="8.90625" customWidth="1"/>
    <col min="295" max="295" width="4.6328125" style="13" customWidth="1"/>
    <col min="296" max="296" width="15.90625" customWidth="1"/>
    <col min="297" max="297" width="3" customWidth="1"/>
    <col min="298" max="298" width="2.6328125" customWidth="1"/>
    <col min="299" max="299" width="7.90625" customWidth="1"/>
    <col min="300" max="300" width="6.08984375" customWidth="1"/>
    <col min="302" max="302" width="4.6328125" style="13" customWidth="1"/>
    <col min="303" max="303" width="15.90625" customWidth="1"/>
    <col min="304" max="304" width="3" customWidth="1"/>
    <col min="305" max="305" width="2.6328125" customWidth="1"/>
    <col min="306" max="306" width="7.90625" customWidth="1"/>
    <col min="307" max="307" width="6.08984375" customWidth="1"/>
    <col min="309" max="309" width="4.6328125" style="13" customWidth="1"/>
    <col min="310" max="310" width="15.90625" customWidth="1"/>
    <col min="311" max="311" width="3" customWidth="1"/>
    <col min="312" max="312" width="2.6328125" customWidth="1"/>
    <col min="313" max="313" width="7.90625" customWidth="1"/>
    <col min="314" max="314" width="6.08984375" customWidth="1"/>
    <col min="316" max="316" width="4.6328125" style="13" customWidth="1"/>
    <col min="317" max="317" width="15.90625" customWidth="1"/>
    <col min="318" max="318" width="3" customWidth="1"/>
    <col min="319" max="319" width="2.6328125" customWidth="1"/>
    <col min="320" max="320" width="7.90625" customWidth="1"/>
    <col min="321" max="321" width="6.08984375" customWidth="1"/>
    <col min="323" max="323" width="4.6328125" style="13" customWidth="1"/>
    <col min="324" max="324" width="15.90625" customWidth="1"/>
    <col min="325" max="325" width="3" customWidth="1"/>
    <col min="326" max="326" width="2.6328125" customWidth="1"/>
    <col min="327" max="327" width="7.90625" customWidth="1"/>
    <col min="328" max="328" width="6.08984375" customWidth="1"/>
    <col min="330" max="330" width="4.6328125" style="13" customWidth="1"/>
    <col min="331" max="331" width="15.90625" customWidth="1"/>
    <col min="332" max="332" width="3" customWidth="1"/>
    <col min="333" max="333" width="2.6328125" customWidth="1"/>
    <col min="334" max="334" width="7.90625" customWidth="1"/>
    <col min="335" max="335" width="6.08984375" customWidth="1"/>
    <col min="337" max="337" width="4.6328125" style="13" customWidth="1"/>
    <col min="338" max="338" width="15.90625" customWidth="1"/>
    <col min="339" max="339" width="3" customWidth="1"/>
    <col min="340" max="340" width="2.6328125" customWidth="1"/>
    <col min="341" max="341" width="7.90625" customWidth="1"/>
    <col min="342" max="342" width="6.08984375" customWidth="1"/>
    <col min="344" max="344" width="4.6328125" style="13" customWidth="1"/>
    <col min="345" max="345" width="15.90625" customWidth="1"/>
    <col min="346" max="346" width="3" customWidth="1"/>
    <col min="347" max="347" width="2.6328125" customWidth="1"/>
    <col min="348" max="348" width="7.90625" customWidth="1"/>
    <col min="349" max="349" width="6.08984375" customWidth="1"/>
    <col min="351" max="351" width="4.6328125" style="13" customWidth="1"/>
    <col min="352" max="352" width="15.90625" customWidth="1"/>
    <col min="353" max="353" width="3" customWidth="1"/>
    <col min="354" max="354" width="2.6328125" customWidth="1"/>
    <col min="355" max="355" width="7.90625" customWidth="1"/>
    <col min="356" max="356" width="6.08984375" customWidth="1"/>
    <col min="358" max="358" width="4.6328125" style="13" customWidth="1"/>
    <col min="359" max="359" width="15.90625" customWidth="1"/>
    <col min="360" max="360" width="3" customWidth="1"/>
    <col min="361" max="361" width="2.6328125" customWidth="1"/>
    <col min="362" max="362" width="7.90625" customWidth="1"/>
    <col min="363" max="363" width="6.08984375" customWidth="1"/>
    <col min="365" max="365" width="4.6328125" style="13" customWidth="1"/>
    <col min="366" max="366" width="15.90625" customWidth="1"/>
    <col min="367" max="367" width="3" customWidth="1"/>
    <col min="368" max="368" width="2.6328125" customWidth="1"/>
    <col min="369" max="369" width="7.90625" customWidth="1"/>
    <col min="370" max="370" width="6.08984375" customWidth="1"/>
    <col min="372" max="372" width="4.6328125" style="13" customWidth="1"/>
    <col min="373" max="373" width="16.54296875" customWidth="1"/>
    <col min="374" max="374" width="3" customWidth="1"/>
    <col min="375" max="375" width="2.6328125" customWidth="1"/>
    <col min="376" max="376" width="7.90625" customWidth="1"/>
    <col min="377" max="377" width="6.08984375" customWidth="1"/>
    <col min="379" max="379" width="4.6328125" style="13" customWidth="1"/>
    <col min="380" max="380" width="16.54296875" customWidth="1"/>
    <col min="381" max="381" width="3" customWidth="1"/>
    <col min="382" max="382" width="2.6328125" customWidth="1"/>
    <col min="383" max="383" width="7.90625" customWidth="1"/>
    <col min="384" max="384" width="6.08984375" customWidth="1"/>
    <col min="386" max="386" width="4.6328125" style="13" customWidth="1"/>
    <col min="387" max="387" width="16.54296875" customWidth="1"/>
    <col min="388" max="388" width="3" customWidth="1"/>
    <col min="389" max="389" width="2.6328125" customWidth="1"/>
    <col min="390" max="390" width="7.90625" customWidth="1"/>
    <col min="391" max="391" width="6.08984375" customWidth="1"/>
    <col min="393" max="393" width="4.6328125" style="13" customWidth="1"/>
    <col min="394" max="394" width="16.54296875" customWidth="1"/>
    <col min="395" max="395" width="3" customWidth="1"/>
    <col min="396" max="396" width="2.6328125" customWidth="1"/>
    <col min="397" max="397" width="7.90625" customWidth="1"/>
    <col min="398" max="398" width="6.08984375" customWidth="1"/>
    <col min="400" max="400" width="4.6328125" style="13" customWidth="1"/>
    <col min="401" max="401" width="16.54296875" customWidth="1"/>
    <col min="402" max="402" width="3" customWidth="1"/>
    <col min="403" max="403" width="2.6328125" customWidth="1"/>
    <col min="404" max="404" width="7.90625" customWidth="1"/>
    <col min="405" max="405" width="6.08984375" customWidth="1"/>
    <col min="407" max="407" width="4.6328125" style="13" customWidth="1"/>
    <col min="408" max="408" width="16.54296875" customWidth="1"/>
    <col min="409" max="409" width="3" customWidth="1"/>
    <col min="410" max="410" width="2.6328125" customWidth="1"/>
    <col min="411" max="411" width="7.90625" customWidth="1"/>
    <col min="412" max="412" width="6.08984375" customWidth="1"/>
    <col min="414" max="414" width="4.6328125" style="13" customWidth="1"/>
    <col min="415" max="415" width="16.54296875" customWidth="1"/>
    <col min="416" max="416" width="3" customWidth="1"/>
    <col min="417" max="417" width="2.6328125" customWidth="1"/>
    <col min="418" max="418" width="7.90625" customWidth="1"/>
    <col min="419" max="419" width="6.08984375" customWidth="1"/>
    <col min="421" max="421" width="4.6328125" style="13" customWidth="1"/>
    <col min="422" max="422" width="16.54296875" customWidth="1"/>
    <col min="423" max="423" width="3" customWidth="1"/>
    <col min="424" max="424" width="2.6328125" customWidth="1"/>
    <col min="425" max="425" width="7.90625" customWidth="1"/>
    <col min="426" max="426" width="6.08984375" customWidth="1"/>
  </cols>
  <sheetData>
    <row r="1" spans="2:426" x14ac:dyDescent="0.35">
      <c r="C1" t="s">
        <v>328</v>
      </c>
      <c r="H1" t="s">
        <v>380</v>
      </c>
      <c r="N1" t="s">
        <v>427</v>
      </c>
      <c r="T1" t="s">
        <v>457</v>
      </c>
      <c r="Z1" t="s">
        <v>506</v>
      </c>
      <c r="AC1" s="8"/>
      <c r="AF1" t="s">
        <v>516</v>
      </c>
      <c r="AI1" s="8"/>
      <c r="AL1" t="s">
        <v>543</v>
      </c>
      <c r="AO1" s="8"/>
      <c r="AR1" t="s">
        <v>559</v>
      </c>
      <c r="AX1" t="s">
        <v>595</v>
      </c>
      <c r="BE1" t="s">
        <v>619</v>
      </c>
      <c r="BL1" t="s">
        <v>636</v>
      </c>
      <c r="BS1" t="s">
        <v>651</v>
      </c>
      <c r="BZ1" t="s">
        <v>671</v>
      </c>
      <c r="CG1" t="s">
        <v>684</v>
      </c>
      <c r="CN1" t="s">
        <v>727</v>
      </c>
      <c r="CU1" t="s">
        <v>328</v>
      </c>
      <c r="DB1" t="s">
        <v>854</v>
      </c>
      <c r="DI1" t="s">
        <v>855</v>
      </c>
      <c r="DP1" t="s">
        <v>427</v>
      </c>
      <c r="DW1" t="s">
        <v>457</v>
      </c>
      <c r="ED1" t="s">
        <v>506</v>
      </c>
      <c r="EK1" t="s">
        <v>516</v>
      </c>
      <c r="ER1" t="s">
        <v>543</v>
      </c>
      <c r="EY1" t="s">
        <v>559</v>
      </c>
      <c r="FF1" t="s">
        <v>595</v>
      </c>
      <c r="FM1" t="s">
        <v>619</v>
      </c>
      <c r="FT1" t="s">
        <v>636</v>
      </c>
      <c r="GA1" t="s">
        <v>651</v>
      </c>
      <c r="GH1" t="s">
        <v>671</v>
      </c>
      <c r="GO1" t="s">
        <v>1210</v>
      </c>
      <c r="GV1" t="s">
        <v>1232</v>
      </c>
      <c r="HC1" t="s">
        <v>1242</v>
      </c>
      <c r="HJ1" t="s">
        <v>1252</v>
      </c>
      <c r="HQ1" t="s">
        <v>328</v>
      </c>
      <c r="HX1" t="s">
        <v>380</v>
      </c>
      <c r="IE1" t="s">
        <v>427</v>
      </c>
      <c r="IL1" t="s">
        <v>2761</v>
      </c>
      <c r="IS1" t="s">
        <v>506</v>
      </c>
      <c r="IZ1" t="s">
        <v>2495</v>
      </c>
      <c r="JG1" t="s">
        <v>2844</v>
      </c>
      <c r="JN1" t="s">
        <v>3088</v>
      </c>
      <c r="JU1" t="s">
        <v>3260</v>
      </c>
      <c r="KC1" t="s">
        <v>3466</v>
      </c>
      <c r="KJ1" t="s">
        <v>3880</v>
      </c>
      <c r="KQ1" t="s">
        <v>4082</v>
      </c>
      <c r="KX1" t="s">
        <v>4264</v>
      </c>
      <c r="LE1" t="s">
        <v>636</v>
      </c>
      <c r="LL1" t="s">
        <v>4715</v>
      </c>
      <c r="LS1" t="s">
        <v>651</v>
      </c>
      <c r="LZ1" t="s">
        <v>4853</v>
      </c>
      <c r="MG1" t="s">
        <v>4950</v>
      </c>
      <c r="MN1" t="s">
        <v>4998</v>
      </c>
      <c r="MU1" t="s">
        <v>5085</v>
      </c>
      <c r="NB1" t="s">
        <v>5071</v>
      </c>
      <c r="NI1" t="s">
        <v>5086</v>
      </c>
      <c r="NP1" t="s">
        <v>5157</v>
      </c>
      <c r="NW1" t="s">
        <v>5172</v>
      </c>
      <c r="OD1" t="s">
        <v>5172</v>
      </c>
      <c r="OK1" t="s">
        <v>5224</v>
      </c>
      <c r="OR1" t="s">
        <v>5225</v>
      </c>
      <c r="OY1" t="s">
        <v>5243</v>
      </c>
      <c r="PF1" t="s">
        <v>1252</v>
      </c>
    </row>
    <row r="2" spans="2:426" x14ac:dyDescent="0.35">
      <c r="B2" s="13" t="s">
        <v>302</v>
      </c>
      <c r="C2" s="19" t="s">
        <v>38</v>
      </c>
      <c r="D2" t="s">
        <v>327</v>
      </c>
      <c r="E2">
        <v>119</v>
      </c>
      <c r="G2" s="13" t="s">
        <v>302</v>
      </c>
      <c r="H2" s="19" t="s">
        <v>41</v>
      </c>
      <c r="I2" t="s">
        <v>378</v>
      </c>
      <c r="J2">
        <v>143</v>
      </c>
      <c r="K2" s="22" t="s">
        <v>382</v>
      </c>
      <c r="M2" s="13" t="s">
        <v>302</v>
      </c>
      <c r="N2" s="19" t="s">
        <v>900</v>
      </c>
      <c r="O2" s="9" t="s">
        <v>429</v>
      </c>
      <c r="P2">
        <v>172</v>
      </c>
      <c r="Q2" s="22" t="s">
        <v>385</v>
      </c>
      <c r="S2" s="13" t="s">
        <v>302</v>
      </c>
      <c r="T2" s="19" t="s">
        <v>900</v>
      </c>
      <c r="U2" s="9" t="s">
        <v>458</v>
      </c>
      <c r="V2">
        <v>170</v>
      </c>
      <c r="W2" t="s">
        <v>1</v>
      </c>
      <c r="Y2" s="13" t="s">
        <v>302</v>
      </c>
      <c r="Z2" s="19" t="s">
        <v>900</v>
      </c>
      <c r="AA2" s="9" t="s">
        <v>497</v>
      </c>
      <c r="AB2">
        <v>175</v>
      </c>
      <c r="AC2" t="s">
        <v>1</v>
      </c>
      <c r="AE2" s="13" t="s">
        <v>302</v>
      </c>
      <c r="AF2" s="19" t="s">
        <v>900</v>
      </c>
      <c r="AG2" s="9" t="s">
        <v>517</v>
      </c>
      <c r="AH2">
        <v>181</v>
      </c>
      <c r="AI2" t="s">
        <v>1</v>
      </c>
      <c r="AK2" s="13" t="s">
        <v>302</v>
      </c>
      <c r="AL2" s="19" t="s">
        <v>900</v>
      </c>
      <c r="AM2" s="9" t="s">
        <v>539</v>
      </c>
      <c r="AN2">
        <v>179</v>
      </c>
      <c r="AO2" t="s">
        <v>1</v>
      </c>
      <c r="AQ2" s="13" t="s">
        <v>302</v>
      </c>
      <c r="AR2" s="19" t="s">
        <v>900</v>
      </c>
      <c r="AS2" s="9" t="s">
        <v>560</v>
      </c>
      <c r="AT2">
        <v>183</v>
      </c>
      <c r="AU2" t="s">
        <v>1</v>
      </c>
      <c r="AW2" s="13" t="s">
        <v>302</v>
      </c>
      <c r="AX2" s="19" t="s">
        <v>900</v>
      </c>
      <c r="AY2" s="9">
        <v>8</v>
      </c>
      <c r="AZ2" s="9">
        <v>1</v>
      </c>
      <c r="BA2">
        <v>0.89334953174027587</v>
      </c>
      <c r="BB2" t="s">
        <v>1</v>
      </c>
      <c r="BD2" s="13" t="s">
        <v>302</v>
      </c>
      <c r="BE2" s="19" t="s">
        <v>900</v>
      </c>
      <c r="BF2" s="9">
        <v>9</v>
      </c>
      <c r="BG2" s="9">
        <v>1</v>
      </c>
      <c r="BH2" s="35">
        <v>0.88927157408084034</v>
      </c>
      <c r="BI2" t="s">
        <v>1</v>
      </c>
      <c r="BK2" s="13" t="s">
        <v>302</v>
      </c>
      <c r="BL2" s="19" t="s">
        <v>900</v>
      </c>
      <c r="BM2" s="9">
        <v>9</v>
      </c>
      <c r="BN2" s="9">
        <v>2</v>
      </c>
      <c r="BO2" s="35">
        <v>0.84097895754272867</v>
      </c>
      <c r="BP2" t="s">
        <v>1</v>
      </c>
      <c r="BR2" s="13" t="s">
        <v>302</v>
      </c>
      <c r="BS2" s="19" t="s">
        <v>900</v>
      </c>
      <c r="BT2" s="9">
        <v>10</v>
      </c>
      <c r="BU2" s="9">
        <v>2</v>
      </c>
      <c r="BV2" s="35">
        <v>0.84792687027448266</v>
      </c>
      <c r="BW2" t="s">
        <v>1</v>
      </c>
      <c r="BY2" s="13" t="s">
        <v>302</v>
      </c>
      <c r="BZ2" s="19" t="s">
        <v>900</v>
      </c>
      <c r="CA2" s="9">
        <v>11</v>
      </c>
      <c r="CB2" s="9">
        <v>2</v>
      </c>
      <c r="CC2" s="35">
        <v>0.86101953610149806</v>
      </c>
      <c r="CD2" t="s">
        <v>1</v>
      </c>
      <c r="CF2" s="13" t="s">
        <v>302</v>
      </c>
      <c r="CG2" s="16" t="s">
        <v>69</v>
      </c>
      <c r="CH2">
        <v>13</v>
      </c>
      <c r="CI2">
        <v>1</v>
      </c>
      <c r="CJ2" s="35">
        <v>0.80652013287936819</v>
      </c>
      <c r="CK2" s="22" t="s">
        <v>381</v>
      </c>
      <c r="CM2" s="13" t="s">
        <v>302</v>
      </c>
      <c r="CN2" s="16" t="s">
        <v>69</v>
      </c>
      <c r="CO2">
        <v>16</v>
      </c>
      <c r="CP2">
        <v>2</v>
      </c>
      <c r="CQ2" s="35">
        <v>0.84186057155732996</v>
      </c>
      <c r="CR2" t="s">
        <v>1</v>
      </c>
      <c r="CT2" s="13" t="s">
        <v>302</v>
      </c>
      <c r="CU2" s="19" t="s">
        <v>42</v>
      </c>
      <c r="CV2">
        <v>1</v>
      </c>
      <c r="CW2">
        <v>0</v>
      </c>
      <c r="CX2" s="35">
        <v>0.92983002905210255</v>
      </c>
      <c r="CY2" t="s">
        <v>637</v>
      </c>
      <c r="DA2" s="13" t="s">
        <v>302</v>
      </c>
      <c r="DB2" s="16" t="s">
        <v>69</v>
      </c>
      <c r="DC2">
        <v>2</v>
      </c>
      <c r="DD2">
        <v>0</v>
      </c>
      <c r="DE2" s="35">
        <v>0.9138131772575836</v>
      </c>
      <c r="DF2" s="22" t="s">
        <v>389</v>
      </c>
      <c r="DH2" s="13" t="s">
        <v>302</v>
      </c>
      <c r="DI2" s="16" t="s">
        <v>69</v>
      </c>
      <c r="DJ2">
        <v>2</v>
      </c>
      <c r="DK2">
        <v>0</v>
      </c>
      <c r="DL2" s="35">
        <v>0.91766344463726279</v>
      </c>
      <c r="DM2" t="s">
        <v>1</v>
      </c>
      <c r="DO2" s="13" t="s">
        <v>302</v>
      </c>
      <c r="DP2" s="16" t="s">
        <v>69</v>
      </c>
      <c r="DQ2">
        <v>3</v>
      </c>
      <c r="DR2">
        <v>0</v>
      </c>
      <c r="DS2" s="35">
        <v>0.94843103409502183</v>
      </c>
      <c r="DT2" t="s">
        <v>1</v>
      </c>
      <c r="DV2" s="13" t="s">
        <v>302</v>
      </c>
      <c r="DW2" s="16" t="s">
        <v>69</v>
      </c>
      <c r="DX2">
        <v>4</v>
      </c>
      <c r="DY2">
        <v>0</v>
      </c>
      <c r="DZ2" s="35">
        <v>0.96219048870540436</v>
      </c>
      <c r="EA2" t="s">
        <v>1</v>
      </c>
      <c r="EC2" s="13" t="s">
        <v>302</v>
      </c>
      <c r="ED2" s="16" t="s">
        <v>69</v>
      </c>
      <c r="EE2">
        <v>5</v>
      </c>
      <c r="EF2">
        <v>0</v>
      </c>
      <c r="EG2" s="35">
        <v>0.96361790636848321</v>
      </c>
      <c r="EH2" t="s">
        <v>1</v>
      </c>
      <c r="EJ2" s="13" t="s">
        <v>302</v>
      </c>
      <c r="EK2" s="16" t="s">
        <v>69</v>
      </c>
      <c r="EL2">
        <v>6</v>
      </c>
      <c r="EM2">
        <v>0</v>
      </c>
      <c r="EN2" s="35">
        <v>0.99100098275965587</v>
      </c>
      <c r="EO2" t="s">
        <v>1</v>
      </c>
      <c r="EQ2" s="13" t="s">
        <v>302</v>
      </c>
      <c r="ER2" s="16" t="s">
        <v>69</v>
      </c>
      <c r="ES2">
        <v>7</v>
      </c>
      <c r="ET2">
        <v>0</v>
      </c>
      <c r="EU2" s="35">
        <v>0.96835691181624062</v>
      </c>
      <c r="EV2" t="s">
        <v>1</v>
      </c>
      <c r="EX2" s="13" t="s">
        <v>302</v>
      </c>
      <c r="EY2" s="19" t="s">
        <v>41</v>
      </c>
      <c r="EZ2">
        <v>8</v>
      </c>
      <c r="FA2">
        <v>0</v>
      </c>
      <c r="FB2" s="35">
        <v>0.93888182483767579</v>
      </c>
      <c r="FC2" s="22" t="s">
        <v>381</v>
      </c>
      <c r="FE2" s="13" t="s">
        <v>302</v>
      </c>
      <c r="FF2" s="16" t="s">
        <v>69</v>
      </c>
      <c r="FG2">
        <v>9</v>
      </c>
      <c r="FH2">
        <v>0</v>
      </c>
      <c r="FI2" s="35">
        <v>0.94290924940901921</v>
      </c>
      <c r="FJ2" s="22" t="s">
        <v>381</v>
      </c>
      <c r="FL2" s="13" t="s">
        <v>302</v>
      </c>
      <c r="FM2" s="16" t="s">
        <v>69</v>
      </c>
      <c r="FN2" s="1">
        <v>9</v>
      </c>
      <c r="FO2" s="1">
        <v>1</v>
      </c>
      <c r="FP2" s="35">
        <v>0.83778927906204825</v>
      </c>
      <c r="FQ2" t="s">
        <v>1</v>
      </c>
      <c r="FS2" s="13" t="s">
        <v>302</v>
      </c>
      <c r="FT2" s="19" t="s">
        <v>41</v>
      </c>
      <c r="FU2" s="1">
        <v>9</v>
      </c>
      <c r="FV2" s="1">
        <v>2</v>
      </c>
      <c r="FW2" s="35">
        <v>0.79293360170329774</v>
      </c>
      <c r="FX2" s="22" t="s">
        <v>381</v>
      </c>
      <c r="FZ2" s="13" t="s">
        <v>302</v>
      </c>
      <c r="GA2" s="19" t="s">
        <v>41</v>
      </c>
      <c r="GB2" s="6">
        <v>10</v>
      </c>
      <c r="GC2" s="6">
        <v>2</v>
      </c>
      <c r="GD2" s="35">
        <v>0.81239573659348974</v>
      </c>
      <c r="GE2" t="s">
        <v>1</v>
      </c>
      <c r="GG2" s="13" t="s">
        <v>302</v>
      </c>
      <c r="GH2" s="19" t="s">
        <v>1181</v>
      </c>
      <c r="GI2" s="6">
        <v>11</v>
      </c>
      <c r="GJ2" s="6">
        <v>2</v>
      </c>
      <c r="GK2" s="35">
        <v>0.87606647544083194</v>
      </c>
      <c r="GL2" t="s">
        <v>1</v>
      </c>
      <c r="GN2" s="13" t="s">
        <v>302</v>
      </c>
      <c r="GO2" s="19" t="s">
        <v>1181</v>
      </c>
      <c r="GP2" s="6">
        <v>11</v>
      </c>
      <c r="GQ2" s="6">
        <v>2</v>
      </c>
      <c r="GR2" s="35">
        <v>0.87220847875983565</v>
      </c>
      <c r="GS2" t="s">
        <v>1</v>
      </c>
      <c r="GU2" s="13" t="s">
        <v>302</v>
      </c>
      <c r="GV2" s="19" t="s">
        <v>1234</v>
      </c>
      <c r="GW2">
        <v>13</v>
      </c>
      <c r="GX2">
        <v>2</v>
      </c>
      <c r="GY2" s="35">
        <v>0.90221109104477537</v>
      </c>
      <c r="GZ2" t="s">
        <v>1</v>
      </c>
      <c r="HB2" s="13" t="s">
        <v>302</v>
      </c>
      <c r="HC2" s="19" t="s">
        <v>1243</v>
      </c>
      <c r="HD2">
        <v>14</v>
      </c>
      <c r="HE2">
        <v>3</v>
      </c>
      <c r="HF2" s="35">
        <v>0.8930440912774158</v>
      </c>
      <c r="HG2" t="s">
        <v>1</v>
      </c>
      <c r="HI2" s="13" t="s">
        <v>302</v>
      </c>
      <c r="HJ2" s="21" t="s">
        <v>1254</v>
      </c>
      <c r="HK2">
        <v>17</v>
      </c>
      <c r="HL2">
        <v>2</v>
      </c>
      <c r="HM2" s="35">
        <v>0.89089085526992906</v>
      </c>
      <c r="HN2" s="22" t="s">
        <v>381</v>
      </c>
      <c r="HP2" s="13" t="s">
        <v>302</v>
      </c>
      <c r="HQ2" s="21" t="s">
        <v>119</v>
      </c>
      <c r="HR2">
        <v>1</v>
      </c>
      <c r="HS2">
        <v>0</v>
      </c>
      <c r="HT2" s="35">
        <v>0.93571768703070413</v>
      </c>
      <c r="HU2" s="22" t="s">
        <v>391</v>
      </c>
      <c r="HW2" s="13" t="s">
        <v>302</v>
      </c>
      <c r="HX2" s="21" t="s">
        <v>119</v>
      </c>
      <c r="HY2">
        <v>2</v>
      </c>
      <c r="HZ2">
        <v>0</v>
      </c>
      <c r="IA2" s="35">
        <v>0.9881608325517216</v>
      </c>
      <c r="IB2" t="s">
        <v>1</v>
      </c>
      <c r="ID2" s="13" t="s">
        <v>302</v>
      </c>
      <c r="IE2" s="15" t="s">
        <v>87</v>
      </c>
      <c r="IF2">
        <v>3</v>
      </c>
      <c r="IG2">
        <v>0</v>
      </c>
      <c r="IH2" s="35">
        <v>0.97706367124034388</v>
      </c>
      <c r="II2" s="22" t="s">
        <v>432</v>
      </c>
      <c r="IK2" s="13" t="s">
        <v>302</v>
      </c>
      <c r="IL2" s="15" t="s">
        <v>87</v>
      </c>
      <c r="IM2">
        <v>4</v>
      </c>
      <c r="IN2">
        <v>0</v>
      </c>
      <c r="IO2" s="35">
        <v>0.98641080541320403</v>
      </c>
      <c r="IP2" t="s">
        <v>1</v>
      </c>
      <c r="IR2" s="13" t="s">
        <v>302</v>
      </c>
      <c r="IS2" s="15" t="s">
        <v>87</v>
      </c>
      <c r="IT2">
        <v>5</v>
      </c>
      <c r="IU2">
        <v>0</v>
      </c>
      <c r="IV2" s="35">
        <v>0.99347274588111112</v>
      </c>
      <c r="IW2" t="s">
        <v>1</v>
      </c>
      <c r="IY2" s="13" t="s">
        <v>302</v>
      </c>
      <c r="IZ2" s="15" t="s">
        <v>87</v>
      </c>
      <c r="JA2">
        <v>6</v>
      </c>
      <c r="JB2">
        <v>0</v>
      </c>
      <c r="JC2" s="35">
        <v>0.99382949539175802</v>
      </c>
      <c r="JD2" t="s">
        <v>1</v>
      </c>
      <c r="JF2" s="13" t="s">
        <v>302</v>
      </c>
      <c r="JG2" s="21" t="s">
        <v>26</v>
      </c>
      <c r="JH2" s="6">
        <v>7</v>
      </c>
      <c r="JI2" s="6">
        <v>0</v>
      </c>
      <c r="JJ2" s="35">
        <v>0.92866523747512275</v>
      </c>
      <c r="JK2" s="22" t="s">
        <v>381</v>
      </c>
      <c r="JM2" s="13" t="s">
        <v>302</v>
      </c>
      <c r="JN2" s="58" t="s">
        <v>795</v>
      </c>
      <c r="JO2" s="6">
        <v>7</v>
      </c>
      <c r="JP2" s="6">
        <v>1</v>
      </c>
      <c r="JQ2" s="35">
        <v>0.94296800952954696</v>
      </c>
      <c r="JR2" s="22" t="s">
        <v>384</v>
      </c>
      <c r="JT2" s="13" t="s">
        <v>302</v>
      </c>
      <c r="JU2" s="58" t="s">
        <v>795</v>
      </c>
      <c r="JV2" s="6">
        <v>7</v>
      </c>
      <c r="JW2" s="6">
        <v>1</v>
      </c>
      <c r="JX2" s="35">
        <v>0.98119351351007422</v>
      </c>
      <c r="JY2" t="s">
        <v>1</v>
      </c>
      <c r="JZ2" s="22" t="s">
        <v>384</v>
      </c>
      <c r="KB2" s="13" t="s">
        <v>302</v>
      </c>
      <c r="KC2" s="58" t="s">
        <v>795</v>
      </c>
      <c r="KD2" s="6">
        <v>8</v>
      </c>
      <c r="KE2" s="6">
        <v>1</v>
      </c>
      <c r="KF2" s="35">
        <v>0.97203514472368846</v>
      </c>
      <c r="KG2" t="s">
        <v>1</v>
      </c>
      <c r="KI2" s="13" t="s">
        <v>302</v>
      </c>
      <c r="KJ2" s="15" t="s">
        <v>87</v>
      </c>
      <c r="KK2" s="6">
        <v>8</v>
      </c>
      <c r="KL2" s="6">
        <v>1</v>
      </c>
      <c r="KM2" s="35">
        <v>0.96905224250241773</v>
      </c>
      <c r="KN2" s="22" t="s">
        <v>432</v>
      </c>
      <c r="KP2" s="13" t="s">
        <v>302</v>
      </c>
      <c r="KQ2" s="15" t="s">
        <v>87</v>
      </c>
      <c r="KR2" s="6">
        <v>9</v>
      </c>
      <c r="KS2" s="6">
        <v>1</v>
      </c>
      <c r="KT2" s="35">
        <v>0.97101125696642476</v>
      </c>
      <c r="KU2" t="s">
        <v>1</v>
      </c>
      <c r="KW2" s="13" t="s">
        <v>302</v>
      </c>
      <c r="KX2" s="15" t="s">
        <v>87</v>
      </c>
      <c r="KY2" s="6">
        <v>9</v>
      </c>
      <c r="KZ2" s="6">
        <v>1</v>
      </c>
      <c r="LA2" s="35">
        <v>0.98335613769282448</v>
      </c>
      <c r="LB2" t="s">
        <v>1</v>
      </c>
      <c r="LD2" s="13" t="s">
        <v>302</v>
      </c>
      <c r="LE2" s="21" t="s">
        <v>26</v>
      </c>
      <c r="LF2" s="6">
        <v>11</v>
      </c>
      <c r="LG2" s="6">
        <v>0</v>
      </c>
      <c r="LH2" s="35">
        <v>0.98852487820866541</v>
      </c>
      <c r="LI2" s="22" t="s">
        <v>381</v>
      </c>
      <c r="LK2" s="13" t="s">
        <v>302</v>
      </c>
      <c r="LL2" s="21" t="s">
        <v>26</v>
      </c>
      <c r="LM2" s="6">
        <v>11</v>
      </c>
      <c r="LN2" s="6">
        <v>0</v>
      </c>
      <c r="LO2" s="35">
        <v>0.99067827377097073</v>
      </c>
      <c r="LP2" t="s">
        <v>1</v>
      </c>
      <c r="LR2" s="13" t="s">
        <v>302</v>
      </c>
      <c r="LS2" s="58" t="s">
        <v>795</v>
      </c>
      <c r="LT2" s="6">
        <v>11</v>
      </c>
      <c r="LU2" s="6">
        <v>1</v>
      </c>
      <c r="LV2" s="35">
        <v>0.97830332503238915</v>
      </c>
      <c r="LW2" s="22" t="s">
        <v>381</v>
      </c>
      <c r="LY2" s="13" t="s">
        <v>302</v>
      </c>
      <c r="LZ2" s="15" t="s">
        <v>87</v>
      </c>
      <c r="MA2" s="6">
        <v>11</v>
      </c>
      <c r="MB2" s="6">
        <v>1</v>
      </c>
      <c r="MC2" s="35">
        <v>0.98758035074013573</v>
      </c>
      <c r="MD2" s="22" t="s">
        <v>381</v>
      </c>
      <c r="MF2" s="13" t="s">
        <v>302</v>
      </c>
      <c r="MG2" s="15" t="s">
        <v>87</v>
      </c>
      <c r="MH2" s="6">
        <v>12</v>
      </c>
      <c r="MI2" s="6">
        <v>1</v>
      </c>
      <c r="MJ2" s="35">
        <v>0.99723237558990618</v>
      </c>
      <c r="MK2" t="s">
        <v>1</v>
      </c>
      <c r="MM2" s="13" t="s">
        <v>302</v>
      </c>
      <c r="MN2" s="15" t="s">
        <v>87</v>
      </c>
      <c r="MO2" s="6">
        <v>12</v>
      </c>
      <c r="MP2" s="6">
        <v>1</v>
      </c>
      <c r="MQ2" s="35">
        <v>0.99711166189617184</v>
      </c>
      <c r="MR2" t="s">
        <v>1</v>
      </c>
      <c r="MT2" s="13" t="s">
        <v>302</v>
      </c>
      <c r="MU2" s="15" t="s">
        <v>87</v>
      </c>
      <c r="MV2" s="6">
        <v>12</v>
      </c>
      <c r="MW2" s="6">
        <v>1</v>
      </c>
      <c r="MX2" s="35">
        <v>0.99688696961673751</v>
      </c>
      <c r="MY2" t="s">
        <v>1</v>
      </c>
      <c r="NA2" s="13" t="s">
        <v>302</v>
      </c>
      <c r="NB2" s="15" t="s">
        <v>5064</v>
      </c>
      <c r="NC2" s="6">
        <v>13</v>
      </c>
      <c r="ND2" s="6">
        <v>1</v>
      </c>
      <c r="NE2" s="35">
        <v>0.99893071286046808</v>
      </c>
      <c r="NF2" t="s">
        <v>1</v>
      </c>
      <c r="NH2" s="13" t="s">
        <v>302</v>
      </c>
      <c r="NI2" s="15" t="s">
        <v>5089</v>
      </c>
      <c r="NJ2" s="1">
        <v>13</v>
      </c>
      <c r="NK2" s="1">
        <v>1</v>
      </c>
      <c r="NL2" s="36">
        <v>0.99780196185280778</v>
      </c>
      <c r="NM2" t="s">
        <v>1</v>
      </c>
      <c r="NO2" s="13" t="s">
        <v>302</v>
      </c>
      <c r="NP2" s="15" t="s">
        <v>5089</v>
      </c>
      <c r="NQ2" s="1">
        <v>13</v>
      </c>
      <c r="NR2" s="1">
        <v>1</v>
      </c>
      <c r="NS2" s="36">
        <v>0.99911453368750114</v>
      </c>
      <c r="NT2" t="s">
        <v>1</v>
      </c>
      <c r="NV2" s="13" t="s">
        <v>302</v>
      </c>
      <c r="NW2" s="15" t="s">
        <v>5089</v>
      </c>
      <c r="NX2" s="1">
        <v>13</v>
      </c>
      <c r="NY2" s="1">
        <v>1</v>
      </c>
      <c r="NZ2" s="36">
        <v>0.99774062345480763</v>
      </c>
      <c r="OA2" t="s">
        <v>1</v>
      </c>
      <c r="OC2" s="13" t="s">
        <v>302</v>
      </c>
      <c r="OD2" s="15" t="s">
        <v>5089</v>
      </c>
      <c r="OE2" s="1">
        <v>13</v>
      </c>
      <c r="OF2" s="1">
        <v>1</v>
      </c>
      <c r="OG2" s="36">
        <v>0.9982273994538734</v>
      </c>
      <c r="OH2" t="s">
        <v>1</v>
      </c>
      <c r="OJ2" s="13" t="s">
        <v>302</v>
      </c>
      <c r="OK2" s="15" t="s">
        <v>5089</v>
      </c>
      <c r="OL2" s="1">
        <v>13</v>
      </c>
      <c r="OM2" s="1">
        <v>1</v>
      </c>
      <c r="ON2" s="36">
        <v>0.99722386853950373</v>
      </c>
      <c r="OO2" t="s">
        <v>1</v>
      </c>
      <c r="OQ2" s="13" t="s">
        <v>302</v>
      </c>
      <c r="OR2" s="15" t="s">
        <v>5089</v>
      </c>
      <c r="OS2" s="1">
        <v>13</v>
      </c>
      <c r="OT2" s="1">
        <v>1</v>
      </c>
      <c r="OU2" s="36">
        <v>0.99731185459753324</v>
      </c>
      <c r="OV2" t="s">
        <v>1</v>
      </c>
      <c r="OX2" s="13" t="s">
        <v>302</v>
      </c>
      <c r="OY2" s="15" t="s">
        <v>5089</v>
      </c>
      <c r="OZ2" s="1">
        <v>13</v>
      </c>
      <c r="PA2" s="1">
        <v>1</v>
      </c>
      <c r="PB2" s="36">
        <v>0.99908116437794126</v>
      </c>
      <c r="PC2" t="s">
        <v>1</v>
      </c>
      <c r="PE2" s="13" t="s">
        <v>302</v>
      </c>
      <c r="PF2" s="15" t="s">
        <v>5089</v>
      </c>
      <c r="PG2" s="1">
        <v>13</v>
      </c>
      <c r="PH2" s="1">
        <v>1</v>
      </c>
      <c r="PI2" s="36">
        <v>0.99815418573712111</v>
      </c>
      <c r="PJ2" t="s">
        <v>1</v>
      </c>
    </row>
    <row r="3" spans="2:426" x14ac:dyDescent="0.35">
      <c r="B3" s="13" t="s">
        <v>303</v>
      </c>
      <c r="C3" s="17" t="s">
        <v>57</v>
      </c>
      <c r="D3" t="s">
        <v>327</v>
      </c>
      <c r="E3">
        <v>118</v>
      </c>
      <c r="G3" s="13" t="s">
        <v>303</v>
      </c>
      <c r="H3" s="16" t="s">
        <v>69</v>
      </c>
      <c r="I3" t="s">
        <v>378</v>
      </c>
      <c r="J3">
        <v>136</v>
      </c>
      <c r="K3" s="22" t="s">
        <v>381</v>
      </c>
      <c r="M3" s="13" t="s">
        <v>303</v>
      </c>
      <c r="N3" s="19" t="s">
        <v>41</v>
      </c>
      <c r="O3" s="9" t="s">
        <v>429</v>
      </c>
      <c r="P3">
        <v>163</v>
      </c>
      <c r="Q3" s="8" t="s">
        <v>386</v>
      </c>
      <c r="S3" s="13" t="s">
        <v>303</v>
      </c>
      <c r="T3" s="21" t="s">
        <v>24</v>
      </c>
      <c r="U3" s="9" t="s">
        <v>458</v>
      </c>
      <c r="V3">
        <v>160</v>
      </c>
      <c r="W3" s="22" t="s">
        <v>385</v>
      </c>
      <c r="Y3" s="13" t="s">
        <v>303</v>
      </c>
      <c r="Z3" s="21" t="s">
        <v>24</v>
      </c>
      <c r="AA3" s="9" t="s">
        <v>497</v>
      </c>
      <c r="AB3">
        <v>155</v>
      </c>
      <c r="AC3" t="s">
        <v>1</v>
      </c>
      <c r="AE3" s="13" t="s">
        <v>303</v>
      </c>
      <c r="AF3" s="19" t="s">
        <v>39</v>
      </c>
      <c r="AG3" s="9" t="s">
        <v>517</v>
      </c>
      <c r="AH3">
        <v>154</v>
      </c>
      <c r="AI3" s="22" t="s">
        <v>381</v>
      </c>
      <c r="AK3" s="13" t="s">
        <v>303</v>
      </c>
      <c r="AL3" s="19" t="s">
        <v>39</v>
      </c>
      <c r="AM3" s="9" t="s">
        <v>539</v>
      </c>
      <c r="AN3">
        <v>155</v>
      </c>
      <c r="AO3" t="s">
        <v>1</v>
      </c>
      <c r="AQ3" s="13" t="s">
        <v>303</v>
      </c>
      <c r="AR3" s="19" t="s">
        <v>39</v>
      </c>
      <c r="AS3" s="9" t="s">
        <v>560</v>
      </c>
      <c r="AT3">
        <v>157</v>
      </c>
      <c r="AU3" t="s">
        <v>1</v>
      </c>
      <c r="AW3" s="13" t="s">
        <v>303</v>
      </c>
      <c r="AX3" s="19" t="s">
        <v>39</v>
      </c>
      <c r="AY3" s="9">
        <v>9</v>
      </c>
      <c r="AZ3" s="9">
        <v>0</v>
      </c>
      <c r="BA3">
        <v>0.88413500492138863</v>
      </c>
      <c r="BB3" t="s">
        <v>1</v>
      </c>
      <c r="BD3" s="13" t="s">
        <v>303</v>
      </c>
      <c r="BE3" s="19" t="s">
        <v>39</v>
      </c>
      <c r="BF3" s="9">
        <v>9</v>
      </c>
      <c r="BG3" s="9">
        <v>1</v>
      </c>
      <c r="BH3" s="35">
        <v>0.84349377543084536</v>
      </c>
      <c r="BI3" t="s">
        <v>1</v>
      </c>
      <c r="BK3" s="13" t="s">
        <v>303</v>
      </c>
      <c r="BL3" s="16" t="s">
        <v>69</v>
      </c>
      <c r="BM3">
        <v>10</v>
      </c>
      <c r="BN3">
        <v>1</v>
      </c>
      <c r="BO3" s="35">
        <v>0.82690349241879646</v>
      </c>
      <c r="BP3" s="22" t="s">
        <v>432</v>
      </c>
      <c r="BR3" s="13" t="s">
        <v>303</v>
      </c>
      <c r="BS3" s="16" t="s">
        <v>69</v>
      </c>
      <c r="BT3">
        <v>11</v>
      </c>
      <c r="BU3">
        <v>1</v>
      </c>
      <c r="BV3" s="35">
        <v>0.82761794365055219</v>
      </c>
      <c r="BW3" t="s">
        <v>1</v>
      </c>
      <c r="BY3" s="13" t="s">
        <v>303</v>
      </c>
      <c r="BZ3" s="16" t="s">
        <v>69</v>
      </c>
      <c r="CA3">
        <v>12</v>
      </c>
      <c r="CB3">
        <v>1</v>
      </c>
      <c r="CC3" s="35">
        <v>0.8178259568748969</v>
      </c>
      <c r="CD3" t="s">
        <v>1</v>
      </c>
      <c r="CF3" s="13" t="s">
        <v>303</v>
      </c>
      <c r="CG3" s="19" t="s">
        <v>900</v>
      </c>
      <c r="CH3" s="9">
        <v>11</v>
      </c>
      <c r="CI3" s="9">
        <v>3</v>
      </c>
      <c r="CJ3" s="35">
        <v>0.80322765626749992</v>
      </c>
      <c r="CK3" s="8" t="s">
        <v>386</v>
      </c>
      <c r="CM3" s="13" t="s">
        <v>303</v>
      </c>
      <c r="CN3" s="21" t="s">
        <v>119</v>
      </c>
      <c r="CO3">
        <v>13</v>
      </c>
      <c r="CP3">
        <v>4</v>
      </c>
      <c r="CQ3" s="35">
        <v>0.72002954619218396</v>
      </c>
      <c r="CR3" s="22" t="s">
        <v>384</v>
      </c>
      <c r="CT3" s="13" t="s">
        <v>303</v>
      </c>
      <c r="CU3" s="21" t="s">
        <v>26</v>
      </c>
      <c r="CV3">
        <v>1</v>
      </c>
      <c r="CW3">
        <v>0</v>
      </c>
      <c r="CX3" s="35">
        <v>0.88421024564449124</v>
      </c>
      <c r="CY3" t="s">
        <v>637</v>
      </c>
      <c r="DA3" s="13" t="s">
        <v>303</v>
      </c>
      <c r="DB3" s="21" t="s">
        <v>119</v>
      </c>
      <c r="DC3">
        <v>2</v>
      </c>
      <c r="DD3">
        <v>0</v>
      </c>
      <c r="DE3" s="35">
        <v>0.89638999558577959</v>
      </c>
      <c r="DF3" s="22" t="s">
        <v>391</v>
      </c>
      <c r="DH3" s="13" t="s">
        <v>303</v>
      </c>
      <c r="DI3" s="21" t="s">
        <v>119</v>
      </c>
      <c r="DJ3">
        <v>2</v>
      </c>
      <c r="DK3">
        <v>0</v>
      </c>
      <c r="DL3" s="35">
        <v>0.897887321788988</v>
      </c>
      <c r="DM3" t="s">
        <v>1</v>
      </c>
      <c r="DO3" s="13" t="s">
        <v>303</v>
      </c>
      <c r="DP3" s="19" t="s">
        <v>41</v>
      </c>
      <c r="DQ3">
        <v>3</v>
      </c>
      <c r="DR3">
        <v>0</v>
      </c>
      <c r="DS3" s="35">
        <v>0.91852316460357497</v>
      </c>
      <c r="DT3" s="22" t="s">
        <v>381</v>
      </c>
      <c r="DV3" s="13" t="s">
        <v>303</v>
      </c>
      <c r="DW3" s="19" t="s">
        <v>41</v>
      </c>
      <c r="DX3">
        <v>4</v>
      </c>
      <c r="DY3">
        <v>0</v>
      </c>
      <c r="DZ3" s="35">
        <v>0.95419875584147429</v>
      </c>
      <c r="EA3" t="s">
        <v>1</v>
      </c>
      <c r="EC3" s="13" t="s">
        <v>303</v>
      </c>
      <c r="ED3" s="19" t="s">
        <v>41</v>
      </c>
      <c r="EE3">
        <v>5</v>
      </c>
      <c r="EF3">
        <v>0</v>
      </c>
      <c r="EG3" s="35">
        <v>0.95618772852169232</v>
      </c>
      <c r="EH3" t="s">
        <v>1</v>
      </c>
      <c r="EJ3" s="13" t="s">
        <v>303</v>
      </c>
      <c r="EK3" s="19" t="s">
        <v>41</v>
      </c>
      <c r="EL3">
        <v>6</v>
      </c>
      <c r="EM3">
        <v>0</v>
      </c>
      <c r="EN3" s="35">
        <v>0.97730257717508029</v>
      </c>
      <c r="EO3" t="s">
        <v>1</v>
      </c>
      <c r="EQ3" s="13" t="s">
        <v>303</v>
      </c>
      <c r="ER3" s="19" t="s">
        <v>41</v>
      </c>
      <c r="ES3">
        <v>7</v>
      </c>
      <c r="ET3">
        <v>0</v>
      </c>
      <c r="EU3" s="35">
        <v>0.95496797174604175</v>
      </c>
      <c r="EV3" t="s">
        <v>1</v>
      </c>
      <c r="EX3" s="13" t="s">
        <v>303</v>
      </c>
      <c r="EY3" s="16" t="s">
        <v>69</v>
      </c>
      <c r="EZ3">
        <v>8</v>
      </c>
      <c r="FA3">
        <v>0</v>
      </c>
      <c r="FB3" s="35">
        <v>0.93391423061746703</v>
      </c>
      <c r="FC3" s="8" t="s">
        <v>386</v>
      </c>
      <c r="FE3" s="13" t="s">
        <v>303</v>
      </c>
      <c r="FF3" s="19" t="s">
        <v>41</v>
      </c>
      <c r="FG3">
        <v>9</v>
      </c>
      <c r="FH3">
        <v>0</v>
      </c>
      <c r="FI3" s="35">
        <v>0.93481072087895023</v>
      </c>
      <c r="FJ3" s="8" t="s">
        <v>386</v>
      </c>
      <c r="FL3" s="13" t="s">
        <v>303</v>
      </c>
      <c r="FM3" s="19" t="s">
        <v>41</v>
      </c>
      <c r="FN3" s="1">
        <v>9</v>
      </c>
      <c r="FO3" s="1">
        <v>1</v>
      </c>
      <c r="FP3" s="35">
        <v>0.83392214464114578</v>
      </c>
      <c r="FQ3" t="s">
        <v>1</v>
      </c>
      <c r="FS3" s="13" t="s">
        <v>303</v>
      </c>
      <c r="FT3" s="17" t="s">
        <v>49</v>
      </c>
      <c r="FU3" s="6">
        <v>10</v>
      </c>
      <c r="FV3" s="6">
        <v>1</v>
      </c>
      <c r="FW3" s="35">
        <v>0.78918483902365599</v>
      </c>
      <c r="FX3" s="22" t="s">
        <v>384</v>
      </c>
      <c r="FZ3" s="13" t="s">
        <v>303</v>
      </c>
      <c r="GA3" s="21" t="s">
        <v>31</v>
      </c>
      <c r="GB3" s="6">
        <v>10</v>
      </c>
      <c r="GC3" s="6">
        <v>2</v>
      </c>
      <c r="GD3" s="35">
        <v>0.79738284521619218</v>
      </c>
      <c r="GE3" s="22" t="s">
        <v>384</v>
      </c>
      <c r="GG3" s="13" t="s">
        <v>303</v>
      </c>
      <c r="GH3" s="21" t="s">
        <v>1182</v>
      </c>
      <c r="GI3" s="6">
        <v>12</v>
      </c>
      <c r="GJ3" s="6">
        <v>1</v>
      </c>
      <c r="GK3" s="35">
        <v>0.84634923285939634</v>
      </c>
      <c r="GL3" s="22" t="s">
        <v>381</v>
      </c>
      <c r="GN3" s="13" t="s">
        <v>303</v>
      </c>
      <c r="GO3" s="21" t="s">
        <v>1182</v>
      </c>
      <c r="GP3" s="6">
        <v>12</v>
      </c>
      <c r="GQ3" s="6">
        <v>1</v>
      </c>
      <c r="GR3" s="35">
        <v>0.84379095182481267</v>
      </c>
      <c r="GS3" t="s">
        <v>1</v>
      </c>
      <c r="GU3" s="13" t="s">
        <v>303</v>
      </c>
      <c r="GV3" s="21" t="s">
        <v>1235</v>
      </c>
      <c r="GW3">
        <v>13</v>
      </c>
      <c r="GX3">
        <v>2</v>
      </c>
      <c r="GY3" s="35">
        <v>0.85605323385501408</v>
      </c>
      <c r="GZ3" t="s">
        <v>1</v>
      </c>
      <c r="HB3" s="13" t="s">
        <v>303</v>
      </c>
      <c r="HC3" s="21" t="s">
        <v>1244</v>
      </c>
      <c r="HD3">
        <v>15</v>
      </c>
      <c r="HE3">
        <v>2</v>
      </c>
      <c r="HF3" s="35">
        <v>0.88273752309515707</v>
      </c>
      <c r="HG3" t="s">
        <v>1</v>
      </c>
      <c r="HI3" s="13" t="s">
        <v>303</v>
      </c>
      <c r="HJ3" s="19" t="s">
        <v>1243</v>
      </c>
      <c r="HK3">
        <v>14</v>
      </c>
      <c r="HL3">
        <v>5</v>
      </c>
      <c r="HM3" s="35">
        <v>0.84467311206713036</v>
      </c>
      <c r="HN3" s="8" t="s">
        <v>386</v>
      </c>
      <c r="HP3" s="13" t="s">
        <v>303</v>
      </c>
      <c r="HQ3" s="17" t="s">
        <v>300</v>
      </c>
      <c r="HR3">
        <v>1</v>
      </c>
      <c r="HS3">
        <v>0</v>
      </c>
      <c r="HT3" s="35">
        <v>0.90639821416339172</v>
      </c>
      <c r="HU3" s="22" t="s">
        <v>381</v>
      </c>
      <c r="HW3" s="13" t="s">
        <v>303</v>
      </c>
      <c r="HX3" s="16" t="s">
        <v>59</v>
      </c>
      <c r="HY3">
        <v>2</v>
      </c>
      <c r="HZ3">
        <v>0</v>
      </c>
      <c r="IA3" s="35">
        <v>0.93199501841647836</v>
      </c>
      <c r="IB3" s="22" t="s">
        <v>432</v>
      </c>
      <c r="ID3" s="13" t="s">
        <v>303</v>
      </c>
      <c r="IE3" s="16" t="s">
        <v>59</v>
      </c>
      <c r="IF3">
        <v>3</v>
      </c>
      <c r="IG3">
        <v>0</v>
      </c>
      <c r="IH3" s="35">
        <v>0.94070281430838465</v>
      </c>
      <c r="II3" t="s">
        <v>1</v>
      </c>
      <c r="IK3" s="13" t="s">
        <v>303</v>
      </c>
      <c r="IL3" s="16" t="s">
        <v>59</v>
      </c>
      <c r="IM3">
        <v>4</v>
      </c>
      <c r="IN3">
        <v>0</v>
      </c>
      <c r="IO3" s="35">
        <v>0.96373762670282048</v>
      </c>
      <c r="IP3" t="s">
        <v>1</v>
      </c>
      <c r="IR3" s="13" t="s">
        <v>303</v>
      </c>
      <c r="IS3" s="21" t="s">
        <v>26</v>
      </c>
      <c r="IT3">
        <v>5</v>
      </c>
      <c r="IU3">
        <v>0</v>
      </c>
      <c r="IV3" s="35">
        <v>0.97961405442901262</v>
      </c>
      <c r="IW3" s="22" t="s">
        <v>381</v>
      </c>
      <c r="IY3" s="13" t="s">
        <v>303</v>
      </c>
      <c r="IZ3" s="21" t="s">
        <v>26</v>
      </c>
      <c r="JA3">
        <v>6</v>
      </c>
      <c r="JB3">
        <v>0</v>
      </c>
      <c r="JC3" s="35">
        <v>0.94248649278176966</v>
      </c>
      <c r="JD3" t="s">
        <v>1</v>
      </c>
      <c r="JF3" s="13" t="s">
        <v>303</v>
      </c>
      <c r="JG3" s="17" t="s">
        <v>118</v>
      </c>
      <c r="JH3" s="6">
        <v>7</v>
      </c>
      <c r="JI3" s="6">
        <v>0</v>
      </c>
      <c r="JJ3" s="35">
        <v>0.92641707480606506</v>
      </c>
      <c r="JK3" s="22" t="s">
        <v>381</v>
      </c>
      <c r="JM3" s="13" t="s">
        <v>303</v>
      </c>
      <c r="JN3" s="15" t="s">
        <v>87</v>
      </c>
      <c r="JO3" s="6">
        <v>7</v>
      </c>
      <c r="JP3" s="6">
        <v>1</v>
      </c>
      <c r="JQ3" s="35">
        <v>0.9034836448649971</v>
      </c>
      <c r="JR3" s="22" t="s">
        <v>381</v>
      </c>
      <c r="JT3" s="13" t="s">
        <v>303</v>
      </c>
      <c r="JU3" s="15" t="s">
        <v>87</v>
      </c>
      <c r="JV3" s="6">
        <v>7</v>
      </c>
      <c r="JW3" s="6">
        <v>1</v>
      </c>
      <c r="JX3" s="35">
        <v>0.90492993349918738</v>
      </c>
      <c r="JY3" t="s">
        <v>1</v>
      </c>
      <c r="JZ3" s="22" t="s">
        <v>381</v>
      </c>
      <c r="KB3" s="13" t="s">
        <v>303</v>
      </c>
      <c r="KC3" s="21" t="s">
        <v>26</v>
      </c>
      <c r="KD3" s="6">
        <v>9</v>
      </c>
      <c r="KE3" s="6">
        <v>0</v>
      </c>
      <c r="KF3" s="35">
        <v>0.93217610334283163</v>
      </c>
      <c r="KG3" s="22" t="s">
        <v>381</v>
      </c>
      <c r="KI3" s="13" t="s">
        <v>303</v>
      </c>
      <c r="KJ3" s="58" t="s">
        <v>795</v>
      </c>
      <c r="KK3" s="6">
        <v>8</v>
      </c>
      <c r="KL3" s="6">
        <v>1</v>
      </c>
      <c r="KM3" s="35">
        <v>0.96821626021580176</v>
      </c>
      <c r="KN3" s="8" t="s">
        <v>386</v>
      </c>
      <c r="KP3" s="13" t="s">
        <v>303</v>
      </c>
      <c r="KQ3" s="58" t="s">
        <v>795</v>
      </c>
      <c r="KR3" s="6">
        <v>9</v>
      </c>
      <c r="KS3" s="6">
        <v>1</v>
      </c>
      <c r="KT3" s="35">
        <v>0.97018515998964272</v>
      </c>
      <c r="KU3" t="s">
        <v>1</v>
      </c>
      <c r="KW3" s="13" t="s">
        <v>303</v>
      </c>
      <c r="KX3" s="21" t="s">
        <v>26</v>
      </c>
      <c r="KY3" s="6">
        <v>10</v>
      </c>
      <c r="KZ3" s="6">
        <v>0</v>
      </c>
      <c r="LA3" s="35">
        <v>0.97529408542053009</v>
      </c>
      <c r="LB3" s="22" t="s">
        <v>381</v>
      </c>
      <c r="LD3" s="13" t="s">
        <v>303</v>
      </c>
      <c r="LE3" s="15" t="s">
        <v>87</v>
      </c>
      <c r="LF3" s="6">
        <v>10</v>
      </c>
      <c r="LG3" s="6">
        <v>1</v>
      </c>
      <c r="LH3" s="35">
        <v>0.98162178650674015</v>
      </c>
      <c r="LI3" s="8" t="s">
        <v>386</v>
      </c>
      <c r="LK3" s="13" t="s">
        <v>303</v>
      </c>
      <c r="LL3" s="58" t="s">
        <v>795</v>
      </c>
      <c r="LM3" s="6">
        <v>10</v>
      </c>
      <c r="LN3" s="6">
        <v>1</v>
      </c>
      <c r="LO3" s="35">
        <v>0.97983649258724992</v>
      </c>
      <c r="LP3" s="22" t="s">
        <v>381</v>
      </c>
      <c r="LR3" s="13" t="s">
        <v>303</v>
      </c>
      <c r="LS3" s="15" t="s">
        <v>87</v>
      </c>
      <c r="LT3" s="6">
        <v>11</v>
      </c>
      <c r="LU3" s="6">
        <v>1</v>
      </c>
      <c r="LV3" s="35">
        <v>0.97582154079445049</v>
      </c>
      <c r="LW3" s="22" t="s">
        <v>381</v>
      </c>
      <c r="LY3" s="13" t="s">
        <v>303</v>
      </c>
      <c r="LZ3" s="58" t="s">
        <v>795</v>
      </c>
      <c r="MA3" s="6">
        <v>11</v>
      </c>
      <c r="MB3" s="6">
        <v>1</v>
      </c>
      <c r="MC3" s="35">
        <v>0.98172264240679752</v>
      </c>
      <c r="MD3" s="8" t="s">
        <v>386</v>
      </c>
      <c r="MF3" s="13" t="s">
        <v>303</v>
      </c>
      <c r="MG3" s="21" t="s">
        <v>26</v>
      </c>
      <c r="MH3" s="6">
        <v>13</v>
      </c>
      <c r="MI3" s="6">
        <v>0</v>
      </c>
      <c r="MJ3" s="35">
        <v>0.97238003470735934</v>
      </c>
      <c r="MK3" s="22" t="s">
        <v>381</v>
      </c>
      <c r="MM3" s="13" t="s">
        <v>303</v>
      </c>
      <c r="MN3" s="21" t="s">
        <v>26</v>
      </c>
      <c r="MO3" s="6">
        <v>13</v>
      </c>
      <c r="MP3" s="6">
        <v>0</v>
      </c>
      <c r="MQ3" s="35">
        <v>0.9617786234544391</v>
      </c>
      <c r="MR3" t="s">
        <v>1</v>
      </c>
      <c r="MT3" s="13" t="s">
        <v>303</v>
      </c>
      <c r="MU3" s="21" t="s">
        <v>26</v>
      </c>
      <c r="MV3" s="6">
        <v>13</v>
      </c>
      <c r="MW3" s="6">
        <v>0</v>
      </c>
      <c r="MX3" s="35">
        <v>0.95762897140889658</v>
      </c>
      <c r="MY3" t="s">
        <v>1</v>
      </c>
      <c r="NA3" s="13" t="s">
        <v>303</v>
      </c>
      <c r="NB3" s="21" t="s">
        <v>5065</v>
      </c>
      <c r="NC3" s="6">
        <v>14</v>
      </c>
      <c r="ND3" s="6">
        <v>0</v>
      </c>
      <c r="NE3" s="35">
        <v>0.94873935853976199</v>
      </c>
      <c r="NF3" t="s">
        <v>1</v>
      </c>
      <c r="NH3" s="13" t="s">
        <v>303</v>
      </c>
      <c r="NI3" s="17" t="s">
        <v>5087</v>
      </c>
      <c r="NJ3" s="1">
        <v>13</v>
      </c>
      <c r="NK3" s="1">
        <v>1</v>
      </c>
      <c r="NL3" s="36">
        <v>0.94514021908214907</v>
      </c>
      <c r="NM3" s="22" t="s">
        <v>381</v>
      </c>
      <c r="NO3" s="13" t="s">
        <v>303</v>
      </c>
      <c r="NP3" s="17" t="s">
        <v>5087</v>
      </c>
      <c r="NQ3" s="1">
        <v>13</v>
      </c>
      <c r="NR3" s="1">
        <v>1</v>
      </c>
      <c r="NS3" s="36">
        <v>0.94644532159048855</v>
      </c>
      <c r="NT3" t="s">
        <v>1</v>
      </c>
      <c r="NV3" s="13" t="s">
        <v>303</v>
      </c>
      <c r="NW3" s="17" t="s">
        <v>5087</v>
      </c>
      <c r="NX3" s="1">
        <v>13</v>
      </c>
      <c r="NY3" s="1">
        <v>1</v>
      </c>
      <c r="NZ3" s="36">
        <v>0.94519277016704029</v>
      </c>
      <c r="OA3" t="s">
        <v>1</v>
      </c>
      <c r="OC3" s="13" t="s">
        <v>303</v>
      </c>
      <c r="OD3" s="21" t="s">
        <v>5065</v>
      </c>
      <c r="OE3" s="1">
        <v>14</v>
      </c>
      <c r="OF3" s="1">
        <v>0</v>
      </c>
      <c r="OG3" s="36">
        <v>0.9351772618683758</v>
      </c>
      <c r="OH3" s="22" t="s">
        <v>381</v>
      </c>
      <c r="OJ3" s="13" t="s">
        <v>303</v>
      </c>
      <c r="OK3" s="21" t="s">
        <v>5065</v>
      </c>
      <c r="OL3" s="1">
        <v>14</v>
      </c>
      <c r="OM3" s="1">
        <v>0</v>
      </c>
      <c r="ON3" s="36">
        <v>0.93356870885550614</v>
      </c>
      <c r="OO3" t="s">
        <v>1</v>
      </c>
      <c r="OQ3" s="13" t="s">
        <v>303</v>
      </c>
      <c r="OR3" s="17" t="s">
        <v>5087</v>
      </c>
      <c r="OS3" s="1">
        <v>13</v>
      </c>
      <c r="OT3" s="1">
        <v>1</v>
      </c>
      <c r="OU3" s="36">
        <v>0.94181219072904321</v>
      </c>
      <c r="OV3" s="22" t="s">
        <v>381</v>
      </c>
      <c r="OX3" s="13" t="s">
        <v>303</v>
      </c>
      <c r="OY3" s="21" t="s">
        <v>5065</v>
      </c>
      <c r="OZ3" s="1">
        <v>14</v>
      </c>
      <c r="PA3" s="1">
        <v>0</v>
      </c>
      <c r="PB3" s="36">
        <v>0.95789365567487406</v>
      </c>
      <c r="PC3" s="22" t="s">
        <v>381</v>
      </c>
      <c r="PE3" s="13" t="s">
        <v>303</v>
      </c>
      <c r="PF3" s="21" t="s">
        <v>5065</v>
      </c>
      <c r="PG3" s="1">
        <v>14</v>
      </c>
      <c r="PH3" s="1">
        <v>0</v>
      </c>
      <c r="PI3" s="36">
        <v>0.95589641699323113</v>
      </c>
      <c r="PJ3" t="s">
        <v>1</v>
      </c>
    </row>
    <row r="4" spans="2:426" x14ac:dyDescent="0.35">
      <c r="B4" s="13" t="s">
        <v>304</v>
      </c>
      <c r="C4" s="16" t="s">
        <v>69</v>
      </c>
      <c r="D4" t="s">
        <v>327</v>
      </c>
      <c r="E4">
        <v>106</v>
      </c>
      <c r="G4" s="13" t="s">
        <v>304</v>
      </c>
      <c r="H4" s="19" t="s">
        <v>38</v>
      </c>
      <c r="I4" s="9" t="s">
        <v>378</v>
      </c>
      <c r="J4">
        <v>131</v>
      </c>
      <c r="K4" s="8" t="s">
        <v>383</v>
      </c>
      <c r="M4" s="13" t="s">
        <v>304</v>
      </c>
      <c r="N4" s="19" t="s">
        <v>35</v>
      </c>
      <c r="O4" s="9" t="s">
        <v>429</v>
      </c>
      <c r="P4">
        <v>153</v>
      </c>
      <c r="Q4" s="22" t="s">
        <v>384</v>
      </c>
      <c r="S4" s="13" t="s">
        <v>304</v>
      </c>
      <c r="T4" s="19" t="s">
        <v>41</v>
      </c>
      <c r="U4" s="9" t="s">
        <v>458</v>
      </c>
      <c r="V4">
        <v>153</v>
      </c>
      <c r="W4" s="8" t="s">
        <v>386</v>
      </c>
      <c r="Y4" s="13" t="s">
        <v>304</v>
      </c>
      <c r="Z4" s="19" t="s">
        <v>39</v>
      </c>
      <c r="AA4" s="9" t="s">
        <v>497</v>
      </c>
      <c r="AB4">
        <v>153</v>
      </c>
      <c r="AC4" s="22" t="s">
        <v>381</v>
      </c>
      <c r="AE4" s="13" t="s">
        <v>304</v>
      </c>
      <c r="AF4" s="21" t="s">
        <v>24</v>
      </c>
      <c r="AG4" s="9" t="s">
        <v>517</v>
      </c>
      <c r="AH4">
        <v>151</v>
      </c>
      <c r="AI4" s="8" t="s">
        <v>386</v>
      </c>
      <c r="AK4" s="13" t="s">
        <v>304</v>
      </c>
      <c r="AL4" s="21" t="s">
        <v>24</v>
      </c>
      <c r="AM4" t="s">
        <v>540</v>
      </c>
      <c r="AN4">
        <v>151</v>
      </c>
      <c r="AO4" t="s">
        <v>1</v>
      </c>
      <c r="AQ4" s="13" t="s">
        <v>304</v>
      </c>
      <c r="AR4" s="21" t="s">
        <v>24</v>
      </c>
      <c r="AS4" t="s">
        <v>343</v>
      </c>
      <c r="AT4">
        <v>152</v>
      </c>
      <c r="AU4" t="s">
        <v>1</v>
      </c>
      <c r="AW4" s="13" t="s">
        <v>304</v>
      </c>
      <c r="AX4" s="21" t="s">
        <v>24</v>
      </c>
      <c r="AY4">
        <v>8</v>
      </c>
      <c r="AZ4">
        <v>1</v>
      </c>
      <c r="BA4">
        <v>0.81466324364871223</v>
      </c>
      <c r="BB4" t="s">
        <v>1</v>
      </c>
      <c r="BD4" s="13" t="s">
        <v>304</v>
      </c>
      <c r="BE4" s="21" t="s">
        <v>24</v>
      </c>
      <c r="BF4">
        <v>9</v>
      </c>
      <c r="BG4">
        <v>1</v>
      </c>
      <c r="BH4" s="35">
        <v>0.83324817682542029</v>
      </c>
      <c r="BI4" t="s">
        <v>1</v>
      </c>
      <c r="BK4" s="13" t="s">
        <v>304</v>
      </c>
      <c r="BL4" s="21" t="s">
        <v>24</v>
      </c>
      <c r="BM4">
        <v>9</v>
      </c>
      <c r="BN4">
        <v>2</v>
      </c>
      <c r="BO4" s="35">
        <v>0.81409878344714603</v>
      </c>
      <c r="BP4" t="s">
        <v>1</v>
      </c>
      <c r="BR4" s="13" t="s">
        <v>304</v>
      </c>
      <c r="BS4" s="19" t="s">
        <v>39</v>
      </c>
      <c r="BT4" s="9">
        <v>10</v>
      </c>
      <c r="BU4" s="9">
        <v>2</v>
      </c>
      <c r="BV4" s="35">
        <v>0.79351205480964315</v>
      </c>
      <c r="BW4" s="22" t="s">
        <v>381</v>
      </c>
      <c r="BY4" s="13" t="s">
        <v>304</v>
      </c>
      <c r="BZ4" s="19" t="s">
        <v>38</v>
      </c>
      <c r="CA4" s="9">
        <v>12</v>
      </c>
      <c r="CB4" s="9">
        <v>1</v>
      </c>
      <c r="CC4" s="35">
        <v>0.78256143496078789</v>
      </c>
      <c r="CD4" s="22" t="s">
        <v>381</v>
      </c>
      <c r="CF4" s="13" t="s">
        <v>304</v>
      </c>
      <c r="CG4" s="19" t="s">
        <v>38</v>
      </c>
      <c r="CH4" s="9">
        <v>12</v>
      </c>
      <c r="CI4" s="9">
        <v>1</v>
      </c>
      <c r="CJ4" s="35">
        <v>0.75061992957671753</v>
      </c>
      <c r="CK4" s="22" t="s">
        <v>1</v>
      </c>
      <c r="CM4" s="13" t="s">
        <v>304</v>
      </c>
      <c r="CN4" s="19" t="s">
        <v>900</v>
      </c>
      <c r="CO4" s="9">
        <v>13</v>
      </c>
      <c r="CP4" s="9">
        <v>5</v>
      </c>
      <c r="CQ4" s="35">
        <v>0.68688131533193753</v>
      </c>
      <c r="CR4" s="8" t="s">
        <v>386</v>
      </c>
      <c r="CT4" s="13" t="s">
        <v>304</v>
      </c>
      <c r="CU4" s="19" t="s">
        <v>40</v>
      </c>
      <c r="CV4">
        <v>1</v>
      </c>
      <c r="CW4">
        <v>0</v>
      </c>
      <c r="CX4" s="35">
        <v>0.86863026388114473</v>
      </c>
      <c r="CY4" s="22" t="s">
        <v>757</v>
      </c>
      <c r="DA4" s="13" t="s">
        <v>304</v>
      </c>
      <c r="DB4" s="19" t="s">
        <v>41</v>
      </c>
      <c r="DC4">
        <v>2</v>
      </c>
      <c r="DD4">
        <v>0</v>
      </c>
      <c r="DE4" s="35">
        <v>0.88350335789017986</v>
      </c>
      <c r="DF4" s="22" t="s">
        <v>433</v>
      </c>
      <c r="DH4" s="13" t="s">
        <v>304</v>
      </c>
      <c r="DI4" s="19" t="s">
        <v>41</v>
      </c>
      <c r="DJ4">
        <v>2</v>
      </c>
      <c r="DK4">
        <v>0</v>
      </c>
      <c r="DL4" s="35">
        <v>0.88695790334472535</v>
      </c>
      <c r="DM4" t="s">
        <v>1</v>
      </c>
      <c r="DO4" s="13" t="s">
        <v>304</v>
      </c>
      <c r="DP4" s="17" t="s">
        <v>49</v>
      </c>
      <c r="DQ4">
        <v>3</v>
      </c>
      <c r="DR4">
        <v>0</v>
      </c>
      <c r="DS4" s="35">
        <v>0.90677568281105869</v>
      </c>
      <c r="DT4" s="22" t="s">
        <v>462</v>
      </c>
      <c r="DV4" s="13" t="s">
        <v>304</v>
      </c>
      <c r="DW4" s="17" t="s">
        <v>49</v>
      </c>
      <c r="DX4">
        <v>4</v>
      </c>
      <c r="DY4">
        <v>0</v>
      </c>
      <c r="DZ4" s="35">
        <v>0.93994944877333197</v>
      </c>
      <c r="EA4" t="s">
        <v>1</v>
      </c>
      <c r="EC4" s="13" t="s">
        <v>304</v>
      </c>
      <c r="ED4" s="17" t="s">
        <v>49</v>
      </c>
      <c r="EE4">
        <v>5</v>
      </c>
      <c r="EF4">
        <v>0</v>
      </c>
      <c r="EG4" s="35">
        <v>0.93810805745835979</v>
      </c>
      <c r="EH4" t="s">
        <v>1</v>
      </c>
      <c r="EJ4" s="13" t="s">
        <v>304</v>
      </c>
      <c r="EK4" s="21" t="s">
        <v>31</v>
      </c>
      <c r="EL4">
        <v>6</v>
      </c>
      <c r="EM4">
        <v>0</v>
      </c>
      <c r="EN4" s="35">
        <v>0.90888806797057264</v>
      </c>
      <c r="EO4" s="22" t="s">
        <v>381</v>
      </c>
      <c r="EQ4" s="13" t="s">
        <v>304</v>
      </c>
      <c r="ER4" s="21" t="s">
        <v>31</v>
      </c>
      <c r="ES4">
        <v>7</v>
      </c>
      <c r="ET4">
        <v>0</v>
      </c>
      <c r="EU4" s="35">
        <v>0.90637192364211661</v>
      </c>
      <c r="EV4" t="s">
        <v>1</v>
      </c>
      <c r="EX4" s="13" t="s">
        <v>304</v>
      </c>
      <c r="EY4" s="21" t="s">
        <v>31</v>
      </c>
      <c r="EZ4">
        <v>8</v>
      </c>
      <c r="FA4">
        <v>0</v>
      </c>
      <c r="FB4" s="35">
        <v>0.88867345090626737</v>
      </c>
      <c r="FC4" t="s">
        <v>1</v>
      </c>
      <c r="FE4" s="13" t="s">
        <v>304</v>
      </c>
      <c r="FF4" s="21" t="s">
        <v>31</v>
      </c>
      <c r="FG4">
        <v>9</v>
      </c>
      <c r="FH4">
        <v>0</v>
      </c>
      <c r="FI4" s="35">
        <v>0.8999435641666601</v>
      </c>
      <c r="FJ4" t="s">
        <v>1</v>
      </c>
      <c r="FL4" s="13" t="s">
        <v>304</v>
      </c>
      <c r="FM4" s="21" t="s">
        <v>31</v>
      </c>
      <c r="FN4" s="1">
        <v>9</v>
      </c>
      <c r="FO4" s="1">
        <v>1</v>
      </c>
      <c r="FP4" s="35">
        <v>0.83337164427735444</v>
      </c>
      <c r="FQ4" t="s">
        <v>1</v>
      </c>
      <c r="FS4" s="13" t="s">
        <v>304</v>
      </c>
      <c r="FT4" s="16" t="s">
        <v>69</v>
      </c>
      <c r="FU4" s="1">
        <v>9</v>
      </c>
      <c r="FV4" s="1">
        <v>2</v>
      </c>
      <c r="FW4" s="35">
        <v>0.78052474179691589</v>
      </c>
      <c r="FX4" s="8" t="s">
        <v>383</v>
      </c>
      <c r="FZ4" s="13" t="s">
        <v>304</v>
      </c>
      <c r="GA4" s="21" t="s">
        <v>34</v>
      </c>
      <c r="GB4" s="6">
        <v>11</v>
      </c>
      <c r="GC4" s="6">
        <v>1</v>
      </c>
      <c r="GD4" s="35">
        <v>0.7833985417882251</v>
      </c>
      <c r="GE4" s="22" t="s">
        <v>381</v>
      </c>
      <c r="GG4" s="13" t="s">
        <v>304</v>
      </c>
      <c r="GH4" s="16" t="s">
        <v>718</v>
      </c>
      <c r="GI4" s="6">
        <v>10</v>
      </c>
      <c r="GJ4" s="6">
        <v>3</v>
      </c>
      <c r="GK4" s="35">
        <v>0.80751398507188943</v>
      </c>
      <c r="GL4" s="22" t="s">
        <v>384</v>
      </c>
      <c r="GN4" s="13" t="s">
        <v>304</v>
      </c>
      <c r="GO4" s="21" t="s">
        <v>1212</v>
      </c>
      <c r="GP4" s="6">
        <v>10</v>
      </c>
      <c r="GQ4" s="6">
        <v>3</v>
      </c>
      <c r="GR4" s="35">
        <v>0.81154782760407806</v>
      </c>
      <c r="GS4" s="22" t="s">
        <v>381</v>
      </c>
      <c r="GU4" s="13" t="s">
        <v>304</v>
      </c>
      <c r="GV4" s="17" t="s">
        <v>1236</v>
      </c>
      <c r="GW4">
        <v>13</v>
      </c>
      <c r="GX4">
        <v>2</v>
      </c>
      <c r="GY4" s="35">
        <v>0.82087869149632908</v>
      </c>
      <c r="GZ4" s="22" t="s">
        <v>384</v>
      </c>
      <c r="HB4" s="13" t="s">
        <v>304</v>
      </c>
      <c r="HC4" s="17" t="s">
        <v>1236</v>
      </c>
      <c r="HD4">
        <v>14</v>
      </c>
      <c r="HE4">
        <v>3</v>
      </c>
      <c r="HF4" s="35">
        <v>0.81228772108675074</v>
      </c>
      <c r="HG4" t="s">
        <v>1</v>
      </c>
      <c r="HI4" s="13" t="s">
        <v>304</v>
      </c>
      <c r="HJ4" s="17" t="s">
        <v>1236</v>
      </c>
      <c r="HK4">
        <v>14</v>
      </c>
      <c r="HL4">
        <v>3</v>
      </c>
      <c r="HM4" s="35">
        <v>0.78844413145420633</v>
      </c>
      <c r="HN4" t="s">
        <v>1</v>
      </c>
      <c r="HP4" s="13" t="s">
        <v>304</v>
      </c>
      <c r="HQ4" s="15" t="s">
        <v>87</v>
      </c>
      <c r="HR4">
        <v>1</v>
      </c>
      <c r="HS4">
        <v>0</v>
      </c>
      <c r="HT4" s="35">
        <v>0.89873486034751926</v>
      </c>
      <c r="HU4" s="22" t="s">
        <v>462</v>
      </c>
      <c r="HW4" s="13" t="s">
        <v>304</v>
      </c>
      <c r="HX4" s="15" t="s">
        <v>87</v>
      </c>
      <c r="HY4">
        <v>2</v>
      </c>
      <c r="HZ4">
        <v>0</v>
      </c>
      <c r="IA4" s="35">
        <v>0.92742084621954746</v>
      </c>
      <c r="IB4" t="s">
        <v>1</v>
      </c>
      <c r="ID4" s="13" t="s">
        <v>304</v>
      </c>
      <c r="IE4" s="17" t="s">
        <v>118</v>
      </c>
      <c r="IF4">
        <v>3</v>
      </c>
      <c r="IG4">
        <v>0</v>
      </c>
      <c r="IH4" s="35">
        <v>0.91451193214617632</v>
      </c>
      <c r="II4" s="22" t="s">
        <v>384</v>
      </c>
      <c r="IK4" s="13" t="s">
        <v>304</v>
      </c>
      <c r="IL4" s="21" t="s">
        <v>26</v>
      </c>
      <c r="IM4">
        <v>4</v>
      </c>
      <c r="IN4">
        <v>0</v>
      </c>
      <c r="IO4" s="35">
        <v>0.95491723551039076</v>
      </c>
      <c r="IP4" s="22" t="s">
        <v>381</v>
      </c>
      <c r="IR4" s="13" t="s">
        <v>304</v>
      </c>
      <c r="IS4" s="21" t="s">
        <v>119</v>
      </c>
      <c r="IT4">
        <v>4</v>
      </c>
      <c r="IU4">
        <v>1</v>
      </c>
      <c r="IV4" s="35">
        <v>0.90904502532333176</v>
      </c>
      <c r="IW4" s="22" t="s">
        <v>384</v>
      </c>
      <c r="IY4" s="13" t="s">
        <v>304</v>
      </c>
      <c r="IZ4" s="17" t="s">
        <v>118</v>
      </c>
      <c r="JA4">
        <v>6</v>
      </c>
      <c r="JB4">
        <v>0</v>
      </c>
      <c r="JC4" s="35">
        <v>0.9259951956869763</v>
      </c>
      <c r="JD4" s="22" t="s">
        <v>381</v>
      </c>
      <c r="JF4" s="13" t="s">
        <v>304</v>
      </c>
      <c r="JG4" s="15" t="s">
        <v>87</v>
      </c>
      <c r="JH4" s="6">
        <v>6</v>
      </c>
      <c r="JI4" s="6">
        <v>1</v>
      </c>
      <c r="JJ4" s="35">
        <v>0.91022986451855947</v>
      </c>
      <c r="JK4" s="8" t="s">
        <v>383</v>
      </c>
      <c r="JM4" s="13" t="s">
        <v>304</v>
      </c>
      <c r="JN4" s="21" t="s">
        <v>26</v>
      </c>
      <c r="JO4" s="6">
        <v>8</v>
      </c>
      <c r="JP4" s="6">
        <v>0</v>
      </c>
      <c r="JQ4" s="35">
        <v>0.89671586811541959</v>
      </c>
      <c r="JR4" s="8" t="s">
        <v>383</v>
      </c>
      <c r="JT4" s="13" t="s">
        <v>304</v>
      </c>
      <c r="JU4" s="21" t="s">
        <v>26</v>
      </c>
      <c r="JV4" s="6">
        <v>8</v>
      </c>
      <c r="JW4" s="6">
        <v>0</v>
      </c>
      <c r="JX4" s="35">
        <v>0.89863339294156597</v>
      </c>
      <c r="JY4" t="s">
        <v>1</v>
      </c>
      <c r="JZ4" s="8" t="s">
        <v>383</v>
      </c>
      <c r="KB4" s="13" t="s">
        <v>304</v>
      </c>
      <c r="KC4" s="15" t="s">
        <v>87</v>
      </c>
      <c r="KD4" s="6">
        <v>8</v>
      </c>
      <c r="KE4" s="6">
        <v>1</v>
      </c>
      <c r="KF4" s="35">
        <v>0.91732982434102128</v>
      </c>
      <c r="KG4" s="8" t="s">
        <v>386</v>
      </c>
      <c r="KI4" s="13" t="s">
        <v>304</v>
      </c>
      <c r="KJ4" s="21" t="s">
        <v>26</v>
      </c>
      <c r="KK4" s="6">
        <v>9</v>
      </c>
      <c r="KL4" s="6">
        <v>0</v>
      </c>
      <c r="KM4" s="35">
        <v>0.94237701070529178</v>
      </c>
      <c r="KN4" s="8" t="s">
        <v>386</v>
      </c>
      <c r="KP4" s="13" t="s">
        <v>304</v>
      </c>
      <c r="KQ4" s="21" t="s">
        <v>26</v>
      </c>
      <c r="KR4" s="6">
        <v>10</v>
      </c>
      <c r="KS4" s="6">
        <v>0</v>
      </c>
      <c r="KT4" s="35">
        <v>0.96273804339055613</v>
      </c>
      <c r="KU4" t="s">
        <v>1</v>
      </c>
      <c r="KW4" s="13" t="s">
        <v>304</v>
      </c>
      <c r="KX4" s="58" t="s">
        <v>795</v>
      </c>
      <c r="KY4" s="6">
        <v>9</v>
      </c>
      <c r="KZ4" s="6">
        <v>1</v>
      </c>
      <c r="LA4" s="35">
        <v>0.97378634001194275</v>
      </c>
      <c r="LB4" s="8" t="s">
        <v>386</v>
      </c>
      <c r="LD4" s="13" t="s">
        <v>304</v>
      </c>
      <c r="LE4" s="58" t="s">
        <v>795</v>
      </c>
      <c r="LF4" s="6">
        <v>10</v>
      </c>
      <c r="LG4" s="6">
        <v>1</v>
      </c>
      <c r="LH4" s="35">
        <v>0.96065915676901803</v>
      </c>
      <c r="LI4" t="s">
        <v>1</v>
      </c>
      <c r="LK4" s="13" t="s">
        <v>304</v>
      </c>
      <c r="LL4" s="15" t="s">
        <v>87</v>
      </c>
      <c r="LM4" s="6">
        <v>10</v>
      </c>
      <c r="LN4" s="6">
        <v>1</v>
      </c>
      <c r="LO4" s="35">
        <v>0.96495379743788368</v>
      </c>
      <c r="LP4" s="8" t="s">
        <v>386</v>
      </c>
      <c r="LR4" s="13" t="s">
        <v>304</v>
      </c>
      <c r="LS4" s="21" t="s">
        <v>26</v>
      </c>
      <c r="LT4" s="6">
        <v>12</v>
      </c>
      <c r="LU4" s="6">
        <v>0</v>
      </c>
      <c r="LV4" s="35">
        <v>0.97062929338670312</v>
      </c>
      <c r="LW4" s="8" t="s">
        <v>383</v>
      </c>
      <c r="LY4" s="13" t="s">
        <v>304</v>
      </c>
      <c r="LZ4" s="21" t="s">
        <v>26</v>
      </c>
      <c r="MA4" s="6">
        <v>12</v>
      </c>
      <c r="MB4" s="6">
        <v>0</v>
      </c>
      <c r="MC4" s="35">
        <v>0.98022003488842679</v>
      </c>
      <c r="MD4" t="s">
        <v>1</v>
      </c>
      <c r="MF4" s="13" t="s">
        <v>304</v>
      </c>
      <c r="MG4" s="17" t="s">
        <v>118</v>
      </c>
      <c r="MH4" s="6">
        <v>12</v>
      </c>
      <c r="MI4" s="6">
        <v>1</v>
      </c>
      <c r="MJ4" s="35">
        <v>0.92719905211263698</v>
      </c>
      <c r="MK4" s="22" t="s">
        <v>432</v>
      </c>
      <c r="MM4" s="13" t="s">
        <v>304</v>
      </c>
      <c r="MN4" s="17" t="s">
        <v>118</v>
      </c>
      <c r="MO4" s="6">
        <v>12</v>
      </c>
      <c r="MP4" s="6">
        <v>1</v>
      </c>
      <c r="MQ4" s="35">
        <v>0.93177359630751988</v>
      </c>
      <c r="MR4" t="s">
        <v>1</v>
      </c>
      <c r="MT4" s="13" t="s">
        <v>304</v>
      </c>
      <c r="MU4" s="17" t="s">
        <v>118</v>
      </c>
      <c r="MV4" s="6">
        <v>12</v>
      </c>
      <c r="MW4" s="6">
        <v>1</v>
      </c>
      <c r="MX4" s="35">
        <v>0.94358012318809281</v>
      </c>
      <c r="MY4" t="s">
        <v>1</v>
      </c>
      <c r="NA4" s="13" t="s">
        <v>304</v>
      </c>
      <c r="NB4" s="17" t="s">
        <v>5066</v>
      </c>
      <c r="NC4" s="6">
        <v>13</v>
      </c>
      <c r="ND4" s="6">
        <v>1</v>
      </c>
      <c r="NE4" s="35">
        <v>0.94574975049775545</v>
      </c>
      <c r="NF4" t="s">
        <v>1</v>
      </c>
      <c r="NH4" s="13" t="s">
        <v>304</v>
      </c>
      <c r="NI4" s="21" t="s">
        <v>5065</v>
      </c>
      <c r="NJ4" s="1">
        <v>14</v>
      </c>
      <c r="NK4" s="1">
        <v>0</v>
      </c>
      <c r="NL4" s="36">
        <v>0.94049192848777685</v>
      </c>
      <c r="NM4" s="8" t="s">
        <v>386</v>
      </c>
      <c r="NO4" s="13" t="s">
        <v>304</v>
      </c>
      <c r="NP4" s="21" t="s">
        <v>5065</v>
      </c>
      <c r="NQ4" s="1">
        <v>14</v>
      </c>
      <c r="NR4" s="1">
        <v>0</v>
      </c>
      <c r="NS4" s="36">
        <v>0.94156665766331837</v>
      </c>
      <c r="NT4" t="s">
        <v>1</v>
      </c>
      <c r="NV4" s="13" t="s">
        <v>304</v>
      </c>
      <c r="NW4" s="21" t="s">
        <v>5065</v>
      </c>
      <c r="NX4" s="1">
        <v>14</v>
      </c>
      <c r="NY4" s="1">
        <v>0</v>
      </c>
      <c r="NZ4" s="36">
        <v>0.93987413052856783</v>
      </c>
      <c r="OA4" t="s">
        <v>1</v>
      </c>
      <c r="OC4" s="13" t="s">
        <v>304</v>
      </c>
      <c r="OD4" s="17" t="s">
        <v>5087</v>
      </c>
      <c r="OE4" s="1">
        <v>13</v>
      </c>
      <c r="OF4" s="1">
        <v>1</v>
      </c>
      <c r="OG4" s="36">
        <v>0.93055902492790987</v>
      </c>
      <c r="OH4" s="8" t="s">
        <v>386</v>
      </c>
      <c r="OJ4" s="13" t="s">
        <v>304</v>
      </c>
      <c r="OK4" s="17" t="s">
        <v>5087</v>
      </c>
      <c r="OL4" s="1">
        <v>13</v>
      </c>
      <c r="OM4" s="1">
        <v>1</v>
      </c>
      <c r="ON4" s="36">
        <v>0.92966881412897195</v>
      </c>
      <c r="OO4" t="s">
        <v>1</v>
      </c>
      <c r="OQ4" s="13" t="s">
        <v>304</v>
      </c>
      <c r="OR4" s="21" t="s">
        <v>5065</v>
      </c>
      <c r="OS4" s="1">
        <v>14</v>
      </c>
      <c r="OT4" s="1">
        <v>0</v>
      </c>
      <c r="OU4" s="36">
        <v>0.93655967233778281</v>
      </c>
      <c r="OV4" s="8" t="s">
        <v>386</v>
      </c>
      <c r="OX4" s="13" t="s">
        <v>304</v>
      </c>
      <c r="OY4" s="17" t="s">
        <v>5087</v>
      </c>
      <c r="OZ4" s="1">
        <v>13</v>
      </c>
      <c r="PA4" s="1">
        <v>1</v>
      </c>
      <c r="PB4" s="36">
        <v>0.94397382784742012</v>
      </c>
      <c r="PC4" s="8" t="s">
        <v>386</v>
      </c>
      <c r="PE4" s="13" t="s">
        <v>304</v>
      </c>
      <c r="PF4" s="17" t="s">
        <v>5258</v>
      </c>
      <c r="PG4" s="1">
        <v>13</v>
      </c>
      <c r="PH4" s="1">
        <v>1</v>
      </c>
      <c r="PI4" s="36">
        <v>0.94989295732327617</v>
      </c>
      <c r="PJ4" t="s">
        <v>1</v>
      </c>
    </row>
    <row r="5" spans="2:426" x14ac:dyDescent="0.35">
      <c r="B5" s="13" t="s">
        <v>305</v>
      </c>
      <c r="C5" s="19" t="s">
        <v>35</v>
      </c>
      <c r="D5" t="s">
        <v>327</v>
      </c>
      <c r="E5">
        <v>98</v>
      </c>
      <c r="G5" s="13" t="s">
        <v>305</v>
      </c>
      <c r="H5" s="19" t="s">
        <v>2011</v>
      </c>
      <c r="I5" s="9" t="s">
        <v>378</v>
      </c>
      <c r="J5">
        <v>119</v>
      </c>
      <c r="K5" s="22" t="s">
        <v>384</v>
      </c>
      <c r="M5" s="13" t="s">
        <v>305</v>
      </c>
      <c r="N5" s="19" t="s">
        <v>45</v>
      </c>
      <c r="O5" s="9" t="s">
        <v>429</v>
      </c>
      <c r="P5">
        <v>138</v>
      </c>
      <c r="Q5" s="22" t="s">
        <v>382</v>
      </c>
      <c r="S5" s="13" t="s">
        <v>305</v>
      </c>
      <c r="T5" s="19" t="s">
        <v>35</v>
      </c>
      <c r="U5" s="9" t="s">
        <v>458</v>
      </c>
      <c r="V5">
        <v>148</v>
      </c>
      <c r="W5" s="8" t="s">
        <v>386</v>
      </c>
      <c r="Y5" s="13" t="s">
        <v>305</v>
      </c>
      <c r="Z5" s="19" t="s">
        <v>41</v>
      </c>
      <c r="AA5" s="9" t="s">
        <v>497</v>
      </c>
      <c r="AB5">
        <v>147</v>
      </c>
      <c r="AC5" s="8" t="s">
        <v>386</v>
      </c>
      <c r="AE5" s="13" t="s">
        <v>305</v>
      </c>
      <c r="AF5" s="19" t="s">
        <v>41</v>
      </c>
      <c r="AG5" s="9" t="s">
        <v>517</v>
      </c>
      <c r="AH5">
        <v>144</v>
      </c>
      <c r="AI5" t="s">
        <v>1</v>
      </c>
      <c r="AK5" s="13" t="s">
        <v>305</v>
      </c>
      <c r="AL5" s="16" t="s">
        <v>69</v>
      </c>
      <c r="AM5" t="s">
        <v>540</v>
      </c>
      <c r="AN5">
        <v>145</v>
      </c>
      <c r="AO5" s="22" t="s">
        <v>381</v>
      </c>
      <c r="AQ5" s="13" t="s">
        <v>305</v>
      </c>
      <c r="AR5" s="16" t="s">
        <v>69</v>
      </c>
      <c r="AS5" t="s">
        <v>343</v>
      </c>
      <c r="AT5">
        <v>152</v>
      </c>
      <c r="AU5" t="s">
        <v>1</v>
      </c>
      <c r="AW5" s="13" t="s">
        <v>305</v>
      </c>
      <c r="AX5" s="19" t="s">
        <v>41</v>
      </c>
      <c r="AY5">
        <v>8</v>
      </c>
      <c r="AZ5">
        <v>1</v>
      </c>
      <c r="BA5">
        <v>0.80935947048675361</v>
      </c>
      <c r="BB5" s="22" t="s">
        <v>432</v>
      </c>
      <c r="BD5" s="13" t="s">
        <v>305</v>
      </c>
      <c r="BE5" s="16" t="s">
        <v>69</v>
      </c>
      <c r="BF5">
        <v>9</v>
      </c>
      <c r="BG5">
        <v>1</v>
      </c>
      <c r="BH5" s="35">
        <v>0.82402021473704201</v>
      </c>
      <c r="BI5" s="22" t="s">
        <v>381</v>
      </c>
      <c r="BK5" s="13" t="s">
        <v>305</v>
      </c>
      <c r="BL5" s="19" t="s">
        <v>39</v>
      </c>
      <c r="BM5" s="9">
        <v>9</v>
      </c>
      <c r="BN5" s="9">
        <v>2</v>
      </c>
      <c r="BO5" s="35">
        <v>0.79542174912863106</v>
      </c>
      <c r="BP5" s="8" t="s">
        <v>383</v>
      </c>
      <c r="BR5" s="13" t="s">
        <v>305</v>
      </c>
      <c r="BS5" s="19" t="s">
        <v>38</v>
      </c>
      <c r="BT5" s="9">
        <v>11</v>
      </c>
      <c r="BU5" s="9">
        <v>1</v>
      </c>
      <c r="BV5" s="35">
        <v>0.7860622122394183</v>
      </c>
      <c r="BW5" s="22" t="s">
        <v>381</v>
      </c>
      <c r="BY5" s="13" t="s">
        <v>305</v>
      </c>
      <c r="BZ5" s="21" t="s">
        <v>24</v>
      </c>
      <c r="CA5">
        <v>10</v>
      </c>
      <c r="CB5">
        <v>3</v>
      </c>
      <c r="CC5" s="35">
        <v>0.76675262014723822</v>
      </c>
      <c r="CD5" s="22" t="s">
        <v>381</v>
      </c>
      <c r="CF5" s="13" t="s">
        <v>305</v>
      </c>
      <c r="CG5" s="21" t="s">
        <v>24</v>
      </c>
      <c r="CH5">
        <v>10</v>
      </c>
      <c r="CI5">
        <v>4</v>
      </c>
      <c r="CJ5" s="35">
        <v>0.74016871661809014</v>
      </c>
      <c r="CK5" s="22" t="s">
        <v>1</v>
      </c>
      <c r="CM5" s="13" t="s">
        <v>305</v>
      </c>
      <c r="CN5" s="15" t="s">
        <v>729</v>
      </c>
      <c r="CO5" s="9">
        <v>13</v>
      </c>
      <c r="CP5" s="9">
        <v>6</v>
      </c>
      <c r="CQ5" s="35">
        <v>0.64267977981610791</v>
      </c>
      <c r="CR5" s="22" t="s">
        <v>728</v>
      </c>
      <c r="CT5" s="13" t="s">
        <v>305</v>
      </c>
      <c r="CU5" s="17" t="s">
        <v>49</v>
      </c>
      <c r="CV5">
        <v>1</v>
      </c>
      <c r="CW5">
        <v>0</v>
      </c>
      <c r="CX5" s="35">
        <v>0.86529734164692729</v>
      </c>
      <c r="CY5" s="22" t="s">
        <v>758</v>
      </c>
      <c r="DA5" s="13" t="s">
        <v>305</v>
      </c>
      <c r="DB5" s="21" t="s">
        <v>26</v>
      </c>
      <c r="DC5">
        <v>2</v>
      </c>
      <c r="DD5">
        <v>0</v>
      </c>
      <c r="DE5" s="35">
        <v>0.87836389816667726</v>
      </c>
      <c r="DF5" s="8" t="s">
        <v>383</v>
      </c>
      <c r="DH5" s="13" t="s">
        <v>305</v>
      </c>
      <c r="DI5" s="21" t="s">
        <v>26</v>
      </c>
      <c r="DJ5">
        <v>2</v>
      </c>
      <c r="DK5">
        <v>0</v>
      </c>
      <c r="DL5" s="35">
        <v>0.88230329210607117</v>
      </c>
      <c r="DM5" t="s">
        <v>1</v>
      </c>
      <c r="DO5" s="13" t="s">
        <v>305</v>
      </c>
      <c r="DP5" s="19" t="s">
        <v>42</v>
      </c>
      <c r="DQ5">
        <v>3</v>
      </c>
      <c r="DR5">
        <v>0</v>
      </c>
      <c r="DS5" s="35">
        <v>0.90492827719989111</v>
      </c>
      <c r="DT5" s="22" t="s">
        <v>381</v>
      </c>
      <c r="DV5" s="13" t="s">
        <v>305</v>
      </c>
      <c r="DW5" s="21" t="s">
        <v>119</v>
      </c>
      <c r="DX5">
        <v>4</v>
      </c>
      <c r="DY5">
        <v>0</v>
      </c>
      <c r="DZ5" s="35">
        <v>0.89830263929466181</v>
      </c>
      <c r="EA5" s="22" t="s">
        <v>381</v>
      </c>
      <c r="EC5" s="13" t="s">
        <v>305</v>
      </c>
      <c r="ED5" s="21" t="s">
        <v>31</v>
      </c>
      <c r="EE5">
        <v>5</v>
      </c>
      <c r="EF5">
        <v>0</v>
      </c>
      <c r="EG5" s="35">
        <v>0.83788954705876273</v>
      </c>
      <c r="EH5" s="22" t="s">
        <v>432</v>
      </c>
      <c r="EJ5" s="13" t="s">
        <v>305</v>
      </c>
      <c r="EK5" s="17" t="s">
        <v>49</v>
      </c>
      <c r="EL5">
        <v>5</v>
      </c>
      <c r="EM5">
        <v>1</v>
      </c>
      <c r="EN5" s="35">
        <v>0.88875881458966721</v>
      </c>
      <c r="EO5" s="8" t="s">
        <v>386</v>
      </c>
      <c r="EQ5" s="13" t="s">
        <v>305</v>
      </c>
      <c r="ER5" s="17" t="s">
        <v>49</v>
      </c>
      <c r="ES5">
        <v>6</v>
      </c>
      <c r="ET5">
        <v>1</v>
      </c>
      <c r="EU5" s="35">
        <v>0.84508478419245048</v>
      </c>
      <c r="EV5" t="s">
        <v>1</v>
      </c>
      <c r="EX5" s="13" t="s">
        <v>305</v>
      </c>
      <c r="EY5" s="19" t="s">
        <v>42</v>
      </c>
      <c r="EZ5">
        <v>7</v>
      </c>
      <c r="FA5">
        <v>1</v>
      </c>
      <c r="FB5" s="35">
        <v>0.8422825186760674</v>
      </c>
      <c r="FC5" s="22" t="s">
        <v>381</v>
      </c>
      <c r="FE5" s="13" t="s">
        <v>305</v>
      </c>
      <c r="FF5" s="19" t="s">
        <v>42</v>
      </c>
      <c r="FG5">
        <v>8</v>
      </c>
      <c r="FH5">
        <v>1</v>
      </c>
      <c r="FI5" s="35">
        <v>0.83523926200072884</v>
      </c>
      <c r="FJ5" t="s">
        <v>1</v>
      </c>
      <c r="FL5" s="13" t="s">
        <v>305</v>
      </c>
      <c r="FM5" s="19" t="s">
        <v>42</v>
      </c>
      <c r="FN5">
        <v>9</v>
      </c>
      <c r="FO5">
        <v>1</v>
      </c>
      <c r="FP5" s="35">
        <v>0.79993248105990378</v>
      </c>
      <c r="FQ5" t="s">
        <v>1</v>
      </c>
      <c r="FS5" s="13" t="s">
        <v>305</v>
      </c>
      <c r="FT5" s="21" t="s">
        <v>34</v>
      </c>
      <c r="FU5" s="6">
        <v>10</v>
      </c>
      <c r="FV5" s="6">
        <v>1</v>
      </c>
      <c r="FW5" s="35">
        <v>0.77951030630516172</v>
      </c>
      <c r="FX5" s="22" t="s">
        <v>432</v>
      </c>
      <c r="FZ5" s="13" t="s">
        <v>305</v>
      </c>
      <c r="GA5" s="17" t="s">
        <v>49</v>
      </c>
      <c r="GB5" s="6">
        <v>11</v>
      </c>
      <c r="GC5" s="6">
        <v>1</v>
      </c>
      <c r="GD5" s="35">
        <v>0.77562766140242634</v>
      </c>
      <c r="GE5" s="8" t="s">
        <v>383</v>
      </c>
      <c r="GG5" s="13" t="s">
        <v>305</v>
      </c>
      <c r="GH5" s="21" t="s">
        <v>31</v>
      </c>
      <c r="GI5" s="6">
        <v>10</v>
      </c>
      <c r="GJ5" s="6">
        <v>3</v>
      </c>
      <c r="GK5" s="35">
        <v>0.80674786271436916</v>
      </c>
      <c r="GL5" s="8" t="s">
        <v>383</v>
      </c>
      <c r="GN5" s="13" t="s">
        <v>305</v>
      </c>
      <c r="GO5" s="16" t="s">
        <v>718</v>
      </c>
      <c r="GP5" s="6">
        <v>10</v>
      </c>
      <c r="GQ5" s="6">
        <v>3</v>
      </c>
      <c r="GR5" s="35">
        <v>0.80432813751946186</v>
      </c>
      <c r="GS5" s="8" t="s">
        <v>386</v>
      </c>
      <c r="GU5" s="13" t="s">
        <v>305</v>
      </c>
      <c r="GV5" s="16" t="s">
        <v>1237</v>
      </c>
      <c r="GW5">
        <v>11</v>
      </c>
      <c r="GX5">
        <v>4</v>
      </c>
      <c r="GY5" s="35">
        <v>0.8113069063120214</v>
      </c>
      <c r="GZ5" t="s">
        <v>1</v>
      </c>
      <c r="HB5" s="13" t="s">
        <v>305</v>
      </c>
      <c r="HC5" s="17" t="s">
        <v>1211</v>
      </c>
      <c r="HD5">
        <v>12</v>
      </c>
      <c r="HE5">
        <v>3</v>
      </c>
      <c r="HF5" s="35">
        <v>0.79156258537603263</v>
      </c>
      <c r="HG5" s="22" t="s">
        <v>381</v>
      </c>
      <c r="HI5" s="13" t="s">
        <v>305</v>
      </c>
      <c r="HJ5" s="17" t="s">
        <v>1211</v>
      </c>
      <c r="HK5">
        <v>12</v>
      </c>
      <c r="HL5">
        <v>3</v>
      </c>
      <c r="HM5" s="35">
        <v>0.77796098546497683</v>
      </c>
      <c r="HN5" t="s">
        <v>1</v>
      </c>
      <c r="HP5" s="13" t="s">
        <v>305</v>
      </c>
      <c r="HQ5" s="16" t="s">
        <v>59</v>
      </c>
      <c r="HR5">
        <v>1</v>
      </c>
      <c r="HS5">
        <v>0</v>
      </c>
      <c r="HT5" s="35">
        <v>0.87003937747715809</v>
      </c>
      <c r="HU5" s="22" t="s">
        <v>728</v>
      </c>
      <c r="HW5" s="13" t="s">
        <v>305</v>
      </c>
      <c r="HX5" s="19" t="s">
        <v>41</v>
      </c>
      <c r="HY5">
        <v>2</v>
      </c>
      <c r="HZ5">
        <v>0</v>
      </c>
      <c r="IA5" s="35">
        <v>0.90215679542923954</v>
      </c>
      <c r="IB5" s="22" t="s">
        <v>462</v>
      </c>
      <c r="ID5" s="13" t="s">
        <v>305</v>
      </c>
      <c r="IE5" s="21" t="s">
        <v>26</v>
      </c>
      <c r="IF5">
        <v>3</v>
      </c>
      <c r="IG5">
        <v>0</v>
      </c>
      <c r="IH5" s="35">
        <v>0.89172577812463205</v>
      </c>
      <c r="II5" s="22" t="s">
        <v>393</v>
      </c>
      <c r="IK5" s="13" t="s">
        <v>305</v>
      </c>
      <c r="IL5" s="19" t="s">
        <v>41</v>
      </c>
      <c r="IM5">
        <v>4</v>
      </c>
      <c r="IN5">
        <v>0</v>
      </c>
      <c r="IO5" s="35">
        <v>0.92020407539869709</v>
      </c>
      <c r="IP5" s="22" t="s">
        <v>381</v>
      </c>
      <c r="IR5" s="13" t="s">
        <v>305</v>
      </c>
      <c r="IS5" s="17" t="s">
        <v>118</v>
      </c>
      <c r="IT5">
        <v>5</v>
      </c>
      <c r="IU5">
        <v>0</v>
      </c>
      <c r="IV5" s="35">
        <v>0.9013152995804482</v>
      </c>
      <c r="IW5" s="22" t="s">
        <v>381</v>
      </c>
      <c r="IY5" s="13" t="s">
        <v>305</v>
      </c>
      <c r="IZ5" s="19" t="s">
        <v>40</v>
      </c>
      <c r="JA5">
        <v>6</v>
      </c>
      <c r="JB5">
        <v>0</v>
      </c>
      <c r="JC5" s="35">
        <v>0.92255280006416684</v>
      </c>
      <c r="JD5" s="22" t="s">
        <v>384</v>
      </c>
      <c r="JF5" s="13" t="s">
        <v>305</v>
      </c>
      <c r="JG5" s="58" t="s">
        <v>795</v>
      </c>
      <c r="JH5" s="6">
        <v>6</v>
      </c>
      <c r="JI5" s="6">
        <v>1</v>
      </c>
      <c r="JJ5" s="35">
        <v>0.88808936479458012</v>
      </c>
      <c r="JK5" s="22" t="s">
        <v>432</v>
      </c>
      <c r="JM5" s="13" t="s">
        <v>305</v>
      </c>
      <c r="JN5" s="69" t="s">
        <v>966</v>
      </c>
      <c r="JO5" s="6">
        <v>8</v>
      </c>
      <c r="JP5" s="6">
        <v>0</v>
      </c>
      <c r="JQ5" s="35">
        <v>0.87792505030644696</v>
      </c>
      <c r="JR5" s="22" t="s">
        <v>381</v>
      </c>
      <c r="JT5" s="13" t="s">
        <v>305</v>
      </c>
      <c r="JU5" s="69" t="s">
        <v>966</v>
      </c>
      <c r="JV5" s="6">
        <v>8</v>
      </c>
      <c r="JW5" s="6">
        <v>0</v>
      </c>
      <c r="JX5" s="35">
        <v>0.88884754166474156</v>
      </c>
      <c r="JY5" t="s">
        <v>1</v>
      </c>
      <c r="JZ5" s="22" t="s">
        <v>381</v>
      </c>
      <c r="KB5" s="13" t="s">
        <v>305</v>
      </c>
      <c r="KC5" s="21" t="s">
        <v>119</v>
      </c>
      <c r="KD5" s="6">
        <v>7</v>
      </c>
      <c r="KE5" s="6">
        <v>2</v>
      </c>
      <c r="KF5" s="35">
        <v>0.90448792368410369</v>
      </c>
      <c r="KG5" s="22" t="s">
        <v>381</v>
      </c>
      <c r="KI5" s="13" t="s">
        <v>305</v>
      </c>
      <c r="KJ5" s="21" t="s">
        <v>119</v>
      </c>
      <c r="KK5" s="6">
        <v>7</v>
      </c>
      <c r="KL5" s="6">
        <v>2</v>
      </c>
      <c r="KM5" s="35">
        <v>0.91562352057941587</v>
      </c>
      <c r="KN5" t="s">
        <v>1</v>
      </c>
      <c r="KP5" s="13" t="s">
        <v>305</v>
      </c>
      <c r="KQ5" s="21" t="s">
        <v>119</v>
      </c>
      <c r="KR5" s="6">
        <v>8</v>
      </c>
      <c r="KS5" s="6">
        <v>2</v>
      </c>
      <c r="KT5" s="35">
        <v>0.9250109258092043</v>
      </c>
      <c r="KU5" t="s">
        <v>1</v>
      </c>
      <c r="KW5" s="13" t="s">
        <v>305</v>
      </c>
      <c r="KX5" s="21" t="s">
        <v>119</v>
      </c>
      <c r="KY5" s="6">
        <v>8</v>
      </c>
      <c r="KZ5" s="6">
        <v>2</v>
      </c>
      <c r="LA5" s="35">
        <v>0.92974766244751228</v>
      </c>
      <c r="LB5" t="s">
        <v>1</v>
      </c>
      <c r="LD5" s="13" t="s">
        <v>305</v>
      </c>
      <c r="LE5" s="17" t="s">
        <v>118</v>
      </c>
      <c r="LF5" s="6">
        <v>10</v>
      </c>
      <c r="LG5" s="6">
        <v>1</v>
      </c>
      <c r="LH5" s="35">
        <v>0.93739166871794344</v>
      </c>
      <c r="LI5" s="22" t="s">
        <v>381</v>
      </c>
      <c r="LK5" s="13" t="s">
        <v>305</v>
      </c>
      <c r="LL5" s="21" t="s">
        <v>119</v>
      </c>
      <c r="LM5" s="6">
        <v>9</v>
      </c>
      <c r="LN5" s="6">
        <v>2</v>
      </c>
      <c r="LO5" s="35">
        <v>0.93744930680935756</v>
      </c>
      <c r="LP5" s="22" t="s">
        <v>381</v>
      </c>
      <c r="LR5" s="13" t="s">
        <v>305</v>
      </c>
      <c r="LS5" s="21" t="s">
        <v>119</v>
      </c>
      <c r="LT5" s="6">
        <v>10</v>
      </c>
      <c r="LU5" s="6">
        <v>2</v>
      </c>
      <c r="LV5" s="35">
        <v>0.9286757850887597</v>
      </c>
      <c r="LW5" t="s">
        <v>1</v>
      </c>
      <c r="LY5" s="13" t="s">
        <v>305</v>
      </c>
      <c r="LZ5" s="21" t="s">
        <v>119</v>
      </c>
      <c r="MA5" s="6">
        <v>10</v>
      </c>
      <c r="MB5" s="6">
        <v>2</v>
      </c>
      <c r="MC5" s="35">
        <v>0.94178100717468871</v>
      </c>
      <c r="MD5" t="s">
        <v>1</v>
      </c>
      <c r="MF5" s="13" t="s">
        <v>305</v>
      </c>
      <c r="MG5" s="58" t="s">
        <v>795</v>
      </c>
      <c r="MH5" s="6">
        <v>11</v>
      </c>
      <c r="MI5" s="6">
        <v>2</v>
      </c>
      <c r="MJ5" s="35">
        <v>0.91691842213322849</v>
      </c>
      <c r="MK5" s="8" t="s">
        <v>383</v>
      </c>
      <c r="MM5" s="13" t="s">
        <v>305</v>
      </c>
      <c r="MN5" s="58" t="s">
        <v>795</v>
      </c>
      <c r="MO5" s="6">
        <v>11</v>
      </c>
      <c r="MP5" s="6">
        <v>2</v>
      </c>
      <c r="MQ5" s="35">
        <v>0.9150200029569282</v>
      </c>
      <c r="MR5" t="s">
        <v>1</v>
      </c>
      <c r="MT5" s="13" t="s">
        <v>305</v>
      </c>
      <c r="MU5" s="58" t="s">
        <v>795</v>
      </c>
      <c r="MV5" s="6">
        <v>11</v>
      </c>
      <c r="MW5" s="6">
        <v>2</v>
      </c>
      <c r="MX5" s="35">
        <v>0.91659754961896689</v>
      </c>
      <c r="MY5" t="s">
        <v>1</v>
      </c>
      <c r="NA5" s="13" t="s">
        <v>305</v>
      </c>
      <c r="NB5" s="69" t="s">
        <v>5067</v>
      </c>
      <c r="NC5" s="6">
        <v>13</v>
      </c>
      <c r="ND5" s="6">
        <v>1</v>
      </c>
      <c r="NE5" s="35">
        <v>0.90720605095509421</v>
      </c>
      <c r="NF5" s="22" t="s">
        <v>381</v>
      </c>
      <c r="NH5" s="13" t="s">
        <v>305</v>
      </c>
      <c r="NI5" s="69" t="s">
        <v>5067</v>
      </c>
      <c r="NJ5" s="1">
        <v>13</v>
      </c>
      <c r="NK5" s="1">
        <v>1</v>
      </c>
      <c r="NL5" s="36">
        <v>0.89970832836436554</v>
      </c>
      <c r="NM5" t="s">
        <v>1</v>
      </c>
      <c r="NO5" s="13" t="s">
        <v>305</v>
      </c>
      <c r="NP5" s="69" t="s">
        <v>5067</v>
      </c>
      <c r="NQ5" s="1">
        <v>13</v>
      </c>
      <c r="NR5" s="1">
        <v>1</v>
      </c>
      <c r="NS5" s="36">
        <v>0.90033451145258736</v>
      </c>
      <c r="NT5" t="s">
        <v>1</v>
      </c>
      <c r="NV5" s="13" t="s">
        <v>305</v>
      </c>
      <c r="NW5" s="69" t="s">
        <v>5067</v>
      </c>
      <c r="NX5" s="1">
        <v>13</v>
      </c>
      <c r="NY5" s="1">
        <v>1</v>
      </c>
      <c r="NZ5" s="36">
        <v>0.89915112276635956</v>
      </c>
      <c r="OA5" t="s">
        <v>1</v>
      </c>
      <c r="OC5" s="13" t="s">
        <v>305</v>
      </c>
      <c r="OD5" s="58" t="s">
        <v>5068</v>
      </c>
      <c r="OE5" s="1">
        <v>12</v>
      </c>
      <c r="OF5" s="1">
        <v>2</v>
      </c>
      <c r="OG5" s="36">
        <v>0.88766260142922415</v>
      </c>
      <c r="OH5" s="22" t="s">
        <v>381</v>
      </c>
      <c r="OJ5" s="13" t="s">
        <v>305</v>
      </c>
      <c r="OK5" s="69" t="s">
        <v>5067</v>
      </c>
      <c r="OL5" s="1">
        <v>13</v>
      </c>
      <c r="OM5" s="1">
        <v>1</v>
      </c>
      <c r="ON5" s="36">
        <v>0.88828726363640709</v>
      </c>
      <c r="OO5" s="22" t="s">
        <v>381</v>
      </c>
      <c r="OQ5" s="13" t="s">
        <v>305</v>
      </c>
      <c r="OR5" s="58" t="s">
        <v>5068</v>
      </c>
      <c r="OS5" s="1">
        <v>12</v>
      </c>
      <c r="OT5" s="1">
        <v>2</v>
      </c>
      <c r="OU5" s="36">
        <v>0.90178191118140505</v>
      </c>
      <c r="OV5" s="22" t="s">
        <v>381</v>
      </c>
      <c r="OX5" s="13" t="s">
        <v>305</v>
      </c>
      <c r="OY5" s="58" t="s">
        <v>5068</v>
      </c>
      <c r="OZ5" s="1">
        <v>12</v>
      </c>
      <c r="PA5" s="1">
        <v>2</v>
      </c>
      <c r="PB5" s="36">
        <v>0.91744171887193038</v>
      </c>
      <c r="PC5" t="s">
        <v>1</v>
      </c>
      <c r="PE5" s="13" t="s">
        <v>305</v>
      </c>
      <c r="PF5" s="58" t="s">
        <v>5259</v>
      </c>
      <c r="PG5" s="1">
        <v>12</v>
      </c>
      <c r="PH5" s="1">
        <v>2</v>
      </c>
      <c r="PI5" s="36">
        <v>0.9130338693004576</v>
      </c>
      <c r="PJ5" t="s">
        <v>1</v>
      </c>
    </row>
    <row r="6" spans="2:426" x14ac:dyDescent="0.35">
      <c r="B6" s="13" t="s">
        <v>306</v>
      </c>
      <c r="C6" s="19" t="s">
        <v>46</v>
      </c>
      <c r="D6" t="s">
        <v>327</v>
      </c>
      <c r="E6">
        <v>95</v>
      </c>
      <c r="G6" s="13" t="s">
        <v>306</v>
      </c>
      <c r="H6" s="19" t="s">
        <v>1859</v>
      </c>
      <c r="I6" t="s">
        <v>378</v>
      </c>
      <c r="J6">
        <v>113</v>
      </c>
      <c r="K6" s="22" t="s">
        <v>385</v>
      </c>
      <c r="M6" s="13" t="s">
        <v>306</v>
      </c>
      <c r="N6" s="19" t="s">
        <v>39</v>
      </c>
      <c r="O6" s="9" t="s">
        <v>429</v>
      </c>
      <c r="P6">
        <v>137</v>
      </c>
      <c r="Q6" s="22" t="s">
        <v>389</v>
      </c>
      <c r="S6" s="13" t="s">
        <v>306</v>
      </c>
      <c r="T6" s="19" t="s">
        <v>40</v>
      </c>
      <c r="U6" s="9" t="s">
        <v>458</v>
      </c>
      <c r="V6">
        <v>144</v>
      </c>
      <c r="W6" s="22" t="s">
        <v>432</v>
      </c>
      <c r="Y6" s="13" t="s">
        <v>306</v>
      </c>
      <c r="Z6" s="16" t="s">
        <v>69</v>
      </c>
      <c r="AA6" t="s">
        <v>498</v>
      </c>
      <c r="AB6">
        <v>138</v>
      </c>
      <c r="AC6" s="22" t="s">
        <v>385</v>
      </c>
      <c r="AE6" s="13" t="s">
        <v>306</v>
      </c>
      <c r="AF6" s="16" t="s">
        <v>69</v>
      </c>
      <c r="AG6" t="s">
        <v>518</v>
      </c>
      <c r="AH6">
        <v>137</v>
      </c>
      <c r="AI6" t="s">
        <v>1</v>
      </c>
      <c r="AK6" s="13" t="s">
        <v>306</v>
      </c>
      <c r="AL6" s="19" t="s">
        <v>41</v>
      </c>
      <c r="AM6" t="s">
        <v>540</v>
      </c>
      <c r="AN6">
        <v>140</v>
      </c>
      <c r="AO6" s="8" t="s">
        <v>386</v>
      </c>
      <c r="AQ6" s="13" t="s">
        <v>306</v>
      </c>
      <c r="AR6" s="21" t="s">
        <v>119</v>
      </c>
      <c r="AS6" t="s">
        <v>343</v>
      </c>
      <c r="AT6">
        <v>141</v>
      </c>
      <c r="AU6" s="22" t="s">
        <v>563</v>
      </c>
      <c r="AW6" s="13" t="s">
        <v>306</v>
      </c>
      <c r="AX6" s="16" t="s">
        <v>69</v>
      </c>
      <c r="AY6">
        <v>8</v>
      </c>
      <c r="AZ6">
        <v>1</v>
      </c>
      <c r="BA6">
        <v>0.80271052105210516</v>
      </c>
      <c r="BB6" s="8" t="s">
        <v>386</v>
      </c>
      <c r="BD6" s="13" t="s">
        <v>306</v>
      </c>
      <c r="BE6" s="19" t="s">
        <v>41</v>
      </c>
      <c r="BF6">
        <v>9</v>
      </c>
      <c r="BG6">
        <v>1</v>
      </c>
      <c r="BH6" s="35">
        <v>0.80966003949056109</v>
      </c>
      <c r="BI6" s="8" t="s">
        <v>386</v>
      </c>
      <c r="BK6" s="13" t="s">
        <v>306</v>
      </c>
      <c r="BL6" s="19" t="s">
        <v>38</v>
      </c>
      <c r="BM6" s="9">
        <v>10</v>
      </c>
      <c r="BN6" s="9">
        <v>1</v>
      </c>
      <c r="BO6" s="35">
        <v>0.78291247295696897</v>
      </c>
      <c r="BP6" s="22" t="s">
        <v>432</v>
      </c>
      <c r="BR6" s="13" t="s">
        <v>306</v>
      </c>
      <c r="BS6" s="21" t="s">
        <v>24</v>
      </c>
      <c r="BT6">
        <v>9</v>
      </c>
      <c r="BU6">
        <v>3</v>
      </c>
      <c r="BV6" s="35">
        <v>0.76161280304696155</v>
      </c>
      <c r="BW6" s="8" t="s">
        <v>383</v>
      </c>
      <c r="BY6" s="13" t="s">
        <v>306</v>
      </c>
      <c r="BZ6" s="19" t="s">
        <v>39</v>
      </c>
      <c r="CA6" s="9">
        <v>10</v>
      </c>
      <c r="CB6" s="9">
        <v>3</v>
      </c>
      <c r="CC6" s="35">
        <v>0.76033185346605792</v>
      </c>
      <c r="CD6" s="8" t="s">
        <v>383</v>
      </c>
      <c r="CF6" s="13" t="s">
        <v>306</v>
      </c>
      <c r="CG6" s="21" t="s">
        <v>119</v>
      </c>
      <c r="CH6">
        <v>11</v>
      </c>
      <c r="CI6">
        <v>3</v>
      </c>
      <c r="CJ6" s="35">
        <v>0.73809516210982062</v>
      </c>
      <c r="CK6" s="22" t="s">
        <v>384</v>
      </c>
      <c r="CM6" s="13" t="s">
        <v>306</v>
      </c>
      <c r="CN6" s="17" t="s">
        <v>53</v>
      </c>
      <c r="CO6">
        <v>13</v>
      </c>
      <c r="CP6">
        <v>4</v>
      </c>
      <c r="CQ6" s="35">
        <v>0.64066392985681486</v>
      </c>
      <c r="CR6" s="22" t="s">
        <v>393</v>
      </c>
      <c r="CT6" s="13" t="s">
        <v>306</v>
      </c>
      <c r="CU6" s="19" t="s">
        <v>37</v>
      </c>
      <c r="CV6">
        <v>1</v>
      </c>
      <c r="CW6">
        <v>0</v>
      </c>
      <c r="CX6" s="35">
        <v>0.85858431634628951</v>
      </c>
      <c r="CY6" t="s">
        <v>637</v>
      </c>
      <c r="DA6" s="13" t="s">
        <v>306</v>
      </c>
      <c r="DB6" s="19" t="s">
        <v>42</v>
      </c>
      <c r="DC6">
        <v>2</v>
      </c>
      <c r="DD6">
        <v>0</v>
      </c>
      <c r="DE6" s="35">
        <v>0.86770987702471358</v>
      </c>
      <c r="DF6" s="8" t="s">
        <v>461</v>
      </c>
      <c r="DH6" s="13" t="s">
        <v>306</v>
      </c>
      <c r="DI6" s="19" t="s">
        <v>42</v>
      </c>
      <c r="DJ6">
        <v>2</v>
      </c>
      <c r="DK6">
        <v>0</v>
      </c>
      <c r="DL6" s="35">
        <v>0.87105533157016812</v>
      </c>
      <c r="DM6" t="s">
        <v>1</v>
      </c>
      <c r="DO6" s="13" t="s">
        <v>306</v>
      </c>
      <c r="DP6" s="21" t="s">
        <v>119</v>
      </c>
      <c r="DQ6">
        <v>3</v>
      </c>
      <c r="DR6">
        <v>0</v>
      </c>
      <c r="DS6" s="35">
        <v>0.89776503718856127</v>
      </c>
      <c r="DT6" s="8" t="s">
        <v>500</v>
      </c>
      <c r="DV6" s="13" t="s">
        <v>306</v>
      </c>
      <c r="DW6" s="19" t="s">
        <v>42</v>
      </c>
      <c r="DX6">
        <v>4</v>
      </c>
      <c r="DY6">
        <v>0</v>
      </c>
      <c r="DZ6" s="35">
        <v>0.89634793608359864</v>
      </c>
      <c r="EA6" s="8" t="s">
        <v>386</v>
      </c>
      <c r="EC6" s="13" t="s">
        <v>306</v>
      </c>
      <c r="ED6" s="19" t="s">
        <v>42</v>
      </c>
      <c r="EE6">
        <v>4</v>
      </c>
      <c r="EF6">
        <v>1</v>
      </c>
      <c r="EG6" s="35">
        <v>0.82996221854709584</v>
      </c>
      <c r="EH6" t="s">
        <v>1</v>
      </c>
      <c r="EJ6" s="13" t="s">
        <v>306</v>
      </c>
      <c r="EK6" s="19" t="s">
        <v>42</v>
      </c>
      <c r="EL6">
        <v>5</v>
      </c>
      <c r="EM6">
        <v>1</v>
      </c>
      <c r="EN6" s="35">
        <v>0.86256419379232196</v>
      </c>
      <c r="EO6" t="s">
        <v>1</v>
      </c>
      <c r="EQ6" s="13" t="s">
        <v>306</v>
      </c>
      <c r="ER6" s="19" t="s">
        <v>42</v>
      </c>
      <c r="ES6">
        <v>6</v>
      </c>
      <c r="ET6">
        <v>1</v>
      </c>
      <c r="EU6" s="35">
        <v>0.83603054113542741</v>
      </c>
      <c r="EV6" t="s">
        <v>1</v>
      </c>
      <c r="EX6" s="13" t="s">
        <v>306</v>
      </c>
      <c r="EY6" s="17" t="s">
        <v>49</v>
      </c>
      <c r="EZ6">
        <v>7</v>
      </c>
      <c r="FA6">
        <v>1</v>
      </c>
      <c r="FB6" s="35">
        <v>0.83243752078500677</v>
      </c>
      <c r="FC6" s="8" t="s">
        <v>386</v>
      </c>
      <c r="FE6" s="13" t="s">
        <v>306</v>
      </c>
      <c r="FF6" s="17" t="s">
        <v>49</v>
      </c>
      <c r="FG6">
        <v>8</v>
      </c>
      <c r="FH6">
        <v>1</v>
      </c>
      <c r="FI6" s="35">
        <v>0.82349724347215558</v>
      </c>
      <c r="FJ6" t="s">
        <v>1</v>
      </c>
      <c r="FL6" s="13" t="s">
        <v>306</v>
      </c>
      <c r="FM6" s="17" t="s">
        <v>49</v>
      </c>
      <c r="FN6">
        <v>9</v>
      </c>
      <c r="FO6">
        <v>1</v>
      </c>
      <c r="FP6" s="35">
        <v>0.77881025924721614</v>
      </c>
      <c r="FQ6" t="s">
        <v>1</v>
      </c>
      <c r="FS6" s="13" t="s">
        <v>306</v>
      </c>
      <c r="FT6" s="21" t="s">
        <v>31</v>
      </c>
      <c r="FU6" s="1">
        <v>9</v>
      </c>
      <c r="FV6" s="1">
        <v>2</v>
      </c>
      <c r="FW6" s="35">
        <v>0.77611438416305012</v>
      </c>
      <c r="FX6" s="8" t="s">
        <v>383</v>
      </c>
      <c r="FZ6" s="13" t="s">
        <v>306</v>
      </c>
      <c r="GA6" s="21" t="s">
        <v>26</v>
      </c>
      <c r="GB6" s="6">
        <v>10</v>
      </c>
      <c r="GC6" s="6">
        <v>2</v>
      </c>
      <c r="GD6" s="35">
        <v>0.75227016037463934</v>
      </c>
      <c r="GE6" s="22" t="s">
        <v>432</v>
      </c>
      <c r="GG6" s="13" t="s">
        <v>306</v>
      </c>
      <c r="GH6" s="17" t="s">
        <v>49</v>
      </c>
      <c r="GI6" s="6">
        <v>11</v>
      </c>
      <c r="GJ6" s="6">
        <v>2</v>
      </c>
      <c r="GK6" s="35">
        <v>0.78402358209243483</v>
      </c>
      <c r="GL6" s="8" t="s">
        <v>386</v>
      </c>
      <c r="GN6" s="13" t="s">
        <v>306</v>
      </c>
      <c r="GO6" s="17" t="s">
        <v>1211</v>
      </c>
      <c r="GP6" s="6">
        <v>11</v>
      </c>
      <c r="GQ6" s="6">
        <v>2</v>
      </c>
      <c r="GR6" s="35">
        <v>0.79365487216893049</v>
      </c>
      <c r="GS6" t="s">
        <v>1</v>
      </c>
      <c r="GU6" s="13" t="s">
        <v>306</v>
      </c>
      <c r="GV6" s="17" t="s">
        <v>1211</v>
      </c>
      <c r="GW6">
        <v>12</v>
      </c>
      <c r="GX6">
        <v>3</v>
      </c>
      <c r="GY6" s="35">
        <v>0.80045175169058402</v>
      </c>
      <c r="GZ6" t="s">
        <v>1</v>
      </c>
      <c r="HB6" s="13" t="s">
        <v>306</v>
      </c>
      <c r="HC6" s="16" t="s">
        <v>1237</v>
      </c>
      <c r="HD6">
        <v>11</v>
      </c>
      <c r="HE6">
        <v>6</v>
      </c>
      <c r="HF6" s="35">
        <v>0.77250287001063833</v>
      </c>
      <c r="HG6" s="8" t="s">
        <v>386</v>
      </c>
      <c r="HI6" s="13" t="s">
        <v>306</v>
      </c>
      <c r="HJ6" s="21" t="s">
        <v>1212</v>
      </c>
      <c r="HK6">
        <v>10</v>
      </c>
      <c r="HL6">
        <v>5</v>
      </c>
      <c r="HM6" s="35">
        <v>0.75354666646076385</v>
      </c>
      <c r="HN6" s="22" t="s">
        <v>381</v>
      </c>
      <c r="HP6" s="13" t="s">
        <v>306</v>
      </c>
      <c r="HQ6" s="69" t="s">
        <v>961</v>
      </c>
      <c r="HR6">
        <v>1</v>
      </c>
      <c r="HS6">
        <v>0</v>
      </c>
      <c r="HT6" s="35">
        <v>0.86618521279315475</v>
      </c>
      <c r="HU6" t="s">
        <v>637</v>
      </c>
      <c r="HW6" s="13" t="s">
        <v>306</v>
      </c>
      <c r="HX6" s="69" t="s">
        <v>961</v>
      </c>
      <c r="HY6">
        <v>2</v>
      </c>
      <c r="HZ6">
        <v>0</v>
      </c>
      <c r="IA6" s="35">
        <v>0.89844691472626292</v>
      </c>
      <c r="IB6" t="s">
        <v>1</v>
      </c>
      <c r="ID6" s="13" t="s">
        <v>306</v>
      </c>
      <c r="IE6" s="19" t="s">
        <v>41</v>
      </c>
      <c r="IF6">
        <v>3</v>
      </c>
      <c r="IG6">
        <v>0</v>
      </c>
      <c r="IH6" s="35">
        <v>0.89087076681122579</v>
      </c>
      <c r="II6" s="8" t="s">
        <v>386</v>
      </c>
      <c r="IK6" s="13" t="s">
        <v>306</v>
      </c>
      <c r="IL6" s="17" t="s">
        <v>118</v>
      </c>
      <c r="IM6">
        <v>4</v>
      </c>
      <c r="IN6">
        <v>0</v>
      </c>
      <c r="IO6" s="35">
        <v>0.91038267165521269</v>
      </c>
      <c r="IP6" s="8" t="s">
        <v>383</v>
      </c>
      <c r="IR6" s="13" t="s">
        <v>306</v>
      </c>
      <c r="IS6" s="69" t="s">
        <v>966</v>
      </c>
      <c r="IT6">
        <v>5</v>
      </c>
      <c r="IU6">
        <v>0</v>
      </c>
      <c r="IV6" s="35">
        <v>0.87475921425092318</v>
      </c>
      <c r="IW6" s="22" t="s">
        <v>432</v>
      </c>
      <c r="IY6" s="13" t="s">
        <v>306</v>
      </c>
      <c r="IZ6" s="69" t="s">
        <v>966</v>
      </c>
      <c r="JA6">
        <v>6</v>
      </c>
      <c r="JB6">
        <v>0</v>
      </c>
      <c r="JC6" s="35">
        <v>0.87433641782204663</v>
      </c>
      <c r="JD6" t="s">
        <v>1</v>
      </c>
      <c r="JF6" s="13" t="s">
        <v>306</v>
      </c>
      <c r="JG6" s="69" t="s">
        <v>966</v>
      </c>
      <c r="JH6" s="6">
        <v>7</v>
      </c>
      <c r="JI6" s="6">
        <v>0</v>
      </c>
      <c r="JJ6" s="35">
        <v>0.88059612303721213</v>
      </c>
      <c r="JK6" t="s">
        <v>1</v>
      </c>
      <c r="JM6" s="13" t="s">
        <v>306</v>
      </c>
      <c r="JN6" s="21" t="s">
        <v>119</v>
      </c>
      <c r="JO6" s="6">
        <v>6</v>
      </c>
      <c r="JP6" s="6">
        <v>2</v>
      </c>
      <c r="JQ6" s="35">
        <v>0.85496744295855009</v>
      </c>
      <c r="JR6" s="22" t="s">
        <v>393</v>
      </c>
      <c r="JT6" s="13" t="s">
        <v>306</v>
      </c>
      <c r="JU6" s="21" t="s">
        <v>119</v>
      </c>
      <c r="JV6" s="6">
        <v>6</v>
      </c>
      <c r="JW6" s="6">
        <v>2</v>
      </c>
      <c r="JX6" s="35">
        <v>0.88609563002258096</v>
      </c>
      <c r="JY6" t="s">
        <v>1</v>
      </c>
      <c r="JZ6" s="22" t="s">
        <v>393</v>
      </c>
      <c r="KB6" s="13" t="s">
        <v>306</v>
      </c>
      <c r="KC6" s="69" t="s">
        <v>966</v>
      </c>
      <c r="KD6" s="6">
        <v>9</v>
      </c>
      <c r="KE6" s="6">
        <v>0</v>
      </c>
      <c r="KF6" s="35">
        <v>0.90226622821046265</v>
      </c>
      <c r="KG6" s="8" t="s">
        <v>386</v>
      </c>
      <c r="KI6" s="13" t="s">
        <v>306</v>
      </c>
      <c r="KJ6" s="69" t="s">
        <v>966</v>
      </c>
      <c r="KK6" s="6">
        <v>9</v>
      </c>
      <c r="KL6" s="6">
        <v>0</v>
      </c>
      <c r="KM6" s="35">
        <v>0.90925717541173934</v>
      </c>
      <c r="KN6" t="s">
        <v>1</v>
      </c>
      <c r="KP6" s="13" t="s">
        <v>306</v>
      </c>
      <c r="KQ6" s="17" t="s">
        <v>118</v>
      </c>
      <c r="KR6" s="6">
        <v>9</v>
      </c>
      <c r="KS6" s="6">
        <v>1</v>
      </c>
      <c r="KT6" s="35">
        <v>0.86768156893806381</v>
      </c>
      <c r="KU6" s="22" t="s">
        <v>384</v>
      </c>
      <c r="KW6" s="13" t="s">
        <v>306</v>
      </c>
      <c r="KX6" s="17" t="s">
        <v>118</v>
      </c>
      <c r="KY6" s="6">
        <v>9</v>
      </c>
      <c r="KZ6" s="6">
        <v>1</v>
      </c>
      <c r="LA6" s="35">
        <v>0.8902293209542409</v>
      </c>
      <c r="LB6" t="s">
        <v>1</v>
      </c>
      <c r="LD6" s="13" t="s">
        <v>306</v>
      </c>
      <c r="LE6" s="21" t="s">
        <v>119</v>
      </c>
      <c r="LF6" s="6">
        <v>9</v>
      </c>
      <c r="LG6" s="6">
        <v>2</v>
      </c>
      <c r="LH6" s="35">
        <v>0.93268492618650611</v>
      </c>
      <c r="LI6" s="8" t="s">
        <v>386</v>
      </c>
      <c r="LK6" s="13" t="s">
        <v>306</v>
      </c>
      <c r="LL6" s="17" t="s">
        <v>118</v>
      </c>
      <c r="LM6" s="6">
        <v>10</v>
      </c>
      <c r="LN6" s="6">
        <v>1</v>
      </c>
      <c r="LO6" s="35">
        <v>0.93297235106624743</v>
      </c>
      <c r="LP6" s="8" t="s">
        <v>386</v>
      </c>
      <c r="LR6" s="13" t="s">
        <v>306</v>
      </c>
      <c r="LS6" s="17" t="s">
        <v>118</v>
      </c>
      <c r="LT6" s="6">
        <v>11</v>
      </c>
      <c r="LU6" s="6">
        <v>1</v>
      </c>
      <c r="LV6" s="35">
        <v>0.92532053879662413</v>
      </c>
      <c r="LW6" t="s">
        <v>1</v>
      </c>
      <c r="LY6" s="13" t="s">
        <v>306</v>
      </c>
      <c r="LZ6" s="17" t="s">
        <v>118</v>
      </c>
      <c r="MA6" s="6">
        <v>11</v>
      </c>
      <c r="MB6" s="6">
        <v>1</v>
      </c>
      <c r="MC6" s="35">
        <v>0.93877911342584641</v>
      </c>
      <c r="MD6" t="s">
        <v>1</v>
      </c>
      <c r="MF6" s="13" t="s">
        <v>306</v>
      </c>
      <c r="MG6" s="69" t="s">
        <v>1344</v>
      </c>
      <c r="MH6" s="6">
        <v>12</v>
      </c>
      <c r="MI6" s="6">
        <v>1</v>
      </c>
      <c r="MJ6" s="35">
        <v>0.88496815367854187</v>
      </c>
      <c r="MK6" s="22" t="s">
        <v>381</v>
      </c>
      <c r="MM6" s="13" t="s">
        <v>306</v>
      </c>
      <c r="MN6" s="69" t="s">
        <v>1344</v>
      </c>
      <c r="MO6" s="6">
        <v>12</v>
      </c>
      <c r="MP6" s="6">
        <v>1</v>
      </c>
      <c r="MQ6" s="35">
        <v>0.8948457050227292</v>
      </c>
      <c r="MR6" t="s">
        <v>1</v>
      </c>
      <c r="MT6" s="13" t="s">
        <v>306</v>
      </c>
      <c r="MU6" s="69" t="s">
        <v>1344</v>
      </c>
      <c r="MV6" s="6">
        <v>12</v>
      </c>
      <c r="MW6" s="6">
        <v>1</v>
      </c>
      <c r="MX6" s="35">
        <v>0.89604264042062665</v>
      </c>
      <c r="MY6" t="s">
        <v>1</v>
      </c>
      <c r="NA6" s="13" t="s">
        <v>306</v>
      </c>
      <c r="NB6" s="58" t="s">
        <v>5068</v>
      </c>
      <c r="NC6" s="6">
        <v>12</v>
      </c>
      <c r="ND6" s="6">
        <v>2</v>
      </c>
      <c r="NE6" s="35">
        <v>0.90173157135014048</v>
      </c>
      <c r="NF6" s="8" t="s">
        <v>386</v>
      </c>
      <c r="NH6" s="13" t="s">
        <v>306</v>
      </c>
      <c r="NI6" s="58" t="s">
        <v>5068</v>
      </c>
      <c r="NJ6" s="1">
        <v>12</v>
      </c>
      <c r="NK6" s="1">
        <v>2</v>
      </c>
      <c r="NL6" s="36">
        <v>0.89110118691183315</v>
      </c>
      <c r="NM6" t="s">
        <v>1</v>
      </c>
      <c r="NO6" s="13" t="s">
        <v>306</v>
      </c>
      <c r="NP6" s="58" t="s">
        <v>5068</v>
      </c>
      <c r="NQ6" s="1">
        <v>12</v>
      </c>
      <c r="NR6" s="1">
        <v>2</v>
      </c>
      <c r="NS6" s="36">
        <v>0.89043126080209201</v>
      </c>
      <c r="NT6" t="s">
        <v>1</v>
      </c>
      <c r="NV6" s="13" t="s">
        <v>306</v>
      </c>
      <c r="NW6" s="58" t="s">
        <v>5068</v>
      </c>
      <c r="NX6" s="1">
        <v>12</v>
      </c>
      <c r="NY6" s="1">
        <v>2</v>
      </c>
      <c r="NZ6" s="36">
        <v>0.89773567855733394</v>
      </c>
      <c r="OA6" t="s">
        <v>1</v>
      </c>
      <c r="OC6" s="13" t="s">
        <v>306</v>
      </c>
      <c r="OD6" s="69" t="s">
        <v>5067</v>
      </c>
      <c r="OE6" s="1">
        <v>13</v>
      </c>
      <c r="OF6" s="1">
        <v>1</v>
      </c>
      <c r="OG6" s="36">
        <v>0.88138463435908565</v>
      </c>
      <c r="OH6" s="8" t="s">
        <v>386</v>
      </c>
      <c r="OJ6" s="13" t="s">
        <v>306</v>
      </c>
      <c r="OK6" s="58" t="s">
        <v>5068</v>
      </c>
      <c r="OL6" s="1">
        <v>12</v>
      </c>
      <c r="OM6" s="1">
        <v>2</v>
      </c>
      <c r="ON6" s="36">
        <v>0.8864625240513111</v>
      </c>
      <c r="OO6" s="8" t="s">
        <v>386</v>
      </c>
      <c r="OQ6" s="13" t="s">
        <v>306</v>
      </c>
      <c r="OR6" s="69" t="s">
        <v>5067</v>
      </c>
      <c r="OS6" s="1">
        <v>13</v>
      </c>
      <c r="OT6" s="1">
        <v>1</v>
      </c>
      <c r="OU6" s="36">
        <v>0.88660554106128664</v>
      </c>
      <c r="OV6" s="8" t="s">
        <v>386</v>
      </c>
      <c r="OX6" s="13" t="s">
        <v>306</v>
      </c>
      <c r="OY6" s="69" t="s">
        <v>5067</v>
      </c>
      <c r="OZ6" s="1">
        <v>13</v>
      </c>
      <c r="PA6" s="1">
        <v>1</v>
      </c>
      <c r="PB6" s="36">
        <v>0.89628722867704291</v>
      </c>
      <c r="PC6" t="s">
        <v>1</v>
      </c>
      <c r="PE6" s="13" t="s">
        <v>306</v>
      </c>
      <c r="PF6" s="69" t="s">
        <v>5067</v>
      </c>
      <c r="PG6" s="1">
        <v>13</v>
      </c>
      <c r="PH6" s="1">
        <v>1</v>
      </c>
      <c r="PI6" s="36">
        <v>0.89541494119186815</v>
      </c>
      <c r="PJ6" t="s">
        <v>1</v>
      </c>
    </row>
    <row r="7" spans="2:426" x14ac:dyDescent="0.35">
      <c r="B7" s="13" t="s">
        <v>307</v>
      </c>
      <c r="C7" s="19" t="s">
        <v>900</v>
      </c>
      <c r="D7" t="s">
        <v>327</v>
      </c>
      <c r="E7">
        <v>94</v>
      </c>
      <c r="G7" s="13" t="s">
        <v>307</v>
      </c>
      <c r="H7" s="19" t="s">
        <v>35</v>
      </c>
      <c r="I7" s="9" t="s">
        <v>378</v>
      </c>
      <c r="J7">
        <v>110</v>
      </c>
      <c r="K7" s="8" t="s">
        <v>383</v>
      </c>
      <c r="M7" s="13" t="s">
        <v>307</v>
      </c>
      <c r="N7" s="19" t="s">
        <v>46</v>
      </c>
      <c r="O7" s="9" t="s">
        <v>430</v>
      </c>
      <c r="P7">
        <v>135</v>
      </c>
      <c r="Q7" s="22" t="s">
        <v>431</v>
      </c>
      <c r="S7" s="13" t="s">
        <v>307</v>
      </c>
      <c r="T7" s="19" t="s">
        <v>45</v>
      </c>
      <c r="U7" s="9" t="s">
        <v>458</v>
      </c>
      <c r="V7">
        <v>135</v>
      </c>
      <c r="W7" s="8" t="s">
        <v>383</v>
      </c>
      <c r="Y7" s="13" t="s">
        <v>307</v>
      </c>
      <c r="Z7" s="19" t="s">
        <v>46</v>
      </c>
      <c r="AA7" t="s">
        <v>499</v>
      </c>
      <c r="AB7">
        <v>124</v>
      </c>
      <c r="AC7" s="22" t="s">
        <v>462</v>
      </c>
      <c r="AE7" s="13" t="s">
        <v>307</v>
      </c>
      <c r="AF7" s="19" t="s">
        <v>45</v>
      </c>
      <c r="AG7" t="s">
        <v>518</v>
      </c>
      <c r="AH7">
        <v>126</v>
      </c>
      <c r="AI7" s="22" t="s">
        <v>381</v>
      </c>
      <c r="AK7" s="13" t="s">
        <v>307</v>
      </c>
      <c r="AL7" s="21" t="s">
        <v>119</v>
      </c>
      <c r="AM7" t="s">
        <v>540</v>
      </c>
      <c r="AN7">
        <v>134</v>
      </c>
      <c r="AO7" s="22" t="s">
        <v>393</v>
      </c>
      <c r="AQ7" s="13" t="s">
        <v>307</v>
      </c>
      <c r="AR7" s="19" t="s">
        <v>41</v>
      </c>
      <c r="AS7" t="s">
        <v>343</v>
      </c>
      <c r="AT7">
        <v>137</v>
      </c>
      <c r="AU7" s="8" t="s">
        <v>564</v>
      </c>
      <c r="AW7" s="13" t="s">
        <v>307</v>
      </c>
      <c r="AX7" s="21" t="s">
        <v>119</v>
      </c>
      <c r="AY7">
        <v>8</v>
      </c>
      <c r="AZ7">
        <v>1</v>
      </c>
      <c r="BA7">
        <v>0.78143778370272621</v>
      </c>
      <c r="BB7" s="8" t="s">
        <v>383</v>
      </c>
      <c r="BD7" s="13" t="s">
        <v>307</v>
      </c>
      <c r="BE7" s="21" t="s">
        <v>119</v>
      </c>
      <c r="BF7">
        <v>9</v>
      </c>
      <c r="BG7">
        <v>1</v>
      </c>
      <c r="BH7" s="35">
        <v>0.80921214881274894</v>
      </c>
      <c r="BI7" t="s">
        <v>1</v>
      </c>
      <c r="BK7" s="13" t="s">
        <v>307</v>
      </c>
      <c r="BL7" s="21" t="s">
        <v>119</v>
      </c>
      <c r="BM7">
        <v>9</v>
      </c>
      <c r="BN7">
        <v>2</v>
      </c>
      <c r="BO7" s="35">
        <v>0.7760492861776529</v>
      </c>
      <c r="BP7" t="s">
        <v>1</v>
      </c>
      <c r="BR7" s="13" t="s">
        <v>307</v>
      </c>
      <c r="BS7" s="21" t="s">
        <v>32</v>
      </c>
      <c r="BT7">
        <v>10</v>
      </c>
      <c r="BU7">
        <v>2</v>
      </c>
      <c r="BV7" s="35">
        <v>0.75701983582855714</v>
      </c>
      <c r="BW7" s="22" t="s">
        <v>384</v>
      </c>
      <c r="BY7" s="13" t="s">
        <v>307</v>
      </c>
      <c r="BZ7" s="19" t="s">
        <v>46</v>
      </c>
      <c r="CA7">
        <v>9</v>
      </c>
      <c r="CB7">
        <v>4</v>
      </c>
      <c r="CC7" s="35">
        <v>0.75997563327011353</v>
      </c>
      <c r="CD7" s="22" t="s">
        <v>381</v>
      </c>
      <c r="CF7" s="13" t="s">
        <v>307</v>
      </c>
      <c r="CG7" s="19" t="s">
        <v>39</v>
      </c>
      <c r="CH7" s="9">
        <v>10</v>
      </c>
      <c r="CI7" s="9">
        <v>3</v>
      </c>
      <c r="CJ7" s="35">
        <v>0.72881892977198304</v>
      </c>
      <c r="CK7" s="8" t="s">
        <v>386</v>
      </c>
      <c r="CM7" s="13" t="s">
        <v>307</v>
      </c>
      <c r="CN7" s="19" t="s">
        <v>38</v>
      </c>
      <c r="CO7" s="9">
        <v>13</v>
      </c>
      <c r="CP7" s="9">
        <v>3</v>
      </c>
      <c r="CQ7" s="35">
        <v>0.62935953821048241</v>
      </c>
      <c r="CR7" s="8" t="s">
        <v>500</v>
      </c>
      <c r="CT7" s="13" t="s">
        <v>307</v>
      </c>
      <c r="CU7" s="19" t="s">
        <v>36</v>
      </c>
      <c r="CV7">
        <v>1</v>
      </c>
      <c r="CW7">
        <v>0</v>
      </c>
      <c r="CX7" s="35">
        <v>0.85826849418760232</v>
      </c>
      <c r="CY7" t="s">
        <v>637</v>
      </c>
      <c r="DA7" s="13" t="s">
        <v>307</v>
      </c>
      <c r="DB7" s="19" t="s">
        <v>36</v>
      </c>
      <c r="DC7">
        <v>2</v>
      </c>
      <c r="DD7">
        <v>0</v>
      </c>
      <c r="DE7" s="35">
        <v>0.86603343580773928</v>
      </c>
      <c r="DF7" s="22" t="s">
        <v>1</v>
      </c>
      <c r="DH7" s="13" t="s">
        <v>307</v>
      </c>
      <c r="DI7" s="19" t="s">
        <v>36</v>
      </c>
      <c r="DJ7">
        <v>2</v>
      </c>
      <c r="DK7">
        <v>0</v>
      </c>
      <c r="DL7" s="35">
        <v>0.86988370318741826</v>
      </c>
      <c r="DM7" t="s">
        <v>1</v>
      </c>
      <c r="DO7" s="13" t="s">
        <v>307</v>
      </c>
      <c r="DP7" s="21" t="s">
        <v>26</v>
      </c>
      <c r="DQ7">
        <v>3</v>
      </c>
      <c r="DR7">
        <v>0</v>
      </c>
      <c r="DS7" s="35">
        <v>0.88472862841300781</v>
      </c>
      <c r="DT7" s="8" t="s">
        <v>386</v>
      </c>
      <c r="DV7" s="13" t="s">
        <v>307</v>
      </c>
      <c r="DW7" s="21" t="s">
        <v>31</v>
      </c>
      <c r="DX7">
        <v>4</v>
      </c>
      <c r="DY7">
        <v>0</v>
      </c>
      <c r="DZ7" s="35">
        <v>0.82976870776677547</v>
      </c>
      <c r="EA7" s="22" t="s">
        <v>432</v>
      </c>
      <c r="EC7" s="13" t="s">
        <v>307</v>
      </c>
      <c r="ED7" s="21" t="s">
        <v>34</v>
      </c>
      <c r="EE7">
        <v>5</v>
      </c>
      <c r="EF7">
        <v>0</v>
      </c>
      <c r="EG7" s="35">
        <v>0.80343257238266796</v>
      </c>
      <c r="EH7" s="22" t="s">
        <v>432</v>
      </c>
      <c r="EJ7" s="13" t="s">
        <v>307</v>
      </c>
      <c r="EK7" s="21" t="s">
        <v>34</v>
      </c>
      <c r="EL7">
        <v>6</v>
      </c>
      <c r="EM7">
        <v>0</v>
      </c>
      <c r="EN7" s="35">
        <v>0.84065546731127549</v>
      </c>
      <c r="EO7" t="s">
        <v>1</v>
      </c>
      <c r="EQ7" s="13" t="s">
        <v>307</v>
      </c>
      <c r="ER7" s="21" t="s">
        <v>34</v>
      </c>
      <c r="ES7">
        <v>6</v>
      </c>
      <c r="ET7">
        <v>1</v>
      </c>
      <c r="EU7" s="35">
        <v>0.78268731122145319</v>
      </c>
      <c r="EV7" t="s">
        <v>1</v>
      </c>
      <c r="EX7" s="13" t="s">
        <v>307</v>
      </c>
      <c r="EY7" s="21" t="s">
        <v>34</v>
      </c>
      <c r="EZ7">
        <v>7</v>
      </c>
      <c r="FA7">
        <v>1</v>
      </c>
      <c r="FB7" s="35">
        <v>0.7915786939904621</v>
      </c>
      <c r="FC7" t="s">
        <v>1</v>
      </c>
      <c r="FE7" s="13" t="s">
        <v>307</v>
      </c>
      <c r="FF7" s="21" t="s">
        <v>34</v>
      </c>
      <c r="FG7">
        <v>8</v>
      </c>
      <c r="FH7">
        <v>1</v>
      </c>
      <c r="FI7" s="35">
        <v>0.81989831039309613</v>
      </c>
      <c r="FJ7" t="s">
        <v>1</v>
      </c>
      <c r="FL7" s="13" t="s">
        <v>307</v>
      </c>
      <c r="FM7" s="21" t="s">
        <v>34</v>
      </c>
      <c r="FN7">
        <v>9</v>
      </c>
      <c r="FO7">
        <v>1</v>
      </c>
      <c r="FP7" s="35">
        <v>0.77553280735025876</v>
      </c>
      <c r="FQ7" t="s">
        <v>1</v>
      </c>
      <c r="FS7" s="13" t="s">
        <v>307</v>
      </c>
      <c r="FT7" s="19" t="s">
        <v>42</v>
      </c>
      <c r="FU7" s="1">
        <v>9</v>
      </c>
      <c r="FV7" s="1">
        <v>2</v>
      </c>
      <c r="FW7" s="35">
        <v>0.75911889837261504</v>
      </c>
      <c r="FX7" s="8" t="s">
        <v>383</v>
      </c>
      <c r="FZ7" s="13" t="s">
        <v>307</v>
      </c>
      <c r="GA7" s="16" t="s">
        <v>69</v>
      </c>
      <c r="GB7" s="6">
        <v>9</v>
      </c>
      <c r="GC7" s="1">
        <v>3</v>
      </c>
      <c r="GD7" s="35">
        <v>0.74177923278000546</v>
      </c>
      <c r="GE7" s="8" t="s">
        <v>500</v>
      </c>
      <c r="GG7" s="13" t="s">
        <v>307</v>
      </c>
      <c r="GH7" s="17" t="s">
        <v>1180</v>
      </c>
      <c r="GI7" s="6">
        <v>11</v>
      </c>
      <c r="GJ7" s="6">
        <v>2</v>
      </c>
      <c r="GK7" s="35">
        <v>0.78087766467194697</v>
      </c>
      <c r="GL7" s="22" t="s">
        <v>393</v>
      </c>
      <c r="GN7" s="13" t="s">
        <v>307</v>
      </c>
      <c r="GO7" s="17" t="s">
        <v>1180</v>
      </c>
      <c r="GP7" s="6">
        <v>11</v>
      </c>
      <c r="GQ7" s="6">
        <v>2</v>
      </c>
      <c r="GR7" s="35">
        <v>0.77655092734853703</v>
      </c>
      <c r="GS7" t="s">
        <v>1</v>
      </c>
      <c r="GU7" s="13" t="s">
        <v>307</v>
      </c>
      <c r="GV7" s="21" t="s">
        <v>1212</v>
      </c>
      <c r="GW7">
        <v>10</v>
      </c>
      <c r="GX7">
        <v>5</v>
      </c>
      <c r="GY7" s="35">
        <v>0.78184591834512007</v>
      </c>
      <c r="GZ7" s="8" t="s">
        <v>500</v>
      </c>
      <c r="HB7" s="13" t="s">
        <v>307</v>
      </c>
      <c r="HC7" s="21" t="s">
        <v>1212</v>
      </c>
      <c r="HD7">
        <v>10</v>
      </c>
      <c r="HE7">
        <v>5</v>
      </c>
      <c r="HF7" s="35">
        <v>0.77093317649884985</v>
      </c>
      <c r="HG7" t="s">
        <v>1</v>
      </c>
      <c r="HI7" s="13" t="s">
        <v>307</v>
      </c>
      <c r="HJ7" s="16" t="s">
        <v>1237</v>
      </c>
      <c r="HK7">
        <v>11</v>
      </c>
      <c r="HL7">
        <v>6</v>
      </c>
      <c r="HM7" s="35">
        <v>0.74896027676537347</v>
      </c>
      <c r="HN7" s="8" t="s">
        <v>386</v>
      </c>
      <c r="HP7" s="13" t="s">
        <v>307</v>
      </c>
      <c r="HQ7" s="16" t="s">
        <v>69</v>
      </c>
      <c r="HR7">
        <v>1</v>
      </c>
      <c r="HS7">
        <v>0</v>
      </c>
      <c r="HT7" s="35">
        <v>0.84307132572964461</v>
      </c>
      <c r="HU7" t="s">
        <v>1</v>
      </c>
      <c r="HW7" s="13" t="s">
        <v>307</v>
      </c>
      <c r="HX7" s="17" t="s">
        <v>118</v>
      </c>
      <c r="HY7">
        <v>2</v>
      </c>
      <c r="HZ7">
        <v>0</v>
      </c>
      <c r="IA7" s="35">
        <v>0.87611244043382019</v>
      </c>
      <c r="IB7" s="22" t="s">
        <v>431</v>
      </c>
      <c r="ID7" s="13" t="s">
        <v>307</v>
      </c>
      <c r="IE7" s="69" t="s">
        <v>966</v>
      </c>
      <c r="IF7">
        <v>3</v>
      </c>
      <c r="IG7">
        <v>0</v>
      </c>
      <c r="IH7" s="35">
        <v>0.86224555828401461</v>
      </c>
      <c r="II7" s="22" t="s">
        <v>757</v>
      </c>
      <c r="IK7" s="13" t="s">
        <v>307</v>
      </c>
      <c r="IL7" s="21" t="s">
        <v>119</v>
      </c>
      <c r="IM7">
        <v>3</v>
      </c>
      <c r="IN7">
        <v>1</v>
      </c>
      <c r="IO7" s="35">
        <v>0.89479014554764857</v>
      </c>
      <c r="IP7" s="22" t="s">
        <v>381</v>
      </c>
      <c r="IR7" s="13" t="s">
        <v>307</v>
      </c>
      <c r="IS7" s="69" t="s">
        <v>1344</v>
      </c>
      <c r="IT7">
        <v>5</v>
      </c>
      <c r="IU7">
        <v>0</v>
      </c>
      <c r="IV7" s="35">
        <v>0.86548069835030972</v>
      </c>
      <c r="IW7" s="22" t="s">
        <v>393</v>
      </c>
      <c r="IY7" s="13" t="s">
        <v>307</v>
      </c>
      <c r="IZ7" s="58" t="s">
        <v>795</v>
      </c>
      <c r="JA7">
        <v>5</v>
      </c>
      <c r="JB7">
        <v>1</v>
      </c>
      <c r="JC7" s="35">
        <v>0.87042282229541534</v>
      </c>
      <c r="JD7" s="22" t="s">
        <v>384</v>
      </c>
      <c r="JF7" s="13" t="s">
        <v>307</v>
      </c>
      <c r="JG7" s="19" t="s">
        <v>46</v>
      </c>
      <c r="JH7" s="6">
        <v>6</v>
      </c>
      <c r="JI7" s="6">
        <v>1</v>
      </c>
      <c r="JJ7" s="35">
        <v>0.85555008995403903</v>
      </c>
      <c r="JK7" s="22" t="s">
        <v>462</v>
      </c>
      <c r="JM7" s="13" t="s">
        <v>307</v>
      </c>
      <c r="JN7" s="17" t="s">
        <v>118</v>
      </c>
      <c r="JO7" s="6">
        <v>7</v>
      </c>
      <c r="JP7" s="6">
        <v>1</v>
      </c>
      <c r="JQ7" s="35">
        <v>0.84327687639163251</v>
      </c>
      <c r="JR7" s="8" t="s">
        <v>461</v>
      </c>
      <c r="JT7" s="13" t="s">
        <v>307</v>
      </c>
      <c r="JU7" s="19" t="s">
        <v>46</v>
      </c>
      <c r="JV7" s="6">
        <v>7</v>
      </c>
      <c r="JW7" s="6">
        <v>1</v>
      </c>
      <c r="JX7" s="35">
        <v>0.86141614403095124</v>
      </c>
      <c r="JY7" s="22" t="s">
        <v>381</v>
      </c>
      <c r="JZ7" t="s">
        <v>1</v>
      </c>
      <c r="KB7" s="13" t="s">
        <v>307</v>
      </c>
      <c r="KC7" s="17" t="s">
        <v>118</v>
      </c>
      <c r="KD7" s="6">
        <v>8</v>
      </c>
      <c r="KE7" s="6">
        <v>1</v>
      </c>
      <c r="KF7" s="35">
        <v>0.86049954598130141</v>
      </c>
      <c r="KG7" s="22" t="s">
        <v>432</v>
      </c>
      <c r="KI7" s="13" t="s">
        <v>307</v>
      </c>
      <c r="KJ7" s="19" t="s">
        <v>46</v>
      </c>
      <c r="KK7" s="6">
        <v>7</v>
      </c>
      <c r="KL7" s="6">
        <v>2</v>
      </c>
      <c r="KM7" s="35">
        <v>0.8664365872522678</v>
      </c>
      <c r="KN7" s="22" t="s">
        <v>393</v>
      </c>
      <c r="KP7" s="13" t="s">
        <v>307</v>
      </c>
      <c r="KQ7" s="19" t="s">
        <v>36</v>
      </c>
      <c r="KR7" s="6">
        <v>8</v>
      </c>
      <c r="KS7" s="6">
        <v>2</v>
      </c>
      <c r="KT7" s="35">
        <v>0.85209391002179402</v>
      </c>
      <c r="KU7" s="22" t="s">
        <v>384</v>
      </c>
      <c r="KW7" s="13" t="s">
        <v>307</v>
      </c>
      <c r="KX7" s="19" t="s">
        <v>36</v>
      </c>
      <c r="KY7" s="6">
        <v>8</v>
      </c>
      <c r="KZ7" s="6">
        <v>2</v>
      </c>
      <c r="LA7" s="35">
        <v>0.85044635713495498</v>
      </c>
      <c r="LB7" t="s">
        <v>1</v>
      </c>
      <c r="LD7" s="13" t="s">
        <v>307</v>
      </c>
      <c r="LE7" s="19" t="s">
        <v>41</v>
      </c>
      <c r="LF7" s="6">
        <v>9</v>
      </c>
      <c r="LG7" s="6">
        <v>2</v>
      </c>
      <c r="LH7" s="35">
        <v>0.87307482248223289</v>
      </c>
      <c r="LI7" s="22" t="s">
        <v>384</v>
      </c>
      <c r="LK7" s="13" t="s">
        <v>307</v>
      </c>
      <c r="LL7" s="19" t="s">
        <v>41</v>
      </c>
      <c r="LM7" s="6">
        <v>9</v>
      </c>
      <c r="LN7" s="6">
        <v>2</v>
      </c>
      <c r="LO7" s="35">
        <v>0.87791178337260833</v>
      </c>
      <c r="LP7" t="s">
        <v>1</v>
      </c>
      <c r="LR7" s="13" t="s">
        <v>307</v>
      </c>
      <c r="LS7" s="19" t="s">
        <v>36</v>
      </c>
      <c r="LT7" s="6">
        <v>10</v>
      </c>
      <c r="LU7" s="6">
        <v>2</v>
      </c>
      <c r="LV7" s="35">
        <v>0.87575745775780567</v>
      </c>
      <c r="LW7" s="22" t="s">
        <v>381</v>
      </c>
      <c r="LY7" s="13" t="s">
        <v>307</v>
      </c>
      <c r="LZ7" s="69" t="s">
        <v>1344</v>
      </c>
      <c r="MA7" s="6">
        <v>11</v>
      </c>
      <c r="MB7" s="6">
        <v>1</v>
      </c>
      <c r="MC7" s="35">
        <v>0.87847263880978255</v>
      </c>
      <c r="MD7" s="22" t="s">
        <v>432</v>
      </c>
      <c r="MF7" s="13" t="s">
        <v>307</v>
      </c>
      <c r="MG7" s="21" t="s">
        <v>119</v>
      </c>
      <c r="MH7" s="6">
        <v>10</v>
      </c>
      <c r="MI7" s="6">
        <v>3</v>
      </c>
      <c r="MJ7" s="35">
        <v>0.88305976011183984</v>
      </c>
      <c r="MK7" s="8" t="s">
        <v>383</v>
      </c>
      <c r="MM7" s="13" t="s">
        <v>307</v>
      </c>
      <c r="MN7" s="17" t="s">
        <v>145</v>
      </c>
      <c r="MO7" s="6">
        <v>11</v>
      </c>
      <c r="MP7" s="6">
        <v>2</v>
      </c>
      <c r="MQ7" s="35">
        <v>0.88140692547656752</v>
      </c>
      <c r="MR7" s="22" t="s">
        <v>381</v>
      </c>
      <c r="MT7" s="13" t="s">
        <v>307</v>
      </c>
      <c r="MU7" s="19" t="s">
        <v>36</v>
      </c>
      <c r="MV7" s="6">
        <v>11</v>
      </c>
      <c r="MW7" s="6">
        <v>2</v>
      </c>
      <c r="MX7" s="35">
        <v>0.87665986405967389</v>
      </c>
      <c r="MY7" s="22" t="s">
        <v>432</v>
      </c>
      <c r="NA7" s="13" t="s">
        <v>307</v>
      </c>
      <c r="NB7" s="19" t="s">
        <v>36</v>
      </c>
      <c r="NC7" s="6">
        <v>11</v>
      </c>
      <c r="ND7" s="6">
        <v>3</v>
      </c>
      <c r="NE7" s="35">
        <v>0.83867944282734841</v>
      </c>
      <c r="NF7" t="s">
        <v>1</v>
      </c>
      <c r="NH7" s="13" t="s">
        <v>307</v>
      </c>
      <c r="NI7" s="19" t="s">
        <v>5088</v>
      </c>
      <c r="NJ7" s="1">
        <v>11</v>
      </c>
      <c r="NK7" s="1">
        <v>3</v>
      </c>
      <c r="NL7" s="36">
        <v>0.84040830854673088</v>
      </c>
      <c r="NM7" s="22" t="s">
        <v>432</v>
      </c>
      <c r="NO7" s="13" t="s">
        <v>307</v>
      </c>
      <c r="NP7" s="19" t="s">
        <v>5088</v>
      </c>
      <c r="NQ7" s="1">
        <v>11</v>
      </c>
      <c r="NR7" s="1">
        <v>3</v>
      </c>
      <c r="NS7" s="36">
        <v>0.84046055752368531</v>
      </c>
      <c r="NT7" t="s">
        <v>1</v>
      </c>
      <c r="NV7" s="13" t="s">
        <v>307</v>
      </c>
      <c r="NW7" s="19" t="s">
        <v>5088</v>
      </c>
      <c r="NX7" s="1">
        <v>11</v>
      </c>
      <c r="NY7" s="1">
        <v>3</v>
      </c>
      <c r="NZ7" s="36">
        <v>0.84115800372793081</v>
      </c>
      <c r="OA7" t="s">
        <v>1</v>
      </c>
      <c r="OC7" s="13" t="s">
        <v>307</v>
      </c>
      <c r="OD7" s="21" t="s">
        <v>119</v>
      </c>
      <c r="OE7" s="1">
        <v>10</v>
      </c>
      <c r="OF7" s="1">
        <v>4</v>
      </c>
      <c r="OG7" s="36">
        <v>0.82290867240097909</v>
      </c>
      <c r="OH7" s="22" t="s">
        <v>432</v>
      </c>
      <c r="OJ7" s="13" t="s">
        <v>307</v>
      </c>
      <c r="OK7" s="19" t="s">
        <v>36</v>
      </c>
      <c r="OL7" s="1">
        <v>11</v>
      </c>
      <c r="OM7" s="1">
        <v>3</v>
      </c>
      <c r="ON7" s="36">
        <v>0.82008075070942255</v>
      </c>
      <c r="OO7" s="22" t="s">
        <v>384</v>
      </c>
      <c r="OQ7" s="13" t="s">
        <v>307</v>
      </c>
      <c r="OR7" s="19" t="s">
        <v>36</v>
      </c>
      <c r="OS7" s="1">
        <v>11</v>
      </c>
      <c r="OT7" s="1">
        <v>3</v>
      </c>
      <c r="OU7" s="36">
        <v>0.83614980771066738</v>
      </c>
      <c r="OV7" t="s">
        <v>1</v>
      </c>
      <c r="OX7" s="13" t="s">
        <v>307</v>
      </c>
      <c r="OY7" s="19" t="s">
        <v>36</v>
      </c>
      <c r="OZ7" s="1">
        <v>11</v>
      </c>
      <c r="PA7" s="1">
        <v>3</v>
      </c>
      <c r="PB7" s="36">
        <v>0.84915495263865381</v>
      </c>
      <c r="PC7" t="s">
        <v>1</v>
      </c>
      <c r="PE7" s="13" t="s">
        <v>307</v>
      </c>
      <c r="PF7" s="19" t="s">
        <v>36</v>
      </c>
      <c r="PG7" s="1">
        <v>11</v>
      </c>
      <c r="PH7" s="1">
        <v>3</v>
      </c>
      <c r="PI7" s="36">
        <v>0.84842567381754563</v>
      </c>
      <c r="PJ7" t="s">
        <v>1</v>
      </c>
    </row>
    <row r="8" spans="2:426" x14ac:dyDescent="0.35">
      <c r="B8" s="13" t="s">
        <v>308</v>
      </c>
      <c r="C8" s="16" t="s">
        <v>114</v>
      </c>
      <c r="D8" t="s">
        <v>327</v>
      </c>
      <c r="E8">
        <v>92</v>
      </c>
      <c r="G8" s="13" t="s">
        <v>308</v>
      </c>
      <c r="H8" s="19" t="s">
        <v>900</v>
      </c>
      <c r="I8" s="9" t="s">
        <v>378</v>
      </c>
      <c r="J8">
        <v>107</v>
      </c>
      <c r="K8" s="8" t="s">
        <v>386</v>
      </c>
      <c r="M8" s="13" t="s">
        <v>308</v>
      </c>
      <c r="N8" s="19" t="s">
        <v>40</v>
      </c>
      <c r="O8" s="9" t="s">
        <v>429</v>
      </c>
      <c r="P8">
        <v>131</v>
      </c>
      <c r="Q8" s="22" t="s">
        <v>432</v>
      </c>
      <c r="S8" s="13" t="s">
        <v>308</v>
      </c>
      <c r="T8" s="16" t="s">
        <v>67</v>
      </c>
      <c r="U8" t="s">
        <v>459</v>
      </c>
      <c r="V8">
        <v>124</v>
      </c>
      <c r="W8" s="22" t="s">
        <v>432</v>
      </c>
      <c r="Y8" s="13" t="s">
        <v>308</v>
      </c>
      <c r="Z8" s="19" t="s">
        <v>45</v>
      </c>
      <c r="AA8" t="s">
        <v>498</v>
      </c>
      <c r="AB8">
        <v>118</v>
      </c>
      <c r="AC8" s="8" t="s">
        <v>386</v>
      </c>
      <c r="AE8" s="13" t="s">
        <v>308</v>
      </c>
      <c r="AF8" s="17" t="s">
        <v>53</v>
      </c>
      <c r="AG8" s="9" t="s">
        <v>517</v>
      </c>
      <c r="AH8">
        <v>125</v>
      </c>
      <c r="AI8" s="22" t="s">
        <v>431</v>
      </c>
      <c r="AK8" s="13" t="s">
        <v>308</v>
      </c>
      <c r="AL8" s="17" t="s">
        <v>53</v>
      </c>
      <c r="AM8" t="s">
        <v>540</v>
      </c>
      <c r="AN8">
        <v>119</v>
      </c>
      <c r="AO8" t="s">
        <v>1</v>
      </c>
      <c r="AQ8" s="13" t="s">
        <v>308</v>
      </c>
      <c r="AR8" s="17" t="s">
        <v>53</v>
      </c>
      <c r="AS8" t="s">
        <v>343</v>
      </c>
      <c r="AT8">
        <v>130</v>
      </c>
      <c r="AU8" t="s">
        <v>1</v>
      </c>
      <c r="AW8" s="13" t="s">
        <v>308</v>
      </c>
      <c r="AX8" s="19" t="s">
        <v>45</v>
      </c>
      <c r="AY8">
        <v>7</v>
      </c>
      <c r="AZ8">
        <v>2</v>
      </c>
      <c r="BA8">
        <v>0.77469321500332966</v>
      </c>
      <c r="BB8" s="22" t="s">
        <v>384</v>
      </c>
      <c r="BD8" s="13" t="s">
        <v>308</v>
      </c>
      <c r="BE8" s="19" t="s">
        <v>38</v>
      </c>
      <c r="BF8" s="9">
        <v>9</v>
      </c>
      <c r="BG8" s="9">
        <v>1</v>
      </c>
      <c r="BH8" s="35">
        <v>0.78280788297740678</v>
      </c>
      <c r="BI8" s="22" t="s">
        <v>393</v>
      </c>
      <c r="BK8" s="13" t="s">
        <v>308</v>
      </c>
      <c r="BL8" s="19" t="s">
        <v>41</v>
      </c>
      <c r="BM8">
        <v>9</v>
      </c>
      <c r="BN8">
        <v>2</v>
      </c>
      <c r="BO8" s="35">
        <v>0.77114725978149745</v>
      </c>
      <c r="BP8" s="8" t="s">
        <v>383</v>
      </c>
      <c r="BR8" s="13" t="s">
        <v>308</v>
      </c>
      <c r="BS8" s="19" t="s">
        <v>46</v>
      </c>
      <c r="BT8">
        <v>8</v>
      </c>
      <c r="BU8">
        <v>4</v>
      </c>
      <c r="BV8" s="35">
        <v>0.75663374505149472</v>
      </c>
      <c r="BW8" s="22" t="s">
        <v>393</v>
      </c>
      <c r="BY8" s="13" t="s">
        <v>308</v>
      </c>
      <c r="BZ8" s="19" t="s">
        <v>41</v>
      </c>
      <c r="CA8">
        <v>10</v>
      </c>
      <c r="CB8">
        <v>3</v>
      </c>
      <c r="CC8" s="35">
        <v>0.7324145199483012</v>
      </c>
      <c r="CD8" s="22" t="s">
        <v>384</v>
      </c>
      <c r="CF8" s="13" t="s">
        <v>308</v>
      </c>
      <c r="CG8" s="19" t="s">
        <v>41</v>
      </c>
      <c r="CH8">
        <v>11</v>
      </c>
      <c r="CI8">
        <v>3</v>
      </c>
      <c r="CJ8" s="35">
        <v>0.72629878188972019</v>
      </c>
      <c r="CK8" s="8" t="s">
        <v>1</v>
      </c>
      <c r="CM8" s="13" t="s">
        <v>308</v>
      </c>
      <c r="CN8" s="19" t="s">
        <v>39</v>
      </c>
      <c r="CO8" s="9">
        <v>10</v>
      </c>
      <c r="CP8" s="9">
        <v>3</v>
      </c>
      <c r="CQ8" s="35">
        <v>0.62859559383914687</v>
      </c>
      <c r="CR8" s="8" t="s">
        <v>386</v>
      </c>
      <c r="CT8" s="13" t="s">
        <v>308</v>
      </c>
      <c r="CU8" s="15" t="s">
        <v>79</v>
      </c>
      <c r="CV8">
        <v>1</v>
      </c>
      <c r="CW8">
        <v>0</v>
      </c>
      <c r="CX8" s="35">
        <v>0.8504098119778124</v>
      </c>
      <c r="CY8" t="s">
        <v>637</v>
      </c>
      <c r="DA8" s="13" t="s">
        <v>308</v>
      </c>
      <c r="DB8" s="16" t="s">
        <v>62</v>
      </c>
      <c r="DC8">
        <v>2</v>
      </c>
      <c r="DD8">
        <v>0</v>
      </c>
      <c r="DE8" s="35">
        <v>0.86530483814706138</v>
      </c>
      <c r="DF8" s="22" t="s">
        <v>431</v>
      </c>
      <c r="DH8" s="13" t="s">
        <v>308</v>
      </c>
      <c r="DI8" s="16" t="s">
        <v>62</v>
      </c>
      <c r="DJ8">
        <v>2</v>
      </c>
      <c r="DK8">
        <v>0</v>
      </c>
      <c r="DL8" s="35">
        <v>0.86793110077332403</v>
      </c>
      <c r="DM8" t="s">
        <v>1</v>
      </c>
      <c r="DO8" s="13" t="s">
        <v>308</v>
      </c>
      <c r="DP8" s="21" t="s">
        <v>34</v>
      </c>
      <c r="DQ8">
        <v>3</v>
      </c>
      <c r="DR8">
        <v>0</v>
      </c>
      <c r="DS8" s="35">
        <v>0.84186263460335431</v>
      </c>
      <c r="DT8" s="22" t="s">
        <v>434</v>
      </c>
      <c r="DV8" s="13" t="s">
        <v>308</v>
      </c>
      <c r="DW8" s="15" t="s">
        <v>79</v>
      </c>
      <c r="DX8">
        <v>4</v>
      </c>
      <c r="DY8">
        <v>0</v>
      </c>
      <c r="DZ8" s="35">
        <v>0.82265722678023678</v>
      </c>
      <c r="EA8" s="22" t="s">
        <v>432</v>
      </c>
      <c r="EC8" s="13" t="s">
        <v>308</v>
      </c>
      <c r="ED8" s="21" t="s">
        <v>119</v>
      </c>
      <c r="EE8">
        <v>4</v>
      </c>
      <c r="EF8">
        <v>1</v>
      </c>
      <c r="EG8" s="35">
        <v>0.78976415518222931</v>
      </c>
      <c r="EH8" s="8" t="s">
        <v>500</v>
      </c>
      <c r="EJ8" s="13" t="s">
        <v>308</v>
      </c>
      <c r="EK8" s="17" t="s">
        <v>57</v>
      </c>
      <c r="EL8">
        <v>5</v>
      </c>
      <c r="EM8">
        <v>1</v>
      </c>
      <c r="EN8" s="35">
        <v>0.81010374428400544</v>
      </c>
      <c r="EO8" s="22" t="s">
        <v>385</v>
      </c>
      <c r="EQ8" s="13" t="s">
        <v>308</v>
      </c>
      <c r="ER8" s="21" t="s">
        <v>26</v>
      </c>
      <c r="ES8">
        <v>6</v>
      </c>
      <c r="ET8">
        <v>1</v>
      </c>
      <c r="EU8" s="35">
        <v>0.77566209901955907</v>
      </c>
      <c r="EV8" s="22" t="s">
        <v>432</v>
      </c>
      <c r="EX8" s="13" t="s">
        <v>308</v>
      </c>
      <c r="EY8" s="58" t="s">
        <v>783</v>
      </c>
      <c r="EZ8" s="46">
        <v>7</v>
      </c>
      <c r="FA8" s="46">
        <v>1</v>
      </c>
      <c r="FB8" s="35">
        <v>0.7572514175298346</v>
      </c>
      <c r="FC8" s="22" t="s">
        <v>393</v>
      </c>
      <c r="FE8" s="13" t="s">
        <v>308</v>
      </c>
      <c r="FF8" s="58" t="s">
        <v>783</v>
      </c>
      <c r="FG8" s="46">
        <v>8</v>
      </c>
      <c r="FH8" s="46">
        <v>1</v>
      </c>
      <c r="FI8" s="35">
        <v>0.75614039016125489</v>
      </c>
      <c r="FJ8" t="s">
        <v>1</v>
      </c>
      <c r="FL8" s="13" t="s">
        <v>308</v>
      </c>
      <c r="FM8" s="58" t="s">
        <v>783</v>
      </c>
      <c r="FN8" s="46">
        <v>9</v>
      </c>
      <c r="FO8" s="46">
        <v>1</v>
      </c>
      <c r="FP8" s="35">
        <v>0.74076267016278252</v>
      </c>
      <c r="FQ8" t="s">
        <v>1</v>
      </c>
      <c r="FS8" s="13" t="s">
        <v>308</v>
      </c>
      <c r="FT8" s="21" t="s">
        <v>26</v>
      </c>
      <c r="FU8" s="46">
        <v>9</v>
      </c>
      <c r="FV8" s="46">
        <v>2</v>
      </c>
      <c r="FW8" s="35">
        <v>0.73359334739711435</v>
      </c>
      <c r="FX8" s="22" t="s">
        <v>432</v>
      </c>
      <c r="FZ8" s="13" t="s">
        <v>308</v>
      </c>
      <c r="GA8" s="19" t="s">
        <v>36</v>
      </c>
      <c r="GB8" s="72">
        <v>9</v>
      </c>
      <c r="GC8" s="72">
        <v>3</v>
      </c>
      <c r="GD8" s="35">
        <v>0.72242668302225144</v>
      </c>
      <c r="GE8" s="22" t="s">
        <v>434</v>
      </c>
      <c r="GG8" s="13" t="s">
        <v>308</v>
      </c>
      <c r="GH8" s="21" t="s">
        <v>26</v>
      </c>
      <c r="GI8" s="72">
        <v>10</v>
      </c>
      <c r="GJ8" s="72">
        <v>2</v>
      </c>
      <c r="GK8" s="35">
        <v>0.76472834442460158</v>
      </c>
      <c r="GL8" s="8" t="s">
        <v>383</v>
      </c>
      <c r="GN8" s="13" t="s">
        <v>308</v>
      </c>
      <c r="GO8" s="15" t="s">
        <v>1179</v>
      </c>
      <c r="GP8" s="72">
        <v>11</v>
      </c>
      <c r="GQ8" s="72">
        <v>4</v>
      </c>
      <c r="GR8" s="35">
        <v>0.74544504947768353</v>
      </c>
      <c r="GS8" s="22" t="s">
        <v>462</v>
      </c>
      <c r="GU8" s="13" t="s">
        <v>308</v>
      </c>
      <c r="GV8" s="15" t="s">
        <v>1179</v>
      </c>
      <c r="GW8">
        <v>12</v>
      </c>
      <c r="GX8">
        <v>5</v>
      </c>
      <c r="GY8" s="35">
        <v>0.75504693575602511</v>
      </c>
      <c r="GZ8" t="s">
        <v>1</v>
      </c>
      <c r="HB8" s="13" t="s">
        <v>308</v>
      </c>
      <c r="HC8" s="21" t="s">
        <v>26</v>
      </c>
      <c r="HD8">
        <v>11</v>
      </c>
      <c r="HE8">
        <v>3</v>
      </c>
      <c r="HF8" s="35">
        <v>0.7464609172391784</v>
      </c>
      <c r="HG8" s="22" t="s">
        <v>381</v>
      </c>
      <c r="HI8" s="13" t="s">
        <v>308</v>
      </c>
      <c r="HJ8" s="21" t="s">
        <v>26</v>
      </c>
      <c r="HK8">
        <v>11</v>
      </c>
      <c r="HL8">
        <v>3</v>
      </c>
      <c r="HM8" s="35">
        <v>0.7404302396226119</v>
      </c>
      <c r="HN8" t="s">
        <v>1</v>
      </c>
      <c r="HP8" s="13" t="s">
        <v>308</v>
      </c>
      <c r="HQ8" s="21" t="s">
        <v>34</v>
      </c>
      <c r="HR8">
        <v>1</v>
      </c>
      <c r="HS8">
        <v>0</v>
      </c>
      <c r="HT8" s="35">
        <v>0.84238625451577587</v>
      </c>
      <c r="HU8" s="8" t="s">
        <v>387</v>
      </c>
      <c r="HW8" s="13" t="s">
        <v>308</v>
      </c>
      <c r="HX8" s="21" t="s">
        <v>34</v>
      </c>
      <c r="HY8">
        <v>2</v>
      </c>
      <c r="HZ8">
        <v>0</v>
      </c>
      <c r="IA8" s="35">
        <v>0.85372060328387844</v>
      </c>
      <c r="IB8" t="s">
        <v>1</v>
      </c>
      <c r="ID8" s="13" t="s">
        <v>308</v>
      </c>
      <c r="IE8" s="21" t="s">
        <v>119</v>
      </c>
      <c r="IF8">
        <v>2</v>
      </c>
      <c r="IG8">
        <v>1</v>
      </c>
      <c r="IH8" s="35">
        <v>0.84376741026043645</v>
      </c>
      <c r="II8" s="8" t="s">
        <v>387</v>
      </c>
      <c r="IK8" s="13" t="s">
        <v>308</v>
      </c>
      <c r="IL8" s="69" t="s">
        <v>966</v>
      </c>
      <c r="IM8">
        <v>4</v>
      </c>
      <c r="IN8">
        <v>0</v>
      </c>
      <c r="IO8" s="35">
        <v>0.89294047862037951</v>
      </c>
      <c r="IP8" s="8" t="s">
        <v>386</v>
      </c>
      <c r="IR8" s="13" t="s">
        <v>308</v>
      </c>
      <c r="IS8" s="19" t="s">
        <v>40</v>
      </c>
      <c r="IT8">
        <v>5</v>
      </c>
      <c r="IU8">
        <v>0</v>
      </c>
      <c r="IV8" s="35">
        <v>0.85636350141113127</v>
      </c>
      <c r="IW8" s="22" t="s">
        <v>381</v>
      </c>
      <c r="IY8" s="13" t="s">
        <v>308</v>
      </c>
      <c r="IZ8" s="69" t="s">
        <v>1344</v>
      </c>
      <c r="JA8">
        <v>6</v>
      </c>
      <c r="JB8">
        <v>0</v>
      </c>
      <c r="JC8" s="35">
        <v>0.85258436988364128</v>
      </c>
      <c r="JD8" s="8" t="s">
        <v>386</v>
      </c>
      <c r="JF8" s="13" t="s">
        <v>308</v>
      </c>
      <c r="JG8" s="19" t="s">
        <v>40</v>
      </c>
      <c r="JH8" s="6">
        <v>7</v>
      </c>
      <c r="JI8" s="6">
        <v>0</v>
      </c>
      <c r="JJ8" s="35">
        <v>0.85409065683530028</v>
      </c>
      <c r="JK8" s="8" t="s">
        <v>500</v>
      </c>
      <c r="JM8" s="13" t="s">
        <v>308</v>
      </c>
      <c r="JN8" s="19" t="s">
        <v>46</v>
      </c>
      <c r="JO8" s="6">
        <v>7</v>
      </c>
      <c r="JP8" s="6">
        <v>1</v>
      </c>
      <c r="JQ8" s="35">
        <v>0.83754943442630692</v>
      </c>
      <c r="JR8" s="8" t="s">
        <v>386</v>
      </c>
      <c r="JT8" s="13" t="s">
        <v>308</v>
      </c>
      <c r="JU8" s="16" t="s">
        <v>59</v>
      </c>
      <c r="JV8" s="6">
        <v>6</v>
      </c>
      <c r="JW8" s="6">
        <v>2</v>
      </c>
      <c r="JX8" s="35">
        <v>0.8560744299160733</v>
      </c>
      <c r="JY8" s="22" t="s">
        <v>381</v>
      </c>
      <c r="JZ8" s="22" t="s">
        <v>462</v>
      </c>
      <c r="KB8" s="13" t="s">
        <v>308</v>
      </c>
      <c r="KC8" s="19" t="s">
        <v>36</v>
      </c>
      <c r="KD8" s="6">
        <v>7</v>
      </c>
      <c r="KE8" s="6">
        <v>2</v>
      </c>
      <c r="KF8" s="35">
        <v>0.84535621592016141</v>
      </c>
      <c r="KG8" s="22" t="s">
        <v>432</v>
      </c>
      <c r="KI8" s="13" t="s">
        <v>308</v>
      </c>
      <c r="KJ8" s="16" t="s">
        <v>60</v>
      </c>
      <c r="KK8" s="6">
        <v>8</v>
      </c>
      <c r="KL8" s="6">
        <v>1</v>
      </c>
      <c r="KM8" s="35">
        <v>0.86282775847353099</v>
      </c>
      <c r="KN8" s="22" t="s">
        <v>393</v>
      </c>
      <c r="KP8" s="13" t="s">
        <v>308</v>
      </c>
      <c r="KQ8" s="69" t="s">
        <v>966</v>
      </c>
      <c r="KR8" s="6">
        <v>9</v>
      </c>
      <c r="KS8" s="6">
        <v>1</v>
      </c>
      <c r="KT8" s="35">
        <v>0.84136305121601918</v>
      </c>
      <c r="KU8" s="8" t="s">
        <v>383</v>
      </c>
      <c r="KW8" s="13" t="s">
        <v>308</v>
      </c>
      <c r="KX8" s="69" t="s">
        <v>966</v>
      </c>
      <c r="KY8" s="6">
        <v>9</v>
      </c>
      <c r="KZ8" s="6">
        <v>1</v>
      </c>
      <c r="LA8" s="35">
        <v>0.84269912288871518</v>
      </c>
      <c r="LB8" t="s">
        <v>1</v>
      </c>
      <c r="LD8" s="13" t="s">
        <v>308</v>
      </c>
      <c r="LE8" s="69" t="s">
        <v>1344</v>
      </c>
      <c r="LF8" s="6">
        <v>10</v>
      </c>
      <c r="LG8" s="6">
        <v>1</v>
      </c>
      <c r="LH8" s="35">
        <v>0.84861563476035662</v>
      </c>
      <c r="LI8" s="22" t="s">
        <v>381</v>
      </c>
      <c r="LK8" s="13" t="s">
        <v>308</v>
      </c>
      <c r="LL8" s="19" t="s">
        <v>36</v>
      </c>
      <c r="LM8" s="6">
        <v>9</v>
      </c>
      <c r="LN8" s="6">
        <v>2</v>
      </c>
      <c r="LO8" s="35">
        <v>0.87169680924409543</v>
      </c>
      <c r="LP8" s="22" t="s">
        <v>381</v>
      </c>
      <c r="LR8" s="13" t="s">
        <v>308</v>
      </c>
      <c r="LS8" s="17" t="s">
        <v>145</v>
      </c>
      <c r="LT8" s="6">
        <v>10</v>
      </c>
      <c r="LU8" s="6">
        <v>2</v>
      </c>
      <c r="LV8" s="35">
        <v>0.86788817563818976</v>
      </c>
      <c r="LW8" s="22" t="s">
        <v>381</v>
      </c>
      <c r="LY8" s="13" t="s">
        <v>308</v>
      </c>
      <c r="LZ8" s="17" t="s">
        <v>145</v>
      </c>
      <c r="MA8" s="6">
        <v>10</v>
      </c>
      <c r="MB8" s="6">
        <v>2</v>
      </c>
      <c r="MC8" s="35">
        <v>0.87232066393887631</v>
      </c>
      <c r="MD8" t="s">
        <v>1</v>
      </c>
      <c r="MF8" s="13" t="s">
        <v>308</v>
      </c>
      <c r="MG8" s="17" t="s">
        <v>145</v>
      </c>
      <c r="MH8" s="6">
        <v>11</v>
      </c>
      <c r="MI8" s="6">
        <v>2</v>
      </c>
      <c r="MJ8" s="35">
        <v>0.87433930733742715</v>
      </c>
      <c r="MK8" t="s">
        <v>1</v>
      </c>
      <c r="MM8" s="13" t="s">
        <v>308</v>
      </c>
      <c r="MN8" s="21" t="s">
        <v>119</v>
      </c>
      <c r="MO8" s="6">
        <v>10</v>
      </c>
      <c r="MP8" s="6">
        <v>3</v>
      </c>
      <c r="MQ8" s="35">
        <v>0.87568268809928385</v>
      </c>
      <c r="MR8" s="8" t="s">
        <v>386</v>
      </c>
      <c r="MT8" s="13" t="s">
        <v>308</v>
      </c>
      <c r="MU8" s="17" t="s">
        <v>145</v>
      </c>
      <c r="MV8" s="6">
        <v>11</v>
      </c>
      <c r="MW8" s="6">
        <v>2</v>
      </c>
      <c r="MX8" s="35">
        <v>0.87468284754642511</v>
      </c>
      <c r="MY8" s="8" t="s">
        <v>386</v>
      </c>
      <c r="NA8" s="13" t="s">
        <v>308</v>
      </c>
      <c r="NB8" s="21" t="s">
        <v>119</v>
      </c>
      <c r="NC8" s="6">
        <v>10</v>
      </c>
      <c r="ND8" s="6">
        <v>4</v>
      </c>
      <c r="NE8" s="35">
        <v>0.83771519203944689</v>
      </c>
      <c r="NF8" s="22" t="s">
        <v>381</v>
      </c>
      <c r="NH8" s="13" t="s">
        <v>308</v>
      </c>
      <c r="NI8" s="21" t="s">
        <v>119</v>
      </c>
      <c r="NJ8" s="1">
        <v>10</v>
      </c>
      <c r="NK8" s="1">
        <v>4</v>
      </c>
      <c r="NL8" s="36">
        <v>0.83040731195826956</v>
      </c>
      <c r="NM8" t="s">
        <v>1</v>
      </c>
      <c r="NO8" s="13" t="s">
        <v>308</v>
      </c>
      <c r="NP8" s="21" t="s">
        <v>119</v>
      </c>
      <c r="NQ8" s="1">
        <v>10</v>
      </c>
      <c r="NR8" s="1">
        <v>4</v>
      </c>
      <c r="NS8" s="36">
        <v>0.83445675063978964</v>
      </c>
      <c r="NT8" t="s">
        <v>1</v>
      </c>
      <c r="NV8" s="13" t="s">
        <v>308</v>
      </c>
      <c r="NW8" s="19" t="s">
        <v>36</v>
      </c>
      <c r="NX8" s="1">
        <v>11</v>
      </c>
      <c r="NY8" s="1">
        <v>3</v>
      </c>
      <c r="NZ8" s="36">
        <v>0.83746795394390372</v>
      </c>
      <c r="OA8" s="22" t="s">
        <v>381</v>
      </c>
      <c r="OC8" s="13" t="s">
        <v>308</v>
      </c>
      <c r="OD8" s="19" t="s">
        <v>5088</v>
      </c>
      <c r="OE8" s="1">
        <v>11</v>
      </c>
      <c r="OF8" s="1">
        <v>3</v>
      </c>
      <c r="OG8" s="36">
        <v>0.82096642577181289</v>
      </c>
      <c r="OH8" s="8" t="s">
        <v>386</v>
      </c>
      <c r="OJ8" s="13" t="s">
        <v>308</v>
      </c>
      <c r="OK8" s="17" t="s">
        <v>145</v>
      </c>
      <c r="OL8" s="1">
        <v>11</v>
      </c>
      <c r="OM8" s="1">
        <v>3</v>
      </c>
      <c r="ON8" s="36">
        <v>0.8191300713759907</v>
      </c>
      <c r="OO8" s="22" t="s">
        <v>381</v>
      </c>
      <c r="OQ8" s="13" t="s">
        <v>308</v>
      </c>
      <c r="OR8" s="17" t="s">
        <v>145</v>
      </c>
      <c r="OS8" s="1">
        <v>11</v>
      </c>
      <c r="OT8" s="1">
        <v>3</v>
      </c>
      <c r="OU8" s="36">
        <v>0.82465276041736468</v>
      </c>
      <c r="OV8" t="s">
        <v>1</v>
      </c>
      <c r="OX8" s="13" t="s">
        <v>308</v>
      </c>
      <c r="OY8" s="17" t="s">
        <v>145</v>
      </c>
      <c r="OZ8" s="1">
        <v>11</v>
      </c>
      <c r="PA8" s="1">
        <v>3</v>
      </c>
      <c r="PB8" s="36">
        <v>0.83399387247867118</v>
      </c>
      <c r="PC8" t="s">
        <v>1</v>
      </c>
      <c r="PE8" s="13" t="s">
        <v>308</v>
      </c>
      <c r="PF8" s="17" t="s">
        <v>145</v>
      </c>
      <c r="PG8" s="1">
        <v>11</v>
      </c>
      <c r="PH8" s="1">
        <v>3</v>
      </c>
      <c r="PI8" s="36">
        <v>0.83368875582956181</v>
      </c>
      <c r="PJ8" t="s">
        <v>1</v>
      </c>
    </row>
    <row r="9" spans="2:426" x14ac:dyDescent="0.35">
      <c r="B9" s="13" t="s">
        <v>308</v>
      </c>
      <c r="C9" s="19" t="s">
        <v>2011</v>
      </c>
      <c r="D9" t="s">
        <v>327</v>
      </c>
      <c r="E9">
        <v>92</v>
      </c>
      <c r="G9" s="13" t="s">
        <v>375</v>
      </c>
      <c r="H9" s="17" t="s">
        <v>57</v>
      </c>
      <c r="I9" t="s">
        <v>378</v>
      </c>
      <c r="J9">
        <v>102</v>
      </c>
      <c r="K9" s="8" t="s">
        <v>387</v>
      </c>
      <c r="M9" s="13" t="s">
        <v>375</v>
      </c>
      <c r="N9" s="21" t="s">
        <v>24</v>
      </c>
      <c r="O9" s="9" t="s">
        <v>429</v>
      </c>
      <c r="P9">
        <v>129</v>
      </c>
      <c r="Q9" s="22" t="s">
        <v>393</v>
      </c>
      <c r="S9" s="13" t="s">
        <v>375</v>
      </c>
      <c r="T9" s="21" t="s">
        <v>1860</v>
      </c>
      <c r="U9" s="9" t="s">
        <v>458</v>
      </c>
      <c r="V9">
        <v>120</v>
      </c>
      <c r="W9" s="22" t="s">
        <v>389</v>
      </c>
      <c r="Y9" s="13" t="s">
        <v>375</v>
      </c>
      <c r="Z9" s="19" t="s">
        <v>40</v>
      </c>
      <c r="AA9" t="s">
        <v>498</v>
      </c>
      <c r="AB9">
        <v>113</v>
      </c>
      <c r="AC9" s="8" t="s">
        <v>500</v>
      </c>
      <c r="AE9" s="13" t="s">
        <v>375</v>
      </c>
      <c r="AF9" s="21" t="s">
        <v>33</v>
      </c>
      <c r="AG9" s="9" t="s">
        <v>517</v>
      </c>
      <c r="AH9">
        <v>117</v>
      </c>
      <c r="AI9" s="22" t="s">
        <v>384</v>
      </c>
      <c r="AK9" s="13" t="s">
        <v>375</v>
      </c>
      <c r="AL9" s="19" t="s">
        <v>46</v>
      </c>
      <c r="AM9" t="s">
        <v>541</v>
      </c>
      <c r="AN9">
        <v>109</v>
      </c>
      <c r="AO9" s="22" t="s">
        <v>384</v>
      </c>
      <c r="AQ9" s="13" t="s">
        <v>375</v>
      </c>
      <c r="AR9" s="19" t="s">
        <v>46</v>
      </c>
      <c r="AS9" t="s">
        <v>561</v>
      </c>
      <c r="AT9">
        <v>116</v>
      </c>
      <c r="AU9" t="s">
        <v>1</v>
      </c>
      <c r="AW9" s="13" t="s">
        <v>375</v>
      </c>
      <c r="AX9" s="21" t="s">
        <v>32</v>
      </c>
      <c r="AY9">
        <v>8</v>
      </c>
      <c r="AZ9">
        <v>1</v>
      </c>
      <c r="BA9">
        <v>0.77401379618936261</v>
      </c>
      <c r="BB9" s="22" t="s">
        <v>384</v>
      </c>
      <c r="BD9" s="13" t="s">
        <v>375</v>
      </c>
      <c r="BE9" s="17" t="s">
        <v>57</v>
      </c>
      <c r="BF9">
        <v>9</v>
      </c>
      <c r="BG9">
        <v>1</v>
      </c>
      <c r="BH9" s="35">
        <v>0.75071007883875596</v>
      </c>
      <c r="BI9" s="22" t="s">
        <v>393</v>
      </c>
      <c r="BK9" s="13" t="s">
        <v>375</v>
      </c>
      <c r="BL9" s="17" t="s">
        <v>53</v>
      </c>
      <c r="BM9">
        <v>10</v>
      </c>
      <c r="BN9">
        <v>1</v>
      </c>
      <c r="BO9" s="35">
        <v>0.76175283067361299</v>
      </c>
      <c r="BP9" s="22" t="s">
        <v>381</v>
      </c>
      <c r="BR9" s="13" t="s">
        <v>375</v>
      </c>
      <c r="BS9" s="17" t="s">
        <v>53</v>
      </c>
      <c r="BT9">
        <v>11</v>
      </c>
      <c r="BU9">
        <v>1</v>
      </c>
      <c r="BV9" s="35">
        <v>0.75662337184637773</v>
      </c>
      <c r="BW9" t="s">
        <v>1</v>
      </c>
      <c r="BY9" s="13" t="s">
        <v>375</v>
      </c>
      <c r="BZ9" s="21" t="s">
        <v>119</v>
      </c>
      <c r="CA9">
        <v>10</v>
      </c>
      <c r="CB9">
        <v>3</v>
      </c>
      <c r="CC9" s="35">
        <v>0.73054272655748698</v>
      </c>
      <c r="CD9" s="22" t="s">
        <v>384</v>
      </c>
      <c r="CF9" s="13" t="s">
        <v>375</v>
      </c>
      <c r="CG9" s="19" t="s">
        <v>46</v>
      </c>
      <c r="CH9">
        <v>9</v>
      </c>
      <c r="CI9">
        <v>4</v>
      </c>
      <c r="CJ9" s="35">
        <v>0.72588310437828196</v>
      </c>
      <c r="CK9" s="8" t="s">
        <v>383</v>
      </c>
      <c r="CM9" s="13" t="s">
        <v>375</v>
      </c>
      <c r="CN9" s="19" t="s">
        <v>41</v>
      </c>
      <c r="CO9">
        <v>11</v>
      </c>
      <c r="CP9">
        <v>5</v>
      </c>
      <c r="CQ9" s="35">
        <v>0.62637200011912708</v>
      </c>
      <c r="CR9" s="8" t="s">
        <v>386</v>
      </c>
      <c r="CT9" s="13" t="s">
        <v>375</v>
      </c>
      <c r="CU9" s="21" t="s">
        <v>34</v>
      </c>
      <c r="CV9">
        <v>1</v>
      </c>
      <c r="CW9">
        <v>0</v>
      </c>
      <c r="CX9" s="35">
        <v>0.84487923077835647</v>
      </c>
      <c r="CY9" s="22" t="s">
        <v>433</v>
      </c>
      <c r="DA9" s="13" t="s">
        <v>375</v>
      </c>
      <c r="DB9" s="17" t="s">
        <v>49</v>
      </c>
      <c r="DC9">
        <v>2</v>
      </c>
      <c r="DD9">
        <v>0</v>
      </c>
      <c r="DE9" s="35">
        <v>0.86236937632813915</v>
      </c>
      <c r="DF9" s="8" t="s">
        <v>461</v>
      </c>
      <c r="DH9" s="13" t="s">
        <v>375</v>
      </c>
      <c r="DI9" s="17" t="s">
        <v>49</v>
      </c>
      <c r="DJ9">
        <v>2</v>
      </c>
      <c r="DK9">
        <v>0</v>
      </c>
      <c r="DL9" s="35">
        <v>0.86555119450995721</v>
      </c>
      <c r="DM9" t="s">
        <v>1</v>
      </c>
      <c r="DO9" s="13" t="s">
        <v>375</v>
      </c>
      <c r="DP9" s="21" t="s">
        <v>31</v>
      </c>
      <c r="DQ9">
        <v>3</v>
      </c>
      <c r="DR9">
        <v>0</v>
      </c>
      <c r="DS9" s="35">
        <v>0.82517963736927702</v>
      </c>
      <c r="DT9" s="22" t="s">
        <v>389</v>
      </c>
      <c r="DV9" s="13" t="s">
        <v>375</v>
      </c>
      <c r="DW9" s="21" t="s">
        <v>34</v>
      </c>
      <c r="DX9">
        <v>4</v>
      </c>
      <c r="DY9">
        <v>0</v>
      </c>
      <c r="DZ9" s="35">
        <v>0.81814376343431172</v>
      </c>
      <c r="EA9" s="8" t="s">
        <v>386</v>
      </c>
      <c r="EC9" s="13" t="s">
        <v>375</v>
      </c>
      <c r="ED9" s="15" t="s">
        <v>74</v>
      </c>
      <c r="EE9">
        <v>5</v>
      </c>
      <c r="EF9">
        <v>0</v>
      </c>
      <c r="EG9" s="35">
        <v>0.78175524356034187</v>
      </c>
      <c r="EH9" s="22" t="s">
        <v>384</v>
      </c>
      <c r="EJ9" s="13" t="s">
        <v>375</v>
      </c>
      <c r="EK9" s="15" t="s">
        <v>79</v>
      </c>
      <c r="EL9">
        <v>5</v>
      </c>
      <c r="EM9">
        <v>1</v>
      </c>
      <c r="EN9" s="35">
        <v>0.8018365089217705</v>
      </c>
      <c r="EO9" s="22" t="s">
        <v>381</v>
      </c>
      <c r="EQ9" s="13" t="s">
        <v>375</v>
      </c>
      <c r="ER9" s="15" t="s">
        <v>87</v>
      </c>
      <c r="ES9">
        <v>6</v>
      </c>
      <c r="ET9">
        <v>1</v>
      </c>
      <c r="EU9" s="35">
        <v>0.75376649037604859</v>
      </c>
      <c r="EV9" s="22" t="s">
        <v>393</v>
      </c>
      <c r="EX9" s="13" t="s">
        <v>375</v>
      </c>
      <c r="EY9" s="16" t="s">
        <v>70</v>
      </c>
      <c r="EZ9">
        <v>6</v>
      </c>
      <c r="FA9">
        <v>2</v>
      </c>
      <c r="FB9" s="35">
        <v>0.73507000605132622</v>
      </c>
      <c r="FC9" s="22" t="s">
        <v>393</v>
      </c>
      <c r="FE9" s="13" t="s">
        <v>375</v>
      </c>
      <c r="FF9" s="21" t="s">
        <v>26</v>
      </c>
      <c r="FG9">
        <v>7</v>
      </c>
      <c r="FH9">
        <v>2</v>
      </c>
      <c r="FI9" s="35">
        <v>0.73810545810163553</v>
      </c>
      <c r="FJ9" s="22" t="s">
        <v>381</v>
      </c>
      <c r="FL9" s="13" t="s">
        <v>375</v>
      </c>
      <c r="FM9" s="17" t="s">
        <v>57</v>
      </c>
      <c r="FN9">
        <v>8</v>
      </c>
      <c r="FO9">
        <v>2</v>
      </c>
      <c r="FP9" s="35">
        <v>0.70956661344582439</v>
      </c>
      <c r="FQ9" s="22" t="s">
        <v>432</v>
      </c>
      <c r="FS9" s="13" t="s">
        <v>375</v>
      </c>
      <c r="FT9" s="17" t="s">
        <v>300</v>
      </c>
      <c r="FU9">
        <v>9</v>
      </c>
      <c r="FV9">
        <v>2</v>
      </c>
      <c r="FW9" s="35">
        <v>0.69134120403957278</v>
      </c>
      <c r="FX9" s="22" t="s">
        <v>432</v>
      </c>
      <c r="FZ9" s="13" t="s">
        <v>375</v>
      </c>
      <c r="GA9" s="19" t="s">
        <v>42</v>
      </c>
      <c r="GB9">
        <v>9</v>
      </c>
      <c r="GC9" s="1">
        <v>3</v>
      </c>
      <c r="GD9" s="35">
        <v>0.71757732826004339</v>
      </c>
      <c r="GE9" s="8" t="s">
        <v>383</v>
      </c>
      <c r="GG9" s="13" t="s">
        <v>375</v>
      </c>
      <c r="GH9" s="19" t="s">
        <v>36</v>
      </c>
      <c r="GI9">
        <v>9</v>
      </c>
      <c r="GJ9" s="6">
        <v>4</v>
      </c>
      <c r="GK9" s="35">
        <v>0.73133297394607166</v>
      </c>
      <c r="GL9" s="8" t="s">
        <v>386</v>
      </c>
      <c r="GN9" s="13" t="s">
        <v>375</v>
      </c>
      <c r="GO9" s="21" t="s">
        <v>26</v>
      </c>
      <c r="GP9">
        <v>11</v>
      </c>
      <c r="GQ9" s="6">
        <v>3</v>
      </c>
      <c r="GR9" s="35">
        <v>0.74085443919339555</v>
      </c>
      <c r="GS9" s="8" t="s">
        <v>386</v>
      </c>
      <c r="GU9" s="13" t="s">
        <v>375</v>
      </c>
      <c r="GV9" s="21" t="s">
        <v>26</v>
      </c>
      <c r="GW9">
        <v>11</v>
      </c>
      <c r="GX9">
        <v>3</v>
      </c>
      <c r="GY9" s="35">
        <v>0.74968517653596178</v>
      </c>
      <c r="GZ9" t="s">
        <v>1</v>
      </c>
      <c r="HB9" s="13" t="s">
        <v>375</v>
      </c>
      <c r="HC9" s="15" t="s">
        <v>1179</v>
      </c>
      <c r="HD9">
        <v>12</v>
      </c>
      <c r="HE9">
        <v>5</v>
      </c>
      <c r="HF9" s="35">
        <v>0.7417760965755591</v>
      </c>
      <c r="HG9" s="8" t="s">
        <v>386</v>
      </c>
      <c r="HI9" s="13" t="s">
        <v>375</v>
      </c>
      <c r="HJ9" s="15" t="s">
        <v>87</v>
      </c>
      <c r="HK9">
        <v>10</v>
      </c>
      <c r="HL9">
        <v>2</v>
      </c>
      <c r="HM9" s="35">
        <v>0.72710041789881674</v>
      </c>
      <c r="HN9" s="22" t="s">
        <v>381</v>
      </c>
      <c r="HP9" s="13" t="s">
        <v>375</v>
      </c>
      <c r="HQ9" s="19" t="s">
        <v>36</v>
      </c>
      <c r="HR9">
        <v>1</v>
      </c>
      <c r="HS9">
        <v>0</v>
      </c>
      <c r="HT9" s="35">
        <v>0.83374707828710948</v>
      </c>
      <c r="HU9" s="22" t="s">
        <v>462</v>
      </c>
      <c r="HW9" s="13" t="s">
        <v>375</v>
      </c>
      <c r="HX9" s="21" t="s">
        <v>26</v>
      </c>
      <c r="HY9">
        <v>2</v>
      </c>
      <c r="HZ9">
        <v>0</v>
      </c>
      <c r="IA9" s="35">
        <v>0.84646724960547581</v>
      </c>
      <c r="IB9" s="22" t="s">
        <v>1564</v>
      </c>
      <c r="ID9" s="13" t="s">
        <v>375</v>
      </c>
      <c r="IE9" s="19" t="s">
        <v>40</v>
      </c>
      <c r="IF9">
        <v>3</v>
      </c>
      <c r="IG9">
        <v>0</v>
      </c>
      <c r="IH9" s="35">
        <v>0.83888010269317859</v>
      </c>
      <c r="II9" s="22" t="s">
        <v>384</v>
      </c>
      <c r="IK9" s="13" t="s">
        <v>375</v>
      </c>
      <c r="IL9" s="19" t="s">
        <v>40</v>
      </c>
      <c r="IM9">
        <v>4</v>
      </c>
      <c r="IN9">
        <v>0</v>
      </c>
      <c r="IO9" s="35">
        <v>0.85579548175029474</v>
      </c>
      <c r="IP9" t="s">
        <v>1</v>
      </c>
      <c r="IR9" s="13" t="s">
        <v>375</v>
      </c>
      <c r="IS9" s="16" t="s">
        <v>59</v>
      </c>
      <c r="IT9">
        <v>4</v>
      </c>
      <c r="IU9">
        <v>1</v>
      </c>
      <c r="IV9" s="35">
        <v>0.84051330325543383</v>
      </c>
      <c r="IW9" s="8" t="s">
        <v>387</v>
      </c>
      <c r="IY9" s="13" t="s">
        <v>375</v>
      </c>
      <c r="IZ9" s="69" t="s">
        <v>962</v>
      </c>
      <c r="JA9">
        <v>5</v>
      </c>
      <c r="JB9">
        <v>1</v>
      </c>
      <c r="JC9" s="35">
        <v>0.84294933283748563</v>
      </c>
      <c r="JD9" s="22" t="s">
        <v>462</v>
      </c>
      <c r="JF9" s="13" t="s">
        <v>375</v>
      </c>
      <c r="JG9" s="19" t="s">
        <v>36</v>
      </c>
      <c r="JH9" s="6">
        <v>5</v>
      </c>
      <c r="JI9" s="6">
        <v>2</v>
      </c>
      <c r="JJ9" s="35">
        <v>0.8394339365070792</v>
      </c>
      <c r="JK9" s="22" t="s">
        <v>434</v>
      </c>
      <c r="JM9" s="13" t="s">
        <v>375</v>
      </c>
      <c r="JN9" s="16" t="s">
        <v>59</v>
      </c>
      <c r="JO9" s="6">
        <v>6</v>
      </c>
      <c r="JP9" s="6">
        <v>2</v>
      </c>
      <c r="JQ9" s="35">
        <v>0.83571574767944712</v>
      </c>
      <c r="JR9" s="22" t="s">
        <v>393</v>
      </c>
      <c r="JT9" s="13" t="s">
        <v>375</v>
      </c>
      <c r="JU9" s="17" t="s">
        <v>118</v>
      </c>
      <c r="JV9" s="6">
        <v>7</v>
      </c>
      <c r="JW9" s="6">
        <v>1</v>
      </c>
      <c r="JX9" s="35">
        <v>0.84859929791917976</v>
      </c>
      <c r="JY9" s="8" t="s">
        <v>386</v>
      </c>
      <c r="JZ9" s="8" t="s">
        <v>501</v>
      </c>
      <c r="KB9" s="13" t="s">
        <v>375</v>
      </c>
      <c r="KC9" s="17" t="s">
        <v>145</v>
      </c>
      <c r="KD9" s="6">
        <v>7</v>
      </c>
      <c r="KE9" s="6">
        <v>2</v>
      </c>
      <c r="KF9" s="35">
        <v>0.83765387980271888</v>
      </c>
      <c r="KG9" s="22" t="s">
        <v>384</v>
      </c>
      <c r="KI9" s="13" t="s">
        <v>375</v>
      </c>
      <c r="KJ9" s="17" t="s">
        <v>118</v>
      </c>
      <c r="KK9" s="6">
        <v>8</v>
      </c>
      <c r="KL9" s="6">
        <v>1</v>
      </c>
      <c r="KM9" s="35">
        <v>0.84568062050223503</v>
      </c>
      <c r="KN9" s="8" t="s">
        <v>383</v>
      </c>
      <c r="KP9" s="13" t="s">
        <v>375</v>
      </c>
      <c r="KQ9" s="19" t="s">
        <v>41</v>
      </c>
      <c r="KR9" s="6">
        <v>8</v>
      </c>
      <c r="KS9" s="6">
        <v>2</v>
      </c>
      <c r="KT9" s="35">
        <v>0.83603622693324264</v>
      </c>
      <c r="KU9" s="22" t="s">
        <v>462</v>
      </c>
      <c r="KW9" s="13" t="s">
        <v>375</v>
      </c>
      <c r="KX9" s="69" t="s">
        <v>1344</v>
      </c>
      <c r="KY9" s="6">
        <v>9</v>
      </c>
      <c r="KZ9" s="6">
        <v>1</v>
      </c>
      <c r="LA9" s="35">
        <v>0.83975629740401836</v>
      </c>
      <c r="LB9" s="22" t="s">
        <v>385</v>
      </c>
      <c r="LD9" s="13" t="s">
        <v>375</v>
      </c>
      <c r="LE9" s="19" t="s">
        <v>36</v>
      </c>
      <c r="LF9" s="6">
        <v>9</v>
      </c>
      <c r="LG9" s="6">
        <v>2</v>
      </c>
      <c r="LH9" s="35">
        <v>0.84695404760987936</v>
      </c>
      <c r="LI9" s="8" t="s">
        <v>383</v>
      </c>
      <c r="LK9" s="13" t="s">
        <v>375</v>
      </c>
      <c r="LL9" s="17" t="s">
        <v>145</v>
      </c>
      <c r="LM9" s="6">
        <v>9</v>
      </c>
      <c r="LN9" s="6">
        <v>2</v>
      </c>
      <c r="LO9" s="35">
        <v>0.86519053576587468</v>
      </c>
      <c r="LP9" s="22" t="s">
        <v>381</v>
      </c>
      <c r="LR9" s="13" t="s">
        <v>375</v>
      </c>
      <c r="LS9" s="69" t="s">
        <v>1344</v>
      </c>
      <c r="LT9" s="6">
        <v>11</v>
      </c>
      <c r="LU9" s="6">
        <v>1</v>
      </c>
      <c r="LV9" s="35">
        <v>0.86757436531911636</v>
      </c>
      <c r="LW9" s="22" t="s">
        <v>381</v>
      </c>
      <c r="LY9" s="13" t="s">
        <v>375</v>
      </c>
      <c r="LZ9" s="19" t="s">
        <v>36</v>
      </c>
      <c r="MA9" s="6">
        <v>10</v>
      </c>
      <c r="MB9" s="6">
        <v>2</v>
      </c>
      <c r="MC9" s="35">
        <v>0.86825385249478548</v>
      </c>
      <c r="MD9" s="8" t="s">
        <v>383</v>
      </c>
      <c r="MF9" s="13" t="s">
        <v>375</v>
      </c>
      <c r="MG9" s="19" t="s">
        <v>36</v>
      </c>
      <c r="MH9" s="6">
        <v>11</v>
      </c>
      <c r="MI9" s="6">
        <v>2</v>
      </c>
      <c r="MJ9" s="35">
        <v>0.86905051971056257</v>
      </c>
      <c r="MK9" t="s">
        <v>1</v>
      </c>
      <c r="MM9" s="13" t="s">
        <v>375</v>
      </c>
      <c r="MN9" s="19" t="s">
        <v>36</v>
      </c>
      <c r="MO9" s="6">
        <v>11</v>
      </c>
      <c r="MP9" s="6">
        <v>2</v>
      </c>
      <c r="MQ9" s="35">
        <v>0.8693597686068657</v>
      </c>
      <c r="MR9" t="s">
        <v>1</v>
      </c>
      <c r="MT9" s="13" t="s">
        <v>375</v>
      </c>
      <c r="MU9" s="21" t="s">
        <v>119</v>
      </c>
      <c r="MV9" s="6">
        <v>10</v>
      </c>
      <c r="MW9" s="6">
        <v>3</v>
      </c>
      <c r="MX9" s="35">
        <v>0.87314476046034772</v>
      </c>
      <c r="MY9" s="8" t="s">
        <v>386</v>
      </c>
      <c r="NA9" s="13" t="s">
        <v>375</v>
      </c>
      <c r="NB9" s="19" t="s">
        <v>1181</v>
      </c>
      <c r="NC9" s="6">
        <v>11</v>
      </c>
      <c r="ND9" s="6">
        <v>3</v>
      </c>
      <c r="NE9" s="35">
        <v>0.83751296311734424</v>
      </c>
      <c r="NF9" s="22" t="s">
        <v>432</v>
      </c>
      <c r="NH9" s="13" t="s">
        <v>375</v>
      </c>
      <c r="NI9" s="19" t="s">
        <v>36</v>
      </c>
      <c r="NJ9" s="1">
        <v>11</v>
      </c>
      <c r="NK9" s="1">
        <v>3</v>
      </c>
      <c r="NL9" s="36">
        <v>0.82659030542661416</v>
      </c>
      <c r="NM9" s="8" t="s">
        <v>383</v>
      </c>
      <c r="NO9" s="13" t="s">
        <v>375</v>
      </c>
      <c r="NP9" s="19" t="s">
        <v>36</v>
      </c>
      <c r="NQ9" s="1">
        <v>11</v>
      </c>
      <c r="NR9" s="1">
        <v>3</v>
      </c>
      <c r="NS9" s="36">
        <v>0.83095313691149064</v>
      </c>
      <c r="NT9" t="s">
        <v>1</v>
      </c>
      <c r="NV9" s="13" t="s">
        <v>375</v>
      </c>
      <c r="NW9" s="21" t="s">
        <v>119</v>
      </c>
      <c r="NX9" s="1">
        <v>10</v>
      </c>
      <c r="NY9" s="1">
        <v>4</v>
      </c>
      <c r="NZ9" s="36">
        <v>0.83546862973325353</v>
      </c>
      <c r="OA9" s="8" t="s">
        <v>386</v>
      </c>
      <c r="OC9" s="13" t="s">
        <v>375</v>
      </c>
      <c r="OD9" s="17" t="s">
        <v>145</v>
      </c>
      <c r="OE9" s="1">
        <v>11</v>
      </c>
      <c r="OF9" s="1">
        <v>3</v>
      </c>
      <c r="OG9" s="36">
        <v>0.82028686113735838</v>
      </c>
      <c r="OH9" s="22" t="s">
        <v>381</v>
      </c>
      <c r="OJ9" s="13" t="s">
        <v>375</v>
      </c>
      <c r="OK9" s="21" t="s">
        <v>119</v>
      </c>
      <c r="OL9" s="1">
        <v>10</v>
      </c>
      <c r="OM9" s="1">
        <v>4</v>
      </c>
      <c r="ON9" s="36">
        <v>0.81816088681521493</v>
      </c>
      <c r="OO9" s="8" t="s">
        <v>383</v>
      </c>
      <c r="OQ9" s="13" t="s">
        <v>375</v>
      </c>
      <c r="OR9" s="21" t="s">
        <v>119</v>
      </c>
      <c r="OS9" s="1">
        <v>10</v>
      </c>
      <c r="OT9" s="1">
        <v>4</v>
      </c>
      <c r="OU9" s="36">
        <v>0.8243000236245045</v>
      </c>
      <c r="OV9" t="s">
        <v>1</v>
      </c>
      <c r="OX9" s="13" t="s">
        <v>375</v>
      </c>
      <c r="OY9" s="21" t="s">
        <v>119</v>
      </c>
      <c r="OZ9" s="1">
        <v>10</v>
      </c>
      <c r="PA9" s="1">
        <v>4</v>
      </c>
      <c r="PB9" s="36">
        <v>0.83347943960218907</v>
      </c>
      <c r="PC9" t="s">
        <v>1</v>
      </c>
      <c r="PE9" s="13" t="s">
        <v>375</v>
      </c>
      <c r="PF9" s="21" t="s">
        <v>119</v>
      </c>
      <c r="PG9" s="1">
        <v>10</v>
      </c>
      <c r="PH9" s="1">
        <v>4</v>
      </c>
      <c r="PI9" s="36">
        <v>0.83294794504193614</v>
      </c>
      <c r="PJ9" t="s">
        <v>1</v>
      </c>
    </row>
    <row r="10" spans="2:426" x14ac:dyDescent="0.35">
      <c r="B10" s="13" t="s">
        <v>309</v>
      </c>
      <c r="C10" s="21" t="s">
        <v>22</v>
      </c>
      <c r="D10" t="s">
        <v>327</v>
      </c>
      <c r="E10">
        <v>89</v>
      </c>
      <c r="G10" s="13" t="s">
        <v>309</v>
      </c>
      <c r="H10" s="19" t="s">
        <v>40</v>
      </c>
      <c r="I10" s="9" t="s">
        <v>378</v>
      </c>
      <c r="J10">
        <v>94</v>
      </c>
      <c r="K10" s="22" t="s">
        <v>388</v>
      </c>
      <c r="M10" s="13" t="s">
        <v>309</v>
      </c>
      <c r="N10" s="16" t="s">
        <v>67</v>
      </c>
      <c r="O10" s="9" t="s">
        <v>430</v>
      </c>
      <c r="P10">
        <v>121</v>
      </c>
      <c r="Q10" s="22" t="s">
        <v>433</v>
      </c>
      <c r="S10" s="13" t="s">
        <v>309</v>
      </c>
      <c r="T10" s="19" t="s">
        <v>39</v>
      </c>
      <c r="U10" s="9" t="s">
        <v>458</v>
      </c>
      <c r="V10">
        <v>112</v>
      </c>
      <c r="W10" s="8" t="s">
        <v>461</v>
      </c>
      <c r="Y10" s="13" t="s">
        <v>309</v>
      </c>
      <c r="Z10" s="19" t="s">
        <v>35</v>
      </c>
      <c r="AA10" t="s">
        <v>498</v>
      </c>
      <c r="AB10">
        <v>112</v>
      </c>
      <c r="AC10" s="8" t="s">
        <v>463</v>
      </c>
      <c r="AE10" s="13" t="s">
        <v>309</v>
      </c>
      <c r="AF10" s="19" t="s">
        <v>35</v>
      </c>
      <c r="AG10" t="s">
        <v>518</v>
      </c>
      <c r="AH10">
        <v>116</v>
      </c>
      <c r="AI10" t="s">
        <v>1</v>
      </c>
      <c r="AK10" s="13" t="s">
        <v>309</v>
      </c>
      <c r="AL10" s="21" t="s">
        <v>33</v>
      </c>
      <c r="AM10" t="s">
        <v>540</v>
      </c>
      <c r="AN10">
        <v>106</v>
      </c>
      <c r="AO10" s="8" t="s">
        <v>386</v>
      </c>
      <c r="AQ10" s="13" t="s">
        <v>309</v>
      </c>
      <c r="AR10" s="19" t="s">
        <v>38</v>
      </c>
      <c r="AS10" t="s">
        <v>343</v>
      </c>
      <c r="AT10">
        <v>113</v>
      </c>
      <c r="AU10" s="22" t="s">
        <v>381</v>
      </c>
      <c r="AW10" s="13" t="s">
        <v>309</v>
      </c>
      <c r="AX10" s="21" t="s">
        <v>1860</v>
      </c>
      <c r="AY10">
        <v>8</v>
      </c>
      <c r="AZ10">
        <v>1</v>
      </c>
      <c r="BA10">
        <v>0.75186367730996106</v>
      </c>
      <c r="BB10" s="22" t="s">
        <v>393</v>
      </c>
      <c r="BD10" s="13" t="s">
        <v>309</v>
      </c>
      <c r="BE10" s="17" t="s">
        <v>53</v>
      </c>
      <c r="BF10">
        <v>9</v>
      </c>
      <c r="BG10">
        <v>1</v>
      </c>
      <c r="BH10" s="35">
        <v>0.75023566180559065</v>
      </c>
      <c r="BI10" s="22" t="s">
        <v>381</v>
      </c>
      <c r="BK10" s="13" t="s">
        <v>309</v>
      </c>
      <c r="BL10" s="21" t="s">
        <v>32</v>
      </c>
      <c r="BM10">
        <v>9</v>
      </c>
      <c r="BN10">
        <v>2</v>
      </c>
      <c r="BO10" s="35">
        <v>0.74561414668061388</v>
      </c>
      <c r="BP10" s="22" t="s">
        <v>381</v>
      </c>
      <c r="BR10" s="13" t="s">
        <v>309</v>
      </c>
      <c r="BS10" s="19" t="s">
        <v>45</v>
      </c>
      <c r="BT10">
        <v>9</v>
      </c>
      <c r="BU10">
        <v>3</v>
      </c>
      <c r="BV10" s="35">
        <v>0.74911787288887433</v>
      </c>
      <c r="BW10" s="22" t="s">
        <v>381</v>
      </c>
      <c r="BY10" s="13" t="s">
        <v>309</v>
      </c>
      <c r="BZ10" s="17" t="s">
        <v>57</v>
      </c>
      <c r="CA10">
        <v>11</v>
      </c>
      <c r="CB10">
        <v>2</v>
      </c>
      <c r="CC10" s="35">
        <v>0.71323564200492262</v>
      </c>
      <c r="CD10" s="22" t="s">
        <v>384</v>
      </c>
      <c r="CF10" s="13" t="s">
        <v>309</v>
      </c>
      <c r="CG10" s="17" t="s">
        <v>53</v>
      </c>
      <c r="CH10">
        <v>12</v>
      </c>
      <c r="CI10">
        <v>2</v>
      </c>
      <c r="CJ10" s="35">
        <v>0.71333375978757685</v>
      </c>
      <c r="CK10" s="22" t="s">
        <v>381</v>
      </c>
      <c r="CM10" s="13" t="s">
        <v>309</v>
      </c>
      <c r="CN10" s="21" t="s">
        <v>24</v>
      </c>
      <c r="CO10">
        <v>10</v>
      </c>
      <c r="CP10">
        <v>6</v>
      </c>
      <c r="CQ10" s="35">
        <v>0.62269829046108782</v>
      </c>
      <c r="CR10" s="8" t="s">
        <v>463</v>
      </c>
      <c r="CT10" s="13" t="s">
        <v>309</v>
      </c>
      <c r="CU10" s="15" t="s">
        <v>87</v>
      </c>
      <c r="CV10">
        <v>1</v>
      </c>
      <c r="CW10">
        <v>0</v>
      </c>
      <c r="CX10" s="35">
        <v>0.8418296077372972</v>
      </c>
      <c r="CY10" t="s">
        <v>637</v>
      </c>
      <c r="DA10" s="13" t="s">
        <v>309</v>
      </c>
      <c r="DB10" s="21" t="s">
        <v>1860</v>
      </c>
      <c r="DC10">
        <v>2</v>
      </c>
      <c r="DD10">
        <v>0</v>
      </c>
      <c r="DE10" s="35">
        <v>0.85307177664707923</v>
      </c>
      <c r="DF10" s="22" t="s">
        <v>434</v>
      </c>
      <c r="DH10" s="13" t="s">
        <v>309</v>
      </c>
      <c r="DI10" s="21" t="s">
        <v>1860</v>
      </c>
      <c r="DJ10">
        <v>2</v>
      </c>
      <c r="DK10">
        <v>0</v>
      </c>
      <c r="DL10" s="35">
        <v>0.85746571604101851</v>
      </c>
      <c r="DM10" t="s">
        <v>1</v>
      </c>
      <c r="DO10" s="13" t="s">
        <v>309</v>
      </c>
      <c r="DP10" s="15" t="s">
        <v>79</v>
      </c>
      <c r="DQ10">
        <v>3</v>
      </c>
      <c r="DR10">
        <v>0</v>
      </c>
      <c r="DS10" s="35">
        <v>0.82402672448574454</v>
      </c>
      <c r="DT10" s="22" t="s">
        <v>393</v>
      </c>
      <c r="DV10" s="13" t="s">
        <v>309</v>
      </c>
      <c r="DW10" s="16" t="s">
        <v>114</v>
      </c>
      <c r="DX10">
        <v>4</v>
      </c>
      <c r="DY10">
        <v>0</v>
      </c>
      <c r="DZ10" s="35">
        <v>0.81556503109156375</v>
      </c>
      <c r="EA10" s="22" t="s">
        <v>381</v>
      </c>
      <c r="EC10" s="13" t="s">
        <v>309</v>
      </c>
      <c r="ED10" s="21" t="s">
        <v>26</v>
      </c>
      <c r="EE10">
        <v>4</v>
      </c>
      <c r="EF10">
        <v>1</v>
      </c>
      <c r="EG10" s="35">
        <v>0.7794125355981395</v>
      </c>
      <c r="EH10" s="22" t="s">
        <v>434</v>
      </c>
      <c r="EJ10" s="13" t="s">
        <v>309</v>
      </c>
      <c r="EK10" s="21" t="s">
        <v>26</v>
      </c>
      <c r="EL10">
        <v>5</v>
      </c>
      <c r="EM10">
        <v>1</v>
      </c>
      <c r="EN10" s="35">
        <v>0.79875951476247486</v>
      </c>
      <c r="EO10" t="s">
        <v>1</v>
      </c>
      <c r="EQ10" s="13" t="s">
        <v>309</v>
      </c>
      <c r="ER10" s="17" t="s">
        <v>57</v>
      </c>
      <c r="ES10">
        <v>5</v>
      </c>
      <c r="ET10">
        <v>2</v>
      </c>
      <c r="EU10" s="35">
        <v>0.74449124319347137</v>
      </c>
      <c r="EV10" s="8" t="s">
        <v>383</v>
      </c>
      <c r="EX10" s="13" t="s">
        <v>309</v>
      </c>
      <c r="EY10" s="21" t="s">
        <v>26</v>
      </c>
      <c r="EZ10">
        <v>6</v>
      </c>
      <c r="FA10">
        <v>2</v>
      </c>
      <c r="FB10" s="35">
        <v>0.71448262950092611</v>
      </c>
      <c r="FC10" s="8" t="s">
        <v>383</v>
      </c>
      <c r="FE10" s="13" t="s">
        <v>309</v>
      </c>
      <c r="FF10" s="21" t="s">
        <v>119</v>
      </c>
      <c r="FG10">
        <v>7</v>
      </c>
      <c r="FH10">
        <v>2</v>
      </c>
      <c r="FI10" s="35">
        <v>0.73344251051306231</v>
      </c>
      <c r="FJ10" s="22" t="s">
        <v>393</v>
      </c>
      <c r="FL10" s="13" t="s">
        <v>309</v>
      </c>
      <c r="FM10" s="21" t="s">
        <v>26</v>
      </c>
      <c r="FN10">
        <v>8</v>
      </c>
      <c r="FO10">
        <v>2</v>
      </c>
      <c r="FP10" s="35">
        <v>0.69730174216233165</v>
      </c>
      <c r="FQ10" s="8" t="s">
        <v>386</v>
      </c>
      <c r="FS10" s="13" t="s">
        <v>309</v>
      </c>
      <c r="FT10" s="15" t="s">
        <v>87</v>
      </c>
      <c r="FU10">
        <v>9</v>
      </c>
      <c r="FV10">
        <v>2</v>
      </c>
      <c r="FW10" s="35">
        <v>0.68655421081805013</v>
      </c>
      <c r="FX10" s="22" t="s">
        <v>393</v>
      </c>
      <c r="FZ10" s="13" t="s">
        <v>309</v>
      </c>
      <c r="GA10" s="15" t="s">
        <v>87</v>
      </c>
      <c r="GB10">
        <v>10</v>
      </c>
      <c r="GC10">
        <v>2</v>
      </c>
      <c r="GD10" s="35">
        <v>0.71317813228616866</v>
      </c>
      <c r="GE10" t="s">
        <v>1</v>
      </c>
      <c r="GG10" s="13" t="s">
        <v>309</v>
      </c>
      <c r="GH10" s="19" t="s">
        <v>42</v>
      </c>
      <c r="GI10">
        <v>9</v>
      </c>
      <c r="GJ10">
        <v>3</v>
      </c>
      <c r="GK10" s="35">
        <v>0.72831341507121139</v>
      </c>
      <c r="GL10" s="8" t="s">
        <v>386</v>
      </c>
      <c r="GN10" s="13" t="s">
        <v>309</v>
      </c>
      <c r="GO10" s="19" t="s">
        <v>42</v>
      </c>
      <c r="GP10">
        <v>9</v>
      </c>
      <c r="GQ10">
        <v>3</v>
      </c>
      <c r="GR10" s="35">
        <v>0.7252733055504168</v>
      </c>
      <c r="GS10" t="s">
        <v>1</v>
      </c>
      <c r="GU10" s="13" t="s">
        <v>309</v>
      </c>
      <c r="GV10" s="15" t="s">
        <v>87</v>
      </c>
      <c r="GW10">
        <v>10</v>
      </c>
      <c r="GX10">
        <v>2</v>
      </c>
      <c r="GY10" s="35">
        <v>0.73404941093476628</v>
      </c>
      <c r="GZ10" s="22" t="s">
        <v>381</v>
      </c>
      <c r="HB10" s="13" t="s">
        <v>309</v>
      </c>
      <c r="HC10" s="15" t="s">
        <v>87</v>
      </c>
      <c r="HD10">
        <v>10</v>
      </c>
      <c r="HE10">
        <v>2</v>
      </c>
      <c r="HF10" s="35">
        <v>0.73162850243920163</v>
      </c>
      <c r="HG10" t="s">
        <v>1</v>
      </c>
      <c r="HI10" s="13" t="s">
        <v>309</v>
      </c>
      <c r="HJ10" s="19" t="s">
        <v>42</v>
      </c>
      <c r="HK10">
        <v>9</v>
      </c>
      <c r="HL10">
        <v>3</v>
      </c>
      <c r="HM10" s="35">
        <v>0.723203703758169</v>
      </c>
      <c r="HN10" s="22" t="s">
        <v>381</v>
      </c>
      <c r="HP10" s="13" t="s">
        <v>309</v>
      </c>
      <c r="HQ10" s="19" t="s">
        <v>41</v>
      </c>
      <c r="HR10">
        <v>1</v>
      </c>
      <c r="HS10">
        <v>0</v>
      </c>
      <c r="HT10" s="35">
        <v>0.8315223513794785</v>
      </c>
      <c r="HU10" s="8" t="s">
        <v>501</v>
      </c>
      <c r="HW10" s="13" t="s">
        <v>309</v>
      </c>
      <c r="HX10" s="21" t="s">
        <v>33</v>
      </c>
      <c r="HY10">
        <v>2</v>
      </c>
      <c r="HZ10">
        <v>0</v>
      </c>
      <c r="IA10" s="35">
        <v>0.84222632074456527</v>
      </c>
      <c r="IB10" s="22" t="s">
        <v>393</v>
      </c>
      <c r="ID10" s="13" t="s">
        <v>309</v>
      </c>
      <c r="IE10" s="15" t="s">
        <v>78</v>
      </c>
      <c r="IF10">
        <v>3</v>
      </c>
      <c r="IG10">
        <v>0</v>
      </c>
      <c r="IH10" s="35">
        <v>0.82034915098969918</v>
      </c>
      <c r="II10" s="22" t="s">
        <v>382</v>
      </c>
      <c r="IK10" s="13" t="s">
        <v>309</v>
      </c>
      <c r="IL10" s="21" t="s">
        <v>34</v>
      </c>
      <c r="IM10">
        <v>3</v>
      </c>
      <c r="IN10">
        <v>1</v>
      </c>
      <c r="IO10" s="35">
        <v>0.84292881885509496</v>
      </c>
      <c r="IP10" s="22" t="s">
        <v>433</v>
      </c>
      <c r="IR10" s="13" t="s">
        <v>309</v>
      </c>
      <c r="IS10" s="58" t="s">
        <v>795</v>
      </c>
      <c r="IT10">
        <v>4</v>
      </c>
      <c r="IU10">
        <v>1</v>
      </c>
      <c r="IV10" s="35">
        <v>0.82527728534684563</v>
      </c>
      <c r="IW10" s="22" t="s">
        <v>393</v>
      </c>
      <c r="IY10" s="13" t="s">
        <v>309</v>
      </c>
      <c r="IZ10" s="21" t="s">
        <v>119</v>
      </c>
      <c r="JA10">
        <v>4</v>
      </c>
      <c r="JB10">
        <v>2</v>
      </c>
      <c r="JC10" s="35">
        <v>0.8424943138026223</v>
      </c>
      <c r="JD10" s="8" t="s">
        <v>387</v>
      </c>
      <c r="JF10" s="13" t="s">
        <v>309</v>
      </c>
      <c r="JG10" s="21" t="s">
        <v>119</v>
      </c>
      <c r="JH10" s="6">
        <v>5</v>
      </c>
      <c r="JI10" s="6">
        <v>2</v>
      </c>
      <c r="JJ10" s="35">
        <v>0.82819927374562585</v>
      </c>
      <c r="JK10" t="s">
        <v>1</v>
      </c>
      <c r="JM10" s="13" t="s">
        <v>309</v>
      </c>
      <c r="JN10" s="19" t="s">
        <v>36</v>
      </c>
      <c r="JO10" s="6">
        <v>6</v>
      </c>
      <c r="JP10" s="6">
        <v>2</v>
      </c>
      <c r="JQ10" s="35">
        <v>0.83494123197362791</v>
      </c>
      <c r="JR10" s="8" t="s">
        <v>386</v>
      </c>
      <c r="JT10" s="13" t="s">
        <v>309</v>
      </c>
      <c r="JU10" s="19" t="s">
        <v>36</v>
      </c>
      <c r="JV10" s="6">
        <v>6</v>
      </c>
      <c r="JW10" s="6">
        <v>2</v>
      </c>
      <c r="JX10" s="35">
        <v>0.83564072537361911</v>
      </c>
      <c r="JY10" t="s">
        <v>1</v>
      </c>
      <c r="JZ10" s="8" t="s">
        <v>386</v>
      </c>
      <c r="KB10" s="13" t="s">
        <v>309</v>
      </c>
      <c r="KC10" s="69" t="s">
        <v>1344</v>
      </c>
      <c r="KD10" s="6">
        <v>8</v>
      </c>
      <c r="KE10" s="6">
        <v>1</v>
      </c>
      <c r="KF10" s="35">
        <v>0.8375983248689951</v>
      </c>
      <c r="KG10" s="22" t="s">
        <v>381</v>
      </c>
      <c r="KI10" s="13" t="s">
        <v>309</v>
      </c>
      <c r="KJ10" s="19" t="s">
        <v>36</v>
      </c>
      <c r="KK10" s="6">
        <v>7</v>
      </c>
      <c r="KL10" s="6">
        <v>2</v>
      </c>
      <c r="KM10" s="35">
        <v>0.84407491442965343</v>
      </c>
      <c r="KN10" s="8" t="s">
        <v>383</v>
      </c>
      <c r="KP10" s="13" t="s">
        <v>309</v>
      </c>
      <c r="KQ10" s="16" t="s">
        <v>59</v>
      </c>
      <c r="KR10" s="6">
        <v>7</v>
      </c>
      <c r="KS10" s="6">
        <v>3</v>
      </c>
      <c r="KT10" s="35">
        <v>0.83351657654471689</v>
      </c>
      <c r="KU10" s="22" t="s">
        <v>384</v>
      </c>
      <c r="KW10" s="13" t="s">
        <v>309</v>
      </c>
      <c r="KX10" s="19" t="s">
        <v>41</v>
      </c>
      <c r="KY10" s="6">
        <v>8</v>
      </c>
      <c r="KZ10" s="6">
        <v>2</v>
      </c>
      <c r="LA10" s="35">
        <v>0.83559524907780303</v>
      </c>
      <c r="LB10" s="8" t="s">
        <v>386</v>
      </c>
      <c r="LD10" s="13" t="s">
        <v>309</v>
      </c>
      <c r="LE10" s="17" t="s">
        <v>145</v>
      </c>
      <c r="LF10" s="6">
        <v>9</v>
      </c>
      <c r="LG10" s="6">
        <v>2</v>
      </c>
      <c r="LH10" s="35">
        <v>0.84549207577047003</v>
      </c>
      <c r="LI10" s="22" t="s">
        <v>432</v>
      </c>
      <c r="LK10" s="13" t="s">
        <v>309</v>
      </c>
      <c r="LL10" s="69" t="s">
        <v>1344</v>
      </c>
      <c r="LM10" s="6">
        <v>10</v>
      </c>
      <c r="LN10" s="6">
        <v>1</v>
      </c>
      <c r="LO10" s="35">
        <v>0.84452544164710042</v>
      </c>
      <c r="LP10" s="8" t="s">
        <v>383</v>
      </c>
      <c r="LR10" s="13" t="s">
        <v>309</v>
      </c>
      <c r="LS10" s="15" t="s">
        <v>78</v>
      </c>
      <c r="LT10" s="6">
        <v>10</v>
      </c>
      <c r="LU10" s="6">
        <v>2</v>
      </c>
      <c r="LV10" s="35">
        <v>0.82548791803145183</v>
      </c>
      <c r="LW10" s="22" t="s">
        <v>384</v>
      </c>
      <c r="LY10" s="13" t="s">
        <v>309</v>
      </c>
      <c r="LZ10" s="15" t="s">
        <v>78</v>
      </c>
      <c r="MA10" s="6">
        <v>10</v>
      </c>
      <c r="MB10" s="6">
        <v>2</v>
      </c>
      <c r="MC10" s="35">
        <v>0.82545623554766645</v>
      </c>
      <c r="MD10" t="s">
        <v>1</v>
      </c>
      <c r="MF10" s="13" t="s">
        <v>309</v>
      </c>
      <c r="MG10" s="15" t="s">
        <v>77</v>
      </c>
      <c r="MH10" s="6">
        <v>11</v>
      </c>
      <c r="MI10" s="6">
        <v>2</v>
      </c>
      <c r="MJ10" s="35">
        <v>0.82546006423846663</v>
      </c>
      <c r="MK10" s="22" t="s">
        <v>381</v>
      </c>
      <c r="MM10" s="13" t="s">
        <v>309</v>
      </c>
      <c r="MN10" s="19" t="s">
        <v>41</v>
      </c>
      <c r="MO10" s="6">
        <v>10</v>
      </c>
      <c r="MP10" s="6">
        <v>3</v>
      </c>
      <c r="MQ10" s="35">
        <v>0.83153783950828553</v>
      </c>
      <c r="MR10" s="22" t="s">
        <v>432</v>
      </c>
      <c r="MT10" s="13" t="s">
        <v>309</v>
      </c>
      <c r="MU10" s="15" t="s">
        <v>77</v>
      </c>
      <c r="MV10" s="6">
        <v>11</v>
      </c>
      <c r="MW10" s="6">
        <v>2</v>
      </c>
      <c r="MX10" s="35">
        <v>0.83584596043575432</v>
      </c>
      <c r="MY10" s="22" t="s">
        <v>381</v>
      </c>
      <c r="NA10" s="13" t="s">
        <v>309</v>
      </c>
      <c r="NB10" s="17" t="s">
        <v>145</v>
      </c>
      <c r="NC10" s="6">
        <v>11</v>
      </c>
      <c r="ND10" s="6">
        <v>3</v>
      </c>
      <c r="NE10" s="35">
        <v>0.8305900053602101</v>
      </c>
      <c r="NF10" s="8" t="s">
        <v>383</v>
      </c>
      <c r="NH10" s="13" t="s">
        <v>309</v>
      </c>
      <c r="NI10" s="17" t="s">
        <v>145</v>
      </c>
      <c r="NJ10" s="1">
        <v>11</v>
      </c>
      <c r="NK10" s="1">
        <v>3</v>
      </c>
      <c r="NL10" s="36">
        <v>0.82354976322684181</v>
      </c>
      <c r="NM10" t="s">
        <v>1</v>
      </c>
      <c r="NO10" s="13" t="s">
        <v>309</v>
      </c>
      <c r="NP10" s="17" t="s">
        <v>145</v>
      </c>
      <c r="NQ10" s="1">
        <v>11</v>
      </c>
      <c r="NR10" s="1">
        <v>3</v>
      </c>
      <c r="NS10" s="36">
        <v>0.82794887034995912</v>
      </c>
      <c r="NT10" t="s">
        <v>1</v>
      </c>
      <c r="NV10" s="13" t="s">
        <v>309</v>
      </c>
      <c r="NW10" s="17" t="s">
        <v>145</v>
      </c>
      <c r="NX10" s="1">
        <v>11</v>
      </c>
      <c r="NY10" s="1">
        <v>3</v>
      </c>
      <c r="NZ10" s="36">
        <v>0.82976978045860361</v>
      </c>
      <c r="OA10" t="s">
        <v>1</v>
      </c>
      <c r="OC10" s="13" t="s">
        <v>309</v>
      </c>
      <c r="OD10" s="19" t="s">
        <v>36</v>
      </c>
      <c r="OE10" s="1">
        <v>11</v>
      </c>
      <c r="OF10" s="1">
        <v>3</v>
      </c>
      <c r="OG10" s="36">
        <v>0.8128756533158521</v>
      </c>
      <c r="OH10" s="8" t="s">
        <v>383</v>
      </c>
      <c r="OJ10" s="13" t="s">
        <v>309</v>
      </c>
      <c r="OK10" s="19" t="s">
        <v>5088</v>
      </c>
      <c r="OL10" s="1">
        <v>11</v>
      </c>
      <c r="OM10" s="1">
        <v>3</v>
      </c>
      <c r="ON10" s="36">
        <v>0.81654381395277553</v>
      </c>
      <c r="OO10" s="8" t="s">
        <v>383</v>
      </c>
      <c r="OQ10" s="13" t="s">
        <v>309</v>
      </c>
      <c r="OR10" s="19" t="s">
        <v>5088</v>
      </c>
      <c r="OS10" s="1">
        <v>11</v>
      </c>
      <c r="OT10" s="1">
        <v>3</v>
      </c>
      <c r="OU10" s="36">
        <v>0.82228037295060596</v>
      </c>
      <c r="OV10" t="s">
        <v>1</v>
      </c>
      <c r="OX10" s="13" t="s">
        <v>309</v>
      </c>
      <c r="OY10" s="19" t="s">
        <v>5088</v>
      </c>
      <c r="OZ10" s="1">
        <v>11</v>
      </c>
      <c r="PA10" s="1">
        <v>3</v>
      </c>
      <c r="PB10" s="36">
        <v>0.83218301696724672</v>
      </c>
      <c r="PC10" t="s">
        <v>1</v>
      </c>
      <c r="PE10" s="13" t="s">
        <v>309</v>
      </c>
      <c r="PF10" s="19" t="s">
        <v>5088</v>
      </c>
      <c r="PG10" s="1">
        <v>11</v>
      </c>
      <c r="PH10" s="1">
        <v>3</v>
      </c>
      <c r="PI10" s="36">
        <v>0.83142702819137626</v>
      </c>
      <c r="PJ10" t="s">
        <v>1</v>
      </c>
    </row>
    <row r="11" spans="2:426" x14ac:dyDescent="0.35">
      <c r="B11" s="13" t="s">
        <v>310</v>
      </c>
      <c r="C11" s="16" t="s">
        <v>70</v>
      </c>
      <c r="D11" t="s">
        <v>327</v>
      </c>
      <c r="E11">
        <v>88</v>
      </c>
      <c r="G11" s="13" t="s">
        <v>310</v>
      </c>
      <c r="H11" s="15" t="s">
        <v>78</v>
      </c>
      <c r="I11" s="9" t="s">
        <v>378</v>
      </c>
      <c r="J11">
        <v>93</v>
      </c>
      <c r="K11" s="22" t="s">
        <v>389</v>
      </c>
      <c r="M11" s="13" t="s">
        <v>310</v>
      </c>
      <c r="N11" s="21" t="s">
        <v>25</v>
      </c>
      <c r="O11" s="9" t="s">
        <v>429</v>
      </c>
      <c r="P11">
        <v>118</v>
      </c>
      <c r="Q11" s="22" t="s">
        <v>385</v>
      </c>
      <c r="S11" s="13" t="s">
        <v>310</v>
      </c>
      <c r="T11" s="21" t="s">
        <v>33</v>
      </c>
      <c r="U11" s="9" t="s">
        <v>458</v>
      </c>
      <c r="V11">
        <v>105</v>
      </c>
      <c r="W11" s="22" t="s">
        <v>384</v>
      </c>
      <c r="Y11" s="13" t="s">
        <v>310</v>
      </c>
      <c r="Z11" s="21" t="s">
        <v>119</v>
      </c>
      <c r="AA11" t="s">
        <v>498</v>
      </c>
      <c r="AB11">
        <v>112</v>
      </c>
      <c r="AC11" s="22" t="s">
        <v>431</v>
      </c>
      <c r="AE11" s="13" t="s">
        <v>310</v>
      </c>
      <c r="AF11" s="21" t="s">
        <v>119</v>
      </c>
      <c r="AG11" t="s">
        <v>518</v>
      </c>
      <c r="AH11">
        <v>109</v>
      </c>
      <c r="AI11" t="s">
        <v>1</v>
      </c>
      <c r="AK11" s="13" t="s">
        <v>310</v>
      </c>
      <c r="AL11" s="19" t="s">
        <v>38</v>
      </c>
      <c r="AM11" t="s">
        <v>540</v>
      </c>
      <c r="AN11">
        <v>102</v>
      </c>
      <c r="AO11" s="22" t="s">
        <v>462</v>
      </c>
      <c r="AQ11" s="13" t="s">
        <v>310</v>
      </c>
      <c r="AR11" s="19" t="s">
        <v>45</v>
      </c>
      <c r="AS11" t="s">
        <v>562</v>
      </c>
      <c r="AT11">
        <v>103</v>
      </c>
      <c r="AU11" s="22" t="s">
        <v>462</v>
      </c>
      <c r="AW11" s="13" t="s">
        <v>310</v>
      </c>
      <c r="AX11" s="17" t="s">
        <v>53</v>
      </c>
      <c r="AY11">
        <v>8</v>
      </c>
      <c r="AZ11">
        <v>1</v>
      </c>
      <c r="BA11">
        <v>0.74632578115604198</v>
      </c>
      <c r="BB11" s="8" t="s">
        <v>500</v>
      </c>
      <c r="BD11" s="13" t="s">
        <v>310</v>
      </c>
      <c r="BE11" s="21" t="s">
        <v>32</v>
      </c>
      <c r="BF11">
        <v>8</v>
      </c>
      <c r="BG11">
        <v>2</v>
      </c>
      <c r="BH11" s="35">
        <v>0.73486743067285909</v>
      </c>
      <c r="BI11" s="8" t="s">
        <v>383</v>
      </c>
      <c r="BK11" s="13" t="s">
        <v>310</v>
      </c>
      <c r="BL11" s="19" t="s">
        <v>45</v>
      </c>
      <c r="BM11">
        <v>8</v>
      </c>
      <c r="BN11">
        <v>3</v>
      </c>
      <c r="BO11" s="35">
        <v>0.73821817651604837</v>
      </c>
      <c r="BP11" s="22" t="s">
        <v>381</v>
      </c>
      <c r="BR11" s="13" t="s">
        <v>310</v>
      </c>
      <c r="BS11" s="19" t="s">
        <v>41</v>
      </c>
      <c r="BT11">
        <v>9</v>
      </c>
      <c r="BU11">
        <v>3</v>
      </c>
      <c r="BV11" s="35">
        <v>0.73813261444325118</v>
      </c>
      <c r="BW11" s="8" t="s">
        <v>500</v>
      </c>
      <c r="BY11" s="13" t="s">
        <v>310</v>
      </c>
      <c r="BZ11" s="17" t="s">
        <v>53</v>
      </c>
      <c r="CA11">
        <v>11</v>
      </c>
      <c r="CB11">
        <v>2</v>
      </c>
      <c r="CC11" s="35">
        <v>0.71077050684388832</v>
      </c>
      <c r="CD11" s="8" t="s">
        <v>383</v>
      </c>
      <c r="CF11" s="13" t="s">
        <v>310</v>
      </c>
      <c r="CG11" s="17" t="s">
        <v>57</v>
      </c>
      <c r="CH11">
        <v>11</v>
      </c>
      <c r="CI11">
        <v>3</v>
      </c>
      <c r="CJ11" s="35">
        <v>0.68204163113708227</v>
      </c>
      <c r="CK11" s="8" t="s">
        <v>386</v>
      </c>
      <c r="CM11" s="13" t="s">
        <v>310</v>
      </c>
      <c r="CN11" s="19" t="s">
        <v>46</v>
      </c>
      <c r="CO11">
        <v>9</v>
      </c>
      <c r="CP11">
        <v>4</v>
      </c>
      <c r="CQ11" s="35">
        <v>0.60588352861337236</v>
      </c>
      <c r="CR11" s="8" t="s">
        <v>383</v>
      </c>
      <c r="CT11" s="13" t="s">
        <v>310</v>
      </c>
      <c r="CU11" s="16" t="s">
        <v>69</v>
      </c>
      <c r="CV11">
        <v>1</v>
      </c>
      <c r="CW11">
        <v>0</v>
      </c>
      <c r="CX11" s="35">
        <v>0.83878573266924761</v>
      </c>
      <c r="CY11" s="8" t="s">
        <v>392</v>
      </c>
      <c r="DA11" s="13" t="s">
        <v>310</v>
      </c>
      <c r="DB11" s="15" t="s">
        <v>87</v>
      </c>
      <c r="DC11">
        <v>2</v>
      </c>
      <c r="DD11">
        <v>0</v>
      </c>
      <c r="DE11" s="35">
        <v>0.84009922678546611</v>
      </c>
      <c r="DF11" s="8" t="s">
        <v>386</v>
      </c>
      <c r="DH11" s="13" t="s">
        <v>310</v>
      </c>
      <c r="DI11" s="15" t="s">
        <v>87</v>
      </c>
      <c r="DJ11">
        <v>2</v>
      </c>
      <c r="DK11">
        <v>0</v>
      </c>
      <c r="DL11" s="35">
        <v>0.84494771163395088</v>
      </c>
      <c r="DM11" t="s">
        <v>1</v>
      </c>
      <c r="DO11" s="13" t="s">
        <v>310</v>
      </c>
      <c r="DP11" s="16" t="s">
        <v>114</v>
      </c>
      <c r="DQ11">
        <v>3</v>
      </c>
      <c r="DR11">
        <v>0</v>
      </c>
      <c r="DS11" s="35">
        <v>0.81126436336159247</v>
      </c>
      <c r="DT11" s="22" t="s">
        <v>381</v>
      </c>
      <c r="DV11" s="13" t="s">
        <v>310</v>
      </c>
      <c r="DW11" s="17" t="s">
        <v>57</v>
      </c>
      <c r="DX11">
        <v>4</v>
      </c>
      <c r="DY11">
        <v>0</v>
      </c>
      <c r="DZ11" s="35">
        <v>0.80679993125306093</v>
      </c>
      <c r="EA11" s="22" t="s">
        <v>384</v>
      </c>
      <c r="EC11" s="13" t="s">
        <v>310</v>
      </c>
      <c r="ED11" s="15" t="s">
        <v>79</v>
      </c>
      <c r="EE11">
        <v>4</v>
      </c>
      <c r="EF11">
        <v>1</v>
      </c>
      <c r="EG11" s="35">
        <v>0.77584694317895786</v>
      </c>
      <c r="EH11" s="8" t="s">
        <v>500</v>
      </c>
      <c r="EJ11" s="13" t="s">
        <v>310</v>
      </c>
      <c r="EK11" s="17" t="s">
        <v>300</v>
      </c>
      <c r="EL11">
        <v>6</v>
      </c>
      <c r="EM11">
        <v>0</v>
      </c>
      <c r="EN11" s="35">
        <v>0.77123416019489976</v>
      </c>
      <c r="EO11" s="22" t="s">
        <v>381</v>
      </c>
      <c r="EQ11" s="13" t="s">
        <v>310</v>
      </c>
      <c r="ER11" s="17" t="s">
        <v>300</v>
      </c>
      <c r="ES11">
        <v>6</v>
      </c>
      <c r="ET11">
        <v>1</v>
      </c>
      <c r="EU11" s="35">
        <v>0.73652400331042878</v>
      </c>
      <c r="EV11" t="s">
        <v>1</v>
      </c>
      <c r="EX11" s="13" t="s">
        <v>310</v>
      </c>
      <c r="EY11" s="17" t="s">
        <v>57</v>
      </c>
      <c r="EZ11">
        <v>6</v>
      </c>
      <c r="FA11">
        <v>2</v>
      </c>
      <c r="FB11" s="35">
        <v>0.71169035158038407</v>
      </c>
      <c r="FC11" s="8" t="s">
        <v>386</v>
      </c>
      <c r="FE11" s="13" t="s">
        <v>310</v>
      </c>
      <c r="FF11" s="17" t="s">
        <v>57</v>
      </c>
      <c r="FG11">
        <v>7</v>
      </c>
      <c r="FH11">
        <v>2</v>
      </c>
      <c r="FI11" s="35">
        <v>0.72571614833799525</v>
      </c>
      <c r="FJ11" t="s">
        <v>1</v>
      </c>
      <c r="FL11" s="13" t="s">
        <v>310</v>
      </c>
      <c r="FM11" s="17" t="s">
        <v>300</v>
      </c>
      <c r="FN11">
        <v>8</v>
      </c>
      <c r="FO11">
        <v>2</v>
      </c>
      <c r="FP11" s="35">
        <v>0.67849432542479926</v>
      </c>
      <c r="FQ11" s="22" t="s">
        <v>431</v>
      </c>
      <c r="FS11" s="13" t="s">
        <v>310</v>
      </c>
      <c r="FT11" s="58" t="s">
        <v>783</v>
      </c>
      <c r="FU11">
        <v>9</v>
      </c>
      <c r="FV11">
        <v>2</v>
      </c>
      <c r="FW11" s="35">
        <v>0.68502569974943694</v>
      </c>
      <c r="FX11" s="8" t="s">
        <v>500</v>
      </c>
      <c r="FZ11" s="13" t="s">
        <v>310</v>
      </c>
      <c r="GA11" s="17" t="s">
        <v>300</v>
      </c>
      <c r="GB11">
        <v>10</v>
      </c>
      <c r="GC11">
        <v>2</v>
      </c>
      <c r="GD11" s="35">
        <v>0.70909930466935334</v>
      </c>
      <c r="GE11" s="8" t="s">
        <v>383</v>
      </c>
      <c r="GG11" s="13" t="s">
        <v>310</v>
      </c>
      <c r="GH11" s="15" t="s">
        <v>87</v>
      </c>
      <c r="GI11">
        <v>10</v>
      </c>
      <c r="GJ11">
        <v>2</v>
      </c>
      <c r="GK11" s="35">
        <v>0.72485684524209693</v>
      </c>
      <c r="GL11" s="8" t="s">
        <v>386</v>
      </c>
      <c r="GN11" s="13" t="s">
        <v>310</v>
      </c>
      <c r="GO11" s="15" t="s">
        <v>87</v>
      </c>
      <c r="GP11">
        <v>10</v>
      </c>
      <c r="GQ11">
        <v>2</v>
      </c>
      <c r="GR11" s="35">
        <v>0.72336906853966343</v>
      </c>
      <c r="GS11" t="s">
        <v>1</v>
      </c>
      <c r="GU11" s="13" t="s">
        <v>310</v>
      </c>
      <c r="GV11" s="19" t="s">
        <v>42</v>
      </c>
      <c r="GW11">
        <v>9</v>
      </c>
      <c r="GX11">
        <v>3</v>
      </c>
      <c r="GY11" s="35">
        <v>0.73339348278397842</v>
      </c>
      <c r="GZ11" s="8" t="s">
        <v>386</v>
      </c>
      <c r="HB11" s="13" t="s">
        <v>310</v>
      </c>
      <c r="HC11" s="19" t="s">
        <v>42</v>
      </c>
      <c r="HD11">
        <v>9</v>
      </c>
      <c r="HE11">
        <v>3</v>
      </c>
      <c r="HF11" s="35">
        <v>0.72984354072994406</v>
      </c>
      <c r="HG11" t="s">
        <v>1</v>
      </c>
      <c r="HI11" s="13" t="s">
        <v>310</v>
      </c>
      <c r="HJ11" s="15" t="s">
        <v>1179</v>
      </c>
      <c r="HK11">
        <v>12</v>
      </c>
      <c r="HL11">
        <v>5</v>
      </c>
      <c r="HM11" s="35">
        <v>0.72111326953591381</v>
      </c>
      <c r="HN11" s="8" t="s">
        <v>383</v>
      </c>
      <c r="HP11" s="13" t="s">
        <v>310</v>
      </c>
      <c r="HQ11" s="58" t="s">
        <v>790</v>
      </c>
      <c r="HR11">
        <v>1</v>
      </c>
      <c r="HS11">
        <v>0</v>
      </c>
      <c r="HT11" s="35">
        <v>0.83142719564871903</v>
      </c>
      <c r="HU11" t="s">
        <v>637</v>
      </c>
      <c r="HW11" s="13" t="s">
        <v>310</v>
      </c>
      <c r="HX11" s="58" t="s">
        <v>790</v>
      </c>
      <c r="HY11">
        <v>2</v>
      </c>
      <c r="HZ11">
        <v>0</v>
      </c>
      <c r="IA11" s="35">
        <v>0.83731540481737099</v>
      </c>
      <c r="IB11" t="s">
        <v>1</v>
      </c>
      <c r="ID11" s="13" t="s">
        <v>310</v>
      </c>
      <c r="IE11" s="58" t="s">
        <v>790</v>
      </c>
      <c r="IF11">
        <v>3</v>
      </c>
      <c r="IG11">
        <v>0</v>
      </c>
      <c r="IH11" s="35">
        <v>0.81701410050095913</v>
      </c>
      <c r="II11" t="s">
        <v>1</v>
      </c>
      <c r="IK11" s="13" t="s">
        <v>310</v>
      </c>
      <c r="IL11" s="69" t="s">
        <v>1344</v>
      </c>
      <c r="IM11">
        <v>4</v>
      </c>
      <c r="IN11">
        <v>0</v>
      </c>
      <c r="IO11" s="35">
        <v>0.82969109762403714</v>
      </c>
      <c r="IP11" s="22" t="s">
        <v>384</v>
      </c>
      <c r="IR11" s="13" t="s">
        <v>310</v>
      </c>
      <c r="IS11" s="16" t="s">
        <v>60</v>
      </c>
      <c r="IT11">
        <v>4</v>
      </c>
      <c r="IU11">
        <v>1</v>
      </c>
      <c r="IV11" s="35">
        <v>0.82182009633812525</v>
      </c>
      <c r="IW11" t="s">
        <v>637</v>
      </c>
      <c r="IY11" s="13" t="s">
        <v>310</v>
      </c>
      <c r="IZ11" s="16" t="s">
        <v>59</v>
      </c>
      <c r="JA11">
        <v>4</v>
      </c>
      <c r="JB11">
        <v>2</v>
      </c>
      <c r="JC11" s="35">
        <v>0.82989506448963535</v>
      </c>
      <c r="JD11" s="8" t="s">
        <v>383</v>
      </c>
      <c r="JF11" s="13" t="s">
        <v>310</v>
      </c>
      <c r="JG11" s="16" t="s">
        <v>60</v>
      </c>
      <c r="JH11" s="6">
        <v>6</v>
      </c>
      <c r="JI11" s="6">
        <v>1</v>
      </c>
      <c r="JJ11" s="35">
        <v>0.8075975580325373</v>
      </c>
      <c r="JK11" s="22" t="s">
        <v>432</v>
      </c>
      <c r="JM11" s="13" t="s">
        <v>310</v>
      </c>
      <c r="JN11" s="19" t="s">
        <v>41</v>
      </c>
      <c r="JO11" s="6">
        <v>6</v>
      </c>
      <c r="JP11" s="6">
        <v>2</v>
      </c>
      <c r="JQ11" s="35">
        <v>0.78368920686345256</v>
      </c>
      <c r="JR11" s="22" t="s">
        <v>1564</v>
      </c>
      <c r="JT11" s="13" t="s">
        <v>310</v>
      </c>
      <c r="JU11" s="69" t="s">
        <v>1344</v>
      </c>
      <c r="JV11" s="6">
        <v>7</v>
      </c>
      <c r="JW11" s="6">
        <v>1</v>
      </c>
      <c r="JX11" s="35">
        <v>0.8159797504574513</v>
      </c>
      <c r="JY11" s="22" t="s">
        <v>432</v>
      </c>
      <c r="JZ11" s="22" t="s">
        <v>384</v>
      </c>
      <c r="KB11" s="13" t="s">
        <v>310</v>
      </c>
      <c r="KC11" s="19" t="s">
        <v>46</v>
      </c>
      <c r="KD11" s="6">
        <v>7</v>
      </c>
      <c r="KE11" s="6">
        <v>2</v>
      </c>
      <c r="KF11" s="35">
        <v>0.83005271284951376</v>
      </c>
      <c r="KG11" s="8" t="s">
        <v>461</v>
      </c>
      <c r="KI11" s="13" t="s">
        <v>310</v>
      </c>
      <c r="KJ11" s="69" t="s">
        <v>1344</v>
      </c>
      <c r="KK11" s="6">
        <v>8</v>
      </c>
      <c r="KL11" s="6">
        <v>1</v>
      </c>
      <c r="KM11" s="35">
        <v>0.8233453682116364</v>
      </c>
      <c r="KN11" s="8" t="s">
        <v>386</v>
      </c>
      <c r="KP11" s="13" t="s">
        <v>310</v>
      </c>
      <c r="KQ11" s="16" t="s">
        <v>60</v>
      </c>
      <c r="KR11" s="6">
        <v>8</v>
      </c>
      <c r="KS11" s="6">
        <v>2</v>
      </c>
      <c r="KT11" s="35">
        <v>0.82639869098627217</v>
      </c>
      <c r="KU11" s="8" t="s">
        <v>500</v>
      </c>
      <c r="KW11" s="13" t="s">
        <v>310</v>
      </c>
      <c r="KX11" s="16" t="s">
        <v>60</v>
      </c>
      <c r="KY11" s="6">
        <v>8</v>
      </c>
      <c r="KZ11" s="6">
        <v>2</v>
      </c>
      <c r="LA11" s="35">
        <v>0.82969899107599743</v>
      </c>
      <c r="LB11" t="s">
        <v>1</v>
      </c>
      <c r="LD11" s="13" t="s">
        <v>310</v>
      </c>
      <c r="LE11" s="19" t="s">
        <v>46</v>
      </c>
      <c r="LF11" s="6">
        <v>8</v>
      </c>
      <c r="LG11" s="6">
        <v>3</v>
      </c>
      <c r="LH11" s="35">
        <v>0.84431961088305474</v>
      </c>
      <c r="LI11" s="22" t="s">
        <v>432</v>
      </c>
      <c r="LK11" s="13" t="s">
        <v>310</v>
      </c>
      <c r="LL11" s="19" t="s">
        <v>46</v>
      </c>
      <c r="LM11" s="6">
        <v>8</v>
      </c>
      <c r="LN11" s="6">
        <v>3</v>
      </c>
      <c r="LO11" s="35">
        <v>0.84079947699410873</v>
      </c>
      <c r="LP11" t="s">
        <v>1</v>
      </c>
      <c r="LR11" s="13" t="s">
        <v>310</v>
      </c>
      <c r="LS11" s="19" t="s">
        <v>41</v>
      </c>
      <c r="LT11" s="6">
        <v>9</v>
      </c>
      <c r="LU11" s="6">
        <v>3</v>
      </c>
      <c r="LV11" s="35">
        <v>0.82461159479592072</v>
      </c>
      <c r="LW11" s="8" t="s">
        <v>461</v>
      </c>
      <c r="LY11" s="13" t="s">
        <v>310</v>
      </c>
      <c r="LZ11" s="15" t="s">
        <v>77</v>
      </c>
      <c r="MA11" s="6">
        <v>10</v>
      </c>
      <c r="MB11" s="6">
        <v>2</v>
      </c>
      <c r="MC11" s="35">
        <v>0.82036024973979271</v>
      </c>
      <c r="MD11" s="22" t="s">
        <v>381</v>
      </c>
      <c r="MF11" s="13" t="s">
        <v>310</v>
      </c>
      <c r="MG11" s="16" t="s">
        <v>60</v>
      </c>
      <c r="MH11" s="6">
        <v>10</v>
      </c>
      <c r="MI11" s="6">
        <v>3</v>
      </c>
      <c r="MJ11" s="35">
        <v>0.82272107001671613</v>
      </c>
      <c r="MK11" s="22" t="s">
        <v>384</v>
      </c>
      <c r="MM11" s="13" t="s">
        <v>310</v>
      </c>
      <c r="MN11" s="15" t="s">
        <v>77</v>
      </c>
      <c r="MO11" s="6">
        <v>11</v>
      </c>
      <c r="MP11" s="6">
        <v>2</v>
      </c>
      <c r="MQ11" s="35">
        <v>0.82415676418906281</v>
      </c>
      <c r="MR11" s="8" t="s">
        <v>386</v>
      </c>
      <c r="MT11" s="13" t="s">
        <v>310</v>
      </c>
      <c r="MU11" s="19" t="s">
        <v>41</v>
      </c>
      <c r="MV11" s="6">
        <v>10</v>
      </c>
      <c r="MW11" s="6">
        <v>3</v>
      </c>
      <c r="MX11" s="35">
        <v>0.83561431177313328</v>
      </c>
      <c r="MY11" s="8" t="s">
        <v>386</v>
      </c>
      <c r="NA11" s="13" t="s">
        <v>310</v>
      </c>
      <c r="NB11" s="16" t="s">
        <v>60</v>
      </c>
      <c r="NC11" s="6">
        <v>10</v>
      </c>
      <c r="ND11" s="6">
        <v>3</v>
      </c>
      <c r="NE11" s="35">
        <v>0.80339778007827256</v>
      </c>
      <c r="NF11" s="22" t="s">
        <v>381</v>
      </c>
      <c r="NH11" s="13" t="s">
        <v>310</v>
      </c>
      <c r="NI11" s="16" t="s">
        <v>60</v>
      </c>
      <c r="NJ11" s="1">
        <v>10</v>
      </c>
      <c r="NK11" s="1">
        <v>3</v>
      </c>
      <c r="NL11" s="36">
        <v>0.7969539988850658</v>
      </c>
      <c r="NM11" t="s">
        <v>1</v>
      </c>
      <c r="NO11" s="13" t="s">
        <v>310</v>
      </c>
      <c r="NP11" s="16" t="s">
        <v>60</v>
      </c>
      <c r="NQ11" s="1">
        <v>10</v>
      </c>
      <c r="NR11" s="1">
        <v>3</v>
      </c>
      <c r="NS11" s="36">
        <v>0.81723831374645373</v>
      </c>
      <c r="NT11" t="s">
        <v>1</v>
      </c>
      <c r="NV11" s="13" t="s">
        <v>310</v>
      </c>
      <c r="NW11" s="16" t="s">
        <v>60</v>
      </c>
      <c r="NX11" s="1">
        <v>10</v>
      </c>
      <c r="NY11" s="1">
        <v>3</v>
      </c>
      <c r="NZ11" s="36">
        <v>0.81532968868770861</v>
      </c>
      <c r="OA11" t="s">
        <v>1</v>
      </c>
      <c r="OC11" s="13" t="s">
        <v>310</v>
      </c>
      <c r="OD11" s="16" t="s">
        <v>60</v>
      </c>
      <c r="OE11" s="1">
        <v>10</v>
      </c>
      <c r="OF11" s="1">
        <v>3</v>
      </c>
      <c r="OG11" s="36">
        <v>0.80211941167527168</v>
      </c>
      <c r="OH11" t="s">
        <v>1</v>
      </c>
      <c r="OJ11" s="13" t="s">
        <v>310</v>
      </c>
      <c r="OK11" s="16" t="s">
        <v>60</v>
      </c>
      <c r="OL11" s="1">
        <v>10</v>
      </c>
      <c r="OM11" s="1">
        <v>3</v>
      </c>
      <c r="ON11" s="36">
        <v>0.79380662525012069</v>
      </c>
      <c r="OO11" t="s">
        <v>1</v>
      </c>
      <c r="OQ11" s="13" t="s">
        <v>310</v>
      </c>
      <c r="OR11" s="16" t="s">
        <v>60</v>
      </c>
      <c r="OS11" s="1">
        <v>10</v>
      </c>
      <c r="OT11" s="1">
        <v>3</v>
      </c>
      <c r="OU11" s="36">
        <v>0.80088579643094826</v>
      </c>
      <c r="OV11" t="s">
        <v>1</v>
      </c>
      <c r="OX11" s="13" t="s">
        <v>310</v>
      </c>
      <c r="OY11" s="16" t="s">
        <v>60</v>
      </c>
      <c r="OZ11" s="1">
        <v>10</v>
      </c>
      <c r="PA11" s="1">
        <v>3</v>
      </c>
      <c r="PB11" s="36">
        <v>0.81039586212005732</v>
      </c>
      <c r="PC11" t="s">
        <v>1</v>
      </c>
      <c r="PE11" s="13" t="s">
        <v>310</v>
      </c>
      <c r="PF11" s="16" t="s">
        <v>60</v>
      </c>
      <c r="PG11" s="1">
        <v>10</v>
      </c>
      <c r="PH11" s="1">
        <v>3</v>
      </c>
      <c r="PI11" s="36">
        <v>0.80994281320424599</v>
      </c>
      <c r="PJ11" t="s">
        <v>1</v>
      </c>
    </row>
    <row r="12" spans="2:426" x14ac:dyDescent="0.35">
      <c r="B12" s="13" t="s">
        <v>311</v>
      </c>
      <c r="C12" s="19" t="s">
        <v>1859</v>
      </c>
      <c r="D12" t="s">
        <v>327</v>
      </c>
      <c r="E12">
        <v>87</v>
      </c>
      <c r="G12" s="13" t="s">
        <v>311</v>
      </c>
      <c r="H12" s="21" t="s">
        <v>29</v>
      </c>
      <c r="I12" t="s">
        <v>379</v>
      </c>
      <c r="J12">
        <v>78</v>
      </c>
      <c r="K12" t="s">
        <v>390</v>
      </c>
      <c r="M12" s="13" t="s">
        <v>311</v>
      </c>
      <c r="N12" s="21" t="s">
        <v>31</v>
      </c>
      <c r="O12" s="9" t="s">
        <v>430</v>
      </c>
      <c r="P12">
        <v>103</v>
      </c>
      <c r="Q12" t="s">
        <v>390</v>
      </c>
      <c r="S12" s="13" t="s">
        <v>311</v>
      </c>
      <c r="T12" s="16" t="s">
        <v>69</v>
      </c>
      <c r="U12" t="s">
        <v>459</v>
      </c>
      <c r="V12">
        <v>100</v>
      </c>
      <c r="W12" s="22" t="s">
        <v>393</v>
      </c>
      <c r="Y12" s="13" t="s">
        <v>311</v>
      </c>
      <c r="Z12" s="21" t="s">
        <v>33</v>
      </c>
      <c r="AA12" s="9" t="s">
        <v>497</v>
      </c>
      <c r="AB12">
        <v>109</v>
      </c>
      <c r="AC12" s="8" t="s">
        <v>386</v>
      </c>
      <c r="AE12" s="13" t="s">
        <v>311</v>
      </c>
      <c r="AF12" s="19" t="s">
        <v>46</v>
      </c>
      <c r="AG12" t="s">
        <v>519</v>
      </c>
      <c r="AH12">
        <v>102</v>
      </c>
      <c r="AI12" s="8" t="s">
        <v>463</v>
      </c>
      <c r="AK12" s="13" t="s">
        <v>311</v>
      </c>
      <c r="AL12" s="21" t="s">
        <v>32</v>
      </c>
      <c r="AM12" t="s">
        <v>540</v>
      </c>
      <c r="AN12">
        <v>101</v>
      </c>
      <c r="AO12" s="22" t="s">
        <v>381</v>
      </c>
      <c r="AQ12" s="13" t="s">
        <v>311</v>
      </c>
      <c r="AR12" s="21" t="s">
        <v>32</v>
      </c>
      <c r="AS12" t="s">
        <v>343</v>
      </c>
      <c r="AT12">
        <v>102</v>
      </c>
      <c r="AU12" t="s">
        <v>1</v>
      </c>
      <c r="AW12" s="13" t="s">
        <v>311</v>
      </c>
      <c r="AX12" s="19" t="s">
        <v>38</v>
      </c>
      <c r="AY12" s="9">
        <v>8</v>
      </c>
      <c r="AZ12" s="9">
        <v>1</v>
      </c>
      <c r="BA12">
        <v>0.74316119047535989</v>
      </c>
      <c r="BB12" s="8" t="s">
        <v>383</v>
      </c>
      <c r="BD12" s="13" t="s">
        <v>311</v>
      </c>
      <c r="BE12" s="19" t="s">
        <v>45</v>
      </c>
      <c r="BF12">
        <v>7</v>
      </c>
      <c r="BG12">
        <v>3</v>
      </c>
      <c r="BH12" s="35">
        <v>0.72883282600546928</v>
      </c>
      <c r="BI12" s="8" t="s">
        <v>461</v>
      </c>
      <c r="BK12" s="13" t="s">
        <v>311</v>
      </c>
      <c r="BL12" s="19" t="s">
        <v>46</v>
      </c>
      <c r="BM12">
        <v>7</v>
      </c>
      <c r="BN12">
        <v>4</v>
      </c>
      <c r="BO12" s="35">
        <v>0.73048658594299631</v>
      </c>
      <c r="BP12" s="22" t="s">
        <v>381</v>
      </c>
      <c r="BR12" s="13" t="s">
        <v>311</v>
      </c>
      <c r="BS12" s="21" t="s">
        <v>119</v>
      </c>
      <c r="BT12">
        <v>9</v>
      </c>
      <c r="BU12">
        <v>3</v>
      </c>
      <c r="BV12" s="35">
        <v>0.72335235338280346</v>
      </c>
      <c r="BW12" s="8" t="s">
        <v>463</v>
      </c>
      <c r="BY12" s="13" t="s">
        <v>311</v>
      </c>
      <c r="BZ12" s="21" t="s">
        <v>32</v>
      </c>
      <c r="CA12">
        <v>10</v>
      </c>
      <c r="CB12">
        <v>3</v>
      </c>
      <c r="CC12" s="35">
        <v>0.70696817167682169</v>
      </c>
      <c r="CD12" s="8" t="s">
        <v>463</v>
      </c>
      <c r="CF12" s="13" t="s">
        <v>311</v>
      </c>
      <c r="CG12" s="21" t="s">
        <v>32</v>
      </c>
      <c r="CH12">
        <v>10</v>
      </c>
      <c r="CI12">
        <v>3</v>
      </c>
      <c r="CJ12" s="35">
        <v>0.67190005590935376</v>
      </c>
      <c r="CK12" s="8" t="s">
        <v>1</v>
      </c>
      <c r="CM12" s="13" t="s">
        <v>311</v>
      </c>
      <c r="CN12" s="17" t="s">
        <v>57</v>
      </c>
      <c r="CO12">
        <v>11</v>
      </c>
      <c r="CP12">
        <v>3</v>
      </c>
      <c r="CQ12" s="35">
        <v>0.59742349457358046</v>
      </c>
      <c r="CR12" s="8" t="s">
        <v>386</v>
      </c>
      <c r="CT12" s="13" t="s">
        <v>311</v>
      </c>
      <c r="CU12" s="17" t="s">
        <v>53</v>
      </c>
      <c r="CV12">
        <v>1</v>
      </c>
      <c r="CW12">
        <v>0</v>
      </c>
      <c r="CX12" s="35">
        <v>0.82822979435487587</v>
      </c>
      <c r="CY12" s="8" t="s">
        <v>387</v>
      </c>
      <c r="DA12" s="13" t="s">
        <v>311</v>
      </c>
      <c r="DB12" s="16" t="s">
        <v>114</v>
      </c>
      <c r="DC12">
        <v>2</v>
      </c>
      <c r="DD12">
        <v>0</v>
      </c>
      <c r="DE12" s="35">
        <v>0.83259519922869019</v>
      </c>
      <c r="DF12" s="22" t="s">
        <v>382</v>
      </c>
      <c r="DH12" s="13" t="s">
        <v>311</v>
      </c>
      <c r="DI12" s="16" t="s">
        <v>114</v>
      </c>
      <c r="DJ12">
        <v>2</v>
      </c>
      <c r="DK12">
        <v>0</v>
      </c>
      <c r="DL12" s="35">
        <v>0.83705800914604556</v>
      </c>
      <c r="DM12" t="s">
        <v>1</v>
      </c>
      <c r="DO12" s="13" t="s">
        <v>311</v>
      </c>
      <c r="DP12" s="15" t="s">
        <v>87</v>
      </c>
      <c r="DQ12">
        <v>3</v>
      </c>
      <c r="DR12">
        <v>0</v>
      </c>
      <c r="DS12" s="35">
        <v>0.78951451402227513</v>
      </c>
      <c r="DT12" s="8" t="s">
        <v>386</v>
      </c>
      <c r="DV12" s="13" t="s">
        <v>311</v>
      </c>
      <c r="DW12" s="15" t="s">
        <v>74</v>
      </c>
      <c r="DX12">
        <v>4</v>
      </c>
      <c r="DY12">
        <v>0</v>
      </c>
      <c r="DZ12" s="35">
        <v>0.79883056092877458</v>
      </c>
      <c r="EA12" s="22" t="s">
        <v>393</v>
      </c>
      <c r="EC12" s="13" t="s">
        <v>311</v>
      </c>
      <c r="ED12" s="17" t="s">
        <v>300</v>
      </c>
      <c r="EE12">
        <v>5</v>
      </c>
      <c r="EF12">
        <v>0</v>
      </c>
      <c r="EG12" s="35">
        <v>0.76602956784964515</v>
      </c>
      <c r="EH12" s="22" t="s">
        <v>389</v>
      </c>
      <c r="EJ12" s="13" t="s">
        <v>311</v>
      </c>
      <c r="EK12" s="21" t="s">
        <v>119</v>
      </c>
      <c r="EL12">
        <v>4</v>
      </c>
      <c r="EM12">
        <v>2</v>
      </c>
      <c r="EN12" s="35">
        <v>0.74739968369037135</v>
      </c>
      <c r="EO12" s="8" t="s">
        <v>461</v>
      </c>
      <c r="EQ12" s="13" t="s">
        <v>311</v>
      </c>
      <c r="ER12" s="58" t="s">
        <v>783</v>
      </c>
      <c r="ES12">
        <v>6</v>
      </c>
      <c r="ET12">
        <v>1</v>
      </c>
      <c r="EU12" s="35">
        <v>0.73376580617243392</v>
      </c>
      <c r="EV12" s="22" t="s">
        <v>393</v>
      </c>
      <c r="EX12" s="13" t="s">
        <v>311</v>
      </c>
      <c r="EY12" s="17" t="s">
        <v>58</v>
      </c>
      <c r="EZ12">
        <v>6</v>
      </c>
      <c r="FA12">
        <v>2</v>
      </c>
      <c r="FB12" s="35">
        <v>0.70523886317437812</v>
      </c>
      <c r="FC12" s="22" t="s">
        <v>434</v>
      </c>
      <c r="FE12" s="13" t="s">
        <v>311</v>
      </c>
      <c r="FF12" s="17" t="s">
        <v>58</v>
      </c>
      <c r="FG12">
        <v>7</v>
      </c>
      <c r="FH12">
        <v>2</v>
      </c>
      <c r="FI12" s="35">
        <v>0.71974114021755498</v>
      </c>
      <c r="FJ12" t="s">
        <v>1</v>
      </c>
      <c r="FL12" s="13" t="s">
        <v>311</v>
      </c>
      <c r="FM12" s="21" t="s">
        <v>119</v>
      </c>
      <c r="FN12">
        <v>8</v>
      </c>
      <c r="FO12">
        <v>2</v>
      </c>
      <c r="FP12" s="35">
        <v>0.66571872268210697</v>
      </c>
      <c r="FQ12" s="8" t="s">
        <v>383</v>
      </c>
      <c r="FS12" s="13" t="s">
        <v>311</v>
      </c>
      <c r="FT12" s="21" t="s">
        <v>119</v>
      </c>
      <c r="FU12">
        <v>9</v>
      </c>
      <c r="FV12">
        <v>2</v>
      </c>
      <c r="FW12" s="35">
        <v>0.68153999711875002</v>
      </c>
      <c r="FX12" t="s">
        <v>1</v>
      </c>
      <c r="FZ12" s="13" t="s">
        <v>311</v>
      </c>
      <c r="GA12" s="58" t="s">
        <v>783</v>
      </c>
      <c r="GB12">
        <v>10</v>
      </c>
      <c r="GC12">
        <v>2</v>
      </c>
      <c r="GD12" s="35">
        <v>0.69002697944171509</v>
      </c>
      <c r="GE12" s="8" t="s">
        <v>386</v>
      </c>
      <c r="GG12" s="13" t="s">
        <v>311</v>
      </c>
      <c r="GH12" s="21" t="s">
        <v>119</v>
      </c>
      <c r="GI12">
        <v>10</v>
      </c>
      <c r="GJ12">
        <v>2</v>
      </c>
      <c r="GK12" s="35">
        <v>0.69715892614671071</v>
      </c>
      <c r="GL12" s="22" t="s">
        <v>381</v>
      </c>
      <c r="GN12" s="13" t="s">
        <v>311</v>
      </c>
      <c r="GO12" s="21" t="s">
        <v>119</v>
      </c>
      <c r="GP12">
        <v>10</v>
      </c>
      <c r="GQ12">
        <v>2</v>
      </c>
      <c r="GR12" s="35">
        <v>0.69807637831030811</v>
      </c>
      <c r="GS12" t="s">
        <v>1</v>
      </c>
      <c r="GU12" s="13" t="s">
        <v>311</v>
      </c>
      <c r="GV12" s="21" t="s">
        <v>119</v>
      </c>
      <c r="GW12">
        <v>10</v>
      </c>
      <c r="GX12">
        <v>2</v>
      </c>
      <c r="GY12" s="35">
        <v>0.70802137534943665</v>
      </c>
      <c r="GZ12" t="s">
        <v>1</v>
      </c>
      <c r="HB12" s="13" t="s">
        <v>311</v>
      </c>
      <c r="HC12" s="21" t="s">
        <v>119</v>
      </c>
      <c r="HD12">
        <v>10</v>
      </c>
      <c r="HE12">
        <v>2</v>
      </c>
      <c r="HF12" s="35">
        <v>0.70690319788287526</v>
      </c>
      <c r="HG12" t="s">
        <v>1</v>
      </c>
      <c r="HI12" s="13" t="s">
        <v>311</v>
      </c>
      <c r="HJ12" s="21" t="s">
        <v>119</v>
      </c>
      <c r="HK12">
        <v>10</v>
      </c>
      <c r="HL12">
        <v>2</v>
      </c>
      <c r="HM12" s="35">
        <v>0.70481175076332536</v>
      </c>
      <c r="HN12" t="s">
        <v>1</v>
      </c>
      <c r="HP12" s="13" t="s">
        <v>311</v>
      </c>
      <c r="HQ12" s="58" t="s">
        <v>787</v>
      </c>
      <c r="HR12">
        <v>1</v>
      </c>
      <c r="HS12">
        <v>0</v>
      </c>
      <c r="HT12" s="35">
        <v>0.8296413582469121</v>
      </c>
      <c r="HU12" t="s">
        <v>637</v>
      </c>
      <c r="HW12" s="13" t="s">
        <v>311</v>
      </c>
      <c r="HX12" s="19" t="s">
        <v>40</v>
      </c>
      <c r="HY12">
        <v>2</v>
      </c>
      <c r="HZ12">
        <v>0</v>
      </c>
      <c r="IA12" s="35">
        <v>0.83595807011133039</v>
      </c>
      <c r="IB12" t="s">
        <v>637</v>
      </c>
      <c r="ID12" s="13" t="s">
        <v>311</v>
      </c>
      <c r="IE12" s="19" t="s">
        <v>45</v>
      </c>
      <c r="IF12">
        <v>3</v>
      </c>
      <c r="IG12">
        <v>0</v>
      </c>
      <c r="IH12" s="35">
        <v>0.80892002690091847</v>
      </c>
      <c r="II12" s="22" t="s">
        <v>433</v>
      </c>
      <c r="IK12" s="13" t="s">
        <v>311</v>
      </c>
      <c r="IL12" s="17" t="s">
        <v>49</v>
      </c>
      <c r="IM12">
        <v>3</v>
      </c>
      <c r="IN12">
        <v>1</v>
      </c>
      <c r="IO12" s="35">
        <v>0.81400348292643188</v>
      </c>
      <c r="IP12" s="22" t="s">
        <v>431</v>
      </c>
      <c r="IR12" s="13" t="s">
        <v>311</v>
      </c>
      <c r="IS12" s="19" t="s">
        <v>36</v>
      </c>
      <c r="IT12">
        <v>3</v>
      </c>
      <c r="IU12">
        <v>2</v>
      </c>
      <c r="IV12" s="35">
        <v>0.81180947166954454</v>
      </c>
      <c r="IW12" s="22" t="s">
        <v>389</v>
      </c>
      <c r="IY12" s="13" t="s">
        <v>311</v>
      </c>
      <c r="IZ12" s="19" t="s">
        <v>46</v>
      </c>
      <c r="JA12">
        <v>5</v>
      </c>
      <c r="JB12">
        <v>1</v>
      </c>
      <c r="JC12" s="35">
        <v>0.82551616213025314</v>
      </c>
      <c r="JD12" s="22" t="s">
        <v>381</v>
      </c>
      <c r="JF12" s="13" t="s">
        <v>311</v>
      </c>
      <c r="JG12" s="15" t="s">
        <v>78</v>
      </c>
      <c r="JH12" s="6">
        <v>6</v>
      </c>
      <c r="JI12" s="6">
        <v>1</v>
      </c>
      <c r="JJ12" s="35">
        <v>0.80168983920661629</v>
      </c>
      <c r="JK12" s="22" t="s">
        <v>432</v>
      </c>
      <c r="JM12" s="13" t="s">
        <v>311</v>
      </c>
      <c r="JN12" s="16" t="s">
        <v>60</v>
      </c>
      <c r="JO12" s="6">
        <v>7</v>
      </c>
      <c r="JP12" s="6">
        <v>1</v>
      </c>
      <c r="JQ12" s="35">
        <v>0.77222359278470509</v>
      </c>
      <c r="JR12" s="8" t="s">
        <v>386</v>
      </c>
      <c r="JT12" s="13" t="s">
        <v>311</v>
      </c>
      <c r="JU12" s="17" t="s">
        <v>145</v>
      </c>
      <c r="JV12" s="6">
        <v>6</v>
      </c>
      <c r="JW12" s="6">
        <v>2</v>
      </c>
      <c r="JX12" s="35">
        <v>0.78983796075851476</v>
      </c>
      <c r="JY12" s="22" t="s">
        <v>393</v>
      </c>
      <c r="JZ12" s="22" t="s">
        <v>393</v>
      </c>
      <c r="KB12" s="13" t="s">
        <v>311</v>
      </c>
      <c r="KC12" s="16" t="s">
        <v>60</v>
      </c>
      <c r="KD12" s="6">
        <v>8</v>
      </c>
      <c r="KE12" s="6">
        <v>1</v>
      </c>
      <c r="KF12" s="35">
        <v>0.82804921994671798</v>
      </c>
      <c r="KG12" s="22" t="s">
        <v>432</v>
      </c>
      <c r="KI12" s="13" t="s">
        <v>311</v>
      </c>
      <c r="KJ12" s="17" t="s">
        <v>145</v>
      </c>
      <c r="KK12" s="6">
        <v>7</v>
      </c>
      <c r="KL12" s="6">
        <v>2</v>
      </c>
      <c r="KM12" s="35">
        <v>0.81939391914522708</v>
      </c>
      <c r="KN12" s="8" t="s">
        <v>500</v>
      </c>
      <c r="KP12" s="13" t="s">
        <v>311</v>
      </c>
      <c r="KQ12" s="15" t="s">
        <v>78</v>
      </c>
      <c r="KR12" s="6">
        <v>8</v>
      </c>
      <c r="KS12" s="6">
        <v>2</v>
      </c>
      <c r="KT12" s="35">
        <v>0.82194132064701486</v>
      </c>
      <c r="KU12" s="22" t="s">
        <v>384</v>
      </c>
      <c r="KW12" s="13" t="s">
        <v>311</v>
      </c>
      <c r="KX12" s="17" t="s">
        <v>145</v>
      </c>
      <c r="KY12" s="6">
        <v>8</v>
      </c>
      <c r="KZ12" s="6">
        <v>2</v>
      </c>
      <c r="LA12" s="35">
        <v>0.82842845184978631</v>
      </c>
      <c r="LB12" s="22" t="s">
        <v>381</v>
      </c>
      <c r="LD12" s="13" t="s">
        <v>311</v>
      </c>
      <c r="LE12" s="15" t="s">
        <v>78</v>
      </c>
      <c r="LF12" s="6">
        <v>9</v>
      </c>
      <c r="LG12" s="6">
        <v>2</v>
      </c>
      <c r="LH12" s="35">
        <v>0.82489716579683225</v>
      </c>
      <c r="LI12" s="22" t="s">
        <v>432</v>
      </c>
      <c r="LK12" s="13" t="s">
        <v>311</v>
      </c>
      <c r="LL12" s="15" t="s">
        <v>77</v>
      </c>
      <c r="LM12" s="6">
        <v>9</v>
      </c>
      <c r="LN12" s="6">
        <v>2</v>
      </c>
      <c r="LO12" s="35">
        <v>0.81873455524416894</v>
      </c>
      <c r="LP12" s="22" t="s">
        <v>381</v>
      </c>
      <c r="LR12" s="13" t="s">
        <v>311</v>
      </c>
      <c r="LS12" s="15" t="s">
        <v>77</v>
      </c>
      <c r="LT12" s="6">
        <v>10</v>
      </c>
      <c r="LU12" s="6">
        <v>2</v>
      </c>
      <c r="LV12" s="35">
        <v>0.81672364937093378</v>
      </c>
      <c r="LW12" t="s">
        <v>1</v>
      </c>
      <c r="LY12" s="13" t="s">
        <v>311</v>
      </c>
      <c r="LZ12" s="19" t="s">
        <v>41</v>
      </c>
      <c r="MA12" s="6">
        <v>9</v>
      </c>
      <c r="MB12" s="6">
        <v>3</v>
      </c>
      <c r="MC12" s="35">
        <v>0.81417978524696744</v>
      </c>
      <c r="MD12" s="8" t="s">
        <v>386</v>
      </c>
      <c r="MF12" s="13" t="s">
        <v>311</v>
      </c>
      <c r="MG12" s="19" t="s">
        <v>41</v>
      </c>
      <c r="MH12" s="6">
        <v>10</v>
      </c>
      <c r="MI12" s="6">
        <v>3</v>
      </c>
      <c r="MJ12" s="35">
        <v>0.81691121049332094</v>
      </c>
      <c r="MK12" t="s">
        <v>1</v>
      </c>
      <c r="MM12" s="13" t="s">
        <v>311</v>
      </c>
      <c r="MN12" s="16" t="s">
        <v>60</v>
      </c>
      <c r="MO12" s="6">
        <v>10</v>
      </c>
      <c r="MP12" s="6">
        <v>3</v>
      </c>
      <c r="MQ12" s="35">
        <v>0.81022186101044358</v>
      </c>
      <c r="MR12" s="8" t="s">
        <v>386</v>
      </c>
      <c r="MT12" s="13" t="s">
        <v>311</v>
      </c>
      <c r="MU12" s="16" t="s">
        <v>60</v>
      </c>
      <c r="MV12" s="6">
        <v>10</v>
      </c>
      <c r="MW12" s="6">
        <v>3</v>
      </c>
      <c r="MX12" s="35">
        <v>0.81120951997786761</v>
      </c>
      <c r="MY12" t="s">
        <v>1</v>
      </c>
      <c r="NA12" s="13" t="s">
        <v>311</v>
      </c>
      <c r="NB12" s="15" t="s">
        <v>77</v>
      </c>
      <c r="NC12" s="6">
        <v>11</v>
      </c>
      <c r="ND12" s="6">
        <v>3</v>
      </c>
      <c r="NE12" s="35">
        <v>0.79548043160256232</v>
      </c>
      <c r="NF12" s="8" t="s">
        <v>383</v>
      </c>
      <c r="NH12" s="13" t="s">
        <v>311</v>
      </c>
      <c r="NI12" s="16" t="s">
        <v>5069</v>
      </c>
      <c r="NJ12" s="1">
        <v>12</v>
      </c>
      <c r="NK12" s="1">
        <v>2</v>
      </c>
      <c r="NL12" s="36">
        <v>0.78786476640157155</v>
      </c>
      <c r="NM12" s="22" t="s">
        <v>381</v>
      </c>
      <c r="NO12" s="13" t="s">
        <v>311</v>
      </c>
      <c r="NP12" s="16" t="s">
        <v>5069</v>
      </c>
      <c r="NQ12" s="1">
        <v>12</v>
      </c>
      <c r="NR12" s="1">
        <v>2</v>
      </c>
      <c r="NS12" s="36">
        <v>0.78803139833751545</v>
      </c>
      <c r="NT12" t="s">
        <v>1</v>
      </c>
      <c r="NV12" s="13" t="s">
        <v>311</v>
      </c>
      <c r="NW12" s="16" t="s">
        <v>5069</v>
      </c>
      <c r="NX12" s="1">
        <v>12</v>
      </c>
      <c r="NY12" s="1">
        <v>2</v>
      </c>
      <c r="NZ12" s="36">
        <v>0.78130083194830646</v>
      </c>
      <c r="OA12" t="s">
        <v>1</v>
      </c>
      <c r="OC12" s="13" t="s">
        <v>311</v>
      </c>
      <c r="OD12" s="16" t="s">
        <v>5069</v>
      </c>
      <c r="OE12" s="1">
        <v>12</v>
      </c>
      <c r="OF12" s="1">
        <v>2</v>
      </c>
      <c r="OG12" s="36">
        <v>0.76823759418009174</v>
      </c>
      <c r="OH12" t="s">
        <v>1</v>
      </c>
      <c r="OJ12" s="13" t="s">
        <v>311</v>
      </c>
      <c r="OK12" s="15" t="s">
        <v>77</v>
      </c>
      <c r="OL12" s="1">
        <v>11</v>
      </c>
      <c r="OM12" s="1">
        <v>3</v>
      </c>
      <c r="ON12" s="36">
        <v>0.7727834493809469</v>
      </c>
      <c r="OO12" s="22" t="s">
        <v>381</v>
      </c>
      <c r="OQ12" s="13" t="s">
        <v>311</v>
      </c>
      <c r="OR12" s="16" t="s">
        <v>5069</v>
      </c>
      <c r="OS12" s="1">
        <v>12</v>
      </c>
      <c r="OT12" s="1">
        <v>2</v>
      </c>
      <c r="OU12" s="36">
        <v>0.78020475608225948</v>
      </c>
      <c r="OV12" s="22" t="s">
        <v>381</v>
      </c>
      <c r="OX12" s="13" t="s">
        <v>311</v>
      </c>
      <c r="OY12" s="16" t="s">
        <v>5069</v>
      </c>
      <c r="OZ12" s="1">
        <v>12</v>
      </c>
      <c r="PA12" s="1">
        <v>2</v>
      </c>
      <c r="PB12" s="36">
        <v>0.79129262300065695</v>
      </c>
      <c r="PC12" t="s">
        <v>1</v>
      </c>
      <c r="PE12" s="13" t="s">
        <v>311</v>
      </c>
      <c r="PF12" s="16" t="s">
        <v>5069</v>
      </c>
      <c r="PG12" s="1">
        <v>12</v>
      </c>
      <c r="PH12" s="1">
        <v>2</v>
      </c>
      <c r="PI12" s="36">
        <v>0.79043743499788444</v>
      </c>
      <c r="PJ12" t="s">
        <v>1</v>
      </c>
    </row>
    <row r="13" spans="2:426" x14ac:dyDescent="0.35">
      <c r="B13" s="13" t="s">
        <v>312</v>
      </c>
      <c r="C13" s="21" t="s">
        <v>24</v>
      </c>
      <c r="D13" t="s">
        <v>327</v>
      </c>
      <c r="E13">
        <v>82</v>
      </c>
      <c r="G13" s="13" t="s">
        <v>312</v>
      </c>
      <c r="H13" s="21" t="s">
        <v>24</v>
      </c>
      <c r="I13" t="s">
        <v>378</v>
      </c>
      <c r="J13">
        <v>76</v>
      </c>
      <c r="K13" t="s">
        <v>1</v>
      </c>
      <c r="M13" s="13" t="s">
        <v>312</v>
      </c>
      <c r="N13" s="15" t="s">
        <v>78</v>
      </c>
      <c r="O13" s="9" t="s">
        <v>429</v>
      </c>
      <c r="P13">
        <v>101</v>
      </c>
      <c r="Q13" s="8" t="s">
        <v>383</v>
      </c>
      <c r="S13" s="13" t="s">
        <v>311</v>
      </c>
      <c r="T13" s="19" t="s">
        <v>46</v>
      </c>
      <c r="U13" t="s">
        <v>460</v>
      </c>
      <c r="V13">
        <v>100</v>
      </c>
      <c r="W13" s="8" t="s">
        <v>463</v>
      </c>
      <c r="Y13" s="13" t="s">
        <v>312</v>
      </c>
      <c r="Z13" s="21" t="s">
        <v>1860</v>
      </c>
      <c r="AA13" t="s">
        <v>498</v>
      </c>
      <c r="AB13">
        <v>96</v>
      </c>
      <c r="AC13" s="8" t="s">
        <v>461</v>
      </c>
      <c r="AE13" s="13" t="s">
        <v>312</v>
      </c>
      <c r="AF13" s="19" t="s">
        <v>44</v>
      </c>
      <c r="AG13" s="9" t="s">
        <v>517</v>
      </c>
      <c r="AH13">
        <v>97</v>
      </c>
      <c r="AI13" s="22" t="s">
        <v>385</v>
      </c>
      <c r="AK13" s="13" t="s">
        <v>312</v>
      </c>
      <c r="AL13" s="19" t="s">
        <v>44</v>
      </c>
      <c r="AM13" s="9" t="s">
        <v>539</v>
      </c>
      <c r="AN13">
        <v>99</v>
      </c>
      <c r="AO13" t="s">
        <v>1</v>
      </c>
      <c r="AQ13" s="13" t="s">
        <v>312</v>
      </c>
      <c r="AR13" s="17" t="s">
        <v>57</v>
      </c>
      <c r="AS13" t="s">
        <v>343</v>
      </c>
      <c r="AT13">
        <v>102</v>
      </c>
      <c r="AW13" s="13" t="s">
        <v>312</v>
      </c>
      <c r="AX13" s="17" t="s">
        <v>57</v>
      </c>
      <c r="AY13">
        <v>8</v>
      </c>
      <c r="AZ13">
        <v>1</v>
      </c>
      <c r="BA13">
        <v>0.73241805060946563</v>
      </c>
      <c r="BB13" t="s">
        <v>1</v>
      </c>
      <c r="BD13" s="13" t="s">
        <v>312</v>
      </c>
      <c r="BE13" s="19" t="s">
        <v>46</v>
      </c>
      <c r="BF13">
        <v>6</v>
      </c>
      <c r="BG13">
        <v>4</v>
      </c>
      <c r="BH13" s="35">
        <v>0.70522837059248134</v>
      </c>
      <c r="BI13" s="22" t="s">
        <v>384</v>
      </c>
      <c r="BK13" s="13" t="s">
        <v>312</v>
      </c>
      <c r="BL13" s="17" t="s">
        <v>57</v>
      </c>
      <c r="BM13">
        <v>9</v>
      </c>
      <c r="BN13">
        <v>2</v>
      </c>
      <c r="BO13" s="35">
        <v>0.71643717827792242</v>
      </c>
      <c r="BP13" s="8" t="s">
        <v>461</v>
      </c>
      <c r="BR13" s="13" t="s">
        <v>312</v>
      </c>
      <c r="BS13" s="17" t="s">
        <v>57</v>
      </c>
      <c r="BT13">
        <v>10</v>
      </c>
      <c r="BU13">
        <v>2</v>
      </c>
      <c r="BV13" s="35">
        <v>0.71526803787497995</v>
      </c>
      <c r="BW13" t="s">
        <v>1</v>
      </c>
      <c r="BY13" s="13" t="s">
        <v>312</v>
      </c>
      <c r="BZ13" s="21" t="s">
        <v>1860</v>
      </c>
      <c r="CA13">
        <v>10</v>
      </c>
      <c r="CB13">
        <v>3</v>
      </c>
      <c r="CC13" s="35">
        <v>0.69198312172141052</v>
      </c>
      <c r="CD13" s="22" t="s">
        <v>381</v>
      </c>
      <c r="CF13" s="13" t="s">
        <v>312</v>
      </c>
      <c r="CG13" s="21" t="s">
        <v>1860</v>
      </c>
      <c r="CH13">
        <v>10</v>
      </c>
      <c r="CI13">
        <v>3</v>
      </c>
      <c r="CJ13" s="35">
        <v>0.65660115019642173</v>
      </c>
      <c r="CK13" s="22" t="s">
        <v>1</v>
      </c>
      <c r="CM13" s="13" t="s">
        <v>312</v>
      </c>
      <c r="CN13" s="21" t="s">
        <v>32</v>
      </c>
      <c r="CO13">
        <v>10</v>
      </c>
      <c r="CP13">
        <v>3</v>
      </c>
      <c r="CQ13" s="35">
        <v>0.58822273408634174</v>
      </c>
      <c r="CR13" s="8" t="s">
        <v>386</v>
      </c>
      <c r="CT13" s="13" t="s">
        <v>312</v>
      </c>
      <c r="CU13" s="21" t="s">
        <v>119</v>
      </c>
      <c r="CV13">
        <v>1</v>
      </c>
      <c r="CW13">
        <v>0</v>
      </c>
      <c r="CX13" s="35">
        <v>0.81817131579398317</v>
      </c>
      <c r="CY13" s="8" t="s">
        <v>523</v>
      </c>
      <c r="DA13" s="13" t="s">
        <v>312</v>
      </c>
      <c r="DB13" s="19" t="s">
        <v>39</v>
      </c>
      <c r="DC13">
        <v>2</v>
      </c>
      <c r="DD13">
        <v>0</v>
      </c>
      <c r="DE13" s="35">
        <v>0.83124323755595686</v>
      </c>
      <c r="DF13" t="s">
        <v>637</v>
      </c>
      <c r="DH13" s="13" t="s">
        <v>312</v>
      </c>
      <c r="DI13" s="19" t="s">
        <v>39</v>
      </c>
      <c r="DJ13">
        <v>2</v>
      </c>
      <c r="DK13">
        <v>0</v>
      </c>
      <c r="DL13" s="35">
        <v>0.83359617873242742</v>
      </c>
      <c r="DM13" t="s">
        <v>1</v>
      </c>
      <c r="DO13" s="13" t="s">
        <v>312</v>
      </c>
      <c r="DP13" s="19" t="s">
        <v>40</v>
      </c>
      <c r="DQ13">
        <v>2</v>
      </c>
      <c r="DR13">
        <v>1</v>
      </c>
      <c r="DS13" s="35">
        <v>0.78018137422705269</v>
      </c>
      <c r="DT13" s="22" t="s">
        <v>382</v>
      </c>
      <c r="DV13" s="13" t="s">
        <v>312</v>
      </c>
      <c r="DW13" s="19" t="s">
        <v>40</v>
      </c>
      <c r="DX13">
        <v>3</v>
      </c>
      <c r="DY13">
        <v>1</v>
      </c>
      <c r="DZ13" s="35">
        <v>0.78186143907860739</v>
      </c>
      <c r="EA13" t="s">
        <v>1</v>
      </c>
      <c r="EC13" s="13" t="s">
        <v>312</v>
      </c>
      <c r="ED13" s="16" t="s">
        <v>114</v>
      </c>
      <c r="EE13">
        <v>4</v>
      </c>
      <c r="EF13">
        <v>1</v>
      </c>
      <c r="EG13" s="35">
        <v>0.76279083666456116</v>
      </c>
      <c r="EH13" s="8" t="s">
        <v>500</v>
      </c>
      <c r="EJ13" s="13" t="s">
        <v>312</v>
      </c>
      <c r="EK13" s="15" t="s">
        <v>87</v>
      </c>
      <c r="EL13">
        <v>5</v>
      </c>
      <c r="EM13">
        <v>1</v>
      </c>
      <c r="EN13" s="35">
        <v>0.7372319486086707</v>
      </c>
      <c r="EO13" s="22" t="s">
        <v>385</v>
      </c>
      <c r="EQ13" s="13" t="s">
        <v>312</v>
      </c>
      <c r="ER13" s="16" t="s">
        <v>70</v>
      </c>
      <c r="ES13">
        <v>5</v>
      </c>
      <c r="ET13">
        <v>2</v>
      </c>
      <c r="EU13" s="35">
        <v>0.73229679965430594</v>
      </c>
      <c r="EV13" s="22" t="s">
        <v>389</v>
      </c>
      <c r="EX13" s="13" t="s">
        <v>312</v>
      </c>
      <c r="EY13" s="19" t="s">
        <v>36</v>
      </c>
      <c r="EZ13">
        <v>6</v>
      </c>
      <c r="FA13">
        <v>2</v>
      </c>
      <c r="FB13" s="35">
        <v>0.70168754974550462</v>
      </c>
      <c r="FC13" s="22" t="s">
        <v>434</v>
      </c>
      <c r="FE13" s="13" t="s">
        <v>312</v>
      </c>
      <c r="FF13" s="19" t="s">
        <v>36</v>
      </c>
      <c r="FG13">
        <v>7</v>
      </c>
      <c r="FH13">
        <v>2</v>
      </c>
      <c r="FI13" s="35">
        <v>0.70947836933094355</v>
      </c>
      <c r="FJ13" t="s">
        <v>1</v>
      </c>
      <c r="FL13" s="13" t="s">
        <v>312</v>
      </c>
      <c r="FM13" s="17" t="s">
        <v>58</v>
      </c>
      <c r="FN13">
        <v>7</v>
      </c>
      <c r="FO13">
        <v>3</v>
      </c>
      <c r="FP13" s="35">
        <v>0.65737843958943221</v>
      </c>
      <c r="FQ13" s="8" t="s">
        <v>386</v>
      </c>
      <c r="FS13" s="13" t="s">
        <v>312</v>
      </c>
      <c r="FT13" s="17" t="s">
        <v>57</v>
      </c>
      <c r="FU13">
        <v>8</v>
      </c>
      <c r="FV13">
        <v>3</v>
      </c>
      <c r="FW13" s="35">
        <v>0.67759183702049719</v>
      </c>
      <c r="FX13" s="8" t="s">
        <v>461</v>
      </c>
      <c r="FZ13" s="13" t="s">
        <v>312</v>
      </c>
      <c r="GA13" s="21" t="s">
        <v>119</v>
      </c>
      <c r="GB13">
        <v>10</v>
      </c>
      <c r="GC13">
        <v>2</v>
      </c>
      <c r="GD13" s="35">
        <v>0.68570768822415906</v>
      </c>
      <c r="GE13" s="8" t="s">
        <v>386</v>
      </c>
      <c r="GG13" s="13" t="s">
        <v>312</v>
      </c>
      <c r="GH13" s="15" t="s">
        <v>1179</v>
      </c>
      <c r="GI13">
        <v>9</v>
      </c>
      <c r="GJ13">
        <v>4</v>
      </c>
      <c r="GK13" s="35">
        <v>0.69618048144801081</v>
      </c>
      <c r="GL13" s="22" t="s">
        <v>432</v>
      </c>
      <c r="GN13" s="13" t="s">
        <v>312</v>
      </c>
      <c r="GO13" s="58" t="s">
        <v>783</v>
      </c>
      <c r="GP13">
        <v>10</v>
      </c>
      <c r="GQ13">
        <v>3</v>
      </c>
      <c r="GR13" s="35">
        <v>0.68706679396110548</v>
      </c>
      <c r="GS13" s="22" t="s">
        <v>381</v>
      </c>
      <c r="GU13" s="13" t="s">
        <v>312</v>
      </c>
      <c r="GV13" s="58" t="s">
        <v>783</v>
      </c>
      <c r="GW13" s="46">
        <v>10</v>
      </c>
      <c r="GX13" s="46">
        <v>3</v>
      </c>
      <c r="GY13" s="35">
        <v>0.69361246353411976</v>
      </c>
      <c r="GZ13" t="s">
        <v>1</v>
      </c>
      <c r="HB13" s="13" t="s">
        <v>312</v>
      </c>
      <c r="HC13" s="58" t="s">
        <v>783</v>
      </c>
      <c r="HD13" s="46">
        <v>10</v>
      </c>
      <c r="HE13" s="46">
        <v>3</v>
      </c>
      <c r="HF13" s="35">
        <v>0.6894260126498617</v>
      </c>
      <c r="HG13" t="s">
        <v>1</v>
      </c>
      <c r="HI13" s="13" t="s">
        <v>312</v>
      </c>
      <c r="HJ13" s="58" t="s">
        <v>783</v>
      </c>
      <c r="HK13" s="46">
        <v>10</v>
      </c>
      <c r="HL13" s="46">
        <v>3</v>
      </c>
      <c r="HM13" s="35">
        <v>0.68235183507871655</v>
      </c>
      <c r="HN13" t="s">
        <v>1</v>
      </c>
      <c r="HP13" s="13" t="s">
        <v>312</v>
      </c>
      <c r="HQ13" s="69" t="s">
        <v>963</v>
      </c>
      <c r="HR13">
        <v>1</v>
      </c>
      <c r="HS13">
        <v>0</v>
      </c>
      <c r="HT13" s="35">
        <v>0.82639809734186331</v>
      </c>
      <c r="HU13" t="s">
        <v>637</v>
      </c>
      <c r="HW13" s="13" t="s">
        <v>312</v>
      </c>
      <c r="HX13" s="69" t="s">
        <v>1344</v>
      </c>
      <c r="HY13">
        <v>2</v>
      </c>
      <c r="HZ13">
        <v>0</v>
      </c>
      <c r="IA13" s="35">
        <v>0.8311965010111434</v>
      </c>
      <c r="IB13" t="s">
        <v>637</v>
      </c>
      <c r="ID13" s="13" t="s">
        <v>312</v>
      </c>
      <c r="IE13" s="58" t="s">
        <v>785</v>
      </c>
      <c r="IF13">
        <v>3</v>
      </c>
      <c r="IG13">
        <v>0</v>
      </c>
      <c r="IH13" s="35">
        <v>0.80001008255083184</v>
      </c>
      <c r="II13" s="22" t="s">
        <v>462</v>
      </c>
      <c r="IK13" s="13" t="s">
        <v>312</v>
      </c>
      <c r="IL13" s="58" t="s">
        <v>785</v>
      </c>
      <c r="IM13">
        <v>4</v>
      </c>
      <c r="IN13">
        <v>0</v>
      </c>
      <c r="IO13" s="35">
        <v>0.81056185444198026</v>
      </c>
      <c r="IP13" t="s">
        <v>1</v>
      </c>
      <c r="IR13" s="13" t="s">
        <v>312</v>
      </c>
      <c r="IS13" s="19" t="s">
        <v>46</v>
      </c>
      <c r="IT13">
        <v>4</v>
      </c>
      <c r="IU13">
        <v>1</v>
      </c>
      <c r="IV13" s="35">
        <v>0.80063156620844589</v>
      </c>
      <c r="IW13" s="22" t="s">
        <v>393</v>
      </c>
      <c r="IY13" s="13" t="s">
        <v>312</v>
      </c>
      <c r="IZ13" s="16" t="s">
        <v>60</v>
      </c>
      <c r="JA13">
        <v>5</v>
      </c>
      <c r="JB13">
        <v>1</v>
      </c>
      <c r="JC13" s="35">
        <v>0.81863084556138421</v>
      </c>
      <c r="JD13" s="8" t="s">
        <v>383</v>
      </c>
      <c r="JF13" s="13" t="s">
        <v>312</v>
      </c>
      <c r="JG13" s="16" t="s">
        <v>59</v>
      </c>
      <c r="JH13" s="6">
        <v>5</v>
      </c>
      <c r="JI13" s="6">
        <v>2</v>
      </c>
      <c r="JJ13" s="35">
        <v>0.79642742867111671</v>
      </c>
      <c r="JK13" s="8" t="s">
        <v>383</v>
      </c>
      <c r="JM13" s="13" t="s">
        <v>312</v>
      </c>
      <c r="JN13" s="69" t="s">
        <v>1344</v>
      </c>
      <c r="JO13" s="6">
        <v>7</v>
      </c>
      <c r="JP13" s="6">
        <v>1</v>
      </c>
      <c r="JQ13" s="35">
        <v>0.77103672533447254</v>
      </c>
      <c r="JR13" s="22" t="s">
        <v>381</v>
      </c>
      <c r="JT13" s="13" t="s">
        <v>312</v>
      </c>
      <c r="JU13" s="15" t="s">
        <v>77</v>
      </c>
      <c r="JV13" s="6">
        <v>6</v>
      </c>
      <c r="JW13" s="6">
        <v>2</v>
      </c>
      <c r="JX13" s="35">
        <v>0.78793012461478029</v>
      </c>
      <c r="JY13" s="22" t="s">
        <v>381</v>
      </c>
      <c r="JZ13" s="22" t="s">
        <v>462</v>
      </c>
      <c r="KB13" s="13" t="s">
        <v>312</v>
      </c>
      <c r="KC13" s="16" t="s">
        <v>59</v>
      </c>
      <c r="KD13" s="6">
        <v>6</v>
      </c>
      <c r="KE13" s="6">
        <v>3</v>
      </c>
      <c r="KF13" s="35">
        <v>0.79833544075791807</v>
      </c>
      <c r="KG13" s="8" t="s">
        <v>463</v>
      </c>
      <c r="KI13" s="13" t="s">
        <v>312</v>
      </c>
      <c r="KJ13" s="16" t="s">
        <v>59</v>
      </c>
      <c r="KK13" s="6">
        <v>6</v>
      </c>
      <c r="KL13" s="6">
        <v>3</v>
      </c>
      <c r="KM13" s="351">
        <v>0.81220538830770173</v>
      </c>
      <c r="KN13" t="s">
        <v>1</v>
      </c>
      <c r="KP13" s="13" t="s">
        <v>312</v>
      </c>
      <c r="KQ13" s="17" t="s">
        <v>145</v>
      </c>
      <c r="KR13" s="6">
        <v>8</v>
      </c>
      <c r="KS13" s="6">
        <v>2</v>
      </c>
      <c r="KT13" s="35">
        <v>0.82110175758997572</v>
      </c>
      <c r="KU13" s="8" t="s">
        <v>386</v>
      </c>
      <c r="KW13" s="13" t="s">
        <v>312</v>
      </c>
      <c r="KX13" s="19" t="s">
        <v>46</v>
      </c>
      <c r="KY13" s="6">
        <v>7</v>
      </c>
      <c r="KZ13" s="6">
        <v>3</v>
      </c>
      <c r="LA13" s="35">
        <v>0.82537315184688198</v>
      </c>
      <c r="LB13" s="22" t="s">
        <v>381</v>
      </c>
      <c r="LD13" s="13" t="s">
        <v>312</v>
      </c>
      <c r="LE13" s="15" t="s">
        <v>77</v>
      </c>
      <c r="LF13" s="6">
        <v>9</v>
      </c>
      <c r="LG13" s="6">
        <v>2</v>
      </c>
      <c r="LH13" s="35">
        <v>0.82299957014896341</v>
      </c>
      <c r="LI13" s="22" t="s">
        <v>432</v>
      </c>
      <c r="LK13" s="13" t="s">
        <v>312</v>
      </c>
      <c r="LL13" s="15" t="s">
        <v>78</v>
      </c>
      <c r="LM13" s="6">
        <v>9</v>
      </c>
      <c r="LN13" s="6">
        <v>2</v>
      </c>
      <c r="LO13" s="35">
        <v>0.81794842747078278</v>
      </c>
      <c r="LP13" s="8" t="s">
        <v>386</v>
      </c>
      <c r="LR13" s="13" t="s">
        <v>312</v>
      </c>
      <c r="LS13" s="16" t="s">
        <v>60</v>
      </c>
      <c r="LT13" s="6">
        <v>9</v>
      </c>
      <c r="LU13" s="6">
        <v>3</v>
      </c>
      <c r="LV13" s="35">
        <v>0.79925325933404257</v>
      </c>
      <c r="LW13" s="22" t="s">
        <v>462</v>
      </c>
      <c r="LY13" s="13" t="s">
        <v>312</v>
      </c>
      <c r="LZ13" s="19" t="s">
        <v>46</v>
      </c>
      <c r="MA13" s="6">
        <v>8</v>
      </c>
      <c r="MB13" s="6">
        <v>4</v>
      </c>
      <c r="MC13" s="35">
        <v>0.80216130579327183</v>
      </c>
      <c r="MD13" s="22" t="s">
        <v>432</v>
      </c>
      <c r="MF13" s="13" t="s">
        <v>312</v>
      </c>
      <c r="MG13" s="16" t="s">
        <v>115</v>
      </c>
      <c r="MH13" s="6">
        <v>11</v>
      </c>
      <c r="MI13" s="6">
        <v>2</v>
      </c>
      <c r="MJ13" s="35">
        <v>0.79574610333940965</v>
      </c>
      <c r="MK13" s="22" t="s">
        <v>393</v>
      </c>
      <c r="MM13" s="13" t="s">
        <v>312</v>
      </c>
      <c r="MN13" s="16" t="s">
        <v>115</v>
      </c>
      <c r="MO13" s="6">
        <v>11</v>
      </c>
      <c r="MP13" s="6">
        <v>2</v>
      </c>
      <c r="MQ13" s="35">
        <v>0.79514863793852686</v>
      </c>
      <c r="MR13" t="s">
        <v>1</v>
      </c>
      <c r="MT13" s="13" t="s">
        <v>312</v>
      </c>
      <c r="MU13" s="16" t="s">
        <v>115</v>
      </c>
      <c r="MV13" s="6">
        <v>11</v>
      </c>
      <c r="MW13" s="6">
        <v>2</v>
      </c>
      <c r="MX13" s="35">
        <v>0.79650109859847296</v>
      </c>
      <c r="MY13" t="s">
        <v>1</v>
      </c>
      <c r="NA13" s="13" t="s">
        <v>312</v>
      </c>
      <c r="NB13" s="16" t="s">
        <v>5069</v>
      </c>
      <c r="NC13" s="6">
        <v>12</v>
      </c>
      <c r="ND13" s="6">
        <v>2</v>
      </c>
      <c r="NE13" s="35">
        <v>0.79424579267164985</v>
      </c>
      <c r="NF13" t="s">
        <v>1</v>
      </c>
      <c r="NH13" s="13" t="s">
        <v>312</v>
      </c>
      <c r="NI13" s="15" t="s">
        <v>77</v>
      </c>
      <c r="NJ13" s="1">
        <v>11</v>
      </c>
      <c r="NK13" s="1">
        <v>3</v>
      </c>
      <c r="NL13" s="36">
        <v>0.78458278961044348</v>
      </c>
      <c r="NM13" s="8" t="s">
        <v>386</v>
      </c>
      <c r="NO13" s="13" t="s">
        <v>312</v>
      </c>
      <c r="NP13" s="15" t="s">
        <v>77</v>
      </c>
      <c r="NQ13" s="1">
        <v>11</v>
      </c>
      <c r="NR13" s="1">
        <v>3</v>
      </c>
      <c r="NS13" s="36">
        <v>0.78383108451086136</v>
      </c>
      <c r="NT13" t="s">
        <v>1</v>
      </c>
      <c r="NV13" s="13" t="s">
        <v>312</v>
      </c>
      <c r="NW13" s="15" t="s">
        <v>77</v>
      </c>
      <c r="NX13" s="1">
        <v>11</v>
      </c>
      <c r="NY13" s="1">
        <v>3</v>
      </c>
      <c r="NZ13" s="36">
        <v>0.77578550473116237</v>
      </c>
      <c r="OA13" t="s">
        <v>1</v>
      </c>
      <c r="OC13" s="13" t="s">
        <v>312</v>
      </c>
      <c r="OD13" s="15" t="s">
        <v>77</v>
      </c>
      <c r="OE13" s="1">
        <v>11</v>
      </c>
      <c r="OF13" s="1">
        <v>3</v>
      </c>
      <c r="OG13" s="36">
        <v>0.7643426968771766</v>
      </c>
      <c r="OH13" t="s">
        <v>1</v>
      </c>
      <c r="OJ13" s="13" t="s">
        <v>312</v>
      </c>
      <c r="OK13" s="16" t="s">
        <v>5069</v>
      </c>
      <c r="OL13" s="1">
        <v>12</v>
      </c>
      <c r="OM13" s="1">
        <v>2</v>
      </c>
      <c r="ON13" s="36">
        <v>0.77023796174610071</v>
      </c>
      <c r="OO13" s="8" t="s">
        <v>386</v>
      </c>
      <c r="OQ13" s="13" t="s">
        <v>312</v>
      </c>
      <c r="OR13" s="15" t="s">
        <v>77</v>
      </c>
      <c r="OS13" s="1">
        <v>11</v>
      </c>
      <c r="OT13" s="1">
        <v>3</v>
      </c>
      <c r="OU13" s="36">
        <v>0.77785086801803871</v>
      </c>
      <c r="OV13" s="8" t="s">
        <v>386</v>
      </c>
      <c r="OX13" s="13" t="s">
        <v>312</v>
      </c>
      <c r="OY13" s="15" t="s">
        <v>77</v>
      </c>
      <c r="OZ13" s="1">
        <v>11</v>
      </c>
      <c r="PA13" s="1">
        <v>3</v>
      </c>
      <c r="PB13" s="36">
        <v>0.7869646537528554</v>
      </c>
      <c r="PC13" t="s">
        <v>1</v>
      </c>
      <c r="PE13" s="13" t="s">
        <v>312</v>
      </c>
      <c r="PF13" s="15" t="s">
        <v>77</v>
      </c>
      <c r="PG13" s="1">
        <v>11</v>
      </c>
      <c r="PH13" s="1">
        <v>3</v>
      </c>
      <c r="PI13" s="36">
        <v>0.78630395951125576</v>
      </c>
      <c r="PJ13" t="s">
        <v>1</v>
      </c>
    </row>
    <row r="14" spans="2:426" x14ac:dyDescent="0.35">
      <c r="B14" s="13" t="s">
        <v>313</v>
      </c>
      <c r="C14" s="17" t="s">
        <v>48</v>
      </c>
      <c r="D14" t="s">
        <v>327</v>
      </c>
      <c r="E14">
        <v>81</v>
      </c>
      <c r="G14" s="13" t="s">
        <v>313</v>
      </c>
      <c r="H14" s="16" t="s">
        <v>64</v>
      </c>
      <c r="I14" t="s">
        <v>378</v>
      </c>
      <c r="J14">
        <v>75</v>
      </c>
      <c r="K14" t="s">
        <v>390</v>
      </c>
      <c r="M14" s="13" t="s">
        <v>313</v>
      </c>
      <c r="N14" s="21" t="s">
        <v>33</v>
      </c>
      <c r="O14" s="9" t="s">
        <v>429</v>
      </c>
      <c r="P14">
        <v>100</v>
      </c>
      <c r="Q14" s="22" t="s">
        <v>434</v>
      </c>
      <c r="S14" s="13" t="s">
        <v>313</v>
      </c>
      <c r="T14" s="16" t="s">
        <v>71</v>
      </c>
      <c r="U14" s="9" t="s">
        <v>458</v>
      </c>
      <c r="V14">
        <v>93</v>
      </c>
      <c r="W14" s="22" t="s">
        <v>462</v>
      </c>
      <c r="Y14" s="13" t="s">
        <v>313</v>
      </c>
      <c r="Z14" s="17" t="s">
        <v>50</v>
      </c>
      <c r="AA14" t="s">
        <v>498</v>
      </c>
      <c r="AB14">
        <v>96</v>
      </c>
      <c r="AC14" s="22" t="s">
        <v>385</v>
      </c>
      <c r="AE14" s="13" t="s">
        <v>312</v>
      </c>
      <c r="AF14" s="21" t="s">
        <v>32</v>
      </c>
      <c r="AG14" t="s">
        <v>518</v>
      </c>
      <c r="AH14">
        <v>97</v>
      </c>
      <c r="AI14" s="22" t="s">
        <v>434</v>
      </c>
      <c r="AK14" s="13" t="s">
        <v>313</v>
      </c>
      <c r="AL14" s="17" t="s">
        <v>57</v>
      </c>
      <c r="AM14" t="s">
        <v>540</v>
      </c>
      <c r="AN14">
        <v>99</v>
      </c>
      <c r="AO14" s="22" t="s">
        <v>393</v>
      </c>
      <c r="AQ14" s="13" t="s">
        <v>313</v>
      </c>
      <c r="AR14" s="21" t="s">
        <v>1860</v>
      </c>
      <c r="AS14" t="s">
        <v>343</v>
      </c>
      <c r="AT14">
        <v>96</v>
      </c>
      <c r="AU14" s="22" t="s">
        <v>384</v>
      </c>
      <c r="AW14" s="13" t="s">
        <v>313</v>
      </c>
      <c r="AX14" s="19" t="s">
        <v>44</v>
      </c>
      <c r="AY14">
        <v>7</v>
      </c>
      <c r="AZ14">
        <v>2</v>
      </c>
      <c r="BA14" s="35">
        <v>0.70062226104136038</v>
      </c>
      <c r="BB14" s="22" t="s">
        <v>432</v>
      </c>
      <c r="BD14" s="13" t="s">
        <v>313</v>
      </c>
      <c r="BE14" s="21" t="s">
        <v>1860</v>
      </c>
      <c r="BF14">
        <v>8</v>
      </c>
      <c r="BG14">
        <v>2</v>
      </c>
      <c r="BH14" s="35">
        <v>0.69691471571605079</v>
      </c>
      <c r="BI14" s="8" t="s">
        <v>461</v>
      </c>
      <c r="BK14" s="13" t="s">
        <v>313</v>
      </c>
      <c r="BL14" s="21" t="s">
        <v>1860</v>
      </c>
      <c r="BM14">
        <v>9</v>
      </c>
      <c r="BN14">
        <v>2</v>
      </c>
      <c r="BO14" s="35">
        <v>0.71217415600393053</v>
      </c>
      <c r="BP14" t="s">
        <v>1</v>
      </c>
      <c r="BR14" s="13" t="s">
        <v>313</v>
      </c>
      <c r="BS14" s="21" t="s">
        <v>1860</v>
      </c>
      <c r="BT14">
        <v>10</v>
      </c>
      <c r="BU14">
        <v>2</v>
      </c>
      <c r="BV14" s="35">
        <v>0.71349984202782379</v>
      </c>
      <c r="BW14" t="s">
        <v>1</v>
      </c>
      <c r="BY14" s="13" t="s">
        <v>313</v>
      </c>
      <c r="BZ14" s="19" t="s">
        <v>45</v>
      </c>
      <c r="CA14">
        <v>9</v>
      </c>
      <c r="CB14">
        <v>4</v>
      </c>
      <c r="CC14" s="35">
        <v>0.68746575068780003</v>
      </c>
      <c r="CD14" s="8" t="s">
        <v>461</v>
      </c>
      <c r="CF14" s="13" t="s">
        <v>313</v>
      </c>
      <c r="CG14" s="19" t="s">
        <v>45</v>
      </c>
      <c r="CH14">
        <v>9</v>
      </c>
      <c r="CI14">
        <v>4</v>
      </c>
      <c r="CJ14" s="35">
        <v>0.6530514986062641</v>
      </c>
      <c r="CK14" s="8" t="s">
        <v>1</v>
      </c>
      <c r="CM14" s="13" t="s">
        <v>313</v>
      </c>
      <c r="CN14" s="17" t="s">
        <v>47</v>
      </c>
      <c r="CO14">
        <v>10</v>
      </c>
      <c r="CP14">
        <v>3</v>
      </c>
      <c r="CQ14" s="35">
        <v>0.57762337520615259</v>
      </c>
      <c r="CR14" s="22" t="s">
        <v>381</v>
      </c>
      <c r="CT14" s="13" t="s">
        <v>313</v>
      </c>
      <c r="CU14" s="15" t="s">
        <v>81</v>
      </c>
      <c r="CV14">
        <v>1</v>
      </c>
      <c r="CW14">
        <v>0</v>
      </c>
      <c r="CX14" s="35">
        <v>0.80946305841924404</v>
      </c>
      <c r="CY14" t="s">
        <v>637</v>
      </c>
      <c r="DA14" s="13" t="s">
        <v>313</v>
      </c>
      <c r="DB14" s="15" t="s">
        <v>79</v>
      </c>
      <c r="DC14">
        <v>2</v>
      </c>
      <c r="DD14">
        <v>0</v>
      </c>
      <c r="DE14" s="35">
        <v>0.8297974745758252</v>
      </c>
      <c r="DF14" s="8" t="s">
        <v>387</v>
      </c>
      <c r="DH14" s="13" t="s">
        <v>313</v>
      </c>
      <c r="DI14" s="15" t="s">
        <v>79</v>
      </c>
      <c r="DJ14">
        <v>2</v>
      </c>
      <c r="DK14">
        <v>0</v>
      </c>
      <c r="DL14" s="35">
        <v>0.83295952991179356</v>
      </c>
      <c r="DM14" t="s">
        <v>1</v>
      </c>
      <c r="DO14" s="13" t="s">
        <v>313</v>
      </c>
      <c r="DP14" s="17" t="s">
        <v>57</v>
      </c>
      <c r="DQ14">
        <v>3</v>
      </c>
      <c r="DR14">
        <v>0</v>
      </c>
      <c r="DS14" s="35">
        <v>0.77759644703171626</v>
      </c>
      <c r="DT14" s="22" t="s">
        <v>385</v>
      </c>
      <c r="DV14" s="13" t="s">
        <v>313</v>
      </c>
      <c r="DW14" s="15" t="s">
        <v>86</v>
      </c>
      <c r="DX14">
        <v>3</v>
      </c>
      <c r="DY14">
        <v>1</v>
      </c>
      <c r="DZ14" s="35">
        <v>0.76934364908934494</v>
      </c>
      <c r="EA14" t="s">
        <v>637</v>
      </c>
      <c r="EC14" s="13" t="s">
        <v>313</v>
      </c>
      <c r="ED14" s="17" t="s">
        <v>57</v>
      </c>
      <c r="EE14">
        <v>4</v>
      </c>
      <c r="EF14">
        <v>1</v>
      </c>
      <c r="EG14" s="35">
        <v>0.73864429684940069</v>
      </c>
      <c r="EH14" s="8" t="s">
        <v>500</v>
      </c>
      <c r="EJ14" s="13" t="s">
        <v>313</v>
      </c>
      <c r="EK14" s="16" t="s">
        <v>62</v>
      </c>
      <c r="EL14">
        <v>4</v>
      </c>
      <c r="EM14">
        <v>2</v>
      </c>
      <c r="EN14" s="35">
        <v>0.73270070484107275</v>
      </c>
      <c r="EO14" s="22" t="s">
        <v>434</v>
      </c>
      <c r="EQ14" s="13" t="s">
        <v>313</v>
      </c>
      <c r="ER14" s="15" t="s">
        <v>79</v>
      </c>
      <c r="ES14">
        <v>5</v>
      </c>
      <c r="ET14">
        <v>2</v>
      </c>
      <c r="EU14" s="35">
        <v>0.71837515947014952</v>
      </c>
      <c r="EV14" s="8" t="s">
        <v>463</v>
      </c>
      <c r="EX14" s="13" t="s">
        <v>313</v>
      </c>
      <c r="EY14" s="21" t="s">
        <v>119</v>
      </c>
      <c r="EZ14">
        <v>6</v>
      </c>
      <c r="FA14">
        <v>2</v>
      </c>
      <c r="FB14" s="35">
        <v>0.69730198938726962</v>
      </c>
      <c r="FC14" s="22" t="s">
        <v>381</v>
      </c>
      <c r="FE14" s="13" t="s">
        <v>313</v>
      </c>
      <c r="FF14" s="15" t="s">
        <v>87</v>
      </c>
      <c r="FG14">
        <v>7</v>
      </c>
      <c r="FH14">
        <v>2</v>
      </c>
      <c r="FI14" s="35">
        <v>0.69747681853322574</v>
      </c>
      <c r="FJ14" s="22" t="s">
        <v>432</v>
      </c>
      <c r="FL14" s="13" t="s">
        <v>313</v>
      </c>
      <c r="FM14" s="15" t="s">
        <v>87</v>
      </c>
      <c r="FN14">
        <v>8</v>
      </c>
      <c r="FO14">
        <v>2</v>
      </c>
      <c r="FP14" s="35">
        <v>0.65204332311117941</v>
      </c>
      <c r="FQ14" t="s">
        <v>1</v>
      </c>
      <c r="FS14" s="13" t="s">
        <v>313</v>
      </c>
      <c r="FT14" s="17" t="s">
        <v>58</v>
      </c>
      <c r="FU14">
        <v>8</v>
      </c>
      <c r="FV14">
        <v>3</v>
      </c>
      <c r="FW14" s="35">
        <v>0.66630233777725612</v>
      </c>
      <c r="FX14" s="8" t="s">
        <v>386</v>
      </c>
      <c r="FZ14" s="13" t="s">
        <v>313</v>
      </c>
      <c r="GA14" s="16" t="s">
        <v>70</v>
      </c>
      <c r="GB14">
        <v>8</v>
      </c>
      <c r="GC14">
        <v>4</v>
      </c>
      <c r="GD14" s="35">
        <v>0.64610373095236628</v>
      </c>
      <c r="GE14" s="22" t="s">
        <v>432</v>
      </c>
      <c r="GG14" s="13" t="s">
        <v>313</v>
      </c>
      <c r="GH14" s="58" t="s">
        <v>783</v>
      </c>
      <c r="GI14">
        <v>10</v>
      </c>
      <c r="GJ14">
        <v>3</v>
      </c>
      <c r="GK14" s="35">
        <v>0.69601053282684444</v>
      </c>
      <c r="GL14" s="8" t="s">
        <v>383</v>
      </c>
      <c r="GN14" s="13" t="s">
        <v>313</v>
      </c>
      <c r="GO14" s="19" t="s">
        <v>36</v>
      </c>
      <c r="GP14">
        <v>9</v>
      </c>
      <c r="GQ14">
        <v>6</v>
      </c>
      <c r="GR14" s="35">
        <v>0.67614723239122254</v>
      </c>
      <c r="GS14" s="8" t="s">
        <v>463</v>
      </c>
      <c r="GU14" s="13" t="s">
        <v>313</v>
      </c>
      <c r="GV14" s="19" t="s">
        <v>36</v>
      </c>
      <c r="GW14">
        <v>9</v>
      </c>
      <c r="GX14">
        <v>6</v>
      </c>
      <c r="GY14" s="35">
        <v>0.67784699049290098</v>
      </c>
      <c r="GZ14" t="s">
        <v>1</v>
      </c>
      <c r="HB14" s="13" t="s">
        <v>313</v>
      </c>
      <c r="HC14" s="19" t="s">
        <v>36</v>
      </c>
      <c r="HD14">
        <v>9</v>
      </c>
      <c r="HE14">
        <v>6</v>
      </c>
      <c r="HF14" s="35">
        <v>0.67165299768958886</v>
      </c>
      <c r="HG14" t="s">
        <v>1</v>
      </c>
      <c r="HI14" s="13" t="s">
        <v>313</v>
      </c>
      <c r="HJ14" s="19" t="s">
        <v>36</v>
      </c>
      <c r="HK14">
        <v>9</v>
      </c>
      <c r="HL14">
        <v>6</v>
      </c>
      <c r="HM14" s="35">
        <v>0.66082389937505448</v>
      </c>
      <c r="HN14" t="s">
        <v>1</v>
      </c>
      <c r="HP14" s="13" t="s">
        <v>313</v>
      </c>
      <c r="HQ14" s="21" t="s">
        <v>33</v>
      </c>
      <c r="HR14">
        <v>1</v>
      </c>
      <c r="HS14">
        <v>0</v>
      </c>
      <c r="HT14" s="35">
        <v>0.81767262448632383</v>
      </c>
      <c r="HU14" t="s">
        <v>637</v>
      </c>
      <c r="HW14" s="13" t="s">
        <v>313</v>
      </c>
      <c r="HX14" s="58" t="s">
        <v>793</v>
      </c>
      <c r="HY14">
        <v>2</v>
      </c>
      <c r="HZ14">
        <v>0</v>
      </c>
      <c r="IA14" s="35">
        <v>0.82769079632081455</v>
      </c>
      <c r="IB14" t="s">
        <v>637</v>
      </c>
      <c r="ID14" s="13" t="s">
        <v>313</v>
      </c>
      <c r="IE14" s="69" t="s">
        <v>1344</v>
      </c>
      <c r="IF14">
        <v>3</v>
      </c>
      <c r="IG14">
        <v>0</v>
      </c>
      <c r="IH14" s="35">
        <v>0.79202316230666092</v>
      </c>
      <c r="II14" s="8" t="s">
        <v>386</v>
      </c>
      <c r="IK14" s="13" t="s">
        <v>313</v>
      </c>
      <c r="IL14" s="58" t="s">
        <v>795</v>
      </c>
      <c r="IM14">
        <v>3</v>
      </c>
      <c r="IN14">
        <v>1</v>
      </c>
      <c r="IO14" s="35">
        <v>0.80902339701016868</v>
      </c>
      <c r="IP14" s="22" t="s">
        <v>384</v>
      </c>
      <c r="IR14" s="13" t="s">
        <v>313</v>
      </c>
      <c r="IS14" s="69" t="s">
        <v>962</v>
      </c>
      <c r="IT14">
        <v>4</v>
      </c>
      <c r="IU14">
        <v>1</v>
      </c>
      <c r="IV14" s="35">
        <v>0.793545964314324</v>
      </c>
      <c r="IW14" s="22" t="s">
        <v>432</v>
      </c>
      <c r="IY14" s="13" t="s">
        <v>313</v>
      </c>
      <c r="IZ14" s="15" t="s">
        <v>78</v>
      </c>
      <c r="JA14">
        <v>5</v>
      </c>
      <c r="JB14">
        <v>1</v>
      </c>
      <c r="JC14" s="35">
        <v>0.7881554820427018</v>
      </c>
      <c r="JD14" s="22" t="s">
        <v>434</v>
      </c>
      <c r="JF14" s="13" t="s">
        <v>313</v>
      </c>
      <c r="JG14" s="69" t="s">
        <v>1344</v>
      </c>
      <c r="JH14" s="6">
        <v>6</v>
      </c>
      <c r="JI14" s="6">
        <v>1</v>
      </c>
      <c r="JJ14" s="35">
        <v>0.78733737038737839</v>
      </c>
      <c r="JK14" s="8" t="s">
        <v>387</v>
      </c>
      <c r="JM14" s="13" t="s">
        <v>313</v>
      </c>
      <c r="JN14" s="15" t="s">
        <v>77</v>
      </c>
      <c r="JO14" s="6">
        <v>6</v>
      </c>
      <c r="JP14" s="6">
        <v>2</v>
      </c>
      <c r="JQ14" s="35">
        <v>0.76943152200623344</v>
      </c>
      <c r="JR14" s="22" t="s">
        <v>393</v>
      </c>
      <c r="JT14" s="13" t="s">
        <v>313</v>
      </c>
      <c r="JU14" s="16" t="s">
        <v>60</v>
      </c>
      <c r="JV14" s="6">
        <v>7</v>
      </c>
      <c r="JW14" s="6">
        <v>1</v>
      </c>
      <c r="JX14" s="35">
        <v>0.78781919495423514</v>
      </c>
      <c r="JY14" s="8" t="s">
        <v>383</v>
      </c>
      <c r="JZ14" s="8" t="s">
        <v>500</v>
      </c>
      <c r="KB14" s="13" t="s">
        <v>313</v>
      </c>
      <c r="KC14" s="19" t="s">
        <v>41</v>
      </c>
      <c r="KD14" s="6">
        <v>7</v>
      </c>
      <c r="KE14" s="6">
        <v>2</v>
      </c>
      <c r="KF14" s="35">
        <v>0.79177742909538584</v>
      </c>
      <c r="KG14" s="22" t="s">
        <v>432</v>
      </c>
      <c r="KI14" s="13" t="s">
        <v>313</v>
      </c>
      <c r="KJ14" s="19" t="s">
        <v>41</v>
      </c>
      <c r="KK14" s="6">
        <v>7</v>
      </c>
      <c r="KL14" s="6">
        <v>2</v>
      </c>
      <c r="KM14" s="351">
        <v>0.8121643339886</v>
      </c>
      <c r="KN14" t="s">
        <v>1</v>
      </c>
      <c r="KP14" s="13" t="s">
        <v>313</v>
      </c>
      <c r="KQ14" s="19" t="s">
        <v>46</v>
      </c>
      <c r="KR14" s="6">
        <v>7</v>
      </c>
      <c r="KS14" s="6">
        <v>3</v>
      </c>
      <c r="KT14" s="35">
        <v>0.81968300484707102</v>
      </c>
      <c r="KU14" s="8" t="s">
        <v>501</v>
      </c>
      <c r="KW14" s="13" t="s">
        <v>313</v>
      </c>
      <c r="KX14" s="15" t="s">
        <v>78</v>
      </c>
      <c r="KY14" s="6">
        <v>8</v>
      </c>
      <c r="KZ14" s="6">
        <v>2</v>
      </c>
      <c r="LA14" s="35">
        <v>0.82405817300042183</v>
      </c>
      <c r="LB14" s="8" t="s">
        <v>383</v>
      </c>
      <c r="LD14" s="13" t="s">
        <v>313</v>
      </c>
      <c r="LE14" s="16" t="s">
        <v>59</v>
      </c>
      <c r="LF14" s="6">
        <v>8</v>
      </c>
      <c r="LG14" s="6">
        <v>3</v>
      </c>
      <c r="LH14" s="35">
        <v>0.81336186792140208</v>
      </c>
      <c r="LI14" s="22" t="s">
        <v>432</v>
      </c>
      <c r="LK14" s="13" t="s">
        <v>313</v>
      </c>
      <c r="LL14" s="16" t="s">
        <v>59</v>
      </c>
      <c r="LM14" s="6">
        <v>8</v>
      </c>
      <c r="LN14" s="6">
        <v>3</v>
      </c>
      <c r="LO14" s="35">
        <v>0.80457722032470191</v>
      </c>
      <c r="LP14" t="s">
        <v>1</v>
      </c>
      <c r="LR14" s="13" t="s">
        <v>313</v>
      </c>
      <c r="LS14" s="69" t="s">
        <v>966</v>
      </c>
      <c r="LT14" s="6">
        <v>10</v>
      </c>
      <c r="LU14" s="6">
        <v>2</v>
      </c>
      <c r="LV14" s="35">
        <v>0.79323267513909257</v>
      </c>
      <c r="LW14" s="22" t="s">
        <v>384</v>
      </c>
      <c r="LY14" s="13" t="s">
        <v>313</v>
      </c>
      <c r="LZ14" s="16" t="s">
        <v>60</v>
      </c>
      <c r="MA14" s="6">
        <v>9</v>
      </c>
      <c r="MB14" s="6">
        <v>3</v>
      </c>
      <c r="MC14" s="35">
        <v>0.7995972721084601</v>
      </c>
      <c r="MD14" s="8" t="s">
        <v>386</v>
      </c>
      <c r="MF14" s="13" t="s">
        <v>313</v>
      </c>
      <c r="MG14" s="16" t="s">
        <v>59</v>
      </c>
      <c r="MH14" s="6">
        <v>9</v>
      </c>
      <c r="MI14" s="6">
        <v>4</v>
      </c>
      <c r="MJ14" s="35">
        <v>0.78944071382489789</v>
      </c>
      <c r="MK14" s="22" t="s">
        <v>393</v>
      </c>
      <c r="MM14" s="13" t="s">
        <v>313</v>
      </c>
      <c r="MN14" s="69" t="s">
        <v>962</v>
      </c>
      <c r="MO14" s="6">
        <v>10</v>
      </c>
      <c r="MP14" s="6">
        <v>3</v>
      </c>
      <c r="MQ14" s="35">
        <v>0.77281284645728077</v>
      </c>
      <c r="MR14" s="22" t="s">
        <v>432</v>
      </c>
      <c r="MT14" s="13" t="s">
        <v>313</v>
      </c>
      <c r="MU14" s="69" t="s">
        <v>962</v>
      </c>
      <c r="MV14" s="6">
        <v>10</v>
      </c>
      <c r="MW14" s="6">
        <v>3</v>
      </c>
      <c r="MX14" s="35">
        <v>0.77181085023537033</v>
      </c>
      <c r="MY14" t="s">
        <v>1</v>
      </c>
      <c r="NA14" s="13" t="s">
        <v>313</v>
      </c>
      <c r="NB14" s="16" t="s">
        <v>59</v>
      </c>
      <c r="NC14" s="6">
        <v>9</v>
      </c>
      <c r="ND14" s="6">
        <v>4</v>
      </c>
      <c r="NE14" s="35">
        <v>0.76294698124195992</v>
      </c>
      <c r="NF14" s="22" t="s">
        <v>381</v>
      </c>
      <c r="NH14" s="13" t="s">
        <v>313</v>
      </c>
      <c r="NI14" s="16" t="s">
        <v>59</v>
      </c>
      <c r="NJ14" s="1">
        <v>9</v>
      </c>
      <c r="NK14" s="1">
        <v>4</v>
      </c>
      <c r="NL14" s="36">
        <v>0.75651067114676718</v>
      </c>
      <c r="NM14" t="s">
        <v>1</v>
      </c>
      <c r="NO14" s="13" t="s">
        <v>313</v>
      </c>
      <c r="NP14" s="16" t="s">
        <v>59</v>
      </c>
      <c r="NQ14" s="6">
        <v>9</v>
      </c>
      <c r="NR14" s="6">
        <v>4</v>
      </c>
      <c r="NS14" s="35">
        <v>0.76407289523640298</v>
      </c>
      <c r="NT14" t="s">
        <v>1</v>
      </c>
      <c r="NV14" s="13" t="s">
        <v>313</v>
      </c>
      <c r="NW14" s="16" t="s">
        <v>59</v>
      </c>
      <c r="NX14" s="6">
        <v>9</v>
      </c>
      <c r="NY14" s="6">
        <v>4</v>
      </c>
      <c r="NZ14" s="35">
        <v>0.76289098494390839</v>
      </c>
      <c r="OA14" t="s">
        <v>1</v>
      </c>
      <c r="OC14" s="13" t="s">
        <v>313</v>
      </c>
      <c r="OD14" s="16" t="s">
        <v>59</v>
      </c>
      <c r="OE14" s="6">
        <v>9</v>
      </c>
      <c r="OF14" s="6">
        <v>4</v>
      </c>
      <c r="OG14" s="35">
        <v>0.75128541322428311</v>
      </c>
      <c r="OH14" t="s">
        <v>1</v>
      </c>
      <c r="OJ14" s="13" t="s">
        <v>313</v>
      </c>
      <c r="OK14" s="16" t="s">
        <v>59</v>
      </c>
      <c r="OL14" s="6">
        <v>9</v>
      </c>
      <c r="OM14" s="6">
        <v>4</v>
      </c>
      <c r="ON14" s="35">
        <v>0.75058171420490927</v>
      </c>
      <c r="OO14" t="s">
        <v>1</v>
      </c>
      <c r="OQ14" s="13" t="s">
        <v>313</v>
      </c>
      <c r="OR14" s="16" t="s">
        <v>59</v>
      </c>
      <c r="OS14" s="6">
        <v>9</v>
      </c>
      <c r="OT14" s="6">
        <v>4</v>
      </c>
      <c r="OU14" s="35">
        <v>0.75691488388912997</v>
      </c>
      <c r="OV14" t="s">
        <v>1</v>
      </c>
      <c r="OX14" s="13" t="s">
        <v>313</v>
      </c>
      <c r="OY14" s="16" t="s">
        <v>59</v>
      </c>
      <c r="OZ14" s="6">
        <v>9</v>
      </c>
      <c r="PA14" s="6">
        <v>4</v>
      </c>
      <c r="PB14" s="35">
        <v>0.76596508514516293</v>
      </c>
      <c r="PC14" t="s">
        <v>1</v>
      </c>
      <c r="PE14" s="13" t="s">
        <v>313</v>
      </c>
      <c r="PF14" s="16" t="s">
        <v>59</v>
      </c>
      <c r="PG14" s="6">
        <v>9</v>
      </c>
      <c r="PH14" s="6">
        <v>4</v>
      </c>
      <c r="PI14" s="35">
        <v>0.76555796084976657</v>
      </c>
      <c r="PJ14" t="s">
        <v>1</v>
      </c>
    </row>
    <row r="15" spans="2:426" x14ac:dyDescent="0.35">
      <c r="B15" s="13" t="s">
        <v>313</v>
      </c>
      <c r="C15" s="19" t="s">
        <v>41</v>
      </c>
      <c r="D15" t="s">
        <v>327</v>
      </c>
      <c r="E15">
        <v>81</v>
      </c>
      <c r="G15" s="13" t="s">
        <v>376</v>
      </c>
      <c r="H15" s="19" t="s">
        <v>39</v>
      </c>
      <c r="I15" s="9" t="s">
        <v>378</v>
      </c>
      <c r="J15">
        <v>74</v>
      </c>
      <c r="K15" s="22" t="s">
        <v>391</v>
      </c>
      <c r="M15" s="13" t="s">
        <v>376</v>
      </c>
      <c r="N15" s="16" t="s">
        <v>64</v>
      </c>
      <c r="O15" s="9" t="s">
        <v>429</v>
      </c>
      <c r="P15">
        <v>98</v>
      </c>
      <c r="Q15" s="8" t="s">
        <v>386</v>
      </c>
      <c r="S15" s="13" t="s">
        <v>376</v>
      </c>
      <c r="T15" s="19" t="s">
        <v>44</v>
      </c>
      <c r="U15" s="9" t="s">
        <v>458</v>
      </c>
      <c r="V15">
        <v>91</v>
      </c>
      <c r="W15" s="22" t="s">
        <v>432</v>
      </c>
      <c r="Y15" s="13" t="s">
        <v>376</v>
      </c>
      <c r="Z15" s="16" t="s">
        <v>67</v>
      </c>
      <c r="AA15" t="s">
        <v>499</v>
      </c>
      <c r="AB15">
        <v>94</v>
      </c>
      <c r="AC15" s="8" t="s">
        <v>501</v>
      </c>
      <c r="AE15" s="13" t="s">
        <v>376</v>
      </c>
      <c r="AF15" s="21" t="s">
        <v>1860</v>
      </c>
      <c r="AG15" t="s">
        <v>518</v>
      </c>
      <c r="AH15">
        <v>92</v>
      </c>
      <c r="AI15" s="8" t="s">
        <v>383</v>
      </c>
      <c r="AK15" s="13" t="s">
        <v>376</v>
      </c>
      <c r="AL15" s="19" t="s">
        <v>35</v>
      </c>
      <c r="AM15" s="9" t="s">
        <v>542</v>
      </c>
      <c r="AN15">
        <v>95</v>
      </c>
      <c r="AO15" s="8" t="s">
        <v>463</v>
      </c>
      <c r="AQ15" s="13" t="s">
        <v>376</v>
      </c>
      <c r="AR15" s="16" t="s">
        <v>67</v>
      </c>
      <c r="AS15" t="s">
        <v>561</v>
      </c>
      <c r="AT15">
        <v>95</v>
      </c>
      <c r="AU15" s="22" t="s">
        <v>393</v>
      </c>
      <c r="AW15" s="13" t="s">
        <v>376</v>
      </c>
      <c r="AX15" s="19" t="s">
        <v>35</v>
      </c>
      <c r="AY15" s="9">
        <v>6</v>
      </c>
      <c r="AZ15" s="9">
        <v>3</v>
      </c>
      <c r="BA15">
        <v>0.69482197486827713</v>
      </c>
      <c r="BB15" s="22" t="s">
        <v>432</v>
      </c>
      <c r="BD15" s="13" t="s">
        <v>376</v>
      </c>
      <c r="BE15" s="19" t="s">
        <v>44</v>
      </c>
      <c r="BF15">
        <v>7</v>
      </c>
      <c r="BG15">
        <v>3</v>
      </c>
      <c r="BH15" s="35">
        <v>0.65522478200581502</v>
      </c>
      <c r="BI15" s="8" t="s">
        <v>386</v>
      </c>
      <c r="BK15" s="13" t="s">
        <v>376</v>
      </c>
      <c r="BL15" s="19" t="s">
        <v>40</v>
      </c>
      <c r="BM15" s="9">
        <v>7</v>
      </c>
      <c r="BN15" s="9">
        <v>4</v>
      </c>
      <c r="BO15" s="35">
        <v>0.6699936701236372</v>
      </c>
      <c r="BP15" s="22" t="s">
        <v>432</v>
      </c>
      <c r="BR15" s="13" t="s">
        <v>376</v>
      </c>
      <c r="BS15" s="19" t="s">
        <v>40</v>
      </c>
      <c r="BT15" s="9">
        <v>8</v>
      </c>
      <c r="BU15" s="9">
        <v>4</v>
      </c>
      <c r="BV15" s="35">
        <v>0.68624114428612992</v>
      </c>
      <c r="BW15" t="s">
        <v>1</v>
      </c>
      <c r="BY15" s="13" t="s">
        <v>376</v>
      </c>
      <c r="BZ15" s="19" t="s">
        <v>35</v>
      </c>
      <c r="CA15" s="9">
        <v>8</v>
      </c>
      <c r="CB15" s="9">
        <v>5</v>
      </c>
      <c r="CC15" s="35">
        <v>0.65814971697356006</v>
      </c>
      <c r="CD15" s="22" t="s">
        <v>384</v>
      </c>
      <c r="CF15" s="13" t="s">
        <v>376</v>
      </c>
      <c r="CG15" s="17" t="s">
        <v>47</v>
      </c>
      <c r="CH15">
        <v>10</v>
      </c>
      <c r="CI15">
        <v>3</v>
      </c>
      <c r="CJ15" s="35">
        <v>0.63126069410065677</v>
      </c>
      <c r="CK15" s="22" t="s">
        <v>381</v>
      </c>
      <c r="CM15" s="13" t="s">
        <v>376</v>
      </c>
      <c r="CN15" s="21" t="s">
        <v>1860</v>
      </c>
      <c r="CO15">
        <v>10</v>
      </c>
      <c r="CP15">
        <v>3</v>
      </c>
      <c r="CQ15" s="35">
        <v>0.57285678640303839</v>
      </c>
      <c r="CR15" s="8" t="s">
        <v>383</v>
      </c>
      <c r="CT15" s="13" t="s">
        <v>376</v>
      </c>
      <c r="CU15" s="19" t="s">
        <v>1859</v>
      </c>
      <c r="CV15">
        <v>1</v>
      </c>
      <c r="CW15">
        <v>0</v>
      </c>
      <c r="CX15" s="35">
        <v>0.80261414373503315</v>
      </c>
      <c r="CY15" t="s">
        <v>637</v>
      </c>
      <c r="DA15" s="13" t="s">
        <v>376</v>
      </c>
      <c r="DB15" s="21" t="s">
        <v>34</v>
      </c>
      <c r="DC15">
        <v>2</v>
      </c>
      <c r="DD15">
        <v>0</v>
      </c>
      <c r="DE15" s="35">
        <v>0.81746891059038074</v>
      </c>
      <c r="DF15" s="8" t="s">
        <v>387</v>
      </c>
      <c r="DH15" s="13" t="s">
        <v>376</v>
      </c>
      <c r="DI15" s="21" t="s">
        <v>34</v>
      </c>
      <c r="DJ15">
        <v>2</v>
      </c>
      <c r="DK15">
        <v>0</v>
      </c>
      <c r="DL15" s="35">
        <v>0.82133254695401692</v>
      </c>
      <c r="DM15" t="s">
        <v>1</v>
      </c>
      <c r="DO15" s="13" t="s">
        <v>376</v>
      </c>
      <c r="DP15" s="58" t="s">
        <v>788</v>
      </c>
      <c r="DQ15">
        <v>3</v>
      </c>
      <c r="DR15">
        <v>0</v>
      </c>
      <c r="DS15" s="35">
        <v>0.7628252123606456</v>
      </c>
      <c r="DT15" s="22" t="s">
        <v>434</v>
      </c>
      <c r="DV15" s="13" t="s">
        <v>376</v>
      </c>
      <c r="DW15" s="21" t="s">
        <v>24</v>
      </c>
      <c r="DX15">
        <v>3</v>
      </c>
      <c r="DY15">
        <v>1</v>
      </c>
      <c r="DZ15" s="35">
        <v>0.7575041354844847</v>
      </c>
      <c r="EA15" t="s">
        <v>637</v>
      </c>
      <c r="EC15" s="13" t="s">
        <v>376</v>
      </c>
      <c r="ED15" s="16" t="s">
        <v>70</v>
      </c>
      <c r="EE15">
        <v>4</v>
      </c>
      <c r="EF15">
        <v>1</v>
      </c>
      <c r="EG15" s="35">
        <v>0.73124625586933234</v>
      </c>
      <c r="EH15" s="22" t="s">
        <v>393</v>
      </c>
      <c r="EJ15" s="13" t="s">
        <v>376</v>
      </c>
      <c r="EK15" s="19" t="s">
        <v>37</v>
      </c>
      <c r="EL15">
        <v>5</v>
      </c>
      <c r="EM15">
        <v>1</v>
      </c>
      <c r="EN15" s="35">
        <v>0.73107919323892689</v>
      </c>
      <c r="EO15" s="22" t="s">
        <v>462</v>
      </c>
      <c r="EQ15" s="13" t="s">
        <v>376</v>
      </c>
      <c r="ER15" s="21" t="s">
        <v>119</v>
      </c>
      <c r="ES15">
        <v>5</v>
      </c>
      <c r="ET15">
        <v>2</v>
      </c>
      <c r="EU15" s="35">
        <v>0.71728686324849023</v>
      </c>
      <c r="EV15" s="8" t="s">
        <v>500</v>
      </c>
      <c r="EX15" s="13" t="s">
        <v>376</v>
      </c>
      <c r="EY15" s="15" t="s">
        <v>86</v>
      </c>
      <c r="EZ15">
        <v>6</v>
      </c>
      <c r="FA15">
        <v>2</v>
      </c>
      <c r="FB15" s="35">
        <v>0.69186832261724018</v>
      </c>
      <c r="FC15" s="22" t="s">
        <v>381</v>
      </c>
      <c r="FE15" s="13" t="s">
        <v>376</v>
      </c>
      <c r="FF15" s="19" t="s">
        <v>37</v>
      </c>
      <c r="FG15">
        <v>7</v>
      </c>
      <c r="FH15">
        <v>2</v>
      </c>
      <c r="FI15" s="35">
        <v>0.69493964191734192</v>
      </c>
      <c r="FJ15" s="22" t="s">
        <v>462</v>
      </c>
      <c r="FL15" s="13" t="s">
        <v>376</v>
      </c>
      <c r="FM15" s="58" t="s">
        <v>795</v>
      </c>
      <c r="FN15">
        <v>9</v>
      </c>
      <c r="FO15">
        <v>1</v>
      </c>
      <c r="FP15" s="35">
        <v>0.64618922438848059</v>
      </c>
      <c r="FQ15" s="22" t="s">
        <v>381</v>
      </c>
      <c r="FS15" s="13" t="s">
        <v>376</v>
      </c>
      <c r="FT15" s="19" t="s">
        <v>36</v>
      </c>
      <c r="FU15">
        <v>8</v>
      </c>
      <c r="FV15">
        <v>3</v>
      </c>
      <c r="FW15" s="35">
        <v>0.66466171723071599</v>
      </c>
      <c r="FX15" s="22" t="s">
        <v>393</v>
      </c>
      <c r="FZ15" s="13" t="s">
        <v>376</v>
      </c>
      <c r="GA15" s="15" t="s">
        <v>88</v>
      </c>
      <c r="GB15">
        <v>8</v>
      </c>
      <c r="GC15">
        <v>4</v>
      </c>
      <c r="GD15" s="35">
        <v>0.6342650036803773</v>
      </c>
      <c r="GE15" s="22" t="s">
        <v>384</v>
      </c>
      <c r="GG15" s="13" t="s">
        <v>376</v>
      </c>
      <c r="GH15" s="16" t="s">
        <v>70</v>
      </c>
      <c r="GI15">
        <v>8</v>
      </c>
      <c r="GJ15">
        <v>4</v>
      </c>
      <c r="GK15" s="35">
        <v>0.65612961434312356</v>
      </c>
      <c r="GL15" s="8" t="s">
        <v>386</v>
      </c>
      <c r="GN15" s="13" t="s">
        <v>376</v>
      </c>
      <c r="GO15" s="58" t="s">
        <v>1183</v>
      </c>
      <c r="GP15">
        <v>9</v>
      </c>
      <c r="GQ15">
        <v>6</v>
      </c>
      <c r="GR15" s="35">
        <v>0.67355736331109684</v>
      </c>
      <c r="GS15" s="22" t="s">
        <v>381</v>
      </c>
      <c r="GU15" s="13" t="s">
        <v>376</v>
      </c>
      <c r="GV15" s="16" t="s">
        <v>70</v>
      </c>
      <c r="GW15">
        <v>8</v>
      </c>
      <c r="GX15">
        <v>4</v>
      </c>
      <c r="GY15" s="35">
        <v>0.6620692008057778</v>
      </c>
      <c r="GZ15" s="22" t="s">
        <v>381</v>
      </c>
      <c r="HB15" s="13" t="s">
        <v>376</v>
      </c>
      <c r="HC15" s="16" t="s">
        <v>70</v>
      </c>
      <c r="HD15">
        <v>8</v>
      </c>
      <c r="HE15">
        <v>4</v>
      </c>
      <c r="HF15" s="35">
        <v>0.65946373874777087</v>
      </c>
      <c r="HG15" t="s">
        <v>1</v>
      </c>
      <c r="HI15" s="13" t="s">
        <v>376</v>
      </c>
      <c r="HJ15" s="16" t="s">
        <v>70</v>
      </c>
      <c r="HK15">
        <v>8</v>
      </c>
      <c r="HL15">
        <v>4</v>
      </c>
      <c r="HM15" s="35">
        <v>0.65459046390610109</v>
      </c>
      <c r="HN15" t="s">
        <v>1</v>
      </c>
      <c r="HP15" s="13" t="s">
        <v>376</v>
      </c>
      <c r="HQ15" s="17" t="s">
        <v>118</v>
      </c>
      <c r="HR15">
        <v>1</v>
      </c>
      <c r="HS15">
        <v>0</v>
      </c>
      <c r="HT15" s="35">
        <v>0.81666260951993364</v>
      </c>
      <c r="HU15" t="s">
        <v>637</v>
      </c>
      <c r="HW15" s="13" t="s">
        <v>376</v>
      </c>
      <c r="HX15" s="69" t="s">
        <v>1301</v>
      </c>
      <c r="HY15">
        <v>2</v>
      </c>
      <c r="HZ15">
        <v>0</v>
      </c>
      <c r="IA15" s="35">
        <v>0.82261402328582778</v>
      </c>
      <c r="IB15" t="s">
        <v>637</v>
      </c>
      <c r="ID15" s="13" t="s">
        <v>376</v>
      </c>
      <c r="IE15" s="15" t="s">
        <v>83</v>
      </c>
      <c r="IF15">
        <v>3</v>
      </c>
      <c r="IG15">
        <v>0</v>
      </c>
      <c r="IH15" s="35">
        <v>0.77769660328458856</v>
      </c>
      <c r="II15" s="22" t="s">
        <v>431</v>
      </c>
      <c r="IK15" s="13" t="s">
        <v>376</v>
      </c>
      <c r="IL15" s="58" t="s">
        <v>790</v>
      </c>
      <c r="IM15">
        <v>4</v>
      </c>
      <c r="IN15">
        <v>0</v>
      </c>
      <c r="IO15" s="35">
        <v>0.80823078584359509</v>
      </c>
      <c r="IP15" s="8" t="s">
        <v>461</v>
      </c>
      <c r="IR15" s="13" t="s">
        <v>376</v>
      </c>
      <c r="IS15" s="58" t="s">
        <v>785</v>
      </c>
      <c r="IT15">
        <v>5</v>
      </c>
      <c r="IU15">
        <v>0</v>
      </c>
      <c r="IV15" s="35">
        <v>0.79300956386114052</v>
      </c>
      <c r="IW15" s="8" t="s">
        <v>383</v>
      </c>
      <c r="IY15" s="13" t="s">
        <v>376</v>
      </c>
      <c r="IZ15" s="17" t="s">
        <v>145</v>
      </c>
      <c r="JA15">
        <v>5</v>
      </c>
      <c r="JB15">
        <v>1</v>
      </c>
      <c r="JC15" s="35">
        <v>0.78787498154520985</v>
      </c>
      <c r="JD15" s="22" t="s">
        <v>391</v>
      </c>
      <c r="JF15" s="13" t="s">
        <v>376</v>
      </c>
      <c r="JG15" s="69" t="s">
        <v>962</v>
      </c>
      <c r="JH15" s="6">
        <v>5</v>
      </c>
      <c r="JI15" s="6">
        <v>2</v>
      </c>
      <c r="JJ15" s="35">
        <v>0.7758520247614773</v>
      </c>
      <c r="JK15" s="8" t="s">
        <v>387</v>
      </c>
      <c r="JM15" s="13" t="s">
        <v>376</v>
      </c>
      <c r="JN15" s="69" t="s">
        <v>962</v>
      </c>
      <c r="JO15" s="6">
        <v>5</v>
      </c>
      <c r="JP15" s="6">
        <v>3</v>
      </c>
      <c r="JQ15" s="35">
        <v>0.76248686698911261</v>
      </c>
      <c r="JR15" t="s">
        <v>1</v>
      </c>
      <c r="JT15" s="13" t="s">
        <v>376</v>
      </c>
      <c r="JU15" s="58" t="s">
        <v>785</v>
      </c>
      <c r="JV15" s="6">
        <v>7</v>
      </c>
      <c r="JW15" s="6">
        <v>1</v>
      </c>
      <c r="JX15" s="35">
        <v>0.77595331732953265</v>
      </c>
      <c r="JY15" s="22" t="s">
        <v>432</v>
      </c>
      <c r="JZ15" s="22" t="s">
        <v>393</v>
      </c>
      <c r="KB15" s="13" t="s">
        <v>376</v>
      </c>
      <c r="KC15" s="15" t="s">
        <v>77</v>
      </c>
      <c r="KD15" s="6">
        <v>7</v>
      </c>
      <c r="KE15" s="6">
        <v>2</v>
      </c>
      <c r="KF15" s="35">
        <v>0.77629496706069023</v>
      </c>
      <c r="KG15" s="8" t="s">
        <v>383</v>
      </c>
      <c r="KI15" s="13" t="s">
        <v>376</v>
      </c>
      <c r="KJ15" s="15" t="s">
        <v>78</v>
      </c>
      <c r="KK15" s="6">
        <v>7</v>
      </c>
      <c r="KL15" s="6">
        <v>2</v>
      </c>
      <c r="KM15" s="35">
        <v>0.79252242103321535</v>
      </c>
      <c r="KN15" s="22" t="s">
        <v>384</v>
      </c>
      <c r="KP15" s="13" t="s">
        <v>376</v>
      </c>
      <c r="KQ15" s="69" t="s">
        <v>1344</v>
      </c>
      <c r="KR15" s="6">
        <v>9</v>
      </c>
      <c r="KS15" s="6">
        <v>1</v>
      </c>
      <c r="KT15" s="35">
        <v>0.81400079631075306</v>
      </c>
      <c r="KU15" s="8" t="s">
        <v>461</v>
      </c>
      <c r="KW15" s="13" t="s">
        <v>376</v>
      </c>
      <c r="KX15" s="15" t="s">
        <v>77</v>
      </c>
      <c r="KY15" s="6">
        <v>8</v>
      </c>
      <c r="KZ15" s="6">
        <v>2</v>
      </c>
      <c r="LA15" s="35">
        <v>0.82133668685780481</v>
      </c>
      <c r="LB15" s="22" t="s">
        <v>432</v>
      </c>
      <c r="LD15" s="13" t="s">
        <v>376</v>
      </c>
      <c r="LE15" s="15" t="s">
        <v>83</v>
      </c>
      <c r="LF15" s="6">
        <v>9</v>
      </c>
      <c r="LG15" s="6">
        <v>2</v>
      </c>
      <c r="LH15" s="35">
        <v>0.80579273863743817</v>
      </c>
      <c r="LI15" s="22" t="s">
        <v>432</v>
      </c>
      <c r="LK15" s="13" t="s">
        <v>376</v>
      </c>
      <c r="LL15" s="15" t="s">
        <v>83</v>
      </c>
      <c r="LM15" s="6">
        <v>9</v>
      </c>
      <c r="LN15" s="6">
        <v>2</v>
      </c>
      <c r="LO15" s="35">
        <v>0.8026308094730179</v>
      </c>
      <c r="LP15" t="s">
        <v>1</v>
      </c>
      <c r="LR15" s="13" t="s">
        <v>376</v>
      </c>
      <c r="LS15" s="19" t="s">
        <v>46</v>
      </c>
      <c r="LT15" s="6">
        <v>8</v>
      </c>
      <c r="LU15" s="6">
        <v>4</v>
      </c>
      <c r="LV15" s="35">
        <v>0.79138920361440501</v>
      </c>
      <c r="LW15" s="8" t="s">
        <v>461</v>
      </c>
      <c r="LY15" s="13" t="s">
        <v>376</v>
      </c>
      <c r="LZ15" s="69" t="s">
        <v>966</v>
      </c>
      <c r="MA15" s="6">
        <v>10</v>
      </c>
      <c r="MB15" s="6">
        <v>2</v>
      </c>
      <c r="MC15" s="35">
        <v>0.79144501702337478</v>
      </c>
      <c r="MD15" s="8" t="s">
        <v>386</v>
      </c>
      <c r="MF15" s="13" t="s">
        <v>376</v>
      </c>
      <c r="MG15" s="15" t="s">
        <v>78</v>
      </c>
      <c r="MH15" s="6">
        <v>10</v>
      </c>
      <c r="MI15" s="6">
        <v>3</v>
      </c>
      <c r="MJ15" s="35">
        <v>0.78323598866439859</v>
      </c>
      <c r="MK15" s="8" t="s">
        <v>463</v>
      </c>
      <c r="MM15" s="13" t="s">
        <v>376</v>
      </c>
      <c r="MN15" s="16" t="s">
        <v>59</v>
      </c>
      <c r="MO15" s="6">
        <v>9</v>
      </c>
      <c r="MP15" s="6">
        <v>4</v>
      </c>
      <c r="MQ15" s="35">
        <v>0.77090978737468718</v>
      </c>
      <c r="MR15" s="8" t="s">
        <v>386</v>
      </c>
      <c r="MT15" s="13" t="s">
        <v>376</v>
      </c>
      <c r="MU15" s="16" t="s">
        <v>59</v>
      </c>
      <c r="MV15" s="6">
        <v>9</v>
      </c>
      <c r="MW15" s="6">
        <v>4</v>
      </c>
      <c r="MX15" s="35">
        <v>0.76889933930684007</v>
      </c>
      <c r="MY15" t="s">
        <v>1</v>
      </c>
      <c r="NA15" s="13" t="s">
        <v>376</v>
      </c>
      <c r="NB15" s="15" t="s">
        <v>78</v>
      </c>
      <c r="NC15" s="6">
        <v>10</v>
      </c>
      <c r="ND15" s="6">
        <v>3</v>
      </c>
      <c r="NE15" s="35">
        <v>0.76139537955022607</v>
      </c>
      <c r="NF15" s="22" t="s">
        <v>381</v>
      </c>
      <c r="NH15" s="13" t="s">
        <v>376</v>
      </c>
      <c r="NI15" s="15" t="s">
        <v>78</v>
      </c>
      <c r="NJ15" s="1">
        <v>10</v>
      </c>
      <c r="NK15" s="1">
        <v>3</v>
      </c>
      <c r="NL15" s="36">
        <v>0.75494705361036885</v>
      </c>
      <c r="NM15" t="s">
        <v>1</v>
      </c>
      <c r="NO15" s="13" t="s">
        <v>376</v>
      </c>
      <c r="NP15" s="15" t="s">
        <v>78</v>
      </c>
      <c r="NQ15" s="6">
        <v>10</v>
      </c>
      <c r="NR15" s="6">
        <v>3</v>
      </c>
      <c r="NS15" s="35">
        <v>0.76294693177035144</v>
      </c>
      <c r="NT15" t="s">
        <v>1</v>
      </c>
      <c r="NV15" s="13" t="s">
        <v>376</v>
      </c>
      <c r="NW15" s="15" t="s">
        <v>78</v>
      </c>
      <c r="NX15" s="6">
        <v>10</v>
      </c>
      <c r="NY15" s="6">
        <v>3</v>
      </c>
      <c r="NZ15" s="35">
        <v>0.76192176555524582</v>
      </c>
      <c r="OA15" t="s">
        <v>1</v>
      </c>
      <c r="OC15" s="13" t="s">
        <v>376</v>
      </c>
      <c r="OD15" s="15" t="s">
        <v>78</v>
      </c>
      <c r="OE15" s="6">
        <v>10</v>
      </c>
      <c r="OF15" s="6">
        <v>3</v>
      </c>
      <c r="OG15" s="35">
        <v>0.75076671842909426</v>
      </c>
      <c r="OH15" t="s">
        <v>1</v>
      </c>
      <c r="OJ15" s="13" t="s">
        <v>376</v>
      </c>
      <c r="OK15" s="15" t="s">
        <v>78</v>
      </c>
      <c r="OL15" s="6">
        <v>10</v>
      </c>
      <c r="OM15" s="6">
        <v>3</v>
      </c>
      <c r="ON15" s="35">
        <v>0.75034223240454523</v>
      </c>
      <c r="OO15" t="s">
        <v>1</v>
      </c>
      <c r="OQ15" s="13" t="s">
        <v>376</v>
      </c>
      <c r="OR15" s="15" t="s">
        <v>78</v>
      </c>
      <c r="OS15" s="6">
        <v>10</v>
      </c>
      <c r="OT15" s="6">
        <v>3</v>
      </c>
      <c r="OU15" s="35">
        <v>0.75618429596612091</v>
      </c>
      <c r="OV15" t="s">
        <v>1</v>
      </c>
      <c r="OX15" s="13" t="s">
        <v>376</v>
      </c>
      <c r="OY15" s="15" t="s">
        <v>78</v>
      </c>
      <c r="OZ15" s="6">
        <v>10</v>
      </c>
      <c r="PA15" s="6">
        <v>3</v>
      </c>
      <c r="PB15" s="35">
        <v>0.76508005139058832</v>
      </c>
      <c r="PC15" t="s">
        <v>1</v>
      </c>
      <c r="PE15" s="13" t="s">
        <v>376</v>
      </c>
      <c r="PF15" s="15" t="s">
        <v>78</v>
      </c>
      <c r="PG15" s="6">
        <v>10</v>
      </c>
      <c r="PH15" s="6">
        <v>3</v>
      </c>
      <c r="PI15" s="35">
        <v>0.76468114163757961</v>
      </c>
      <c r="PJ15" t="s">
        <v>1</v>
      </c>
    </row>
    <row r="16" spans="2:426" x14ac:dyDescent="0.35">
      <c r="B16" s="13" t="s">
        <v>314</v>
      </c>
      <c r="C16" s="15" t="s">
        <v>74</v>
      </c>
      <c r="D16" t="s">
        <v>327</v>
      </c>
      <c r="E16">
        <v>77</v>
      </c>
      <c r="G16" s="13" t="s">
        <v>376</v>
      </c>
      <c r="H16" s="19" t="s">
        <v>46</v>
      </c>
      <c r="I16" t="s">
        <v>379</v>
      </c>
      <c r="J16">
        <v>74</v>
      </c>
      <c r="K16" s="8" t="s">
        <v>392</v>
      </c>
      <c r="M16" s="13" t="s">
        <v>314</v>
      </c>
      <c r="N16" s="16" t="s">
        <v>69</v>
      </c>
      <c r="O16" s="9" t="s">
        <v>430</v>
      </c>
      <c r="P16">
        <v>93</v>
      </c>
      <c r="Q16" s="8" t="s">
        <v>435</v>
      </c>
      <c r="S16" s="13" t="s">
        <v>314</v>
      </c>
      <c r="T16" s="17" t="s">
        <v>48</v>
      </c>
      <c r="U16" t="s">
        <v>459</v>
      </c>
      <c r="V16">
        <v>90</v>
      </c>
      <c r="W16" s="22" t="s">
        <v>391</v>
      </c>
      <c r="Y16" s="13" t="s">
        <v>314</v>
      </c>
      <c r="Z16" s="17" t="s">
        <v>53</v>
      </c>
      <c r="AA16" s="9" t="s">
        <v>497</v>
      </c>
      <c r="AB16">
        <v>92</v>
      </c>
      <c r="AC16" s="22" t="s">
        <v>432</v>
      </c>
      <c r="AE16" s="13" t="s">
        <v>314</v>
      </c>
      <c r="AF16" s="19" t="s">
        <v>38</v>
      </c>
      <c r="AG16" t="s">
        <v>518</v>
      </c>
      <c r="AH16">
        <v>89</v>
      </c>
      <c r="AI16" s="22" t="s">
        <v>432</v>
      </c>
      <c r="AK16" s="13" t="s">
        <v>314</v>
      </c>
      <c r="AL16" s="19" t="s">
        <v>45</v>
      </c>
      <c r="AM16" s="9" t="s">
        <v>542</v>
      </c>
      <c r="AN16">
        <v>95</v>
      </c>
      <c r="AO16" s="8" t="s">
        <v>392</v>
      </c>
      <c r="AQ16" s="13" t="s">
        <v>314</v>
      </c>
      <c r="AR16" s="19" t="s">
        <v>44</v>
      </c>
      <c r="AS16" t="s">
        <v>343</v>
      </c>
      <c r="AT16">
        <v>93</v>
      </c>
      <c r="AU16" s="8" t="s">
        <v>500</v>
      </c>
      <c r="AW16" s="13" t="s">
        <v>314</v>
      </c>
      <c r="AX16" s="19" t="s">
        <v>46</v>
      </c>
      <c r="AY16">
        <v>5</v>
      </c>
      <c r="AZ16">
        <v>4</v>
      </c>
      <c r="BA16">
        <v>0.67364702373091334</v>
      </c>
      <c r="BB16" s="8" t="s">
        <v>501</v>
      </c>
      <c r="BD16" s="13" t="s">
        <v>314</v>
      </c>
      <c r="BE16" s="19" t="s">
        <v>35</v>
      </c>
      <c r="BF16" s="9">
        <v>6</v>
      </c>
      <c r="BG16" s="9">
        <v>4</v>
      </c>
      <c r="BH16" s="35">
        <v>0.64457657776979427</v>
      </c>
      <c r="BI16" s="8" t="s">
        <v>386</v>
      </c>
      <c r="BK16" s="13" t="s">
        <v>314</v>
      </c>
      <c r="BL16" s="19" t="s">
        <v>35</v>
      </c>
      <c r="BM16" s="9">
        <v>7</v>
      </c>
      <c r="BN16" s="9">
        <v>4</v>
      </c>
      <c r="BO16" s="35">
        <v>0.66197915538814911</v>
      </c>
      <c r="BP16" t="s">
        <v>1</v>
      </c>
      <c r="BR16" s="13" t="s">
        <v>314</v>
      </c>
      <c r="BS16" s="19" t="s">
        <v>44</v>
      </c>
      <c r="BT16">
        <v>9</v>
      </c>
      <c r="BU16">
        <v>3</v>
      </c>
      <c r="BV16" s="35">
        <v>0.675827182641482</v>
      </c>
      <c r="BW16" s="22" t="s">
        <v>381</v>
      </c>
      <c r="BY16" s="13" t="s">
        <v>314</v>
      </c>
      <c r="BZ16" s="17" t="s">
        <v>47</v>
      </c>
      <c r="CA16">
        <v>10</v>
      </c>
      <c r="CB16">
        <v>3</v>
      </c>
      <c r="CC16" s="35">
        <v>0.65558082282047481</v>
      </c>
      <c r="CD16" s="22" t="s">
        <v>384</v>
      </c>
      <c r="CF16" s="13" t="s">
        <v>314</v>
      </c>
      <c r="CG16" s="19" t="s">
        <v>35</v>
      </c>
      <c r="CH16" s="9">
        <v>8</v>
      </c>
      <c r="CI16" s="9">
        <v>5</v>
      </c>
      <c r="CJ16" s="35">
        <v>0.62470413498628685</v>
      </c>
      <c r="CK16" s="8" t="s">
        <v>386</v>
      </c>
      <c r="CM16" s="13" t="s">
        <v>314</v>
      </c>
      <c r="CN16" s="19" t="s">
        <v>45</v>
      </c>
      <c r="CO16">
        <v>9</v>
      </c>
      <c r="CP16">
        <v>4</v>
      </c>
      <c r="CQ16" s="35">
        <v>0.544405009718819</v>
      </c>
      <c r="CR16" s="8" t="s">
        <v>383</v>
      </c>
      <c r="CT16" s="13" t="s">
        <v>314</v>
      </c>
      <c r="CU16" s="16" t="s">
        <v>62</v>
      </c>
      <c r="CV16">
        <v>1</v>
      </c>
      <c r="CW16">
        <v>0</v>
      </c>
      <c r="CX16" s="35">
        <v>0.80142185014044931</v>
      </c>
      <c r="CY16" t="s">
        <v>637</v>
      </c>
      <c r="DA16" s="13" t="s">
        <v>314</v>
      </c>
      <c r="DB16" s="17" t="s">
        <v>53</v>
      </c>
      <c r="DC16">
        <v>2</v>
      </c>
      <c r="DD16">
        <v>0</v>
      </c>
      <c r="DE16" s="35">
        <v>0.81623866407012979</v>
      </c>
      <c r="DF16" s="8" t="s">
        <v>461</v>
      </c>
      <c r="DH16" s="13" t="s">
        <v>314</v>
      </c>
      <c r="DI16" s="17" t="s">
        <v>53</v>
      </c>
      <c r="DJ16">
        <v>2</v>
      </c>
      <c r="DK16">
        <v>0</v>
      </c>
      <c r="DL16" s="35">
        <v>0.81623866407012979</v>
      </c>
      <c r="DM16" t="s">
        <v>1</v>
      </c>
      <c r="DO16" s="13" t="s">
        <v>314</v>
      </c>
      <c r="DP16" s="15" t="s">
        <v>74</v>
      </c>
      <c r="DQ16">
        <v>3</v>
      </c>
      <c r="DR16">
        <v>0</v>
      </c>
      <c r="DS16" s="35">
        <v>0.73759222482440101</v>
      </c>
      <c r="DT16" s="22" t="s">
        <v>384</v>
      </c>
      <c r="DV16" s="13" t="s">
        <v>314</v>
      </c>
      <c r="DW16" s="58" t="s">
        <v>788</v>
      </c>
      <c r="DX16">
        <v>4</v>
      </c>
      <c r="DY16">
        <v>0</v>
      </c>
      <c r="DZ16" s="35">
        <v>0.75470751641554346</v>
      </c>
      <c r="EA16" s="8" t="s">
        <v>386</v>
      </c>
      <c r="EC16" s="13" t="s">
        <v>314</v>
      </c>
      <c r="ED16" s="58" t="s">
        <v>788</v>
      </c>
      <c r="EE16" s="46">
        <v>4</v>
      </c>
      <c r="EF16" s="46">
        <v>1</v>
      </c>
      <c r="EG16" s="35">
        <v>0.72098237857768377</v>
      </c>
      <c r="EH16" t="s">
        <v>1</v>
      </c>
      <c r="EJ16" s="13" t="s">
        <v>314</v>
      </c>
      <c r="EK16" s="58" t="s">
        <v>783</v>
      </c>
      <c r="EL16" s="46">
        <v>5</v>
      </c>
      <c r="EM16" s="46">
        <v>1</v>
      </c>
      <c r="EN16" s="35">
        <v>0.72019886211356565</v>
      </c>
      <c r="EO16" s="22" t="s">
        <v>432</v>
      </c>
      <c r="EQ16" s="13" t="s">
        <v>314</v>
      </c>
      <c r="ER16" s="15" t="s">
        <v>86</v>
      </c>
      <c r="ES16" s="46">
        <v>5</v>
      </c>
      <c r="ET16" s="46">
        <v>2</v>
      </c>
      <c r="EU16" s="35">
        <v>0.71715257557272261</v>
      </c>
      <c r="EV16" s="22" t="s">
        <v>432</v>
      </c>
      <c r="EX16" s="13" t="s">
        <v>314</v>
      </c>
      <c r="EY16" s="15" t="s">
        <v>87</v>
      </c>
      <c r="EZ16">
        <v>6</v>
      </c>
      <c r="FA16">
        <v>2</v>
      </c>
      <c r="FB16" s="35">
        <v>0.68778173857014013</v>
      </c>
      <c r="FC16" s="8" t="s">
        <v>501</v>
      </c>
      <c r="FE16" s="13" t="s">
        <v>314</v>
      </c>
      <c r="FF16" s="58" t="s">
        <v>795</v>
      </c>
      <c r="FG16">
        <v>8</v>
      </c>
      <c r="FH16">
        <v>1</v>
      </c>
      <c r="FI16" s="35">
        <v>0.69442135980622788</v>
      </c>
      <c r="FJ16" s="22" t="s">
        <v>432</v>
      </c>
      <c r="FL16" s="13" t="s">
        <v>314</v>
      </c>
      <c r="FM16" s="17" t="s">
        <v>53</v>
      </c>
      <c r="FN16">
        <v>8</v>
      </c>
      <c r="FO16">
        <v>2</v>
      </c>
      <c r="FP16" s="35">
        <v>0.6452354440810002</v>
      </c>
      <c r="FQ16" s="22" t="s">
        <v>432</v>
      </c>
      <c r="FS16" s="13" t="s">
        <v>314</v>
      </c>
      <c r="FT16" s="16" t="s">
        <v>70</v>
      </c>
      <c r="FU16">
        <v>7</v>
      </c>
      <c r="FV16">
        <v>4</v>
      </c>
      <c r="FW16" s="35">
        <v>0.64774165439101783</v>
      </c>
      <c r="FX16" s="22" t="s">
        <v>431</v>
      </c>
      <c r="FZ16" s="13" t="s">
        <v>314</v>
      </c>
      <c r="GA16" s="17" t="s">
        <v>58</v>
      </c>
      <c r="GB16">
        <v>8</v>
      </c>
      <c r="GC16">
        <v>4</v>
      </c>
      <c r="GD16" s="35">
        <v>0.63413532612363521</v>
      </c>
      <c r="GE16" s="8" t="s">
        <v>383</v>
      </c>
      <c r="GG16" s="13" t="s">
        <v>314</v>
      </c>
      <c r="GH16" s="58" t="s">
        <v>1183</v>
      </c>
      <c r="GI16">
        <v>8</v>
      </c>
      <c r="GJ16">
        <v>5</v>
      </c>
      <c r="GK16" s="35">
        <v>0.64340193932434608</v>
      </c>
      <c r="GL16" s="22" t="s">
        <v>385</v>
      </c>
      <c r="GN16" s="13" t="s">
        <v>314</v>
      </c>
      <c r="GO16" s="16" t="s">
        <v>70</v>
      </c>
      <c r="GP16">
        <v>8</v>
      </c>
      <c r="GQ16">
        <v>4</v>
      </c>
      <c r="GR16" s="35">
        <v>0.65454738483929042</v>
      </c>
      <c r="GS16" s="8" t="s">
        <v>386</v>
      </c>
      <c r="GU16" s="13" t="s">
        <v>314</v>
      </c>
      <c r="GV16" s="58" t="s">
        <v>1183</v>
      </c>
      <c r="GW16" s="46">
        <v>9</v>
      </c>
      <c r="GX16" s="46">
        <v>8</v>
      </c>
      <c r="GY16" s="35">
        <v>0.65991514017753095</v>
      </c>
      <c r="GZ16" s="8" t="s">
        <v>386</v>
      </c>
      <c r="HB16" s="13" t="s">
        <v>314</v>
      </c>
      <c r="HC16" s="58" t="s">
        <v>1183</v>
      </c>
      <c r="HD16" s="46">
        <v>9</v>
      </c>
      <c r="HE16" s="46">
        <v>8</v>
      </c>
      <c r="HF16" s="35">
        <v>0.64695848906876574</v>
      </c>
      <c r="HG16" t="s">
        <v>1</v>
      </c>
      <c r="HI16" s="13" t="s">
        <v>314</v>
      </c>
      <c r="HJ16" s="17" t="s">
        <v>58</v>
      </c>
      <c r="HK16" s="46">
        <v>8</v>
      </c>
      <c r="HL16" s="46">
        <v>4</v>
      </c>
      <c r="HM16" s="35">
        <v>0.63962635543431801</v>
      </c>
      <c r="HN16" s="22" t="s">
        <v>381</v>
      </c>
      <c r="HP16" s="13" t="s">
        <v>314</v>
      </c>
      <c r="HQ16" s="17" t="s">
        <v>49</v>
      </c>
      <c r="HR16">
        <v>1</v>
      </c>
      <c r="HS16">
        <v>0</v>
      </c>
      <c r="HT16" s="35">
        <v>0.80328267401807796</v>
      </c>
      <c r="HU16" s="8" t="s">
        <v>464</v>
      </c>
      <c r="HW16" s="13" t="s">
        <v>314</v>
      </c>
      <c r="HX16" s="15" t="s">
        <v>79</v>
      </c>
      <c r="HY16">
        <v>2</v>
      </c>
      <c r="HZ16">
        <v>0</v>
      </c>
      <c r="IA16" s="35">
        <v>0.82117353524856551</v>
      </c>
      <c r="IB16" t="s">
        <v>637</v>
      </c>
      <c r="ID16" s="13" t="s">
        <v>314</v>
      </c>
      <c r="IE16" s="16" t="s">
        <v>115</v>
      </c>
      <c r="IF16">
        <v>3</v>
      </c>
      <c r="IG16">
        <v>0</v>
      </c>
      <c r="IH16" s="35">
        <v>0.77552989712702491</v>
      </c>
      <c r="II16" t="s">
        <v>637</v>
      </c>
      <c r="IK16" s="13" t="s">
        <v>314</v>
      </c>
      <c r="IL16" s="69" t="s">
        <v>962</v>
      </c>
      <c r="IM16">
        <v>3</v>
      </c>
      <c r="IN16">
        <v>1</v>
      </c>
      <c r="IO16" s="35">
        <v>0.79420572171375969</v>
      </c>
      <c r="IP16" t="s">
        <v>637</v>
      </c>
      <c r="IR16" s="13" t="s">
        <v>314</v>
      </c>
      <c r="IS16" s="17" t="s">
        <v>58</v>
      </c>
      <c r="IT16">
        <v>3</v>
      </c>
      <c r="IU16">
        <v>2</v>
      </c>
      <c r="IV16" s="35">
        <v>0.78966422757211152</v>
      </c>
      <c r="IW16" t="s">
        <v>637</v>
      </c>
      <c r="IY16" s="13" t="s">
        <v>314</v>
      </c>
      <c r="IZ16" s="19" t="s">
        <v>36</v>
      </c>
      <c r="JA16">
        <v>4</v>
      </c>
      <c r="JB16">
        <v>2</v>
      </c>
      <c r="JC16" s="35">
        <v>0.78484428216589663</v>
      </c>
      <c r="JD16" s="8" t="s">
        <v>461</v>
      </c>
      <c r="JF16" s="13" t="s">
        <v>314</v>
      </c>
      <c r="JG16" s="17" t="s">
        <v>145</v>
      </c>
      <c r="JH16" s="6">
        <v>5</v>
      </c>
      <c r="JI16" s="6">
        <v>2</v>
      </c>
      <c r="JJ16" s="35">
        <v>0.7538910422695938</v>
      </c>
      <c r="JK16" s="8" t="s">
        <v>386</v>
      </c>
      <c r="JM16" s="13" t="s">
        <v>314</v>
      </c>
      <c r="JN16" s="17" t="s">
        <v>145</v>
      </c>
      <c r="JO16" s="6">
        <v>6</v>
      </c>
      <c r="JP16" s="6">
        <v>2</v>
      </c>
      <c r="JQ16" s="35">
        <v>0.75103696081172489</v>
      </c>
      <c r="JR16" t="s">
        <v>1</v>
      </c>
      <c r="JT16" s="13" t="s">
        <v>314</v>
      </c>
      <c r="JU16" s="19" t="s">
        <v>41</v>
      </c>
      <c r="JV16" s="6">
        <v>6</v>
      </c>
      <c r="JW16" s="6">
        <v>2</v>
      </c>
      <c r="JX16" s="35">
        <v>0.76106321467175908</v>
      </c>
      <c r="JY16" s="8" t="s">
        <v>463</v>
      </c>
      <c r="JZ16" s="22" t="s">
        <v>462</v>
      </c>
      <c r="KB16" s="13" t="s">
        <v>314</v>
      </c>
      <c r="KC16" s="15" t="s">
        <v>83</v>
      </c>
      <c r="KD16" s="6">
        <v>7</v>
      </c>
      <c r="KE16" s="6">
        <v>2</v>
      </c>
      <c r="KF16" s="35">
        <v>0.77006550977104149</v>
      </c>
      <c r="KG16" s="22" t="s">
        <v>434</v>
      </c>
      <c r="KI16" s="13" t="s">
        <v>314</v>
      </c>
      <c r="KJ16" s="15" t="s">
        <v>77</v>
      </c>
      <c r="KK16" s="6">
        <v>7</v>
      </c>
      <c r="KL16" s="6">
        <v>2</v>
      </c>
      <c r="KM16" s="35">
        <v>0.77454511690880867</v>
      </c>
      <c r="KN16" s="8" t="s">
        <v>386</v>
      </c>
      <c r="KP16" s="13" t="s">
        <v>314</v>
      </c>
      <c r="KQ16" s="15" t="s">
        <v>83</v>
      </c>
      <c r="KR16" s="6">
        <v>8</v>
      </c>
      <c r="KS16" s="6">
        <v>2</v>
      </c>
      <c r="KT16" s="35">
        <v>0.79631298959327834</v>
      </c>
      <c r="KU16" s="22" t="s">
        <v>393</v>
      </c>
      <c r="KW16" s="13" t="s">
        <v>314</v>
      </c>
      <c r="KX16" s="16" t="s">
        <v>59</v>
      </c>
      <c r="KY16" s="6">
        <v>7</v>
      </c>
      <c r="KZ16" s="6">
        <v>3</v>
      </c>
      <c r="LA16" s="35">
        <v>0.81557387815209947</v>
      </c>
      <c r="LB16" s="8" t="s">
        <v>387</v>
      </c>
      <c r="LD16" s="13" t="s">
        <v>314</v>
      </c>
      <c r="LE16" s="58" t="s">
        <v>790</v>
      </c>
      <c r="LF16" s="6">
        <v>10</v>
      </c>
      <c r="LG16" s="6">
        <v>1</v>
      </c>
      <c r="LH16" s="35">
        <v>0.79920508463795825</v>
      </c>
      <c r="LI16" s="22" t="s">
        <v>432</v>
      </c>
      <c r="LK16" s="13" t="s">
        <v>314</v>
      </c>
      <c r="LL16" s="58" t="s">
        <v>790</v>
      </c>
      <c r="LM16" s="6">
        <v>10</v>
      </c>
      <c r="LN16" s="6">
        <v>1</v>
      </c>
      <c r="LO16" s="35">
        <v>0.79524946401530272</v>
      </c>
      <c r="LP16" t="s">
        <v>1</v>
      </c>
      <c r="LR16" s="13" t="s">
        <v>314</v>
      </c>
      <c r="LS16" s="69" t="s">
        <v>962</v>
      </c>
      <c r="LT16" s="6">
        <v>9</v>
      </c>
      <c r="LU16" s="6">
        <v>3</v>
      </c>
      <c r="LV16" s="35">
        <v>0.76701446441348164</v>
      </c>
      <c r="LW16" s="22" t="s">
        <v>462</v>
      </c>
      <c r="LY16" s="13" t="s">
        <v>314</v>
      </c>
      <c r="LZ16" s="69" t="s">
        <v>962</v>
      </c>
      <c r="MA16" s="6">
        <v>9</v>
      </c>
      <c r="MB16" s="6">
        <v>3</v>
      </c>
      <c r="MC16" s="35">
        <v>0.76398665112280995</v>
      </c>
      <c r="MD16" t="s">
        <v>1</v>
      </c>
      <c r="MF16" s="13" t="s">
        <v>314</v>
      </c>
      <c r="MG16" s="69" t="s">
        <v>962</v>
      </c>
      <c r="MH16" s="6">
        <v>10</v>
      </c>
      <c r="MI16" s="6">
        <v>3</v>
      </c>
      <c r="MJ16" s="35">
        <v>0.77568065033276357</v>
      </c>
      <c r="MK16" t="s">
        <v>1</v>
      </c>
      <c r="MM16" s="13" t="s">
        <v>314</v>
      </c>
      <c r="MN16" s="15" t="s">
        <v>78</v>
      </c>
      <c r="MO16" s="6">
        <v>10</v>
      </c>
      <c r="MP16" s="6">
        <v>3</v>
      </c>
      <c r="MQ16" s="35">
        <v>0.76679794651367017</v>
      </c>
      <c r="MR16" s="8" t="s">
        <v>386</v>
      </c>
      <c r="MT16" s="13" t="s">
        <v>314</v>
      </c>
      <c r="MU16" s="15" t="s">
        <v>78</v>
      </c>
      <c r="MV16" s="6">
        <v>10</v>
      </c>
      <c r="MW16" s="6">
        <v>3</v>
      </c>
      <c r="MX16" s="35">
        <v>0.76647593543562265</v>
      </c>
      <c r="MY16" t="s">
        <v>1</v>
      </c>
      <c r="NA16" s="13" t="s">
        <v>314</v>
      </c>
      <c r="NB16" s="15" t="s">
        <v>73</v>
      </c>
      <c r="NC16" s="6">
        <v>10</v>
      </c>
      <c r="ND16" s="6">
        <v>3</v>
      </c>
      <c r="NE16" s="35">
        <v>0.739429558662141</v>
      </c>
      <c r="NF16" s="22" t="s">
        <v>432</v>
      </c>
      <c r="NH16" s="13" t="s">
        <v>314</v>
      </c>
      <c r="NI16" s="15" t="s">
        <v>73</v>
      </c>
      <c r="NJ16" s="6">
        <v>10</v>
      </c>
      <c r="NK16" s="6">
        <v>3</v>
      </c>
      <c r="NL16" s="35">
        <v>0.73361615127302326</v>
      </c>
      <c r="NM16" t="s">
        <v>1</v>
      </c>
      <c r="NO16" s="13" t="s">
        <v>314</v>
      </c>
      <c r="NP16" s="15" t="s">
        <v>73</v>
      </c>
      <c r="NQ16" s="6">
        <v>10</v>
      </c>
      <c r="NR16" s="6">
        <v>3</v>
      </c>
      <c r="NS16" s="35">
        <v>0.73197468016174527</v>
      </c>
      <c r="NT16" t="s">
        <v>1</v>
      </c>
      <c r="NV16" s="13" t="s">
        <v>314</v>
      </c>
      <c r="NW16" s="15" t="s">
        <v>73</v>
      </c>
      <c r="NX16" s="6">
        <v>10</v>
      </c>
      <c r="NY16" s="6">
        <v>3</v>
      </c>
      <c r="NZ16" s="35">
        <v>0.73141813233210795</v>
      </c>
      <c r="OA16" t="s">
        <v>1</v>
      </c>
      <c r="OC16" s="13" t="s">
        <v>314</v>
      </c>
      <c r="OD16" s="15" t="s">
        <v>73</v>
      </c>
      <c r="OE16" s="6">
        <v>10</v>
      </c>
      <c r="OF16" s="6">
        <v>3</v>
      </c>
      <c r="OG16" s="35">
        <v>0.72101843570397484</v>
      </c>
      <c r="OH16" t="s">
        <v>1</v>
      </c>
      <c r="OJ16" s="13" t="s">
        <v>314</v>
      </c>
      <c r="OK16" s="15" t="s">
        <v>73</v>
      </c>
      <c r="OL16" s="6">
        <v>10</v>
      </c>
      <c r="OM16" s="6">
        <v>3</v>
      </c>
      <c r="ON16" s="35">
        <v>0.72074672910380777</v>
      </c>
      <c r="OO16" t="s">
        <v>1</v>
      </c>
      <c r="OQ16" s="13" t="s">
        <v>314</v>
      </c>
      <c r="OR16" s="15" t="s">
        <v>73</v>
      </c>
      <c r="OS16" s="6">
        <v>10</v>
      </c>
      <c r="OT16" s="6">
        <v>3</v>
      </c>
      <c r="OU16" s="35">
        <v>0.72800595134732682</v>
      </c>
      <c r="OV16" t="s">
        <v>1</v>
      </c>
      <c r="OX16" s="13" t="s">
        <v>314</v>
      </c>
      <c r="OY16" s="15" t="s">
        <v>73</v>
      </c>
      <c r="OZ16" s="6">
        <v>10</v>
      </c>
      <c r="PA16" s="6">
        <v>3</v>
      </c>
      <c r="PB16" s="35">
        <v>0.73700580459462151</v>
      </c>
      <c r="PC16" t="s">
        <v>1</v>
      </c>
      <c r="PE16" s="13" t="s">
        <v>314</v>
      </c>
      <c r="PF16" s="15" t="s">
        <v>73</v>
      </c>
      <c r="PG16" s="6">
        <v>10</v>
      </c>
      <c r="PH16" s="6">
        <v>3</v>
      </c>
      <c r="PI16" s="35">
        <v>0.73693287510831862</v>
      </c>
      <c r="PJ16" t="s">
        <v>1</v>
      </c>
    </row>
    <row r="17" spans="2:426" x14ac:dyDescent="0.35">
      <c r="B17" s="13" t="s">
        <v>315</v>
      </c>
      <c r="C17" s="21" t="s">
        <v>23</v>
      </c>
      <c r="D17" t="s">
        <v>327</v>
      </c>
      <c r="E17">
        <v>75</v>
      </c>
      <c r="G17" s="13" t="s">
        <v>315</v>
      </c>
      <c r="H17" s="19" t="s">
        <v>45</v>
      </c>
      <c r="I17" t="s">
        <v>378</v>
      </c>
      <c r="J17">
        <v>71</v>
      </c>
      <c r="K17" t="s">
        <v>390</v>
      </c>
      <c r="M17" s="13" t="s">
        <v>315</v>
      </c>
      <c r="N17" s="19" t="s">
        <v>44</v>
      </c>
      <c r="O17" s="9" t="s">
        <v>429</v>
      </c>
      <c r="P17">
        <v>91</v>
      </c>
      <c r="Q17" s="22" t="s">
        <v>385</v>
      </c>
      <c r="S17" s="13" t="s">
        <v>315</v>
      </c>
      <c r="T17" s="15" t="s">
        <v>74</v>
      </c>
      <c r="U17" t="s">
        <v>459</v>
      </c>
      <c r="V17">
        <v>84</v>
      </c>
      <c r="W17" s="22" t="s">
        <v>384</v>
      </c>
      <c r="Y17" s="13" t="s">
        <v>315</v>
      </c>
      <c r="Z17" s="17" t="s">
        <v>57</v>
      </c>
      <c r="AA17" t="s">
        <v>498</v>
      </c>
      <c r="AB17">
        <v>84</v>
      </c>
      <c r="AC17" s="22" t="s">
        <v>434</v>
      </c>
      <c r="AE17" s="13" t="s">
        <v>315</v>
      </c>
      <c r="AF17" s="17" t="s">
        <v>47</v>
      </c>
      <c r="AG17" t="s">
        <v>518</v>
      </c>
      <c r="AH17">
        <v>83</v>
      </c>
      <c r="AI17" s="22" t="s">
        <v>384</v>
      </c>
      <c r="AK17" s="13" t="s">
        <v>315</v>
      </c>
      <c r="AL17" s="21" t="s">
        <v>1860</v>
      </c>
      <c r="AM17" t="s">
        <v>540</v>
      </c>
      <c r="AN17">
        <v>94</v>
      </c>
      <c r="AO17" s="8" t="s">
        <v>383</v>
      </c>
      <c r="AQ17" s="13" t="s">
        <v>315</v>
      </c>
      <c r="AR17" s="19" t="s">
        <v>35</v>
      </c>
      <c r="AS17" t="s">
        <v>561</v>
      </c>
      <c r="AT17">
        <v>81</v>
      </c>
      <c r="AU17" s="8" t="s">
        <v>383</v>
      </c>
      <c r="AW17" s="13" t="s">
        <v>315</v>
      </c>
      <c r="AX17" s="16" t="s">
        <v>67</v>
      </c>
      <c r="AY17">
        <v>6</v>
      </c>
      <c r="AZ17">
        <v>3</v>
      </c>
      <c r="BA17">
        <v>0.65566957713027485</v>
      </c>
      <c r="BB17" s="8" t="s">
        <v>383</v>
      </c>
      <c r="BD17" s="13" t="s">
        <v>315</v>
      </c>
      <c r="BE17" s="19" t="s">
        <v>40</v>
      </c>
      <c r="BF17" s="9">
        <v>6</v>
      </c>
      <c r="BG17" s="9">
        <v>4</v>
      </c>
      <c r="BH17" s="35">
        <v>0.64014217561274855</v>
      </c>
      <c r="BI17" s="22" t="s">
        <v>384</v>
      </c>
      <c r="BK17" s="13" t="s">
        <v>315</v>
      </c>
      <c r="BL17" s="19" t="s">
        <v>44</v>
      </c>
      <c r="BM17">
        <v>8</v>
      </c>
      <c r="BN17">
        <v>3</v>
      </c>
      <c r="BO17" s="35">
        <v>0.65805810923395169</v>
      </c>
      <c r="BP17" s="8" t="s">
        <v>383</v>
      </c>
      <c r="BR17" s="13" t="s">
        <v>315</v>
      </c>
      <c r="BS17" s="21" t="s">
        <v>25</v>
      </c>
      <c r="BT17">
        <v>8</v>
      </c>
      <c r="BU17">
        <v>4</v>
      </c>
      <c r="BV17" s="35">
        <v>0.64775078725056567</v>
      </c>
      <c r="BW17" s="22" t="s">
        <v>432</v>
      </c>
      <c r="BY17" s="13" t="s">
        <v>315</v>
      </c>
      <c r="BZ17" s="21" t="s">
        <v>25</v>
      </c>
      <c r="CA17">
        <v>9</v>
      </c>
      <c r="CB17">
        <v>4</v>
      </c>
      <c r="CC17" s="35">
        <v>0.64418952539247898</v>
      </c>
      <c r="CD17" t="s">
        <v>1</v>
      </c>
      <c r="CF17" s="13" t="s">
        <v>315</v>
      </c>
      <c r="CG17" s="19" t="s">
        <v>40</v>
      </c>
      <c r="CH17" s="9">
        <v>8</v>
      </c>
      <c r="CI17" s="9">
        <v>5</v>
      </c>
      <c r="CJ17" s="35">
        <v>0.60944174011374908</v>
      </c>
      <c r="CK17" s="22" t="s">
        <v>381</v>
      </c>
      <c r="CM17" s="13" t="s">
        <v>315</v>
      </c>
      <c r="CN17" s="19" t="s">
        <v>35</v>
      </c>
      <c r="CO17" s="9">
        <v>8</v>
      </c>
      <c r="CP17" s="9">
        <v>5</v>
      </c>
      <c r="CQ17" s="35">
        <v>0.51955393115965498</v>
      </c>
      <c r="CR17" s="8" t="s">
        <v>386</v>
      </c>
      <c r="CT17" s="13" t="s">
        <v>315</v>
      </c>
      <c r="CU17" s="21" t="s">
        <v>1860</v>
      </c>
      <c r="CV17">
        <v>1</v>
      </c>
      <c r="CW17">
        <v>0</v>
      </c>
      <c r="CX17" s="35">
        <v>0.79146266181981639</v>
      </c>
      <c r="CY17" s="8" t="s">
        <v>383</v>
      </c>
      <c r="DA17" s="13" t="s">
        <v>315</v>
      </c>
      <c r="DB17" s="21" t="s">
        <v>31</v>
      </c>
      <c r="DC17">
        <v>2</v>
      </c>
      <c r="DD17">
        <v>0</v>
      </c>
      <c r="DE17" s="35">
        <v>0.80056968359975456</v>
      </c>
      <c r="DF17" s="22" t="s">
        <v>431</v>
      </c>
      <c r="DH17" s="13" t="s">
        <v>315</v>
      </c>
      <c r="DI17" s="16" t="s">
        <v>67</v>
      </c>
      <c r="DJ17">
        <v>2</v>
      </c>
      <c r="DK17">
        <v>0</v>
      </c>
      <c r="DL17" s="35">
        <v>0.8040733901289705</v>
      </c>
      <c r="DM17" s="22" t="s">
        <v>381</v>
      </c>
      <c r="DO17" s="13" t="s">
        <v>315</v>
      </c>
      <c r="DP17" s="17" t="s">
        <v>55</v>
      </c>
      <c r="DQ17">
        <v>3</v>
      </c>
      <c r="DR17">
        <v>0</v>
      </c>
      <c r="DS17" s="35">
        <v>0.73729979088959485</v>
      </c>
      <c r="DT17" s="22" t="s">
        <v>389</v>
      </c>
      <c r="DV17" s="13" t="s">
        <v>315</v>
      </c>
      <c r="DW17" s="21" t="s">
        <v>26</v>
      </c>
      <c r="DX17">
        <v>3</v>
      </c>
      <c r="DY17">
        <v>1</v>
      </c>
      <c r="DZ17" s="35">
        <v>0.74727534655194661</v>
      </c>
      <c r="EA17" s="8" t="s">
        <v>523</v>
      </c>
      <c r="EC17" s="13" t="s">
        <v>315</v>
      </c>
      <c r="ED17" s="21" t="s">
        <v>292</v>
      </c>
      <c r="EE17">
        <v>4</v>
      </c>
      <c r="EF17">
        <v>1</v>
      </c>
      <c r="EG17" s="35">
        <v>0.72022797336704913</v>
      </c>
      <c r="EH17" s="22" t="s">
        <v>384</v>
      </c>
      <c r="EJ17" s="13" t="s">
        <v>315</v>
      </c>
      <c r="EK17" s="16" t="s">
        <v>59</v>
      </c>
      <c r="EL17">
        <v>5</v>
      </c>
      <c r="EM17">
        <v>1</v>
      </c>
      <c r="EN17" s="35">
        <v>0.71741830291446118</v>
      </c>
      <c r="EO17" s="22" t="s">
        <v>389</v>
      </c>
      <c r="EQ17" s="13" t="s">
        <v>315</v>
      </c>
      <c r="ER17" s="16" t="s">
        <v>62</v>
      </c>
      <c r="ES17">
        <v>5</v>
      </c>
      <c r="ET17">
        <v>2</v>
      </c>
      <c r="EU17" s="35">
        <v>0.71064508787274971</v>
      </c>
      <c r="EV17" s="8" t="s">
        <v>500</v>
      </c>
      <c r="EX17" s="13" t="s">
        <v>315</v>
      </c>
      <c r="EY17" s="16" t="s">
        <v>60</v>
      </c>
      <c r="EZ17">
        <v>6</v>
      </c>
      <c r="FA17">
        <v>2</v>
      </c>
      <c r="FB17" s="35">
        <v>0.68319640230109813</v>
      </c>
      <c r="FC17" t="s">
        <v>637</v>
      </c>
      <c r="FE17" s="13" t="s">
        <v>315</v>
      </c>
      <c r="FF17" s="16" t="s">
        <v>60</v>
      </c>
      <c r="FG17">
        <v>7</v>
      </c>
      <c r="FH17">
        <v>2</v>
      </c>
      <c r="FI17" s="35">
        <v>0.688111705708779</v>
      </c>
      <c r="FJ17" t="s">
        <v>1</v>
      </c>
      <c r="FL17" s="13" t="s">
        <v>315</v>
      </c>
      <c r="FM17" s="19" t="s">
        <v>37</v>
      </c>
      <c r="FN17">
        <v>7</v>
      </c>
      <c r="FO17">
        <v>3</v>
      </c>
      <c r="FP17" s="35">
        <v>0.63659643136187827</v>
      </c>
      <c r="FQ17" s="8" t="s">
        <v>383</v>
      </c>
      <c r="FS17" s="13" t="s">
        <v>315</v>
      </c>
      <c r="FT17" s="19" t="s">
        <v>46</v>
      </c>
      <c r="FU17">
        <v>8</v>
      </c>
      <c r="FV17">
        <v>3</v>
      </c>
      <c r="FW17" s="35">
        <v>0.63498127467130383</v>
      </c>
      <c r="FX17" s="22" t="s">
        <v>385</v>
      </c>
      <c r="FZ17" s="13" t="s">
        <v>315</v>
      </c>
      <c r="GA17" s="17" t="s">
        <v>57</v>
      </c>
      <c r="GB17">
        <v>8</v>
      </c>
      <c r="GC17">
        <v>4</v>
      </c>
      <c r="GD17" s="35">
        <v>0.62233601956245921</v>
      </c>
      <c r="GE17" s="8" t="s">
        <v>461</v>
      </c>
      <c r="GG17" s="13" t="s">
        <v>315</v>
      </c>
      <c r="GH17" s="17" t="s">
        <v>58</v>
      </c>
      <c r="GI17">
        <v>8</v>
      </c>
      <c r="GJ17">
        <v>4</v>
      </c>
      <c r="GK17" s="35">
        <v>0.6431759619764319</v>
      </c>
      <c r="GL17" s="8" t="s">
        <v>386</v>
      </c>
      <c r="GN17" s="13" t="s">
        <v>315</v>
      </c>
      <c r="GO17" s="17" t="s">
        <v>58</v>
      </c>
      <c r="GP17">
        <v>8</v>
      </c>
      <c r="GQ17">
        <v>4</v>
      </c>
      <c r="GR17" s="35">
        <v>0.64010157803003043</v>
      </c>
      <c r="GS17" t="s">
        <v>1</v>
      </c>
      <c r="GU17" s="13" t="s">
        <v>315</v>
      </c>
      <c r="GV17" s="17" t="s">
        <v>58</v>
      </c>
      <c r="GW17">
        <v>8</v>
      </c>
      <c r="GX17">
        <v>4</v>
      </c>
      <c r="GY17" s="35">
        <v>0.64825806427269483</v>
      </c>
      <c r="GZ17" t="s">
        <v>1</v>
      </c>
      <c r="HB17" s="13" t="s">
        <v>315</v>
      </c>
      <c r="HC17" s="17" t="s">
        <v>58</v>
      </c>
      <c r="HD17">
        <v>8</v>
      </c>
      <c r="HE17">
        <v>4</v>
      </c>
      <c r="HF17" s="35">
        <v>0.6452509268140787</v>
      </c>
      <c r="HG17" t="s">
        <v>1</v>
      </c>
      <c r="HI17" s="13" t="s">
        <v>315</v>
      </c>
      <c r="HJ17" s="17" t="s">
        <v>57</v>
      </c>
      <c r="HK17">
        <v>8</v>
      </c>
      <c r="HL17">
        <v>4</v>
      </c>
      <c r="HM17" s="35">
        <v>0.63510077536590548</v>
      </c>
      <c r="HN17" s="22" t="s">
        <v>381</v>
      </c>
      <c r="HP17" s="13" t="s">
        <v>315</v>
      </c>
      <c r="HQ17" s="16" t="s">
        <v>67</v>
      </c>
      <c r="HR17">
        <v>1</v>
      </c>
      <c r="HS17">
        <v>0</v>
      </c>
      <c r="HT17" s="35">
        <v>0.7905316432334204</v>
      </c>
      <c r="HU17" t="s">
        <v>637</v>
      </c>
      <c r="HW17" s="13" t="s">
        <v>315</v>
      </c>
      <c r="HX17" s="17" t="s">
        <v>57</v>
      </c>
      <c r="HY17">
        <v>2</v>
      </c>
      <c r="HZ17">
        <v>0</v>
      </c>
      <c r="IA17" s="35">
        <v>0.81848422005919907</v>
      </c>
      <c r="IB17" t="s">
        <v>637</v>
      </c>
      <c r="ID17" s="13" t="s">
        <v>315</v>
      </c>
      <c r="IE17" s="58" t="s">
        <v>795</v>
      </c>
      <c r="IF17">
        <v>2</v>
      </c>
      <c r="IG17">
        <v>1</v>
      </c>
      <c r="IH17" s="35">
        <v>0.75944361302601149</v>
      </c>
      <c r="II17" t="s">
        <v>637</v>
      </c>
      <c r="IK17" s="13" t="s">
        <v>315</v>
      </c>
      <c r="IL17" s="19" t="s">
        <v>46</v>
      </c>
      <c r="IM17">
        <v>3</v>
      </c>
      <c r="IN17">
        <v>1</v>
      </c>
      <c r="IO17" s="35">
        <v>0.79102856584311654</v>
      </c>
      <c r="IP17" s="22" t="s">
        <v>389</v>
      </c>
      <c r="IR17" s="13" t="s">
        <v>315</v>
      </c>
      <c r="IS17" s="16" t="s">
        <v>66</v>
      </c>
      <c r="IT17">
        <v>4</v>
      </c>
      <c r="IU17">
        <v>1</v>
      </c>
      <c r="IV17" s="35">
        <v>0.78309448634134948</v>
      </c>
      <c r="IW17" s="22" t="s">
        <v>432</v>
      </c>
      <c r="IY17" s="13" t="s">
        <v>315</v>
      </c>
      <c r="IZ17" s="69" t="s">
        <v>1301</v>
      </c>
      <c r="JA17">
        <v>4</v>
      </c>
      <c r="JB17">
        <v>2</v>
      </c>
      <c r="JC17" s="35">
        <v>0.74615071965488988</v>
      </c>
      <c r="JD17" s="22" t="s">
        <v>389</v>
      </c>
      <c r="JF17" s="13" t="s">
        <v>315</v>
      </c>
      <c r="JG17" s="21" t="s">
        <v>33</v>
      </c>
      <c r="JH17" s="6">
        <v>5</v>
      </c>
      <c r="JI17" s="6">
        <v>2</v>
      </c>
      <c r="JJ17" s="35">
        <v>0.73786468358356194</v>
      </c>
      <c r="JK17" s="22" t="s">
        <v>432</v>
      </c>
      <c r="JM17" s="13" t="s">
        <v>315</v>
      </c>
      <c r="JN17" s="58" t="s">
        <v>785</v>
      </c>
      <c r="JO17" s="6">
        <v>7</v>
      </c>
      <c r="JP17" s="6">
        <v>1</v>
      </c>
      <c r="JQ17" s="35">
        <v>0.73856695869748845</v>
      </c>
      <c r="JR17" s="22" t="s">
        <v>432</v>
      </c>
      <c r="JT17" s="13" t="s">
        <v>315</v>
      </c>
      <c r="JU17" s="16" t="s">
        <v>67</v>
      </c>
      <c r="JV17" s="6">
        <v>6</v>
      </c>
      <c r="JW17" s="6">
        <v>2</v>
      </c>
      <c r="JX17" s="35">
        <v>0.75719970054317243</v>
      </c>
      <c r="JY17" s="22" t="s">
        <v>384</v>
      </c>
      <c r="JZ17" t="s">
        <v>637</v>
      </c>
      <c r="KB17" s="13" t="s">
        <v>315</v>
      </c>
      <c r="KC17" s="16" t="s">
        <v>67</v>
      </c>
      <c r="KD17" s="6">
        <v>7</v>
      </c>
      <c r="KE17" s="6">
        <v>2</v>
      </c>
      <c r="KF17" s="35">
        <v>0.76800705524092006</v>
      </c>
      <c r="KG17" t="s">
        <v>1</v>
      </c>
      <c r="KI17" s="13" t="s">
        <v>315</v>
      </c>
      <c r="KJ17" s="16" t="s">
        <v>67</v>
      </c>
      <c r="KK17" s="6">
        <v>7</v>
      </c>
      <c r="KL17" s="6">
        <v>2</v>
      </c>
      <c r="KM17" s="35">
        <v>0.75555618181904716</v>
      </c>
      <c r="KN17" t="s">
        <v>1</v>
      </c>
      <c r="KP17" s="13" t="s">
        <v>315</v>
      </c>
      <c r="KQ17" s="15" t="s">
        <v>77</v>
      </c>
      <c r="KR17" s="6">
        <v>8</v>
      </c>
      <c r="KS17" s="6">
        <v>2</v>
      </c>
      <c r="KT17" s="35">
        <v>0.78597665572684705</v>
      </c>
      <c r="KU17" s="8" t="s">
        <v>386</v>
      </c>
      <c r="KW17" s="13" t="s">
        <v>315</v>
      </c>
      <c r="KX17" s="15" t="s">
        <v>83</v>
      </c>
      <c r="KY17" s="6">
        <v>8</v>
      </c>
      <c r="KZ17" s="6">
        <v>2</v>
      </c>
      <c r="LA17" s="35">
        <v>0.80840092576866307</v>
      </c>
      <c r="LB17" s="8" t="s">
        <v>386</v>
      </c>
      <c r="LD17" s="13" t="s">
        <v>315</v>
      </c>
      <c r="LE17" s="16" t="s">
        <v>60</v>
      </c>
      <c r="LF17" s="6">
        <v>8</v>
      </c>
      <c r="LG17" s="6">
        <v>3</v>
      </c>
      <c r="LH17" s="35">
        <v>0.79814145595985619</v>
      </c>
      <c r="LI17" s="8" t="s">
        <v>387</v>
      </c>
      <c r="LK17" s="13" t="s">
        <v>315</v>
      </c>
      <c r="LL17" s="69" t="s">
        <v>966</v>
      </c>
      <c r="LM17" s="6">
        <v>9</v>
      </c>
      <c r="LN17" s="6">
        <v>2</v>
      </c>
      <c r="LO17" s="35">
        <v>0.78894103923871428</v>
      </c>
      <c r="LP17" s="22" t="s">
        <v>381</v>
      </c>
      <c r="LR17" s="13" t="s">
        <v>315</v>
      </c>
      <c r="LS17" s="16" t="s">
        <v>115</v>
      </c>
      <c r="LT17" s="6">
        <v>10</v>
      </c>
      <c r="LU17" s="6">
        <v>2</v>
      </c>
      <c r="LV17" s="35">
        <v>0.75641972065212804</v>
      </c>
      <c r="LW17" s="22" t="s">
        <v>385</v>
      </c>
      <c r="LY17" s="13" t="s">
        <v>315</v>
      </c>
      <c r="LZ17" s="16" t="s">
        <v>115</v>
      </c>
      <c r="MA17" s="6">
        <v>10</v>
      </c>
      <c r="MB17" s="6">
        <v>2</v>
      </c>
      <c r="MC17" s="35">
        <v>0.75721928369819991</v>
      </c>
      <c r="MD17" t="s">
        <v>1</v>
      </c>
      <c r="MF17" s="13" t="s">
        <v>315</v>
      </c>
      <c r="MG17" s="19" t="s">
        <v>46</v>
      </c>
      <c r="MH17" s="6">
        <v>8</v>
      </c>
      <c r="MI17" s="6">
        <v>5</v>
      </c>
      <c r="MJ17" s="35">
        <v>0.75972880016536271</v>
      </c>
      <c r="MK17" s="8" t="s">
        <v>461</v>
      </c>
      <c r="MM17" s="13" t="s">
        <v>315</v>
      </c>
      <c r="MN17" s="16" t="s">
        <v>67</v>
      </c>
      <c r="MO17" s="6">
        <v>10</v>
      </c>
      <c r="MP17" s="6">
        <v>3</v>
      </c>
      <c r="MQ17" s="35">
        <v>0.74886026144254925</v>
      </c>
      <c r="MR17" s="22" t="s">
        <v>393</v>
      </c>
      <c r="MT17" s="13" t="s">
        <v>315</v>
      </c>
      <c r="MU17" s="16" t="s">
        <v>67</v>
      </c>
      <c r="MV17" s="6">
        <v>10</v>
      </c>
      <c r="MW17" s="6">
        <v>3</v>
      </c>
      <c r="MX17" s="35">
        <v>0.7486616672763885</v>
      </c>
      <c r="MY17" t="s">
        <v>1</v>
      </c>
      <c r="NA17" s="13" t="s">
        <v>315</v>
      </c>
      <c r="NB17" s="15" t="s">
        <v>83</v>
      </c>
      <c r="NC17" s="6">
        <v>10</v>
      </c>
      <c r="ND17" s="6">
        <v>3</v>
      </c>
      <c r="NE17" s="35">
        <v>0.73906020838983966</v>
      </c>
      <c r="NF17" s="22" t="s">
        <v>432</v>
      </c>
      <c r="NH17" s="13" t="s">
        <v>315</v>
      </c>
      <c r="NI17" s="15" t="s">
        <v>83</v>
      </c>
      <c r="NJ17" s="6">
        <v>10</v>
      </c>
      <c r="NK17" s="6">
        <v>3</v>
      </c>
      <c r="NL17" s="35">
        <v>0.73297820561582172</v>
      </c>
      <c r="NM17" t="s">
        <v>1</v>
      </c>
      <c r="NO17" s="13" t="s">
        <v>315</v>
      </c>
      <c r="NP17" s="15" t="s">
        <v>83</v>
      </c>
      <c r="NQ17" s="6">
        <v>10</v>
      </c>
      <c r="NR17" s="6">
        <v>3</v>
      </c>
      <c r="NS17" s="35">
        <v>0.73163398344391228</v>
      </c>
      <c r="NT17" t="s">
        <v>1</v>
      </c>
      <c r="NV17" s="13" t="s">
        <v>315</v>
      </c>
      <c r="NW17" s="15" t="s">
        <v>83</v>
      </c>
      <c r="NX17" s="6">
        <v>10</v>
      </c>
      <c r="NY17" s="6">
        <v>3</v>
      </c>
      <c r="NZ17" s="35">
        <v>0.73082857548265479</v>
      </c>
      <c r="OA17" t="s">
        <v>1</v>
      </c>
      <c r="OC17" s="13" t="s">
        <v>315</v>
      </c>
      <c r="OD17" s="15" t="s">
        <v>83</v>
      </c>
      <c r="OE17" s="6">
        <v>10</v>
      </c>
      <c r="OF17" s="6">
        <v>3</v>
      </c>
      <c r="OG17" s="35">
        <v>0.72085953835738081</v>
      </c>
      <c r="OH17" t="s">
        <v>1</v>
      </c>
      <c r="OJ17" s="13" t="s">
        <v>315</v>
      </c>
      <c r="OK17" s="15" t="s">
        <v>83</v>
      </c>
      <c r="OL17" s="6">
        <v>10</v>
      </c>
      <c r="OM17" s="6">
        <v>3</v>
      </c>
      <c r="ON17" s="35">
        <v>0.72048542155228446</v>
      </c>
      <c r="OO17" t="s">
        <v>1</v>
      </c>
      <c r="OQ17" s="13" t="s">
        <v>315</v>
      </c>
      <c r="OR17" s="15" t="s">
        <v>83</v>
      </c>
      <c r="OS17" s="6">
        <v>10</v>
      </c>
      <c r="OT17" s="6">
        <v>3</v>
      </c>
      <c r="OU17" s="35">
        <v>0.72742268750497852</v>
      </c>
      <c r="OV17" t="s">
        <v>1</v>
      </c>
      <c r="OX17" s="13" t="s">
        <v>315</v>
      </c>
      <c r="OY17" s="15" t="s">
        <v>83</v>
      </c>
      <c r="OZ17" s="6">
        <v>10</v>
      </c>
      <c r="PA17" s="6">
        <v>3</v>
      </c>
      <c r="PB17" s="35">
        <v>0.73644247273816965</v>
      </c>
      <c r="PC17" t="s">
        <v>1</v>
      </c>
      <c r="PE17" s="13" t="s">
        <v>315</v>
      </c>
      <c r="PF17" s="15" t="s">
        <v>83</v>
      </c>
      <c r="PG17" s="6">
        <v>10</v>
      </c>
      <c r="PH17" s="6">
        <v>3</v>
      </c>
      <c r="PI17" s="35">
        <v>0.73636681226654122</v>
      </c>
      <c r="PJ17" t="s">
        <v>1</v>
      </c>
    </row>
    <row r="18" spans="2:426" x14ac:dyDescent="0.35">
      <c r="B18" s="13" t="s">
        <v>315</v>
      </c>
      <c r="C18" s="21" t="s">
        <v>25</v>
      </c>
      <c r="D18" t="s">
        <v>327</v>
      </c>
      <c r="E18">
        <v>75</v>
      </c>
      <c r="G18" s="13" t="s">
        <v>315</v>
      </c>
      <c r="H18" s="21" t="s">
        <v>25</v>
      </c>
      <c r="I18" t="s">
        <v>378</v>
      </c>
      <c r="J18">
        <v>71</v>
      </c>
      <c r="K18" t="s">
        <v>1</v>
      </c>
      <c r="M18" s="13" t="s">
        <v>428</v>
      </c>
      <c r="N18" s="21" t="s">
        <v>1860</v>
      </c>
      <c r="O18" s="9" t="s">
        <v>429</v>
      </c>
      <c r="P18">
        <v>89</v>
      </c>
      <c r="Q18" s="22" t="s">
        <v>432</v>
      </c>
      <c r="S18" s="13" t="s">
        <v>428</v>
      </c>
      <c r="T18" s="17" t="s">
        <v>53</v>
      </c>
      <c r="U18" s="9" t="s">
        <v>458</v>
      </c>
      <c r="V18">
        <v>83</v>
      </c>
      <c r="W18" s="22" t="s">
        <v>385</v>
      </c>
      <c r="Y18" s="13" t="s">
        <v>428</v>
      </c>
      <c r="Z18" s="19" t="s">
        <v>38</v>
      </c>
      <c r="AA18" t="s">
        <v>498</v>
      </c>
      <c r="AB18">
        <v>80</v>
      </c>
      <c r="AC18" t="s">
        <v>390</v>
      </c>
      <c r="AE18" s="13" t="s">
        <v>315</v>
      </c>
      <c r="AF18" s="17" t="s">
        <v>57</v>
      </c>
      <c r="AG18" t="s">
        <v>518</v>
      </c>
      <c r="AH18">
        <v>83</v>
      </c>
      <c r="AI18" s="8" t="s">
        <v>386</v>
      </c>
      <c r="AK18" s="13" t="s">
        <v>428</v>
      </c>
      <c r="AL18" s="16" t="s">
        <v>65</v>
      </c>
      <c r="AM18" s="9" t="s">
        <v>542</v>
      </c>
      <c r="AN18">
        <v>80</v>
      </c>
      <c r="AO18" s="22" t="s">
        <v>385</v>
      </c>
      <c r="AQ18" s="13" t="s">
        <v>428</v>
      </c>
      <c r="AR18" s="21" t="s">
        <v>33</v>
      </c>
      <c r="AS18" t="s">
        <v>562</v>
      </c>
      <c r="AT18">
        <v>80</v>
      </c>
      <c r="AU18" s="8" t="s">
        <v>565</v>
      </c>
      <c r="AW18" s="13" t="s">
        <v>428</v>
      </c>
      <c r="AX18" s="21" t="s">
        <v>33</v>
      </c>
      <c r="AY18">
        <v>6</v>
      </c>
      <c r="AZ18">
        <v>3</v>
      </c>
      <c r="BA18">
        <v>0.63982433900224989</v>
      </c>
      <c r="BB18" t="s">
        <v>1</v>
      </c>
      <c r="BD18" s="13" t="s">
        <v>428</v>
      </c>
      <c r="BE18" s="16" t="s">
        <v>67</v>
      </c>
      <c r="BF18">
        <v>6</v>
      </c>
      <c r="BG18">
        <v>4</v>
      </c>
      <c r="BH18" s="35">
        <v>0.62846580383210693</v>
      </c>
      <c r="BI18" s="8" t="s">
        <v>386</v>
      </c>
      <c r="BK18" s="13" t="s">
        <v>428</v>
      </c>
      <c r="BL18" s="17" t="s">
        <v>47</v>
      </c>
      <c r="BM18">
        <v>8</v>
      </c>
      <c r="BN18">
        <v>3</v>
      </c>
      <c r="BO18" s="35">
        <v>0.64539541128524303</v>
      </c>
      <c r="BP18" s="22" t="s">
        <v>384</v>
      </c>
      <c r="BR18" s="13" t="s">
        <v>428</v>
      </c>
      <c r="BS18" s="19" t="s">
        <v>35</v>
      </c>
      <c r="BT18" s="9">
        <v>7</v>
      </c>
      <c r="BU18" s="9">
        <v>5</v>
      </c>
      <c r="BV18" s="35">
        <v>0.64592022912756009</v>
      </c>
      <c r="BW18" s="8" t="s">
        <v>383</v>
      </c>
      <c r="BY18" s="13" t="s">
        <v>428</v>
      </c>
      <c r="BZ18" s="19" t="s">
        <v>40</v>
      </c>
      <c r="CA18" s="9">
        <v>8</v>
      </c>
      <c r="CB18" s="9">
        <v>5</v>
      </c>
      <c r="CC18" s="35">
        <v>0.64232587698107402</v>
      </c>
      <c r="CD18" s="8" t="s">
        <v>500</v>
      </c>
      <c r="CF18" s="13" t="s">
        <v>428</v>
      </c>
      <c r="CG18" s="21" t="s">
        <v>25</v>
      </c>
      <c r="CH18">
        <v>9</v>
      </c>
      <c r="CI18">
        <v>4</v>
      </c>
      <c r="CJ18" s="35">
        <v>0.60898105762645516</v>
      </c>
      <c r="CK18" s="8" t="s">
        <v>386</v>
      </c>
      <c r="CM18" s="13" t="s">
        <v>428</v>
      </c>
      <c r="CN18" s="19" t="s">
        <v>44</v>
      </c>
      <c r="CO18">
        <v>9</v>
      </c>
      <c r="CP18">
        <v>4</v>
      </c>
      <c r="CQ18" s="35">
        <v>0.51136925632829422</v>
      </c>
      <c r="CR18" s="22" t="s">
        <v>381</v>
      </c>
      <c r="CT18" s="13" t="s">
        <v>428</v>
      </c>
      <c r="CU18" s="19" t="s">
        <v>41</v>
      </c>
      <c r="CV18">
        <v>1</v>
      </c>
      <c r="CW18">
        <v>0</v>
      </c>
      <c r="CX18" s="35">
        <v>0.78992321723037495</v>
      </c>
      <c r="CY18" s="8" t="s">
        <v>392</v>
      </c>
      <c r="DA18" s="13" t="s">
        <v>428</v>
      </c>
      <c r="DB18" s="16" t="s">
        <v>67</v>
      </c>
      <c r="DC18">
        <v>2</v>
      </c>
      <c r="DD18">
        <v>0</v>
      </c>
      <c r="DE18" s="35">
        <v>0.80043702649260706</v>
      </c>
      <c r="DF18" s="22" t="s">
        <v>381</v>
      </c>
      <c r="DH18" s="13" t="s">
        <v>428</v>
      </c>
      <c r="DI18" s="21" t="s">
        <v>31</v>
      </c>
      <c r="DJ18">
        <v>2</v>
      </c>
      <c r="DK18">
        <v>0</v>
      </c>
      <c r="DL18" s="35">
        <v>0.80356433600617161</v>
      </c>
      <c r="DM18" s="8" t="s">
        <v>386</v>
      </c>
      <c r="DO18" s="13" t="s">
        <v>428</v>
      </c>
      <c r="DP18" s="16" t="s">
        <v>62</v>
      </c>
      <c r="DQ18">
        <v>2</v>
      </c>
      <c r="DR18">
        <v>1</v>
      </c>
      <c r="DS18" s="35">
        <v>0.71303579565110953</v>
      </c>
      <c r="DT18" s="8" t="s">
        <v>523</v>
      </c>
      <c r="DV18" s="13" t="s">
        <v>428</v>
      </c>
      <c r="DW18" s="16" t="s">
        <v>62</v>
      </c>
      <c r="DX18">
        <v>3</v>
      </c>
      <c r="DY18">
        <v>1</v>
      </c>
      <c r="DZ18" s="35">
        <v>0.73979763797760256</v>
      </c>
      <c r="EA18" t="s">
        <v>1</v>
      </c>
      <c r="EC18" s="13" t="s">
        <v>428</v>
      </c>
      <c r="ED18" s="58" t="s">
        <v>783</v>
      </c>
      <c r="EE18" s="46">
        <v>4</v>
      </c>
      <c r="EF18" s="46">
        <v>1</v>
      </c>
      <c r="EG18" s="35">
        <v>0.7116644968099981</v>
      </c>
      <c r="EH18" t="s">
        <v>637</v>
      </c>
      <c r="EJ18" s="13" t="s">
        <v>428</v>
      </c>
      <c r="EK18" s="15" t="s">
        <v>86</v>
      </c>
      <c r="EL18">
        <v>4</v>
      </c>
      <c r="EM18">
        <v>2</v>
      </c>
      <c r="EN18" s="35">
        <v>0.71493760972204001</v>
      </c>
      <c r="EO18" s="22" t="s">
        <v>385</v>
      </c>
      <c r="EQ18" s="13" t="s">
        <v>428</v>
      </c>
      <c r="ER18" s="16" t="s">
        <v>59</v>
      </c>
      <c r="ES18">
        <v>6</v>
      </c>
      <c r="ET18">
        <v>1</v>
      </c>
      <c r="EU18" s="35">
        <v>0.70944730032407222</v>
      </c>
      <c r="EV18" s="8" t="s">
        <v>386</v>
      </c>
      <c r="EX18" s="13" t="s">
        <v>428</v>
      </c>
      <c r="EY18" s="58" t="s">
        <v>795</v>
      </c>
      <c r="EZ18" s="46">
        <v>7</v>
      </c>
      <c r="FA18" s="46">
        <v>1</v>
      </c>
      <c r="FB18" s="35">
        <v>0.67452444755866203</v>
      </c>
      <c r="FC18" s="22" t="s">
        <v>385</v>
      </c>
      <c r="FE18" s="13" t="s">
        <v>428</v>
      </c>
      <c r="FF18" s="17" t="s">
        <v>53</v>
      </c>
      <c r="FG18" s="46">
        <v>7</v>
      </c>
      <c r="FH18" s="46">
        <v>2</v>
      </c>
      <c r="FI18" s="35">
        <v>0.68584048098214256</v>
      </c>
      <c r="FJ18" s="22" t="s">
        <v>462</v>
      </c>
      <c r="FL18" s="13" t="s">
        <v>428</v>
      </c>
      <c r="FM18" s="15" t="s">
        <v>79</v>
      </c>
      <c r="FN18" s="46">
        <v>7</v>
      </c>
      <c r="FO18" s="46">
        <v>3</v>
      </c>
      <c r="FP18" s="35">
        <v>0.63479126207206871</v>
      </c>
      <c r="FQ18" s="22" t="s">
        <v>432</v>
      </c>
      <c r="FS18" s="13" t="s">
        <v>428</v>
      </c>
      <c r="FT18" s="15" t="s">
        <v>88</v>
      </c>
      <c r="FU18" s="46">
        <v>7</v>
      </c>
      <c r="FV18" s="46">
        <v>4</v>
      </c>
      <c r="FW18" s="35">
        <v>0.62120062809224075</v>
      </c>
      <c r="FX18" s="22" t="s">
        <v>432</v>
      </c>
      <c r="FZ18" s="13" t="s">
        <v>428</v>
      </c>
      <c r="GA18" s="19" t="s">
        <v>46</v>
      </c>
      <c r="GB18" s="46">
        <v>8</v>
      </c>
      <c r="GC18" s="46">
        <v>4</v>
      </c>
      <c r="GD18" s="35">
        <v>0.61204395639113929</v>
      </c>
      <c r="GE18" s="8" t="s">
        <v>386</v>
      </c>
      <c r="GG18" s="13" t="s">
        <v>428</v>
      </c>
      <c r="GH18" s="17" t="s">
        <v>57</v>
      </c>
      <c r="GI18" s="46">
        <v>8</v>
      </c>
      <c r="GJ18" s="46">
        <v>4</v>
      </c>
      <c r="GK18" s="35">
        <v>0.63193258587841461</v>
      </c>
      <c r="GL18" s="8" t="s">
        <v>386</v>
      </c>
      <c r="GN18" s="13" t="s">
        <v>428</v>
      </c>
      <c r="GO18" s="17" t="s">
        <v>57</v>
      </c>
      <c r="GP18" s="46">
        <v>8</v>
      </c>
      <c r="GQ18" s="46">
        <v>4</v>
      </c>
      <c r="GR18" s="35">
        <v>0.63149255110020408</v>
      </c>
      <c r="GS18" t="s">
        <v>1</v>
      </c>
      <c r="GU18" s="13" t="s">
        <v>428</v>
      </c>
      <c r="GV18" s="17" t="s">
        <v>57</v>
      </c>
      <c r="GW18">
        <v>8</v>
      </c>
      <c r="GX18">
        <v>4</v>
      </c>
      <c r="GY18" s="35">
        <v>0.63980614733195196</v>
      </c>
      <c r="GZ18" t="s">
        <v>1</v>
      </c>
      <c r="HB18" s="13" t="s">
        <v>428</v>
      </c>
      <c r="HC18" s="17" t="s">
        <v>57</v>
      </c>
      <c r="HD18">
        <v>8</v>
      </c>
      <c r="HE18">
        <v>4</v>
      </c>
      <c r="HF18" s="35">
        <v>0.63816687745378931</v>
      </c>
      <c r="HG18" t="s">
        <v>1</v>
      </c>
      <c r="HI18" s="13" t="s">
        <v>428</v>
      </c>
      <c r="HJ18" s="58" t="s">
        <v>1183</v>
      </c>
      <c r="HK18">
        <v>9</v>
      </c>
      <c r="HL18">
        <v>8</v>
      </c>
      <c r="HM18" s="35">
        <v>0.62688332164238081</v>
      </c>
      <c r="HN18" s="8" t="s">
        <v>383</v>
      </c>
      <c r="HP18" s="13" t="s">
        <v>428</v>
      </c>
      <c r="HQ18" s="58" t="s">
        <v>783</v>
      </c>
      <c r="HR18">
        <v>1</v>
      </c>
      <c r="HS18">
        <v>0</v>
      </c>
      <c r="HT18" s="35">
        <v>0.78669780878047746</v>
      </c>
      <c r="HU18" s="8" t="s">
        <v>463</v>
      </c>
      <c r="HW18" s="13" t="s">
        <v>428</v>
      </c>
      <c r="HX18" s="58" t="s">
        <v>785</v>
      </c>
      <c r="HY18">
        <v>2</v>
      </c>
      <c r="HZ18">
        <v>0</v>
      </c>
      <c r="IA18" s="35">
        <v>0.80668427490647832</v>
      </c>
      <c r="IB18" s="22" t="s">
        <v>431</v>
      </c>
      <c r="ID18" s="13" t="s">
        <v>428</v>
      </c>
      <c r="IE18" s="17" t="s">
        <v>300</v>
      </c>
      <c r="IF18">
        <v>2</v>
      </c>
      <c r="IG18">
        <v>1</v>
      </c>
      <c r="IH18" s="35">
        <v>0.75282067317422374</v>
      </c>
      <c r="II18" t="s">
        <v>637</v>
      </c>
      <c r="IK18" s="13" t="s">
        <v>428</v>
      </c>
      <c r="IL18" s="21" t="s">
        <v>33</v>
      </c>
      <c r="IM18">
        <v>3</v>
      </c>
      <c r="IN18">
        <v>1</v>
      </c>
      <c r="IO18" s="35">
        <v>0.78744212633897226</v>
      </c>
      <c r="IP18" t="s">
        <v>637</v>
      </c>
      <c r="IR18" s="13" t="s">
        <v>428</v>
      </c>
      <c r="IS18" s="21" t="s">
        <v>33</v>
      </c>
      <c r="IT18">
        <v>4</v>
      </c>
      <c r="IU18">
        <v>1</v>
      </c>
      <c r="IV18" s="35">
        <v>0.76865621100461201</v>
      </c>
      <c r="IW18" t="s">
        <v>1</v>
      </c>
      <c r="IY18" s="13" t="s">
        <v>428</v>
      </c>
      <c r="IZ18" s="15" t="s">
        <v>77</v>
      </c>
      <c r="JA18">
        <v>4</v>
      </c>
      <c r="JB18">
        <v>2</v>
      </c>
      <c r="JC18" s="35">
        <v>0.7431192975938492</v>
      </c>
      <c r="JD18" s="22" t="s">
        <v>381</v>
      </c>
      <c r="JF18" s="13" t="s">
        <v>428</v>
      </c>
      <c r="JG18" s="15" t="s">
        <v>77</v>
      </c>
      <c r="JH18" s="6">
        <v>5</v>
      </c>
      <c r="JI18" s="6">
        <v>2</v>
      </c>
      <c r="JJ18" s="35">
        <v>0.72464578615947406</v>
      </c>
      <c r="JK18" t="s">
        <v>1</v>
      </c>
      <c r="JM18" s="13" t="s">
        <v>428</v>
      </c>
      <c r="JN18" s="19" t="s">
        <v>40</v>
      </c>
      <c r="JO18" s="6">
        <v>7</v>
      </c>
      <c r="JP18" s="6">
        <v>1</v>
      </c>
      <c r="JQ18" s="35">
        <v>0.7379655381257505</v>
      </c>
      <c r="JR18" s="8" t="s">
        <v>523</v>
      </c>
      <c r="JT18" s="13" t="s">
        <v>428</v>
      </c>
      <c r="JU18" s="69" t="s">
        <v>962</v>
      </c>
      <c r="JV18" s="6">
        <v>5</v>
      </c>
      <c r="JW18" s="6">
        <v>3</v>
      </c>
      <c r="JX18" s="35">
        <v>0.75603364367988957</v>
      </c>
      <c r="JY18" s="8" t="s">
        <v>500</v>
      </c>
      <c r="JZ18" s="8" t="s">
        <v>500</v>
      </c>
      <c r="KB18" s="13" t="s">
        <v>428</v>
      </c>
      <c r="KC18" s="15" t="s">
        <v>78</v>
      </c>
      <c r="KD18" s="6">
        <v>7</v>
      </c>
      <c r="KE18" s="6">
        <v>2</v>
      </c>
      <c r="KF18" s="35">
        <v>0.7676523572318078</v>
      </c>
      <c r="KG18" s="22" t="s">
        <v>384</v>
      </c>
      <c r="KI18" s="13" t="s">
        <v>428</v>
      </c>
      <c r="KJ18" s="16" t="s">
        <v>115</v>
      </c>
      <c r="KK18" s="6">
        <v>8</v>
      </c>
      <c r="KL18" s="6">
        <v>1</v>
      </c>
      <c r="KM18" s="35">
        <v>0.75403038827858981</v>
      </c>
      <c r="KN18" s="22" t="s">
        <v>384</v>
      </c>
      <c r="KP18" s="13" t="s">
        <v>428</v>
      </c>
      <c r="KQ18" s="15" t="s">
        <v>85</v>
      </c>
      <c r="KR18" s="6">
        <v>7</v>
      </c>
      <c r="KS18" s="6">
        <v>3</v>
      </c>
      <c r="KT18" s="35">
        <v>0.78369521728097058</v>
      </c>
      <c r="KU18" s="22" t="s">
        <v>384</v>
      </c>
      <c r="KW18" s="13" t="s">
        <v>428</v>
      </c>
      <c r="KX18" s="58" t="s">
        <v>790</v>
      </c>
      <c r="KY18" s="6">
        <v>9</v>
      </c>
      <c r="KZ18" s="6">
        <v>1</v>
      </c>
      <c r="LA18" s="35">
        <v>0.79362468568870737</v>
      </c>
      <c r="LB18" s="22" t="s">
        <v>432</v>
      </c>
      <c r="LD18" s="13" t="s">
        <v>428</v>
      </c>
      <c r="LE18" s="69" t="s">
        <v>966</v>
      </c>
      <c r="LF18" s="6">
        <v>9</v>
      </c>
      <c r="LG18" s="6">
        <v>2</v>
      </c>
      <c r="LH18" s="35">
        <v>0.79114197729459268</v>
      </c>
      <c r="LI18" s="8" t="s">
        <v>523</v>
      </c>
      <c r="LK18" s="13" t="s">
        <v>428</v>
      </c>
      <c r="LL18" s="16" t="s">
        <v>60</v>
      </c>
      <c r="LM18" s="6">
        <v>8</v>
      </c>
      <c r="LN18" s="6">
        <v>3</v>
      </c>
      <c r="LO18" s="35">
        <v>0.78038645637563386</v>
      </c>
      <c r="LP18" s="8" t="s">
        <v>386</v>
      </c>
      <c r="LR18" s="13" t="s">
        <v>428</v>
      </c>
      <c r="LS18" s="16" t="s">
        <v>59</v>
      </c>
      <c r="LT18" s="6">
        <v>8</v>
      </c>
      <c r="LU18" s="6">
        <v>4</v>
      </c>
      <c r="LV18" s="35">
        <v>0.75641276526963364</v>
      </c>
      <c r="LW18" s="8" t="s">
        <v>461</v>
      </c>
      <c r="LY18" s="13" t="s">
        <v>428</v>
      </c>
      <c r="LZ18" s="16" t="s">
        <v>59</v>
      </c>
      <c r="MA18" s="6">
        <v>8</v>
      </c>
      <c r="MB18" s="6">
        <v>4</v>
      </c>
      <c r="MC18" s="35">
        <v>0.75315835435462541</v>
      </c>
      <c r="MD18" t="s">
        <v>1</v>
      </c>
      <c r="MF18" s="13" t="s">
        <v>428</v>
      </c>
      <c r="MG18" s="15" t="s">
        <v>83</v>
      </c>
      <c r="MH18" s="6">
        <v>10</v>
      </c>
      <c r="MI18" s="6">
        <v>3</v>
      </c>
      <c r="MJ18" s="35">
        <v>0.75759058193292739</v>
      </c>
      <c r="MK18" s="22" t="s">
        <v>381</v>
      </c>
      <c r="MM18" s="13" t="s">
        <v>428</v>
      </c>
      <c r="MN18" s="15" t="s">
        <v>83</v>
      </c>
      <c r="MO18" s="6">
        <v>10</v>
      </c>
      <c r="MP18" s="6">
        <v>3</v>
      </c>
      <c r="MQ18" s="35">
        <v>0.74326527094030115</v>
      </c>
      <c r="MR18" t="s">
        <v>1</v>
      </c>
      <c r="MT18" s="13" t="s">
        <v>428</v>
      </c>
      <c r="MU18" s="15" t="s">
        <v>73</v>
      </c>
      <c r="MV18" s="6">
        <v>10</v>
      </c>
      <c r="MW18" s="6">
        <v>3</v>
      </c>
      <c r="MX18" s="35">
        <v>0.74477244017249344</v>
      </c>
      <c r="MY18" s="22" t="s">
        <v>381</v>
      </c>
      <c r="NA18" s="13" t="s">
        <v>428</v>
      </c>
      <c r="NB18" s="58" t="s">
        <v>790</v>
      </c>
      <c r="NC18" s="6">
        <v>11</v>
      </c>
      <c r="ND18" s="6">
        <v>2</v>
      </c>
      <c r="NE18" s="35">
        <v>0.73471584077323915</v>
      </c>
      <c r="NF18" s="22" t="s">
        <v>432</v>
      </c>
      <c r="NH18" s="13" t="s">
        <v>428</v>
      </c>
      <c r="NI18" s="58" t="s">
        <v>790</v>
      </c>
      <c r="NJ18" s="6">
        <v>11</v>
      </c>
      <c r="NK18" s="6">
        <v>2</v>
      </c>
      <c r="NL18" s="35">
        <v>0.72852741809708721</v>
      </c>
      <c r="NM18" t="s">
        <v>1</v>
      </c>
      <c r="NO18" s="13" t="s">
        <v>428</v>
      </c>
      <c r="NP18" s="19" t="s">
        <v>46</v>
      </c>
      <c r="NQ18" s="6">
        <v>11</v>
      </c>
      <c r="NR18" s="6">
        <v>2</v>
      </c>
      <c r="NS18" s="35">
        <v>0.72649875518919105</v>
      </c>
      <c r="NT18" s="22" t="s">
        <v>381</v>
      </c>
      <c r="NV18" s="13" t="s">
        <v>428</v>
      </c>
      <c r="NW18" s="19" t="s">
        <v>46</v>
      </c>
      <c r="NX18" s="6">
        <v>11</v>
      </c>
      <c r="NY18" s="6">
        <v>2</v>
      </c>
      <c r="NZ18" s="35">
        <v>0.72568921451766355</v>
      </c>
      <c r="OA18" t="s">
        <v>1</v>
      </c>
      <c r="OC18" s="13" t="s">
        <v>428</v>
      </c>
      <c r="OD18" s="19" t="s">
        <v>46</v>
      </c>
      <c r="OE18" s="6">
        <v>8</v>
      </c>
      <c r="OF18" s="6">
        <v>5</v>
      </c>
      <c r="OG18" s="35">
        <v>0.71537916023725467</v>
      </c>
      <c r="OH18" t="s">
        <v>1</v>
      </c>
      <c r="OJ18" s="13" t="s">
        <v>428</v>
      </c>
      <c r="OK18" s="19" t="s">
        <v>46</v>
      </c>
      <c r="OL18" s="6">
        <v>8</v>
      </c>
      <c r="OM18" s="6">
        <v>5</v>
      </c>
      <c r="ON18" s="35">
        <v>0.71476583198183519</v>
      </c>
      <c r="OO18" t="s">
        <v>1</v>
      </c>
      <c r="OQ18" s="13" t="s">
        <v>428</v>
      </c>
      <c r="OR18" s="19" t="s">
        <v>46</v>
      </c>
      <c r="OS18" s="6">
        <v>8</v>
      </c>
      <c r="OT18" s="6">
        <v>5</v>
      </c>
      <c r="OU18" s="35">
        <v>0.72213301108810757</v>
      </c>
      <c r="OV18" t="s">
        <v>1</v>
      </c>
      <c r="OX18" s="13" t="s">
        <v>428</v>
      </c>
      <c r="OY18" s="19" t="s">
        <v>46</v>
      </c>
      <c r="OZ18" s="6">
        <v>8</v>
      </c>
      <c r="PA18" s="6">
        <v>5</v>
      </c>
      <c r="PB18" s="35">
        <v>0.73124440626561871</v>
      </c>
      <c r="PC18" t="s">
        <v>1</v>
      </c>
      <c r="PE18" s="13" t="s">
        <v>428</v>
      </c>
      <c r="PF18" s="19" t="s">
        <v>46</v>
      </c>
      <c r="PG18" s="6">
        <v>8</v>
      </c>
      <c r="PH18" s="6">
        <v>5</v>
      </c>
      <c r="PI18" s="35">
        <v>0.73115550478501035</v>
      </c>
      <c r="PJ18" t="s">
        <v>1</v>
      </c>
    </row>
    <row r="19" spans="2:426" x14ac:dyDescent="0.35">
      <c r="B19" s="13" t="s">
        <v>316</v>
      </c>
      <c r="C19" s="16" t="s">
        <v>65</v>
      </c>
      <c r="D19" t="s">
        <v>327</v>
      </c>
      <c r="E19">
        <v>74</v>
      </c>
      <c r="G19" s="13" t="s">
        <v>316</v>
      </c>
      <c r="H19" s="19" t="s">
        <v>37</v>
      </c>
      <c r="I19" s="9" t="s">
        <v>379</v>
      </c>
      <c r="J19">
        <v>69</v>
      </c>
      <c r="K19" t="s">
        <v>390</v>
      </c>
      <c r="M19" s="13" t="s">
        <v>316</v>
      </c>
      <c r="N19" s="16" t="s">
        <v>71</v>
      </c>
      <c r="O19" s="9" t="s">
        <v>429</v>
      </c>
      <c r="P19">
        <v>84</v>
      </c>
      <c r="Q19" t="s">
        <v>390</v>
      </c>
      <c r="S19" s="13" t="s">
        <v>316</v>
      </c>
      <c r="T19" s="21" t="s">
        <v>119</v>
      </c>
      <c r="U19" t="s">
        <v>459</v>
      </c>
      <c r="V19">
        <v>81</v>
      </c>
      <c r="W19" s="22" t="s">
        <v>384</v>
      </c>
      <c r="Y19" s="13" t="s">
        <v>316</v>
      </c>
      <c r="Z19" s="19" t="s">
        <v>44</v>
      </c>
      <c r="AA19" s="9" t="s">
        <v>497</v>
      </c>
      <c r="AB19">
        <v>79</v>
      </c>
      <c r="AC19" t="s">
        <v>390</v>
      </c>
      <c r="AE19" s="13" t="s">
        <v>316</v>
      </c>
      <c r="AF19" s="16" t="s">
        <v>70</v>
      </c>
      <c r="AG19" t="s">
        <v>520</v>
      </c>
      <c r="AH19">
        <v>80</v>
      </c>
      <c r="AI19" s="22" t="s">
        <v>384</v>
      </c>
      <c r="AK19" s="13" t="s">
        <v>316</v>
      </c>
      <c r="AL19" s="16" t="s">
        <v>67</v>
      </c>
      <c r="AM19" t="s">
        <v>541</v>
      </c>
      <c r="AN19">
        <v>75</v>
      </c>
      <c r="AO19" s="22" t="s">
        <v>462</v>
      </c>
      <c r="AQ19" s="13" t="s">
        <v>316</v>
      </c>
      <c r="AR19" s="16" t="s">
        <v>70</v>
      </c>
      <c r="AS19" t="s">
        <v>561</v>
      </c>
      <c r="AT19">
        <v>78</v>
      </c>
      <c r="AU19" s="22" t="s">
        <v>432</v>
      </c>
      <c r="AW19" s="13" t="s">
        <v>316</v>
      </c>
      <c r="AX19" s="17" t="s">
        <v>47</v>
      </c>
      <c r="AY19">
        <v>7</v>
      </c>
      <c r="AZ19">
        <v>2</v>
      </c>
      <c r="BA19">
        <v>0.63674270364328311</v>
      </c>
      <c r="BB19" s="22" t="s">
        <v>381</v>
      </c>
      <c r="BD19" s="13" t="s">
        <v>316</v>
      </c>
      <c r="BE19" s="21" t="s">
        <v>25</v>
      </c>
      <c r="BF19">
        <v>6</v>
      </c>
      <c r="BG19">
        <v>4</v>
      </c>
      <c r="BH19" s="35">
        <v>0.62460736588877608</v>
      </c>
      <c r="BI19" s="22" t="s">
        <v>432</v>
      </c>
      <c r="BK19" s="13" t="s">
        <v>316</v>
      </c>
      <c r="BL19" s="21" t="s">
        <v>25</v>
      </c>
      <c r="BM19">
        <v>7</v>
      </c>
      <c r="BN19">
        <v>4</v>
      </c>
      <c r="BO19" s="35">
        <v>0.62842368492447709</v>
      </c>
      <c r="BP19" t="s">
        <v>1</v>
      </c>
      <c r="BR19" s="13" t="s">
        <v>316</v>
      </c>
      <c r="BS19" s="17" t="s">
        <v>47</v>
      </c>
      <c r="BT19">
        <v>9</v>
      </c>
      <c r="BU19">
        <v>3</v>
      </c>
      <c r="BV19" s="35">
        <v>0.64568541283437264</v>
      </c>
      <c r="BW19" s="8" t="s">
        <v>386</v>
      </c>
      <c r="BY19" s="13" t="s">
        <v>316</v>
      </c>
      <c r="BZ19" s="19" t="s">
        <v>44</v>
      </c>
      <c r="CA19">
        <v>9</v>
      </c>
      <c r="CB19">
        <v>4</v>
      </c>
      <c r="CC19" s="35">
        <v>0.63214403554144449</v>
      </c>
      <c r="CD19" s="8" t="s">
        <v>500</v>
      </c>
      <c r="CF19" s="13" t="s">
        <v>316</v>
      </c>
      <c r="CG19" s="19" t="s">
        <v>44</v>
      </c>
      <c r="CH19">
        <v>9</v>
      </c>
      <c r="CI19">
        <v>4</v>
      </c>
      <c r="CJ19" s="35">
        <v>0.59920245825473195</v>
      </c>
      <c r="CK19" s="8" t="s">
        <v>1</v>
      </c>
      <c r="CM19" s="13" t="s">
        <v>316</v>
      </c>
      <c r="CN19" s="21" t="s">
        <v>25</v>
      </c>
      <c r="CO19">
        <v>9</v>
      </c>
      <c r="CP19">
        <v>4</v>
      </c>
      <c r="CQ19" s="35">
        <v>0.50907965858025883</v>
      </c>
      <c r="CR19" s="8" t="s">
        <v>386</v>
      </c>
      <c r="CT19" s="13" t="s">
        <v>316</v>
      </c>
      <c r="CU19" s="16" t="s">
        <v>67</v>
      </c>
      <c r="CV19">
        <v>1</v>
      </c>
      <c r="CW19">
        <v>0</v>
      </c>
      <c r="CX19" s="35">
        <v>0.78951801223773699</v>
      </c>
      <c r="CY19" s="22" t="s">
        <v>432</v>
      </c>
      <c r="DA19" s="13" t="s">
        <v>316</v>
      </c>
      <c r="DB19" s="15" t="s">
        <v>74</v>
      </c>
      <c r="DC19">
        <v>2</v>
      </c>
      <c r="DD19">
        <v>0</v>
      </c>
      <c r="DE19" s="35">
        <v>0.77173078923168581</v>
      </c>
      <c r="DF19" t="s">
        <v>637</v>
      </c>
      <c r="DH19" s="13" t="s">
        <v>316</v>
      </c>
      <c r="DI19" s="15" t="s">
        <v>74</v>
      </c>
      <c r="DJ19">
        <v>2</v>
      </c>
      <c r="DK19">
        <v>0</v>
      </c>
      <c r="DL19" s="35">
        <v>0.77577119327208988</v>
      </c>
      <c r="DM19" t="s">
        <v>1</v>
      </c>
      <c r="DO19" s="13" t="s">
        <v>316</v>
      </c>
      <c r="DP19" s="17" t="s">
        <v>58</v>
      </c>
      <c r="DQ19">
        <v>2</v>
      </c>
      <c r="DR19">
        <v>1</v>
      </c>
      <c r="DS19" s="35">
        <v>0.71225899112343494</v>
      </c>
      <c r="DT19" t="s">
        <v>637</v>
      </c>
      <c r="DV19" s="13" t="s">
        <v>316</v>
      </c>
      <c r="DW19" s="16" t="s">
        <v>70</v>
      </c>
      <c r="DX19">
        <v>3</v>
      </c>
      <c r="DY19">
        <v>1</v>
      </c>
      <c r="DZ19" s="35">
        <v>0.71476793980486952</v>
      </c>
      <c r="EA19" s="22" t="s">
        <v>432</v>
      </c>
      <c r="EC19" s="13" t="s">
        <v>316</v>
      </c>
      <c r="ED19" s="15" t="s">
        <v>87</v>
      </c>
      <c r="EE19">
        <v>4</v>
      </c>
      <c r="EF19">
        <v>1</v>
      </c>
      <c r="EG19" s="35">
        <v>0.7087471719835341</v>
      </c>
      <c r="EH19" s="22" t="s">
        <v>462</v>
      </c>
      <c r="EJ19" s="13" t="s">
        <v>316</v>
      </c>
      <c r="EK19" s="19" t="s">
        <v>36</v>
      </c>
      <c r="EL19">
        <v>4</v>
      </c>
      <c r="EM19">
        <v>2</v>
      </c>
      <c r="EN19" s="35">
        <v>0.71430585166011018</v>
      </c>
      <c r="EO19" t="s">
        <v>637</v>
      </c>
      <c r="EQ19" s="13" t="s">
        <v>316</v>
      </c>
      <c r="ER19" s="17" t="s">
        <v>58</v>
      </c>
      <c r="ES19">
        <v>5</v>
      </c>
      <c r="ET19">
        <v>2</v>
      </c>
      <c r="EU19" s="35">
        <v>0.70771157602859769</v>
      </c>
      <c r="EV19" s="22" t="s">
        <v>393</v>
      </c>
      <c r="EX19" s="13" t="s">
        <v>316</v>
      </c>
      <c r="EY19" s="17" t="s">
        <v>300</v>
      </c>
      <c r="EZ19">
        <v>6</v>
      </c>
      <c r="FA19">
        <v>2</v>
      </c>
      <c r="FB19" s="35">
        <v>0.66751319430279521</v>
      </c>
      <c r="FC19" s="8" t="s">
        <v>565</v>
      </c>
      <c r="FE19" s="13" t="s">
        <v>316</v>
      </c>
      <c r="FF19" s="17" t="s">
        <v>300</v>
      </c>
      <c r="FG19">
        <v>7</v>
      </c>
      <c r="FH19">
        <v>2</v>
      </c>
      <c r="FI19" s="35">
        <v>0.68276397351779583</v>
      </c>
      <c r="FJ19" t="s">
        <v>1</v>
      </c>
      <c r="FL19" s="13" t="s">
        <v>316</v>
      </c>
      <c r="FM19" s="19" t="s">
        <v>36</v>
      </c>
      <c r="FN19">
        <v>7</v>
      </c>
      <c r="FO19">
        <v>3</v>
      </c>
      <c r="FP19" s="35">
        <v>0.63423818125543474</v>
      </c>
      <c r="FQ19" s="8" t="s">
        <v>387</v>
      </c>
      <c r="FS19" s="13" t="s">
        <v>316</v>
      </c>
      <c r="FT19" s="17" t="s">
        <v>53</v>
      </c>
      <c r="FU19">
        <v>8</v>
      </c>
      <c r="FV19">
        <v>3</v>
      </c>
      <c r="FW19" s="35">
        <v>0.59883551614156383</v>
      </c>
      <c r="FX19" s="8" t="s">
        <v>500</v>
      </c>
      <c r="FZ19" s="13" t="s">
        <v>316</v>
      </c>
      <c r="GA19" s="15" t="s">
        <v>75</v>
      </c>
      <c r="GB19">
        <v>8</v>
      </c>
      <c r="GC19">
        <v>4</v>
      </c>
      <c r="GD19" s="35">
        <v>0.60649610673457655</v>
      </c>
      <c r="GE19" t="s">
        <v>637</v>
      </c>
      <c r="GG19" s="13" t="s">
        <v>316</v>
      </c>
      <c r="GH19" s="19" t="s">
        <v>46</v>
      </c>
      <c r="GI19">
        <v>8</v>
      </c>
      <c r="GJ19">
        <v>4</v>
      </c>
      <c r="GK19" s="35">
        <v>0.62032491191379435</v>
      </c>
      <c r="GL19" s="8" t="s">
        <v>386</v>
      </c>
      <c r="GN19" s="13" t="s">
        <v>316</v>
      </c>
      <c r="GO19" s="19" t="s">
        <v>46</v>
      </c>
      <c r="GP19">
        <v>8</v>
      </c>
      <c r="GQ19">
        <v>4</v>
      </c>
      <c r="GR19" s="35">
        <v>0.61623959395735162</v>
      </c>
      <c r="GS19" t="s">
        <v>1</v>
      </c>
      <c r="GU19" s="13" t="s">
        <v>316</v>
      </c>
      <c r="GV19" s="19" t="s">
        <v>46</v>
      </c>
      <c r="GW19">
        <v>8</v>
      </c>
      <c r="GX19">
        <v>4</v>
      </c>
      <c r="GY19" s="35">
        <v>0.62386998437637542</v>
      </c>
      <c r="GZ19" t="s">
        <v>1</v>
      </c>
      <c r="HB19" s="13" t="s">
        <v>316</v>
      </c>
      <c r="HC19" s="19" t="s">
        <v>46</v>
      </c>
      <c r="HD19">
        <v>8</v>
      </c>
      <c r="HE19">
        <v>4</v>
      </c>
      <c r="HF19" s="35">
        <v>0.62041774714951647</v>
      </c>
      <c r="HG19" t="s">
        <v>1</v>
      </c>
      <c r="HI19" s="13" t="s">
        <v>316</v>
      </c>
      <c r="HJ19" s="19" t="s">
        <v>46</v>
      </c>
      <c r="HK19">
        <v>8</v>
      </c>
      <c r="HL19">
        <v>4</v>
      </c>
      <c r="HM19" s="35">
        <v>0.61396065798430388</v>
      </c>
      <c r="HN19" t="s">
        <v>1</v>
      </c>
      <c r="HP19" s="13" t="s">
        <v>316</v>
      </c>
      <c r="HQ19" s="69" t="s">
        <v>962</v>
      </c>
      <c r="HR19">
        <v>1</v>
      </c>
      <c r="HS19">
        <v>0</v>
      </c>
      <c r="HT19" s="35">
        <v>0.78168541659239343</v>
      </c>
      <c r="HU19" t="s">
        <v>637</v>
      </c>
      <c r="HW19" s="13" t="s">
        <v>316</v>
      </c>
      <c r="HX19" s="69" t="s">
        <v>962</v>
      </c>
      <c r="HY19">
        <v>2</v>
      </c>
      <c r="HZ19">
        <v>0</v>
      </c>
      <c r="IA19" s="35">
        <v>0.80514828029210506</v>
      </c>
      <c r="IB19" t="s">
        <v>1</v>
      </c>
      <c r="ID19" s="13" t="s">
        <v>316</v>
      </c>
      <c r="IE19" s="69" t="s">
        <v>961</v>
      </c>
      <c r="IF19">
        <v>2</v>
      </c>
      <c r="IG19">
        <v>1</v>
      </c>
      <c r="IH19" s="35">
        <v>0.75275914007876332</v>
      </c>
      <c r="II19" s="8" t="s">
        <v>435</v>
      </c>
      <c r="IK19" s="13" t="s">
        <v>316</v>
      </c>
      <c r="IL19" s="16" t="s">
        <v>66</v>
      </c>
      <c r="IM19">
        <v>3</v>
      </c>
      <c r="IN19">
        <v>1</v>
      </c>
      <c r="IO19" s="35">
        <v>0.76944410031605903</v>
      </c>
      <c r="IP19" s="22" t="s">
        <v>385</v>
      </c>
      <c r="IR19" s="13" t="s">
        <v>316</v>
      </c>
      <c r="IS19" s="15" t="s">
        <v>77</v>
      </c>
      <c r="IT19">
        <v>4</v>
      </c>
      <c r="IU19">
        <v>1</v>
      </c>
      <c r="IV19" s="35">
        <v>0.75010526719918103</v>
      </c>
      <c r="IW19" s="22" t="s">
        <v>393</v>
      </c>
      <c r="IY19" s="13" t="s">
        <v>316</v>
      </c>
      <c r="IZ19" s="21" t="s">
        <v>33</v>
      </c>
      <c r="JA19">
        <v>4</v>
      </c>
      <c r="JB19">
        <v>2</v>
      </c>
      <c r="JC19" s="35">
        <v>0.74197961168012005</v>
      </c>
      <c r="JD19" s="8" t="s">
        <v>386</v>
      </c>
      <c r="JF19" s="13" t="s">
        <v>316</v>
      </c>
      <c r="JG19" s="58" t="s">
        <v>785</v>
      </c>
      <c r="JH19" s="6">
        <v>6</v>
      </c>
      <c r="JI19" s="6">
        <v>1</v>
      </c>
      <c r="JJ19" s="35">
        <v>0.72209508241278086</v>
      </c>
      <c r="JK19" s="22" t="s">
        <v>385</v>
      </c>
      <c r="JM19" s="13" t="s">
        <v>316</v>
      </c>
      <c r="JN19" s="15" t="s">
        <v>78</v>
      </c>
      <c r="JO19" s="6">
        <v>6</v>
      </c>
      <c r="JP19" s="6">
        <v>2</v>
      </c>
      <c r="JQ19" s="35">
        <v>0.73761212999422732</v>
      </c>
      <c r="JR19" s="8" t="s">
        <v>501</v>
      </c>
      <c r="JT19" s="13" t="s">
        <v>316</v>
      </c>
      <c r="JU19" s="19" t="s">
        <v>40</v>
      </c>
      <c r="JV19" s="6">
        <v>7</v>
      </c>
      <c r="JW19" s="6">
        <v>1</v>
      </c>
      <c r="JX19" s="35">
        <v>0.74993278249153073</v>
      </c>
      <c r="JY19" s="8" t="s">
        <v>386</v>
      </c>
      <c r="JZ19" s="8" t="s">
        <v>464</v>
      </c>
      <c r="KB19" s="13" t="s">
        <v>316</v>
      </c>
      <c r="KC19" s="21" t="s">
        <v>33</v>
      </c>
      <c r="KD19" s="6">
        <v>6</v>
      </c>
      <c r="KE19" s="6">
        <v>3</v>
      </c>
      <c r="KF19" s="35">
        <v>0.764072763159656</v>
      </c>
      <c r="KG19" s="22" t="s">
        <v>434</v>
      </c>
      <c r="KI19" s="13" t="s">
        <v>316</v>
      </c>
      <c r="KJ19" s="58" t="s">
        <v>790</v>
      </c>
      <c r="KK19" s="6">
        <v>8</v>
      </c>
      <c r="KL19" s="6">
        <v>1</v>
      </c>
      <c r="KM19" s="35">
        <v>0.74949443945323135</v>
      </c>
      <c r="KN19" s="22" t="s">
        <v>393</v>
      </c>
      <c r="KP19" s="13" t="s">
        <v>316</v>
      </c>
      <c r="KQ19" s="16" t="s">
        <v>67</v>
      </c>
      <c r="KR19" s="6">
        <v>8</v>
      </c>
      <c r="KS19" s="6">
        <v>2</v>
      </c>
      <c r="KT19" s="35">
        <v>0.77035222114814772</v>
      </c>
      <c r="KU19" s="8" t="s">
        <v>383</v>
      </c>
      <c r="KW19" s="13" t="s">
        <v>316</v>
      </c>
      <c r="KX19" s="15" t="s">
        <v>85</v>
      </c>
      <c r="KY19" s="6">
        <v>7</v>
      </c>
      <c r="KZ19" s="6">
        <v>3</v>
      </c>
      <c r="LA19" s="35">
        <v>0.78190710103774819</v>
      </c>
      <c r="LB19" s="8" t="s">
        <v>386</v>
      </c>
      <c r="LD19" s="13" t="s">
        <v>316</v>
      </c>
      <c r="LE19" s="69" t="s">
        <v>962</v>
      </c>
      <c r="LF19" s="6">
        <v>8</v>
      </c>
      <c r="LG19" s="6">
        <v>3</v>
      </c>
      <c r="LH19" s="35">
        <v>0.77780231824049872</v>
      </c>
      <c r="LI19" s="22" t="s">
        <v>381</v>
      </c>
      <c r="LK19" s="13" t="s">
        <v>316</v>
      </c>
      <c r="LL19" s="16" t="s">
        <v>67</v>
      </c>
      <c r="LM19" s="6">
        <v>9</v>
      </c>
      <c r="LN19" s="6">
        <v>2</v>
      </c>
      <c r="LO19" s="35">
        <v>0.77412416654209804</v>
      </c>
      <c r="LP19" s="22" t="s">
        <v>381</v>
      </c>
      <c r="LR19" s="13" t="s">
        <v>316</v>
      </c>
      <c r="LS19" s="15" t="s">
        <v>83</v>
      </c>
      <c r="LT19" s="6">
        <v>9</v>
      </c>
      <c r="LU19" s="6">
        <v>3</v>
      </c>
      <c r="LV19" s="35">
        <v>0.75525763177857597</v>
      </c>
      <c r="LW19" s="8" t="s">
        <v>461</v>
      </c>
      <c r="LY19" s="13" t="s">
        <v>316</v>
      </c>
      <c r="LZ19" s="15" t="s">
        <v>83</v>
      </c>
      <c r="MA19" s="6">
        <v>9</v>
      </c>
      <c r="MB19" s="6">
        <v>3</v>
      </c>
      <c r="MC19" s="35">
        <v>0.74998973101414301</v>
      </c>
      <c r="MD19" t="s">
        <v>1</v>
      </c>
      <c r="MF19" s="13" t="s">
        <v>316</v>
      </c>
      <c r="MG19" s="58" t="s">
        <v>790</v>
      </c>
      <c r="MH19" s="6">
        <v>11</v>
      </c>
      <c r="MI19" s="6">
        <v>2</v>
      </c>
      <c r="MJ19" s="35">
        <v>0.75658858943218943</v>
      </c>
      <c r="MK19" s="22" t="s">
        <v>432</v>
      </c>
      <c r="MM19" s="13" t="s">
        <v>316</v>
      </c>
      <c r="MN19" s="15" t="s">
        <v>73</v>
      </c>
      <c r="MO19" s="6">
        <v>10</v>
      </c>
      <c r="MP19" s="6">
        <v>3</v>
      </c>
      <c r="MQ19" s="35">
        <v>0.74187662164090296</v>
      </c>
      <c r="MR19" s="22" t="s">
        <v>381</v>
      </c>
      <c r="MT19" s="13" t="s">
        <v>316</v>
      </c>
      <c r="MU19" s="15" t="s">
        <v>83</v>
      </c>
      <c r="MV19" s="6">
        <v>10</v>
      </c>
      <c r="MW19" s="6">
        <v>3</v>
      </c>
      <c r="MX19" s="35">
        <v>0.74408671911661728</v>
      </c>
      <c r="MY19" s="8" t="s">
        <v>386</v>
      </c>
      <c r="NA19" s="13" t="s">
        <v>316</v>
      </c>
      <c r="NB19" s="19" t="s">
        <v>46</v>
      </c>
      <c r="NC19" s="6">
        <v>8</v>
      </c>
      <c r="ND19" s="6">
        <v>5</v>
      </c>
      <c r="NE19" s="35">
        <v>0.73374241012575214</v>
      </c>
      <c r="NF19" s="22" t="s">
        <v>432</v>
      </c>
      <c r="NH19" s="13" t="s">
        <v>316</v>
      </c>
      <c r="NI19" s="19" t="s">
        <v>46</v>
      </c>
      <c r="NJ19" s="6">
        <v>8</v>
      </c>
      <c r="NK19" s="6">
        <v>5</v>
      </c>
      <c r="NL19" s="35">
        <v>0.72755820077524547</v>
      </c>
      <c r="NM19" t="s">
        <v>1</v>
      </c>
      <c r="NO19" s="13" t="s">
        <v>316</v>
      </c>
      <c r="NP19" s="58" t="s">
        <v>790</v>
      </c>
      <c r="NQ19" s="6">
        <v>8</v>
      </c>
      <c r="NR19" s="6">
        <v>5</v>
      </c>
      <c r="NS19" s="35">
        <v>0.72568128220528783</v>
      </c>
      <c r="NT19" s="8" t="s">
        <v>386</v>
      </c>
      <c r="NV19" s="13" t="s">
        <v>316</v>
      </c>
      <c r="NW19" s="58" t="s">
        <v>790</v>
      </c>
      <c r="NX19" s="6">
        <v>8</v>
      </c>
      <c r="NY19" s="6">
        <v>5</v>
      </c>
      <c r="NZ19" s="35">
        <v>0.72471004261946237</v>
      </c>
      <c r="OA19" t="s">
        <v>1</v>
      </c>
      <c r="OC19" s="13" t="s">
        <v>316</v>
      </c>
      <c r="OD19" s="58" t="s">
        <v>790</v>
      </c>
      <c r="OE19" s="6">
        <v>11</v>
      </c>
      <c r="OF19" s="6">
        <v>2</v>
      </c>
      <c r="OG19" s="35">
        <v>0.71483164972606728</v>
      </c>
      <c r="OH19" t="s">
        <v>1</v>
      </c>
      <c r="OJ19" s="13" t="s">
        <v>316</v>
      </c>
      <c r="OK19" s="58" t="s">
        <v>790</v>
      </c>
      <c r="OL19" s="6">
        <v>11</v>
      </c>
      <c r="OM19" s="6">
        <v>2</v>
      </c>
      <c r="ON19" s="35">
        <v>0.7139199169492022</v>
      </c>
      <c r="OO19" t="s">
        <v>1</v>
      </c>
      <c r="OQ19" s="13" t="s">
        <v>316</v>
      </c>
      <c r="OR19" s="58" t="s">
        <v>790</v>
      </c>
      <c r="OS19" s="6">
        <v>11</v>
      </c>
      <c r="OT19" s="6">
        <v>2</v>
      </c>
      <c r="OU19" s="35">
        <v>0.72068054226692269</v>
      </c>
      <c r="OV19" t="s">
        <v>1</v>
      </c>
      <c r="OX19" s="13" t="s">
        <v>316</v>
      </c>
      <c r="OY19" s="58" t="s">
        <v>790</v>
      </c>
      <c r="OZ19" s="6">
        <v>11</v>
      </c>
      <c r="PA19" s="6">
        <v>2</v>
      </c>
      <c r="PB19" s="35">
        <v>0.72906814327193292</v>
      </c>
      <c r="PC19" t="s">
        <v>1</v>
      </c>
      <c r="PE19" s="13" t="s">
        <v>316</v>
      </c>
      <c r="PF19" s="58" t="s">
        <v>790</v>
      </c>
      <c r="PG19" s="6">
        <v>11</v>
      </c>
      <c r="PH19" s="6">
        <v>2</v>
      </c>
      <c r="PI19" s="35">
        <v>0.72898829140009713</v>
      </c>
      <c r="PJ19" t="s">
        <v>1</v>
      </c>
    </row>
    <row r="20" spans="2:426" x14ac:dyDescent="0.35">
      <c r="B20" s="13" t="s">
        <v>317</v>
      </c>
      <c r="C20" s="15" t="s">
        <v>78</v>
      </c>
      <c r="D20" t="s">
        <v>327</v>
      </c>
      <c r="E20">
        <v>73</v>
      </c>
      <c r="G20" s="13" t="s">
        <v>317</v>
      </c>
      <c r="H20" s="21" t="s">
        <v>1860</v>
      </c>
      <c r="I20" t="s">
        <v>378</v>
      </c>
      <c r="J20">
        <v>68</v>
      </c>
      <c r="K20" t="s">
        <v>390</v>
      </c>
      <c r="M20" s="13" t="s">
        <v>317</v>
      </c>
      <c r="N20" s="15" t="s">
        <v>74</v>
      </c>
      <c r="O20" s="9" t="s">
        <v>430</v>
      </c>
      <c r="P20">
        <v>81</v>
      </c>
      <c r="Q20" t="s">
        <v>390</v>
      </c>
      <c r="S20" s="13" t="s">
        <v>317</v>
      </c>
      <c r="T20" s="17" t="s">
        <v>50</v>
      </c>
      <c r="U20" t="s">
        <v>459</v>
      </c>
      <c r="V20">
        <v>77</v>
      </c>
      <c r="W20" s="22" t="s">
        <v>381</v>
      </c>
      <c r="Y20" s="13" t="s">
        <v>317</v>
      </c>
      <c r="Z20" s="17" t="s">
        <v>47</v>
      </c>
      <c r="AA20" t="s">
        <v>498</v>
      </c>
      <c r="AB20">
        <v>75</v>
      </c>
      <c r="AC20" s="22" t="s">
        <v>393</v>
      </c>
      <c r="AE20" s="13" t="s">
        <v>317</v>
      </c>
      <c r="AF20" s="19" t="s">
        <v>40</v>
      </c>
      <c r="AG20" t="s">
        <v>520</v>
      </c>
      <c r="AH20">
        <v>70</v>
      </c>
      <c r="AI20" s="8" t="s">
        <v>464</v>
      </c>
      <c r="AK20" s="13" t="s">
        <v>317</v>
      </c>
      <c r="AL20" s="21" t="s">
        <v>25</v>
      </c>
      <c r="AM20" s="9" t="s">
        <v>542</v>
      </c>
      <c r="AN20">
        <v>70</v>
      </c>
      <c r="AO20" s="22" t="s">
        <v>432</v>
      </c>
      <c r="AQ20" s="13" t="s">
        <v>317</v>
      </c>
      <c r="AR20" s="17" t="s">
        <v>47</v>
      </c>
      <c r="AS20" t="s">
        <v>562</v>
      </c>
      <c r="AT20">
        <v>72</v>
      </c>
      <c r="AU20" s="22" t="s">
        <v>384</v>
      </c>
      <c r="AW20" s="13" t="s">
        <v>317</v>
      </c>
      <c r="AX20" s="19" t="s">
        <v>40</v>
      </c>
      <c r="AY20" s="9">
        <v>5</v>
      </c>
      <c r="AZ20" s="9">
        <v>4</v>
      </c>
      <c r="BA20">
        <v>0.6265929699138203</v>
      </c>
      <c r="BB20" s="22" t="s">
        <v>393</v>
      </c>
      <c r="BD20" s="13" t="s">
        <v>317</v>
      </c>
      <c r="BE20" s="16" t="s">
        <v>70</v>
      </c>
      <c r="BF20">
        <v>6</v>
      </c>
      <c r="BG20">
        <v>4</v>
      </c>
      <c r="BH20" s="35">
        <v>0.59930703943705121</v>
      </c>
      <c r="BI20" s="22" t="s">
        <v>385</v>
      </c>
      <c r="BK20" s="13" t="s">
        <v>317</v>
      </c>
      <c r="BL20" s="16" t="s">
        <v>67</v>
      </c>
      <c r="BM20">
        <v>6</v>
      </c>
      <c r="BN20">
        <v>5</v>
      </c>
      <c r="BO20" s="35">
        <v>0.61524518795199223</v>
      </c>
      <c r="BP20" s="8" t="s">
        <v>383</v>
      </c>
      <c r="BR20" s="13" t="s">
        <v>317</v>
      </c>
      <c r="BS20" s="21" t="s">
        <v>34</v>
      </c>
      <c r="BT20">
        <v>7</v>
      </c>
      <c r="BU20">
        <v>5</v>
      </c>
      <c r="BV20" s="35">
        <v>0.63836172929932222</v>
      </c>
      <c r="BW20" s="22" t="s">
        <v>432</v>
      </c>
      <c r="BY20" s="13" t="s">
        <v>317</v>
      </c>
      <c r="BZ20" s="21" t="s">
        <v>31</v>
      </c>
      <c r="CA20">
        <v>7</v>
      </c>
      <c r="CB20">
        <v>6</v>
      </c>
      <c r="CC20" s="35">
        <v>0.62310250518592303</v>
      </c>
      <c r="CD20" s="22" t="s">
        <v>432</v>
      </c>
      <c r="CF20" s="13" t="s">
        <v>317</v>
      </c>
      <c r="CG20" s="21" t="s">
        <v>31</v>
      </c>
      <c r="CH20">
        <v>7</v>
      </c>
      <c r="CI20">
        <v>6</v>
      </c>
      <c r="CJ20" s="35">
        <v>0.58629526922298247</v>
      </c>
      <c r="CK20" s="22" t="s">
        <v>1</v>
      </c>
      <c r="CM20" s="13" t="s">
        <v>317</v>
      </c>
      <c r="CN20" s="15" t="s">
        <v>74</v>
      </c>
      <c r="CO20" s="9">
        <v>8</v>
      </c>
      <c r="CP20" s="9">
        <v>5</v>
      </c>
      <c r="CQ20" s="35">
        <v>0.48959076128705037</v>
      </c>
      <c r="CR20" s="22" t="s">
        <v>393</v>
      </c>
      <c r="CT20" s="13" t="s">
        <v>317</v>
      </c>
      <c r="CU20" s="17" t="s">
        <v>47</v>
      </c>
      <c r="CV20">
        <v>1</v>
      </c>
      <c r="CW20">
        <v>0</v>
      </c>
      <c r="CX20" s="35">
        <v>0.78904752371687648</v>
      </c>
      <c r="CY20" s="8" t="s">
        <v>387</v>
      </c>
      <c r="DA20" s="13" t="s">
        <v>317</v>
      </c>
      <c r="DB20" s="21" t="s">
        <v>24</v>
      </c>
      <c r="DC20">
        <v>2</v>
      </c>
      <c r="DD20">
        <v>0</v>
      </c>
      <c r="DE20" s="35">
        <v>0.76734503941698029</v>
      </c>
      <c r="DF20" s="22" t="s">
        <v>385</v>
      </c>
      <c r="DH20" s="13" t="s">
        <v>317</v>
      </c>
      <c r="DI20" s="17" t="s">
        <v>57</v>
      </c>
      <c r="DJ20">
        <v>2</v>
      </c>
      <c r="DK20">
        <v>0</v>
      </c>
      <c r="DL20" s="35">
        <v>0.77157391985473567</v>
      </c>
      <c r="DM20" s="22" t="s">
        <v>381</v>
      </c>
      <c r="DO20" s="13" t="s">
        <v>317</v>
      </c>
      <c r="DP20" s="58" t="s">
        <v>792</v>
      </c>
      <c r="DQ20">
        <v>3</v>
      </c>
      <c r="DR20">
        <v>0</v>
      </c>
      <c r="DS20" s="35">
        <v>0.70563432857174146</v>
      </c>
      <c r="DT20" s="22" t="s">
        <v>393</v>
      </c>
      <c r="DV20" s="13" t="s">
        <v>317</v>
      </c>
      <c r="DW20" s="21" t="s">
        <v>292</v>
      </c>
      <c r="DX20">
        <v>3</v>
      </c>
      <c r="DY20">
        <v>1</v>
      </c>
      <c r="DZ20" s="35">
        <v>0.70621206324119035</v>
      </c>
      <c r="EA20" t="s">
        <v>637</v>
      </c>
      <c r="EC20" s="13" t="s">
        <v>317</v>
      </c>
      <c r="ED20" s="19" t="s">
        <v>37</v>
      </c>
      <c r="EE20">
        <v>4</v>
      </c>
      <c r="EF20">
        <v>1</v>
      </c>
      <c r="EG20" s="35">
        <v>0.70420010858785054</v>
      </c>
      <c r="EH20" t="s">
        <v>637</v>
      </c>
      <c r="EJ20" s="13" t="s">
        <v>317</v>
      </c>
      <c r="EK20" s="16" t="s">
        <v>114</v>
      </c>
      <c r="EL20">
        <v>4</v>
      </c>
      <c r="EM20">
        <v>2</v>
      </c>
      <c r="EN20" s="35">
        <v>0.7116527626489656</v>
      </c>
      <c r="EO20" s="8" t="s">
        <v>501</v>
      </c>
      <c r="EQ20" s="13" t="s">
        <v>317</v>
      </c>
      <c r="ER20" s="19" t="s">
        <v>36</v>
      </c>
      <c r="ES20">
        <v>5</v>
      </c>
      <c r="ET20">
        <v>2</v>
      </c>
      <c r="EU20" s="35">
        <v>0.70361314007425402</v>
      </c>
      <c r="EV20" s="8" t="s">
        <v>386</v>
      </c>
      <c r="EX20" s="13" t="s">
        <v>317</v>
      </c>
      <c r="EY20" s="19" t="s">
        <v>37</v>
      </c>
      <c r="EZ20">
        <v>6</v>
      </c>
      <c r="FA20">
        <v>2</v>
      </c>
      <c r="FB20" s="35">
        <v>0.66402063969232561</v>
      </c>
      <c r="FC20" s="22" t="s">
        <v>432</v>
      </c>
      <c r="FE20" s="13" t="s">
        <v>317</v>
      </c>
      <c r="FF20" s="15" t="s">
        <v>79</v>
      </c>
      <c r="FG20">
        <v>6</v>
      </c>
      <c r="FH20">
        <v>3</v>
      </c>
      <c r="FI20" s="35">
        <v>0.68035533976546581</v>
      </c>
      <c r="FJ20" s="22" t="s">
        <v>384</v>
      </c>
      <c r="FL20" s="13" t="s">
        <v>317</v>
      </c>
      <c r="FM20" s="15" t="s">
        <v>88</v>
      </c>
      <c r="FN20">
        <v>6</v>
      </c>
      <c r="FO20">
        <v>4</v>
      </c>
      <c r="FP20" s="35">
        <v>0.62724116863104729</v>
      </c>
      <c r="FQ20" s="22" t="s">
        <v>384</v>
      </c>
      <c r="FS20" s="13" t="s">
        <v>317</v>
      </c>
      <c r="FT20" s="15" t="s">
        <v>79</v>
      </c>
      <c r="FU20">
        <v>7</v>
      </c>
      <c r="FV20">
        <v>4</v>
      </c>
      <c r="FW20" s="35">
        <v>0.59099660930356235</v>
      </c>
      <c r="FX20" s="8" t="s">
        <v>383</v>
      </c>
      <c r="FZ20" s="13" t="s">
        <v>317</v>
      </c>
      <c r="GA20" s="19" t="s">
        <v>43</v>
      </c>
      <c r="GB20">
        <v>7</v>
      </c>
      <c r="GC20">
        <v>5</v>
      </c>
      <c r="GD20" s="35">
        <v>0.57361259261156994</v>
      </c>
      <c r="GE20" t="s">
        <v>637</v>
      </c>
      <c r="GG20" s="13" t="s">
        <v>317</v>
      </c>
      <c r="GH20" s="15" t="s">
        <v>75</v>
      </c>
      <c r="GI20">
        <v>8</v>
      </c>
      <c r="GJ20">
        <v>5</v>
      </c>
      <c r="GK20" s="35">
        <v>0.61952255260144828</v>
      </c>
      <c r="GL20" s="8" t="s">
        <v>386</v>
      </c>
      <c r="GN20" s="13" t="s">
        <v>317</v>
      </c>
      <c r="GO20" s="15" t="s">
        <v>75</v>
      </c>
      <c r="GP20">
        <v>8</v>
      </c>
      <c r="GQ20">
        <v>5</v>
      </c>
      <c r="GR20" s="35">
        <v>0.60874788770416666</v>
      </c>
      <c r="GS20" t="s">
        <v>1</v>
      </c>
      <c r="GU20" s="13" t="s">
        <v>317</v>
      </c>
      <c r="GV20" s="15" t="s">
        <v>75</v>
      </c>
      <c r="GW20">
        <v>8</v>
      </c>
      <c r="GX20">
        <v>5</v>
      </c>
      <c r="GY20" s="35">
        <v>0.61181636821386332</v>
      </c>
      <c r="GZ20" t="s">
        <v>1</v>
      </c>
      <c r="HB20" s="13" t="s">
        <v>317</v>
      </c>
      <c r="HC20" s="15" t="s">
        <v>75</v>
      </c>
      <c r="HD20">
        <v>8</v>
      </c>
      <c r="HE20">
        <v>5</v>
      </c>
      <c r="HF20" s="35">
        <v>0.60662781653806408</v>
      </c>
      <c r="HG20" t="s">
        <v>1</v>
      </c>
      <c r="HI20" s="13" t="s">
        <v>317</v>
      </c>
      <c r="HJ20" s="15" t="s">
        <v>75</v>
      </c>
      <c r="HK20">
        <v>8</v>
      </c>
      <c r="HL20">
        <v>5</v>
      </c>
      <c r="HM20" s="35">
        <v>0.59767930248935364</v>
      </c>
      <c r="HN20" t="s">
        <v>1</v>
      </c>
      <c r="HP20" s="13" t="s">
        <v>317</v>
      </c>
      <c r="HQ20" s="21" t="s">
        <v>26</v>
      </c>
      <c r="HR20">
        <v>1</v>
      </c>
      <c r="HS20">
        <v>0</v>
      </c>
      <c r="HT20" s="35">
        <v>0.77818343647424637</v>
      </c>
      <c r="HU20" s="8" t="s">
        <v>502</v>
      </c>
      <c r="HW20" s="13" t="s">
        <v>317</v>
      </c>
      <c r="HX20" s="17" t="s">
        <v>50</v>
      </c>
      <c r="HY20">
        <v>2</v>
      </c>
      <c r="HZ20">
        <v>0</v>
      </c>
      <c r="IA20" s="35">
        <v>0.79630612956897495</v>
      </c>
      <c r="IB20" t="s">
        <v>637</v>
      </c>
      <c r="ID20" s="13" t="s">
        <v>317</v>
      </c>
      <c r="IE20" s="17" t="s">
        <v>49</v>
      </c>
      <c r="IF20">
        <v>2</v>
      </c>
      <c r="IG20">
        <v>1</v>
      </c>
      <c r="IH20" s="35">
        <v>0.74491230223514382</v>
      </c>
      <c r="II20" t="s">
        <v>637</v>
      </c>
      <c r="IK20" s="13" t="s">
        <v>317</v>
      </c>
      <c r="IL20" s="69" t="s">
        <v>965</v>
      </c>
      <c r="IM20">
        <v>3</v>
      </c>
      <c r="IN20">
        <v>1</v>
      </c>
      <c r="IO20" s="35">
        <v>0.76760283863888568</v>
      </c>
      <c r="IP20" t="s">
        <v>637</v>
      </c>
      <c r="IR20" s="13" t="s">
        <v>317</v>
      </c>
      <c r="IS20" s="17" t="s">
        <v>50</v>
      </c>
      <c r="IT20">
        <v>4</v>
      </c>
      <c r="IU20">
        <v>1</v>
      </c>
      <c r="IV20" s="35">
        <v>0.73619223195789341</v>
      </c>
      <c r="IW20" s="22" t="s">
        <v>462</v>
      </c>
      <c r="IY20" s="13" t="s">
        <v>317</v>
      </c>
      <c r="IZ20" s="21" t="s">
        <v>34</v>
      </c>
      <c r="JA20">
        <v>4</v>
      </c>
      <c r="JB20">
        <v>2</v>
      </c>
      <c r="JC20" s="35">
        <v>0.73908056203102179</v>
      </c>
      <c r="JD20" t="s">
        <v>637</v>
      </c>
      <c r="JF20" s="13" t="s">
        <v>317</v>
      </c>
      <c r="JG20" s="15" t="s">
        <v>83</v>
      </c>
      <c r="JH20" s="6">
        <v>5</v>
      </c>
      <c r="JI20" s="6">
        <v>2</v>
      </c>
      <c r="JJ20" s="35">
        <v>0.71899704378906815</v>
      </c>
      <c r="JK20" s="22" t="s">
        <v>462</v>
      </c>
      <c r="JM20" s="13" t="s">
        <v>317</v>
      </c>
      <c r="JN20" s="16" t="s">
        <v>67</v>
      </c>
      <c r="JO20" s="6">
        <v>6</v>
      </c>
      <c r="JP20" s="6">
        <v>2</v>
      </c>
      <c r="JQ20" s="35">
        <v>0.7142538535773183</v>
      </c>
      <c r="JR20" t="s">
        <v>637</v>
      </c>
      <c r="JT20" s="13" t="s">
        <v>317</v>
      </c>
      <c r="JU20" s="16" t="s">
        <v>71</v>
      </c>
      <c r="JV20" s="6">
        <v>7</v>
      </c>
      <c r="JW20" s="6">
        <v>1</v>
      </c>
      <c r="JX20" s="35">
        <v>0.74950510361184386</v>
      </c>
      <c r="JY20" t="s">
        <v>637</v>
      </c>
      <c r="JZ20" t="s">
        <v>637</v>
      </c>
      <c r="KB20" s="13" t="s">
        <v>317</v>
      </c>
      <c r="KC20" s="69" t="s">
        <v>962</v>
      </c>
      <c r="KD20" s="6">
        <v>6</v>
      </c>
      <c r="KE20" s="6">
        <v>3</v>
      </c>
      <c r="KF20" s="35">
        <v>0.75918751086045211</v>
      </c>
      <c r="KG20" s="8" t="s">
        <v>383</v>
      </c>
      <c r="KI20" s="13" t="s">
        <v>317</v>
      </c>
      <c r="KJ20" s="15" t="s">
        <v>83</v>
      </c>
      <c r="KK20" s="6">
        <v>7</v>
      </c>
      <c r="KL20" s="6">
        <v>2</v>
      </c>
      <c r="KM20" s="35">
        <v>0.74750471678793917</v>
      </c>
      <c r="KN20" s="8" t="s">
        <v>461</v>
      </c>
      <c r="KP20" s="13" t="s">
        <v>317</v>
      </c>
      <c r="KQ20" s="58" t="s">
        <v>790</v>
      </c>
      <c r="KR20" s="6">
        <v>9</v>
      </c>
      <c r="KS20" s="6">
        <v>1</v>
      </c>
      <c r="KT20" s="35">
        <v>0.76644567775263772</v>
      </c>
      <c r="KU20" s="8" t="s">
        <v>386</v>
      </c>
      <c r="KW20" s="13" t="s">
        <v>317</v>
      </c>
      <c r="KX20" s="69" t="s">
        <v>962</v>
      </c>
      <c r="KY20" s="6">
        <v>7</v>
      </c>
      <c r="KZ20" s="6">
        <v>3</v>
      </c>
      <c r="LA20" s="35">
        <v>0.78182415193681576</v>
      </c>
      <c r="LB20" s="22" t="s">
        <v>381</v>
      </c>
      <c r="LD20" s="13" t="s">
        <v>317</v>
      </c>
      <c r="LE20" s="16" t="s">
        <v>67</v>
      </c>
      <c r="LF20" s="6">
        <v>9</v>
      </c>
      <c r="LG20" s="6">
        <v>2</v>
      </c>
      <c r="LH20" s="35">
        <v>0.77608085706847585</v>
      </c>
      <c r="LI20" s="22" t="s">
        <v>381</v>
      </c>
      <c r="LK20" s="13" t="s">
        <v>317</v>
      </c>
      <c r="LL20" s="16" t="s">
        <v>69</v>
      </c>
      <c r="LM20" s="6">
        <v>6</v>
      </c>
      <c r="LN20" s="6">
        <v>5</v>
      </c>
      <c r="LO20" s="35">
        <v>0.77356874196946579</v>
      </c>
      <c r="LP20" s="22" t="s">
        <v>381</v>
      </c>
      <c r="LR20" s="13" t="s">
        <v>317</v>
      </c>
      <c r="LS20" s="15" t="s">
        <v>85</v>
      </c>
      <c r="LT20" s="6">
        <v>8</v>
      </c>
      <c r="LU20" s="6">
        <v>4</v>
      </c>
      <c r="LV20" s="35">
        <v>0.75221897372467972</v>
      </c>
      <c r="LW20" s="22" t="s">
        <v>432</v>
      </c>
      <c r="LY20" s="13" t="s">
        <v>317</v>
      </c>
      <c r="LZ20" s="15" t="s">
        <v>85</v>
      </c>
      <c r="MA20" s="6">
        <v>8</v>
      </c>
      <c r="MB20" s="6">
        <v>4</v>
      </c>
      <c r="MC20" s="35">
        <v>0.74830415874677558</v>
      </c>
      <c r="MD20" t="s">
        <v>1</v>
      </c>
      <c r="MF20" s="13" t="s">
        <v>317</v>
      </c>
      <c r="MG20" s="15" t="s">
        <v>73</v>
      </c>
      <c r="MH20" s="6">
        <v>10</v>
      </c>
      <c r="MI20" s="6">
        <v>3</v>
      </c>
      <c r="MJ20" s="35">
        <v>0.75427057372186657</v>
      </c>
      <c r="MK20" s="22" t="s">
        <v>393</v>
      </c>
      <c r="MM20" s="13" t="s">
        <v>317</v>
      </c>
      <c r="MN20" s="58" t="s">
        <v>790</v>
      </c>
      <c r="MO20" s="6">
        <v>11</v>
      </c>
      <c r="MP20" s="6">
        <v>2</v>
      </c>
      <c r="MQ20" s="35">
        <v>0.74159778385892305</v>
      </c>
      <c r="MR20" s="8" t="s">
        <v>386</v>
      </c>
      <c r="MT20" s="13" t="s">
        <v>317</v>
      </c>
      <c r="MU20" s="58" t="s">
        <v>790</v>
      </c>
      <c r="MV20" s="6">
        <v>11</v>
      </c>
      <c r="MW20" s="6">
        <v>2</v>
      </c>
      <c r="MX20" s="35">
        <v>0.74155888714865636</v>
      </c>
      <c r="MY20" t="s">
        <v>1</v>
      </c>
      <c r="NA20" s="13" t="s">
        <v>317</v>
      </c>
      <c r="NB20" s="69" t="s">
        <v>962</v>
      </c>
      <c r="NC20" s="6">
        <v>10</v>
      </c>
      <c r="ND20" s="6">
        <v>4</v>
      </c>
      <c r="NE20" s="35">
        <v>0.72523481385638278</v>
      </c>
      <c r="NF20" s="8" t="s">
        <v>387</v>
      </c>
      <c r="NH20" s="13" t="s">
        <v>317</v>
      </c>
      <c r="NI20" s="69" t="s">
        <v>962</v>
      </c>
      <c r="NJ20" s="6">
        <v>10</v>
      </c>
      <c r="NK20" s="6">
        <v>4</v>
      </c>
      <c r="NL20" s="35">
        <v>0.71895354729443339</v>
      </c>
      <c r="NM20" t="s">
        <v>1</v>
      </c>
      <c r="NO20" s="13" t="s">
        <v>317</v>
      </c>
      <c r="NP20" s="69" t="s">
        <v>966</v>
      </c>
      <c r="NQ20" s="6">
        <v>10</v>
      </c>
      <c r="NR20" s="6">
        <v>4</v>
      </c>
      <c r="NS20" s="35">
        <v>0.71677241728602359</v>
      </c>
      <c r="NT20" s="22" t="s">
        <v>381</v>
      </c>
      <c r="NV20" s="13" t="s">
        <v>317</v>
      </c>
      <c r="NW20" s="69" t="s">
        <v>966</v>
      </c>
      <c r="NX20" s="6">
        <v>10</v>
      </c>
      <c r="NY20" s="6">
        <v>4</v>
      </c>
      <c r="NZ20" s="35">
        <v>0.71563055096017514</v>
      </c>
      <c r="OA20" t="s">
        <v>1</v>
      </c>
      <c r="OC20" s="13" t="s">
        <v>317</v>
      </c>
      <c r="OD20" s="69" t="s">
        <v>966</v>
      </c>
      <c r="OE20" s="6">
        <v>10</v>
      </c>
      <c r="OF20" s="6">
        <v>3</v>
      </c>
      <c r="OG20" s="35">
        <v>0.70611662250235663</v>
      </c>
      <c r="OH20" t="s">
        <v>1</v>
      </c>
      <c r="OJ20" s="13" t="s">
        <v>317</v>
      </c>
      <c r="OK20" s="69" t="s">
        <v>966</v>
      </c>
      <c r="OL20" s="6">
        <v>10</v>
      </c>
      <c r="OM20" s="6">
        <v>3</v>
      </c>
      <c r="ON20" s="35">
        <v>0.70593355024267712</v>
      </c>
      <c r="OO20" t="s">
        <v>1</v>
      </c>
      <c r="OQ20" s="13" t="s">
        <v>317</v>
      </c>
      <c r="OR20" s="69" t="s">
        <v>966</v>
      </c>
      <c r="OS20" s="6">
        <v>10</v>
      </c>
      <c r="OT20" s="6">
        <v>3</v>
      </c>
      <c r="OU20" s="35">
        <v>0.7119807661609695</v>
      </c>
      <c r="OV20" t="s">
        <v>1</v>
      </c>
      <c r="OX20" s="13" t="s">
        <v>317</v>
      </c>
      <c r="OY20" s="69" t="s">
        <v>966</v>
      </c>
      <c r="OZ20" s="6">
        <v>10</v>
      </c>
      <c r="PA20" s="6">
        <v>3</v>
      </c>
      <c r="PB20" s="35">
        <v>0.72047483558338832</v>
      </c>
      <c r="PC20" t="s">
        <v>1</v>
      </c>
      <c r="PE20" s="13" t="s">
        <v>317</v>
      </c>
      <c r="PF20" s="69" t="s">
        <v>966</v>
      </c>
      <c r="PG20" s="6">
        <v>10</v>
      </c>
      <c r="PH20" s="6">
        <v>3</v>
      </c>
      <c r="PI20" s="35">
        <v>0.72033639667955618</v>
      </c>
      <c r="PJ20" t="s">
        <v>1</v>
      </c>
    </row>
    <row r="21" spans="2:426" x14ac:dyDescent="0.35">
      <c r="B21" s="13" t="s">
        <v>318</v>
      </c>
      <c r="C21" s="16" t="s">
        <v>71</v>
      </c>
      <c r="D21" t="s">
        <v>327</v>
      </c>
      <c r="E21">
        <v>70</v>
      </c>
      <c r="G21" s="13" t="s">
        <v>318</v>
      </c>
      <c r="H21" s="21" t="s">
        <v>33</v>
      </c>
      <c r="I21" t="s">
        <v>378</v>
      </c>
      <c r="J21">
        <v>65</v>
      </c>
      <c r="K21" t="s">
        <v>390</v>
      </c>
      <c r="M21" s="13" t="s">
        <v>318</v>
      </c>
      <c r="N21" s="17" t="s">
        <v>50</v>
      </c>
      <c r="O21" s="9" t="s">
        <v>430</v>
      </c>
      <c r="P21">
        <v>79</v>
      </c>
      <c r="Q21" t="s">
        <v>390</v>
      </c>
      <c r="S21" s="13" t="s">
        <v>318</v>
      </c>
      <c r="T21" s="21" t="s">
        <v>32</v>
      </c>
      <c r="U21" t="s">
        <v>459</v>
      </c>
      <c r="V21">
        <v>74</v>
      </c>
      <c r="W21" t="s">
        <v>390</v>
      </c>
      <c r="Y21" s="13" t="s">
        <v>318</v>
      </c>
      <c r="Z21" s="21" t="s">
        <v>32</v>
      </c>
      <c r="AA21" t="s">
        <v>498</v>
      </c>
      <c r="AB21">
        <v>74</v>
      </c>
      <c r="AC21" t="s">
        <v>1</v>
      </c>
      <c r="AE21" s="13" t="s">
        <v>318</v>
      </c>
      <c r="AF21" s="17" t="s">
        <v>48</v>
      </c>
      <c r="AG21" t="s">
        <v>520</v>
      </c>
      <c r="AH21">
        <v>65</v>
      </c>
      <c r="AI21" t="s">
        <v>390</v>
      </c>
      <c r="AK21" s="13" t="s">
        <v>318</v>
      </c>
      <c r="AL21" s="16" t="s">
        <v>70</v>
      </c>
      <c r="AM21" t="s">
        <v>541</v>
      </c>
      <c r="AN21">
        <v>68</v>
      </c>
      <c r="AO21" s="8" t="s">
        <v>383</v>
      </c>
      <c r="AQ21" s="13" t="s">
        <v>318</v>
      </c>
      <c r="AR21" s="21" t="s">
        <v>25</v>
      </c>
      <c r="AS21" t="s">
        <v>561</v>
      </c>
      <c r="AT21">
        <v>63</v>
      </c>
      <c r="AU21" s="8" t="s">
        <v>386</v>
      </c>
      <c r="AW21" s="13" t="s">
        <v>318</v>
      </c>
      <c r="AX21" s="21" t="s">
        <v>25</v>
      </c>
      <c r="AY21">
        <v>5</v>
      </c>
      <c r="AZ21">
        <v>4</v>
      </c>
      <c r="BA21">
        <v>0.60597484066726792</v>
      </c>
      <c r="BB21" t="s">
        <v>1</v>
      </c>
      <c r="BD21" s="13" t="s">
        <v>318</v>
      </c>
      <c r="BE21" s="17" t="s">
        <v>47</v>
      </c>
      <c r="BF21">
        <v>7</v>
      </c>
      <c r="BG21">
        <v>3</v>
      </c>
      <c r="BH21" s="35">
        <v>0.59593086823009211</v>
      </c>
      <c r="BI21" s="8" t="s">
        <v>383</v>
      </c>
      <c r="BK21" s="13" t="s">
        <v>318</v>
      </c>
      <c r="BL21" s="21" t="s">
        <v>33</v>
      </c>
      <c r="BM21">
        <v>7</v>
      </c>
      <c r="BN21">
        <v>4</v>
      </c>
      <c r="BO21" s="35">
        <v>0.61359435498563175</v>
      </c>
      <c r="BP21" s="22" t="s">
        <v>432</v>
      </c>
      <c r="BR21" s="13" t="s">
        <v>318</v>
      </c>
      <c r="BS21" s="16" t="s">
        <v>67</v>
      </c>
      <c r="BT21">
        <v>7</v>
      </c>
      <c r="BU21">
        <v>5</v>
      </c>
      <c r="BV21" s="35">
        <v>0.6288744403879073</v>
      </c>
      <c r="BW21" s="8" t="s">
        <v>386</v>
      </c>
      <c r="BY21" s="13" t="s">
        <v>318</v>
      </c>
      <c r="BZ21" s="21" t="s">
        <v>34</v>
      </c>
      <c r="CA21">
        <v>7</v>
      </c>
      <c r="CB21">
        <v>6</v>
      </c>
      <c r="CC21" s="35">
        <v>0.59675334134937708</v>
      </c>
      <c r="CD21" s="8" t="s">
        <v>386</v>
      </c>
      <c r="CF21" s="13" t="s">
        <v>318</v>
      </c>
      <c r="CG21" s="15" t="s">
        <v>86</v>
      </c>
      <c r="CH21" s="9">
        <v>9</v>
      </c>
      <c r="CI21" s="9">
        <v>5</v>
      </c>
      <c r="CJ21" s="35">
        <v>0.5769134971580876</v>
      </c>
      <c r="CK21" s="22" t="s">
        <v>432</v>
      </c>
      <c r="CM21" s="13" t="s">
        <v>318</v>
      </c>
      <c r="CN21" s="16" t="s">
        <v>67</v>
      </c>
      <c r="CO21">
        <v>7</v>
      </c>
      <c r="CP21">
        <v>6</v>
      </c>
      <c r="CQ21" s="35">
        <v>0.48947823149393094</v>
      </c>
      <c r="CR21" s="22" t="s">
        <v>432</v>
      </c>
      <c r="CT21" s="13" t="s">
        <v>318</v>
      </c>
      <c r="CU21" s="16" t="s">
        <v>70</v>
      </c>
      <c r="CV21">
        <v>1</v>
      </c>
      <c r="CW21">
        <v>0</v>
      </c>
      <c r="CX21" s="35">
        <v>0.78841190787368842</v>
      </c>
      <c r="CY21" t="s">
        <v>637</v>
      </c>
      <c r="DA21" s="13" t="s">
        <v>318</v>
      </c>
      <c r="DB21" s="17" t="s">
        <v>57</v>
      </c>
      <c r="DC21">
        <v>2</v>
      </c>
      <c r="DD21">
        <v>0</v>
      </c>
      <c r="DE21" s="35">
        <v>0.7671294754102912</v>
      </c>
      <c r="DF21" t="s">
        <v>637</v>
      </c>
      <c r="DH21" s="13" t="s">
        <v>318</v>
      </c>
      <c r="DI21" s="21" t="s">
        <v>24</v>
      </c>
      <c r="DJ21">
        <v>2</v>
      </c>
      <c r="DK21">
        <v>0</v>
      </c>
      <c r="DL21" s="35">
        <v>0.77079958487152578</v>
      </c>
      <c r="DM21" s="8" t="s">
        <v>386</v>
      </c>
      <c r="DO21" s="13" t="s">
        <v>318</v>
      </c>
      <c r="DP21" s="16" t="s">
        <v>70</v>
      </c>
      <c r="DQ21">
        <v>2</v>
      </c>
      <c r="DR21">
        <v>1</v>
      </c>
      <c r="DS21" s="35">
        <v>0.70159969027889058</v>
      </c>
      <c r="DT21" t="s">
        <v>637</v>
      </c>
      <c r="DV21" s="13" t="s">
        <v>318</v>
      </c>
      <c r="DW21" s="17" t="s">
        <v>300</v>
      </c>
      <c r="DX21">
        <v>4</v>
      </c>
      <c r="DY21">
        <v>0</v>
      </c>
      <c r="DZ21" s="35">
        <v>0.70111427538794968</v>
      </c>
      <c r="EA21" t="s">
        <v>637</v>
      </c>
      <c r="EC21" s="13" t="s">
        <v>318</v>
      </c>
      <c r="ED21" s="16" t="s">
        <v>62</v>
      </c>
      <c r="EE21">
        <v>3</v>
      </c>
      <c r="EF21">
        <v>2</v>
      </c>
      <c r="EG21" s="35">
        <v>0.70350464275677727</v>
      </c>
      <c r="EH21" s="8" t="s">
        <v>500</v>
      </c>
      <c r="EJ21" s="13" t="s">
        <v>318</v>
      </c>
      <c r="EK21" s="15" t="s">
        <v>74</v>
      </c>
      <c r="EL21">
        <v>5</v>
      </c>
      <c r="EM21">
        <v>1</v>
      </c>
      <c r="EN21" s="35">
        <v>0.70474149746646675</v>
      </c>
      <c r="EO21" s="8" t="s">
        <v>502</v>
      </c>
      <c r="EQ21" s="13" t="s">
        <v>318</v>
      </c>
      <c r="ER21" s="15" t="s">
        <v>74</v>
      </c>
      <c r="ES21">
        <v>6</v>
      </c>
      <c r="ET21">
        <v>1</v>
      </c>
      <c r="EU21" s="35">
        <v>0.69203759565744638</v>
      </c>
      <c r="EV21" t="s">
        <v>1</v>
      </c>
      <c r="EX21" s="13" t="s">
        <v>318</v>
      </c>
      <c r="EY21" s="19" t="s">
        <v>40</v>
      </c>
      <c r="EZ21">
        <v>5</v>
      </c>
      <c r="FA21">
        <v>3</v>
      </c>
      <c r="FB21" s="35">
        <v>0.65786926670773294</v>
      </c>
      <c r="FC21" s="22" t="s">
        <v>393</v>
      </c>
      <c r="FE21" s="13" t="s">
        <v>318</v>
      </c>
      <c r="FF21" s="16" t="s">
        <v>70</v>
      </c>
      <c r="FG21">
        <v>6</v>
      </c>
      <c r="FH21">
        <v>3</v>
      </c>
      <c r="FI21" s="35">
        <v>0.67499534318324039</v>
      </c>
      <c r="FJ21" s="8" t="s">
        <v>502</v>
      </c>
      <c r="FL21" s="13" t="s">
        <v>318</v>
      </c>
      <c r="FM21" s="16" t="s">
        <v>60</v>
      </c>
      <c r="FN21">
        <v>7</v>
      </c>
      <c r="FO21">
        <v>3</v>
      </c>
      <c r="FP21" s="35">
        <v>0.62266170093831164</v>
      </c>
      <c r="FQ21" s="8" t="s">
        <v>461</v>
      </c>
      <c r="FS21" s="13" t="s">
        <v>318</v>
      </c>
      <c r="FT21" s="58" t="s">
        <v>795</v>
      </c>
      <c r="FU21">
        <v>9</v>
      </c>
      <c r="FV21">
        <v>2</v>
      </c>
      <c r="FW21" s="35">
        <v>0.58622889483862373</v>
      </c>
      <c r="FX21" s="8" t="s">
        <v>387</v>
      </c>
      <c r="FZ21" s="13" t="s">
        <v>318</v>
      </c>
      <c r="GA21" s="16" t="s">
        <v>59</v>
      </c>
      <c r="GB21">
        <v>8</v>
      </c>
      <c r="GC21">
        <v>4</v>
      </c>
      <c r="GD21" s="35">
        <v>0.5673565019561323</v>
      </c>
      <c r="GE21" t="s">
        <v>637</v>
      </c>
      <c r="GG21" s="13" t="s">
        <v>318</v>
      </c>
      <c r="GH21" s="19" t="s">
        <v>43</v>
      </c>
      <c r="GI21">
        <v>7</v>
      </c>
      <c r="GJ21">
        <v>5</v>
      </c>
      <c r="GK21" s="35">
        <v>0.58076887071193162</v>
      </c>
      <c r="GL21" s="8" t="s">
        <v>386</v>
      </c>
      <c r="GN21" s="13" t="s">
        <v>318</v>
      </c>
      <c r="GO21" s="19" t="s">
        <v>43</v>
      </c>
      <c r="GP21">
        <v>7</v>
      </c>
      <c r="GQ21">
        <v>5</v>
      </c>
      <c r="GR21" s="35">
        <v>0.57660283038171356</v>
      </c>
      <c r="GS21" t="s">
        <v>1</v>
      </c>
      <c r="GU21" s="13" t="s">
        <v>318</v>
      </c>
      <c r="GV21" s="16" t="s">
        <v>59</v>
      </c>
      <c r="GW21">
        <v>8</v>
      </c>
      <c r="GX21">
        <v>4</v>
      </c>
      <c r="GY21" s="35">
        <v>0.58594634718067673</v>
      </c>
      <c r="GZ21" s="22" t="s">
        <v>381</v>
      </c>
      <c r="HB21" s="13" t="s">
        <v>318</v>
      </c>
      <c r="HC21" s="16" t="s">
        <v>59</v>
      </c>
      <c r="HD21">
        <v>8</v>
      </c>
      <c r="HE21">
        <v>4</v>
      </c>
      <c r="HF21" s="35">
        <v>0.58492587454129064</v>
      </c>
      <c r="HG21" t="s">
        <v>1</v>
      </c>
      <c r="HI21" s="13" t="s">
        <v>318</v>
      </c>
      <c r="HJ21" s="16" t="s">
        <v>59</v>
      </c>
      <c r="HK21">
        <v>8</v>
      </c>
      <c r="HL21">
        <v>4</v>
      </c>
      <c r="HM21" s="35">
        <v>0.58301717522830332</v>
      </c>
      <c r="HN21" t="s">
        <v>1</v>
      </c>
      <c r="HP21" s="13" t="s">
        <v>318</v>
      </c>
      <c r="HQ21" s="17" t="s">
        <v>58</v>
      </c>
      <c r="HR21">
        <v>1</v>
      </c>
      <c r="HS21">
        <v>0</v>
      </c>
      <c r="HT21" s="35">
        <v>0.77493563667527632</v>
      </c>
      <c r="HU21" s="8" t="s">
        <v>463</v>
      </c>
      <c r="HW21" s="13" t="s">
        <v>318</v>
      </c>
      <c r="HX21" s="19" t="s">
        <v>900</v>
      </c>
      <c r="HY21">
        <v>2</v>
      </c>
      <c r="HZ21">
        <v>0</v>
      </c>
      <c r="IA21" s="35">
        <v>0.7810694583722918</v>
      </c>
      <c r="IB21" t="s">
        <v>637</v>
      </c>
      <c r="ID21" s="13" t="s">
        <v>318</v>
      </c>
      <c r="IE21" s="58" t="s">
        <v>788</v>
      </c>
      <c r="IF21">
        <v>2</v>
      </c>
      <c r="IG21">
        <v>1</v>
      </c>
      <c r="IH21" s="35">
        <v>0.73653296021688897</v>
      </c>
      <c r="II21" t="s">
        <v>637</v>
      </c>
      <c r="IK21" s="13" t="s">
        <v>318</v>
      </c>
      <c r="IL21" s="19" t="s">
        <v>36</v>
      </c>
      <c r="IM21">
        <v>2</v>
      </c>
      <c r="IN21">
        <v>2</v>
      </c>
      <c r="IO21" s="35">
        <v>0.76540904465852344</v>
      </c>
      <c r="IP21" t="s">
        <v>637</v>
      </c>
      <c r="IR21" s="13" t="s">
        <v>318</v>
      </c>
      <c r="IS21" s="15" t="s">
        <v>78</v>
      </c>
      <c r="IT21">
        <v>4</v>
      </c>
      <c r="IU21">
        <v>1</v>
      </c>
      <c r="IV21" s="35">
        <v>0.73485234352801287</v>
      </c>
      <c r="IW21" t="s">
        <v>637</v>
      </c>
      <c r="IY21" s="13" t="s">
        <v>318</v>
      </c>
      <c r="IZ21" s="17" t="s">
        <v>58</v>
      </c>
      <c r="JA21">
        <v>3</v>
      </c>
      <c r="JB21">
        <v>3</v>
      </c>
      <c r="JC21" s="35">
        <v>0.73819725577489625</v>
      </c>
      <c r="JD21" s="8" t="s">
        <v>463</v>
      </c>
      <c r="JF21" s="13" t="s">
        <v>318</v>
      </c>
      <c r="JG21" s="58" t="s">
        <v>790</v>
      </c>
      <c r="JH21" s="6">
        <v>6</v>
      </c>
      <c r="JI21" s="6">
        <v>1</v>
      </c>
      <c r="JJ21" s="35">
        <v>0.71732538914852106</v>
      </c>
      <c r="JK21" s="22" t="s">
        <v>432</v>
      </c>
      <c r="JM21" s="13" t="s">
        <v>318</v>
      </c>
      <c r="JN21" s="15" t="s">
        <v>83</v>
      </c>
      <c r="JO21" s="6">
        <v>6</v>
      </c>
      <c r="JP21" s="6">
        <v>2</v>
      </c>
      <c r="JQ21" s="35">
        <v>0.70479680801302846</v>
      </c>
      <c r="JR21" s="8" t="s">
        <v>386</v>
      </c>
      <c r="JT21" s="13" t="s">
        <v>318</v>
      </c>
      <c r="JU21" s="15" t="s">
        <v>78</v>
      </c>
      <c r="JV21" s="6">
        <v>6</v>
      </c>
      <c r="JW21" s="6">
        <v>2</v>
      </c>
      <c r="JX21" s="35">
        <v>0.74800972446739267</v>
      </c>
      <c r="JY21" s="8" t="s">
        <v>383</v>
      </c>
      <c r="JZ21" s="8" t="s">
        <v>392</v>
      </c>
      <c r="KB21" s="13" t="s">
        <v>318</v>
      </c>
      <c r="KC21" s="16" t="s">
        <v>115</v>
      </c>
      <c r="KD21" s="6">
        <v>8</v>
      </c>
      <c r="KE21" s="6">
        <v>1</v>
      </c>
      <c r="KF21" s="35">
        <v>0.75703299498443755</v>
      </c>
      <c r="KG21" s="22" t="s">
        <v>381</v>
      </c>
      <c r="KI21" s="13" t="s">
        <v>318</v>
      </c>
      <c r="KJ21" s="15" t="s">
        <v>85</v>
      </c>
      <c r="KK21" s="6">
        <v>6</v>
      </c>
      <c r="KL21" s="6">
        <v>3</v>
      </c>
      <c r="KM21" s="35">
        <v>0.74460074089679917</v>
      </c>
      <c r="KN21" s="22" t="s">
        <v>381</v>
      </c>
      <c r="KP21" s="13" t="s">
        <v>318</v>
      </c>
      <c r="KQ21" s="69" t="s">
        <v>962</v>
      </c>
      <c r="KR21" s="6">
        <v>7</v>
      </c>
      <c r="KS21" s="6">
        <v>3</v>
      </c>
      <c r="KT21" s="35">
        <v>0.76391930404972819</v>
      </c>
      <c r="KU21" s="22" t="s">
        <v>462</v>
      </c>
      <c r="KW21" s="13" t="s">
        <v>318</v>
      </c>
      <c r="KX21" s="16" t="s">
        <v>67</v>
      </c>
      <c r="KY21" s="6">
        <v>8</v>
      </c>
      <c r="KZ21" s="6">
        <v>2</v>
      </c>
      <c r="LA21" s="35">
        <v>0.76979988996955884</v>
      </c>
      <c r="LB21" s="8" t="s">
        <v>383</v>
      </c>
      <c r="LD21" s="13" t="s">
        <v>318</v>
      </c>
      <c r="LE21" s="16" t="s">
        <v>69</v>
      </c>
      <c r="LF21" s="6">
        <v>6</v>
      </c>
      <c r="LG21" s="6">
        <v>5</v>
      </c>
      <c r="LH21" s="35">
        <v>0.7545522079793836</v>
      </c>
      <c r="LI21" s="22" t="s">
        <v>384</v>
      </c>
      <c r="LK21" s="13" t="s">
        <v>318</v>
      </c>
      <c r="LL21" s="69" t="s">
        <v>962</v>
      </c>
      <c r="LM21" s="6">
        <v>8</v>
      </c>
      <c r="LN21" s="6">
        <v>3</v>
      </c>
      <c r="LO21" s="35">
        <v>0.76846589078750882</v>
      </c>
      <c r="LP21" s="8" t="s">
        <v>383</v>
      </c>
      <c r="LR21" s="13" t="s">
        <v>318</v>
      </c>
      <c r="LS21" s="58" t="s">
        <v>790</v>
      </c>
      <c r="LT21" s="6">
        <v>10</v>
      </c>
      <c r="LU21" s="6">
        <v>2</v>
      </c>
      <c r="LV21" s="35">
        <v>0.7351180294974009</v>
      </c>
      <c r="LW21" s="8" t="s">
        <v>463</v>
      </c>
      <c r="LY21" s="13" t="s">
        <v>318</v>
      </c>
      <c r="LZ21" s="58" t="s">
        <v>790</v>
      </c>
      <c r="MA21" s="6">
        <v>10</v>
      </c>
      <c r="MB21" s="6">
        <v>2</v>
      </c>
      <c r="MC21" s="35">
        <v>0.74250856522678554</v>
      </c>
      <c r="MD21" t="s">
        <v>1</v>
      </c>
      <c r="MF21" s="13" t="s">
        <v>318</v>
      </c>
      <c r="MG21" s="16" t="s">
        <v>67</v>
      </c>
      <c r="MH21" s="6">
        <v>10</v>
      </c>
      <c r="MI21" s="6">
        <v>3</v>
      </c>
      <c r="MJ21" s="35">
        <v>0.7501212486665747</v>
      </c>
      <c r="MK21" s="22" t="s">
        <v>393</v>
      </c>
      <c r="MM21" s="13" t="s">
        <v>318</v>
      </c>
      <c r="MN21" s="19" t="s">
        <v>46</v>
      </c>
      <c r="MO21" s="6">
        <v>8</v>
      </c>
      <c r="MP21" s="6">
        <v>5</v>
      </c>
      <c r="MQ21" s="35">
        <v>0.74006703710911603</v>
      </c>
      <c r="MR21" s="8" t="s">
        <v>461</v>
      </c>
      <c r="MT21" s="13" t="s">
        <v>318</v>
      </c>
      <c r="MU21" s="19" t="s">
        <v>46</v>
      </c>
      <c r="MV21" s="6">
        <v>8</v>
      </c>
      <c r="MW21" s="6">
        <v>5</v>
      </c>
      <c r="MX21" s="35">
        <v>0.73854580973820272</v>
      </c>
      <c r="MY21" t="s">
        <v>1</v>
      </c>
      <c r="NA21" s="13" t="s">
        <v>318</v>
      </c>
      <c r="NB21" s="69" t="s">
        <v>966</v>
      </c>
      <c r="NC21" s="6">
        <v>10</v>
      </c>
      <c r="ND21" s="6">
        <v>3</v>
      </c>
      <c r="NE21" s="35">
        <v>0.72440792428818224</v>
      </c>
      <c r="NF21" s="22" t="s">
        <v>381</v>
      </c>
      <c r="NH21" s="13" t="s">
        <v>318</v>
      </c>
      <c r="NI21" s="69" t="s">
        <v>966</v>
      </c>
      <c r="NJ21" s="6">
        <v>10</v>
      </c>
      <c r="NK21" s="6">
        <v>3</v>
      </c>
      <c r="NL21" s="35">
        <v>0.7180909505988754</v>
      </c>
      <c r="NM21" t="s">
        <v>1</v>
      </c>
      <c r="NO21" s="13" t="s">
        <v>318</v>
      </c>
      <c r="NP21" s="69" t="s">
        <v>962</v>
      </c>
      <c r="NQ21" s="6">
        <v>10</v>
      </c>
      <c r="NR21" s="6">
        <v>3</v>
      </c>
      <c r="NS21" s="35">
        <v>0.71393505150026204</v>
      </c>
      <c r="NT21" s="8" t="s">
        <v>386</v>
      </c>
      <c r="NV21" s="13" t="s">
        <v>318</v>
      </c>
      <c r="NW21" s="69" t="s">
        <v>962</v>
      </c>
      <c r="NX21" s="6">
        <v>10</v>
      </c>
      <c r="NY21" s="6">
        <v>3</v>
      </c>
      <c r="NZ21" s="35">
        <v>0.71264809293507836</v>
      </c>
      <c r="OA21" t="s">
        <v>1</v>
      </c>
      <c r="OC21" s="13" t="s">
        <v>318</v>
      </c>
      <c r="OD21" s="69" t="s">
        <v>962</v>
      </c>
      <c r="OE21" s="6">
        <v>10</v>
      </c>
      <c r="OF21" s="6">
        <v>4</v>
      </c>
      <c r="OG21" s="35">
        <v>0.70270586478840291</v>
      </c>
      <c r="OH21" t="s">
        <v>1</v>
      </c>
      <c r="OJ21" s="13" t="s">
        <v>318</v>
      </c>
      <c r="OK21" s="69" t="s">
        <v>962</v>
      </c>
      <c r="OL21" s="6">
        <v>10</v>
      </c>
      <c r="OM21" s="6">
        <v>4</v>
      </c>
      <c r="ON21" s="35">
        <v>0.70209211736067156</v>
      </c>
      <c r="OO21" t="s">
        <v>1</v>
      </c>
      <c r="OQ21" s="13" t="s">
        <v>318</v>
      </c>
      <c r="OR21" s="69" t="s">
        <v>962</v>
      </c>
      <c r="OS21" s="6">
        <v>10</v>
      </c>
      <c r="OT21" s="6">
        <v>4</v>
      </c>
      <c r="OU21" s="35">
        <v>0.70775559839852387</v>
      </c>
      <c r="OV21" t="s">
        <v>1</v>
      </c>
      <c r="OX21" s="13" t="s">
        <v>318</v>
      </c>
      <c r="OY21" s="69" t="s">
        <v>962</v>
      </c>
      <c r="OZ21" s="6">
        <v>10</v>
      </c>
      <c r="PA21" s="6">
        <v>4</v>
      </c>
      <c r="PB21" s="35">
        <v>0.71582294087231491</v>
      </c>
      <c r="PC21" t="s">
        <v>1</v>
      </c>
      <c r="PE21" s="13" t="s">
        <v>318</v>
      </c>
      <c r="PF21" s="69" t="s">
        <v>962</v>
      </c>
      <c r="PG21" s="6">
        <v>10</v>
      </c>
      <c r="PH21" s="6">
        <v>4</v>
      </c>
      <c r="PI21" s="35">
        <v>0.71554018713408607</v>
      </c>
      <c r="PJ21" t="s">
        <v>1</v>
      </c>
    </row>
    <row r="22" spans="2:426" x14ac:dyDescent="0.35">
      <c r="B22" s="13" t="s">
        <v>318</v>
      </c>
      <c r="C22" s="16" t="s">
        <v>63</v>
      </c>
      <c r="D22" t="s">
        <v>327</v>
      </c>
      <c r="E22">
        <v>70</v>
      </c>
      <c r="G22" s="13" t="s">
        <v>377</v>
      </c>
      <c r="H22" s="16" t="s">
        <v>115</v>
      </c>
      <c r="I22" t="s">
        <v>378</v>
      </c>
      <c r="J22">
        <v>64</v>
      </c>
      <c r="K22" s="22" t="s">
        <v>393</v>
      </c>
      <c r="M22" s="13" t="s">
        <v>377</v>
      </c>
      <c r="N22" s="15" t="s">
        <v>88</v>
      </c>
      <c r="O22" s="9" t="s">
        <v>430</v>
      </c>
      <c r="P22">
        <v>75</v>
      </c>
      <c r="Q22" t="s">
        <v>390</v>
      </c>
      <c r="S22" s="13" t="s">
        <v>377</v>
      </c>
      <c r="T22" s="21" t="s">
        <v>25</v>
      </c>
      <c r="U22" t="s">
        <v>459</v>
      </c>
      <c r="V22">
        <v>73</v>
      </c>
      <c r="W22" s="8" t="s">
        <v>464</v>
      </c>
      <c r="Y22" s="13" t="s">
        <v>377</v>
      </c>
      <c r="Z22" s="16" t="s">
        <v>70</v>
      </c>
      <c r="AA22" t="s">
        <v>499</v>
      </c>
      <c r="AB22">
        <v>68</v>
      </c>
      <c r="AC22" t="s">
        <v>390</v>
      </c>
      <c r="AE22" s="13" t="s">
        <v>377</v>
      </c>
      <c r="AF22" s="21" t="s">
        <v>25</v>
      </c>
      <c r="AG22" t="s">
        <v>520</v>
      </c>
      <c r="AH22">
        <v>63</v>
      </c>
      <c r="AI22" t="s">
        <v>390</v>
      </c>
      <c r="AK22" s="13" t="s">
        <v>377</v>
      </c>
      <c r="AL22" s="19" t="s">
        <v>40</v>
      </c>
      <c r="AM22" s="9" t="s">
        <v>542</v>
      </c>
      <c r="AN22">
        <v>65</v>
      </c>
      <c r="AO22" s="8" t="s">
        <v>383</v>
      </c>
      <c r="AQ22" s="13" t="s">
        <v>377</v>
      </c>
      <c r="AR22" s="16" t="s">
        <v>66</v>
      </c>
      <c r="AS22" t="s">
        <v>561</v>
      </c>
      <c r="AT22">
        <v>62</v>
      </c>
      <c r="AU22" s="22" t="s">
        <v>393</v>
      </c>
      <c r="AW22" s="13" t="s">
        <v>377</v>
      </c>
      <c r="AX22" s="16" t="s">
        <v>66</v>
      </c>
      <c r="AY22">
        <v>5</v>
      </c>
      <c r="AZ22">
        <v>4</v>
      </c>
      <c r="BA22">
        <v>0.58676516795296485</v>
      </c>
      <c r="BB22" t="s">
        <v>1</v>
      </c>
      <c r="BD22" s="13" t="s">
        <v>377</v>
      </c>
      <c r="BE22" s="15" t="s">
        <v>84</v>
      </c>
      <c r="BF22" s="9">
        <v>6</v>
      </c>
      <c r="BG22" s="9">
        <v>4</v>
      </c>
      <c r="BH22" s="35">
        <v>0.58764670183384515</v>
      </c>
      <c r="BI22" s="22" t="s">
        <v>381</v>
      </c>
      <c r="BK22" s="13" t="s">
        <v>377</v>
      </c>
      <c r="BL22" s="21" t="s">
        <v>34</v>
      </c>
      <c r="BM22">
        <v>6</v>
      </c>
      <c r="BN22">
        <v>5</v>
      </c>
      <c r="BO22" s="35">
        <v>0.61084310844801382</v>
      </c>
      <c r="BP22" s="22" t="s">
        <v>384</v>
      </c>
      <c r="BR22" s="13" t="s">
        <v>377</v>
      </c>
      <c r="BS22" s="21" t="s">
        <v>31</v>
      </c>
      <c r="BT22">
        <v>6</v>
      </c>
      <c r="BU22">
        <v>6</v>
      </c>
      <c r="BV22" s="35">
        <v>0.6253519893384164</v>
      </c>
      <c r="BW22" s="22" t="s">
        <v>432</v>
      </c>
      <c r="BY22" s="13" t="s">
        <v>377</v>
      </c>
      <c r="BZ22" s="16" t="s">
        <v>67</v>
      </c>
      <c r="CA22">
        <v>7</v>
      </c>
      <c r="CB22">
        <v>6</v>
      </c>
      <c r="CC22" s="35">
        <v>0.58450901465642002</v>
      </c>
      <c r="CD22" s="8" t="s">
        <v>386</v>
      </c>
      <c r="CF22" s="13" t="s">
        <v>377</v>
      </c>
      <c r="CG22" s="21" t="s">
        <v>34</v>
      </c>
      <c r="CH22">
        <v>7</v>
      </c>
      <c r="CI22">
        <v>6</v>
      </c>
      <c r="CJ22" s="35">
        <v>0.5623627905036217</v>
      </c>
      <c r="CK22" s="8" t="s">
        <v>386</v>
      </c>
      <c r="CM22" s="13" t="s">
        <v>377</v>
      </c>
      <c r="CN22" s="19" t="s">
        <v>40</v>
      </c>
      <c r="CO22" s="9">
        <v>8</v>
      </c>
      <c r="CP22" s="9">
        <v>5</v>
      </c>
      <c r="CQ22" s="35">
        <v>0.48898695421865163</v>
      </c>
      <c r="CR22" s="8" t="s">
        <v>463</v>
      </c>
      <c r="CT22" s="13" t="s">
        <v>377</v>
      </c>
      <c r="CU22" s="16" t="s">
        <v>60</v>
      </c>
      <c r="CV22">
        <v>1</v>
      </c>
      <c r="CW22">
        <v>0</v>
      </c>
      <c r="CX22" s="35">
        <v>0.78723178935481541</v>
      </c>
      <c r="CY22" t="s">
        <v>637</v>
      </c>
      <c r="DA22" s="13" t="s">
        <v>377</v>
      </c>
      <c r="DB22" s="19" t="s">
        <v>37</v>
      </c>
      <c r="DC22">
        <v>2</v>
      </c>
      <c r="DD22">
        <v>0</v>
      </c>
      <c r="DE22" s="35">
        <v>0.7600918511806618</v>
      </c>
      <c r="DF22" s="8" t="s">
        <v>759</v>
      </c>
      <c r="DH22" s="13" t="s">
        <v>377</v>
      </c>
      <c r="DI22" s="58" t="s">
        <v>788</v>
      </c>
      <c r="DJ22" s="46">
        <v>2</v>
      </c>
      <c r="DK22" s="46">
        <v>0</v>
      </c>
      <c r="DL22" s="35">
        <v>0.7666952805648457</v>
      </c>
      <c r="DM22" t="s">
        <v>637</v>
      </c>
      <c r="DO22" s="13" t="s">
        <v>377</v>
      </c>
      <c r="DP22" s="58" t="s">
        <v>795</v>
      </c>
      <c r="DQ22" s="46">
        <v>3</v>
      </c>
      <c r="DR22" s="46">
        <v>0</v>
      </c>
      <c r="DS22" s="35">
        <v>0.68529984697803337</v>
      </c>
      <c r="DT22" t="s">
        <v>637</v>
      </c>
      <c r="DV22" s="13" t="s">
        <v>377</v>
      </c>
      <c r="DW22" s="16" t="s">
        <v>59</v>
      </c>
      <c r="DX22" s="46">
        <v>3</v>
      </c>
      <c r="DY22" s="46">
        <v>1</v>
      </c>
      <c r="DZ22" s="35">
        <v>0.67078132410369662</v>
      </c>
      <c r="EA22" t="s">
        <v>637</v>
      </c>
      <c r="EC22" s="13" t="s">
        <v>377</v>
      </c>
      <c r="ED22" s="19" t="s">
        <v>40</v>
      </c>
      <c r="EE22">
        <v>3</v>
      </c>
      <c r="EF22">
        <v>2</v>
      </c>
      <c r="EG22" s="35">
        <v>0.69306584320063114</v>
      </c>
      <c r="EH22" s="8" t="s">
        <v>392</v>
      </c>
      <c r="EJ22" s="13" t="s">
        <v>377</v>
      </c>
      <c r="EK22" s="16" t="s">
        <v>70</v>
      </c>
      <c r="EL22">
        <v>4</v>
      </c>
      <c r="EM22">
        <v>2</v>
      </c>
      <c r="EN22" s="35">
        <v>0.69937756973540821</v>
      </c>
      <c r="EO22" s="8" t="s">
        <v>501</v>
      </c>
      <c r="EQ22" s="13" t="s">
        <v>377</v>
      </c>
      <c r="ER22" s="19" t="s">
        <v>37</v>
      </c>
      <c r="ES22">
        <v>5</v>
      </c>
      <c r="ET22">
        <v>2</v>
      </c>
      <c r="EU22" s="35">
        <v>0.69160684312541587</v>
      </c>
      <c r="EV22" s="8" t="s">
        <v>501</v>
      </c>
      <c r="EX22" s="13" t="s">
        <v>377</v>
      </c>
      <c r="EY22" s="17" t="s">
        <v>53</v>
      </c>
      <c r="EZ22">
        <v>6</v>
      </c>
      <c r="FA22">
        <v>2</v>
      </c>
      <c r="FB22" s="35">
        <v>0.65297556037897908</v>
      </c>
      <c r="FC22" t="s">
        <v>637</v>
      </c>
      <c r="FE22" s="13" t="s">
        <v>377</v>
      </c>
      <c r="FF22" s="15" t="s">
        <v>86</v>
      </c>
      <c r="FG22">
        <v>6</v>
      </c>
      <c r="FH22">
        <v>3</v>
      </c>
      <c r="FI22" s="35">
        <v>0.66273684014296008</v>
      </c>
      <c r="FJ22" s="8" t="s">
        <v>392</v>
      </c>
      <c r="FL22" s="13" t="s">
        <v>377</v>
      </c>
      <c r="FM22" s="15" t="s">
        <v>86</v>
      </c>
      <c r="FN22">
        <v>7</v>
      </c>
      <c r="FO22">
        <v>3</v>
      </c>
      <c r="FP22" s="35">
        <v>0.61890391995549332</v>
      </c>
      <c r="FQ22" t="s">
        <v>1</v>
      </c>
      <c r="FS22" s="13" t="s">
        <v>377</v>
      </c>
      <c r="FT22" s="19" t="s">
        <v>37</v>
      </c>
      <c r="FU22">
        <v>7</v>
      </c>
      <c r="FV22">
        <v>4</v>
      </c>
      <c r="FW22" s="35">
        <v>0.58541902998441075</v>
      </c>
      <c r="FX22" s="8" t="s">
        <v>463</v>
      </c>
      <c r="FZ22" s="13" t="s">
        <v>377</v>
      </c>
      <c r="GA22" s="58" t="s">
        <v>788</v>
      </c>
      <c r="GB22">
        <v>7</v>
      </c>
      <c r="GC22">
        <v>5</v>
      </c>
      <c r="GD22" s="35">
        <v>0.56664291483642715</v>
      </c>
      <c r="GE22" t="s">
        <v>637</v>
      </c>
      <c r="GG22" s="13" t="s">
        <v>377</v>
      </c>
      <c r="GH22" s="16" t="s">
        <v>59</v>
      </c>
      <c r="GI22">
        <v>8</v>
      </c>
      <c r="GJ22">
        <v>4</v>
      </c>
      <c r="GK22" s="35">
        <v>0.57647427428755493</v>
      </c>
      <c r="GL22" s="8" t="s">
        <v>386</v>
      </c>
      <c r="GN22" s="13" t="s">
        <v>377</v>
      </c>
      <c r="GO22" s="16" t="s">
        <v>59</v>
      </c>
      <c r="GP22">
        <v>8</v>
      </c>
      <c r="GQ22">
        <v>4</v>
      </c>
      <c r="GR22" s="35">
        <v>0.57637154304052884</v>
      </c>
      <c r="GS22" t="s">
        <v>1</v>
      </c>
      <c r="GU22" s="13" t="s">
        <v>377</v>
      </c>
      <c r="GV22" s="19" t="s">
        <v>43</v>
      </c>
      <c r="GW22">
        <v>7</v>
      </c>
      <c r="GX22">
        <v>5</v>
      </c>
      <c r="GY22" s="35">
        <v>0.58358829539274848</v>
      </c>
      <c r="GZ22" s="8" t="s">
        <v>386</v>
      </c>
      <c r="HB22" s="13" t="s">
        <v>377</v>
      </c>
      <c r="HC22" s="19" t="s">
        <v>43</v>
      </c>
      <c r="HD22">
        <v>7</v>
      </c>
      <c r="HE22">
        <v>5</v>
      </c>
      <c r="HF22" s="35">
        <v>0.58032061172833149</v>
      </c>
      <c r="HG22" t="s">
        <v>1</v>
      </c>
      <c r="HI22" s="13" t="s">
        <v>377</v>
      </c>
      <c r="HJ22" s="19" t="s">
        <v>43</v>
      </c>
      <c r="HK22">
        <v>7</v>
      </c>
      <c r="HL22">
        <v>5</v>
      </c>
      <c r="HM22" s="35">
        <v>0.57420871286440389</v>
      </c>
      <c r="HN22" t="s">
        <v>1</v>
      </c>
      <c r="HP22" s="13" t="s">
        <v>377</v>
      </c>
      <c r="HQ22" s="15" t="s">
        <v>83</v>
      </c>
      <c r="HR22">
        <v>1</v>
      </c>
      <c r="HS22">
        <v>0</v>
      </c>
      <c r="HT22" s="35">
        <v>0.77232647182236125</v>
      </c>
      <c r="HU22" t="s">
        <v>637</v>
      </c>
      <c r="HW22" s="13" t="s">
        <v>377</v>
      </c>
      <c r="HX22" s="15" t="s">
        <v>78</v>
      </c>
      <c r="HY22">
        <v>2</v>
      </c>
      <c r="HZ22">
        <v>0</v>
      </c>
      <c r="IA22" s="35">
        <v>0.77682113717599111</v>
      </c>
      <c r="IB22" s="22" t="s">
        <v>432</v>
      </c>
      <c r="ID22" s="13" t="s">
        <v>377</v>
      </c>
      <c r="IE22" s="16" t="s">
        <v>71</v>
      </c>
      <c r="IF22">
        <v>3</v>
      </c>
      <c r="IG22">
        <v>0</v>
      </c>
      <c r="IH22" s="35">
        <v>0.73563859119615926</v>
      </c>
      <c r="II22" t="s">
        <v>637</v>
      </c>
      <c r="IK22" s="13" t="s">
        <v>377</v>
      </c>
      <c r="IL22" s="15" t="s">
        <v>79</v>
      </c>
      <c r="IM22">
        <v>3</v>
      </c>
      <c r="IN22">
        <v>1</v>
      </c>
      <c r="IO22" s="35">
        <v>0.75811195733184977</v>
      </c>
      <c r="IP22" t="s">
        <v>637</v>
      </c>
      <c r="IR22" s="13" t="s">
        <v>377</v>
      </c>
      <c r="IS22" s="19" t="s">
        <v>41</v>
      </c>
      <c r="IT22">
        <v>4</v>
      </c>
      <c r="IU22">
        <v>1</v>
      </c>
      <c r="IV22" s="35">
        <v>0.73435695340889762</v>
      </c>
      <c r="IW22" s="8" t="s">
        <v>877</v>
      </c>
      <c r="IY22" s="13" t="s">
        <v>377</v>
      </c>
      <c r="IZ22" s="17" t="s">
        <v>49</v>
      </c>
      <c r="JA22">
        <v>4</v>
      </c>
      <c r="JB22">
        <v>2</v>
      </c>
      <c r="JC22" s="35">
        <v>0.72737846603247791</v>
      </c>
      <c r="JD22" s="22" t="s">
        <v>432</v>
      </c>
      <c r="JF22" s="13" t="s">
        <v>377</v>
      </c>
      <c r="JG22" s="19" t="s">
        <v>41</v>
      </c>
      <c r="JH22" s="6">
        <v>5</v>
      </c>
      <c r="JI22" s="6">
        <v>2</v>
      </c>
      <c r="JJ22" s="35">
        <v>0.70767739265767438</v>
      </c>
      <c r="JK22" t="s">
        <v>637</v>
      </c>
      <c r="JM22" s="13" t="s">
        <v>377</v>
      </c>
      <c r="JN22" s="16" t="s">
        <v>115</v>
      </c>
      <c r="JO22" s="6">
        <v>7</v>
      </c>
      <c r="JP22" s="6">
        <v>1</v>
      </c>
      <c r="JQ22" s="35">
        <v>0.70215916226128527</v>
      </c>
      <c r="JR22" s="22" t="s">
        <v>432</v>
      </c>
      <c r="JT22" s="13" t="s">
        <v>377</v>
      </c>
      <c r="JU22" s="16" t="s">
        <v>115</v>
      </c>
      <c r="JV22" s="6">
        <v>7</v>
      </c>
      <c r="JW22" s="6">
        <v>1</v>
      </c>
      <c r="JX22" s="35">
        <v>0.74622580507868941</v>
      </c>
      <c r="JY22" t="s">
        <v>1</v>
      </c>
      <c r="JZ22" s="22" t="s">
        <v>432</v>
      </c>
      <c r="KB22" s="13" t="s">
        <v>377</v>
      </c>
      <c r="KC22" s="15" t="s">
        <v>85</v>
      </c>
      <c r="KD22" s="6">
        <v>6</v>
      </c>
      <c r="KE22" s="6">
        <v>3</v>
      </c>
      <c r="KF22" s="35">
        <v>0.74959731061487977</v>
      </c>
      <c r="KG22" s="22" t="s">
        <v>432</v>
      </c>
      <c r="KI22" s="13" t="s">
        <v>377</v>
      </c>
      <c r="KJ22" s="21" t="s">
        <v>33</v>
      </c>
      <c r="KK22" s="6">
        <v>6</v>
      </c>
      <c r="KL22" s="6">
        <v>3</v>
      </c>
      <c r="KM22" s="35">
        <v>0.73559115277181686</v>
      </c>
      <c r="KN22" s="8" t="s">
        <v>500</v>
      </c>
      <c r="KP22" s="13" t="s">
        <v>377</v>
      </c>
      <c r="KQ22" s="16" t="s">
        <v>69</v>
      </c>
      <c r="KR22" s="6">
        <v>5</v>
      </c>
      <c r="KS22" s="6">
        <v>5</v>
      </c>
      <c r="KT22" s="35">
        <v>0.73723765799533691</v>
      </c>
      <c r="KU22" t="s">
        <v>637</v>
      </c>
      <c r="KW22" s="13" t="s">
        <v>377</v>
      </c>
      <c r="KX22" s="17" t="s">
        <v>300</v>
      </c>
      <c r="KY22" s="6">
        <v>7</v>
      </c>
      <c r="KZ22" s="6">
        <v>3</v>
      </c>
      <c r="LA22" s="35">
        <v>0.75088729395918485</v>
      </c>
      <c r="LB22" s="22" t="s">
        <v>432</v>
      </c>
      <c r="LD22" s="13" t="s">
        <v>377</v>
      </c>
      <c r="LE22" s="15" t="s">
        <v>85</v>
      </c>
      <c r="LF22" s="6">
        <v>7</v>
      </c>
      <c r="LG22" s="6">
        <v>4</v>
      </c>
      <c r="LH22" s="35">
        <v>0.7449564264230365</v>
      </c>
      <c r="LI22" s="8" t="s">
        <v>500</v>
      </c>
      <c r="LK22" s="13" t="s">
        <v>377</v>
      </c>
      <c r="LL22" s="15" t="s">
        <v>85</v>
      </c>
      <c r="LM22" s="6">
        <v>7</v>
      </c>
      <c r="LN22" s="6">
        <v>4</v>
      </c>
      <c r="LO22" s="35">
        <v>0.74165180732825298</v>
      </c>
      <c r="LP22" t="s">
        <v>1</v>
      </c>
      <c r="LR22" s="13" t="s">
        <v>377</v>
      </c>
      <c r="LS22" s="16" t="s">
        <v>67</v>
      </c>
      <c r="LT22" s="6">
        <v>9</v>
      </c>
      <c r="LU22" s="6">
        <v>3</v>
      </c>
      <c r="LV22" s="35">
        <v>0.72989099303117377</v>
      </c>
      <c r="LW22" s="8" t="s">
        <v>500</v>
      </c>
      <c r="LY22" s="13" t="s">
        <v>377</v>
      </c>
      <c r="LZ22" s="21" t="s">
        <v>33</v>
      </c>
      <c r="MA22" s="6">
        <v>8</v>
      </c>
      <c r="MB22" s="6">
        <v>4</v>
      </c>
      <c r="MC22" s="35">
        <v>0.74153413748475572</v>
      </c>
      <c r="MD22" s="22" t="s">
        <v>384</v>
      </c>
      <c r="MF22" s="13" t="s">
        <v>377</v>
      </c>
      <c r="MG22" s="69" t="s">
        <v>966</v>
      </c>
      <c r="MH22" s="6">
        <v>10</v>
      </c>
      <c r="MI22" s="6">
        <v>3</v>
      </c>
      <c r="MJ22" s="35">
        <v>0.74855136267042544</v>
      </c>
      <c r="MK22" s="8" t="s">
        <v>501</v>
      </c>
      <c r="MM22" s="13" t="s">
        <v>377</v>
      </c>
      <c r="MN22" s="69" t="s">
        <v>966</v>
      </c>
      <c r="MO22" s="6">
        <v>10</v>
      </c>
      <c r="MP22" s="6">
        <v>3</v>
      </c>
      <c r="MQ22" s="35">
        <v>0.73219325306714422</v>
      </c>
      <c r="MR22" t="s">
        <v>1</v>
      </c>
      <c r="MT22" s="13" t="s">
        <v>377</v>
      </c>
      <c r="MU22" s="69" t="s">
        <v>966</v>
      </c>
      <c r="MV22" s="6">
        <v>10</v>
      </c>
      <c r="MW22" s="6">
        <v>3</v>
      </c>
      <c r="MX22" s="35">
        <v>0.73026464654200585</v>
      </c>
      <c r="MY22" t="s">
        <v>1</v>
      </c>
      <c r="NA22" s="13" t="s">
        <v>377</v>
      </c>
      <c r="NB22" s="16" t="s">
        <v>67</v>
      </c>
      <c r="NC22" s="6">
        <v>10</v>
      </c>
      <c r="ND22" s="6">
        <v>4</v>
      </c>
      <c r="NE22" s="35">
        <v>0.71891907057723703</v>
      </c>
      <c r="NF22" s="8" t="s">
        <v>463</v>
      </c>
      <c r="NH22" s="13" t="s">
        <v>377</v>
      </c>
      <c r="NI22" s="16" t="s">
        <v>67</v>
      </c>
      <c r="NJ22" s="6">
        <v>10</v>
      </c>
      <c r="NK22" s="6">
        <v>4</v>
      </c>
      <c r="NL22" s="35">
        <v>0.71276593142804612</v>
      </c>
      <c r="NM22" t="s">
        <v>1</v>
      </c>
      <c r="NO22" s="13" t="s">
        <v>377</v>
      </c>
      <c r="NP22" s="16" t="s">
        <v>67</v>
      </c>
      <c r="NQ22" s="6">
        <v>10</v>
      </c>
      <c r="NR22" s="6">
        <v>4</v>
      </c>
      <c r="NS22" s="35">
        <v>0.70788450139642733</v>
      </c>
      <c r="NT22" t="s">
        <v>1</v>
      </c>
      <c r="NV22" s="13" t="s">
        <v>377</v>
      </c>
      <c r="NW22" s="16" t="s">
        <v>67</v>
      </c>
      <c r="NX22" s="6">
        <v>10</v>
      </c>
      <c r="NY22" s="6">
        <v>4</v>
      </c>
      <c r="NZ22" s="35">
        <v>0.70683972831964492</v>
      </c>
      <c r="OA22" t="s">
        <v>1</v>
      </c>
      <c r="OC22" s="13" t="s">
        <v>377</v>
      </c>
      <c r="OD22" s="16" t="s">
        <v>67</v>
      </c>
      <c r="OE22" s="6">
        <v>10</v>
      </c>
      <c r="OF22" s="6">
        <v>4</v>
      </c>
      <c r="OG22" s="35">
        <v>0.69701886059114748</v>
      </c>
      <c r="OH22" t="s">
        <v>1</v>
      </c>
      <c r="OJ22" s="13" t="s">
        <v>377</v>
      </c>
      <c r="OK22" s="16" t="s">
        <v>67</v>
      </c>
      <c r="OL22" s="6">
        <v>10</v>
      </c>
      <c r="OM22" s="6">
        <v>4</v>
      </c>
      <c r="ON22" s="35">
        <v>0.69599077176071644</v>
      </c>
      <c r="OO22" t="s">
        <v>1</v>
      </c>
      <c r="OQ22" s="13" t="s">
        <v>377</v>
      </c>
      <c r="OR22" s="16" t="s">
        <v>67</v>
      </c>
      <c r="OS22" s="6">
        <v>10</v>
      </c>
      <c r="OT22" s="6">
        <v>4</v>
      </c>
      <c r="OU22" s="35">
        <v>0.70194023396459482</v>
      </c>
      <c r="OV22" t="s">
        <v>1</v>
      </c>
      <c r="OX22" s="13" t="s">
        <v>377</v>
      </c>
      <c r="OY22" s="16" t="s">
        <v>67</v>
      </c>
      <c r="OZ22" s="6">
        <v>10</v>
      </c>
      <c r="PA22" s="6">
        <v>4</v>
      </c>
      <c r="PB22" s="35">
        <v>0.71038181854802718</v>
      </c>
      <c r="PC22" t="s">
        <v>1</v>
      </c>
      <c r="PE22" s="13" t="s">
        <v>377</v>
      </c>
      <c r="PF22" s="16" t="s">
        <v>67</v>
      </c>
      <c r="PG22" s="6">
        <v>10</v>
      </c>
      <c r="PH22" s="6">
        <v>4</v>
      </c>
      <c r="PI22" s="35">
        <v>0.71016637264996019</v>
      </c>
      <c r="PJ22" t="s">
        <v>1</v>
      </c>
    </row>
    <row r="23" spans="2:426" x14ac:dyDescent="0.35">
      <c r="B23" s="13" t="s">
        <v>319</v>
      </c>
      <c r="C23" s="19" t="s">
        <v>40</v>
      </c>
      <c r="D23" t="s">
        <v>327</v>
      </c>
      <c r="E23">
        <v>67</v>
      </c>
      <c r="G23" s="13" t="s">
        <v>319</v>
      </c>
      <c r="H23" s="19" t="s">
        <v>44</v>
      </c>
      <c r="I23" t="s">
        <v>378</v>
      </c>
      <c r="J23">
        <v>56</v>
      </c>
      <c r="K23" t="s">
        <v>390</v>
      </c>
      <c r="M23" s="13" t="s">
        <v>377</v>
      </c>
      <c r="N23" s="21" t="s">
        <v>119</v>
      </c>
      <c r="O23" s="9" t="s">
        <v>430</v>
      </c>
      <c r="P23">
        <v>75</v>
      </c>
      <c r="Q23" t="s">
        <v>390</v>
      </c>
      <c r="S23" s="13" t="s">
        <v>377</v>
      </c>
      <c r="T23" s="19" t="s">
        <v>38</v>
      </c>
      <c r="U23" t="s">
        <v>459</v>
      </c>
      <c r="V23">
        <v>71</v>
      </c>
      <c r="W23" s="22" t="s">
        <v>432</v>
      </c>
      <c r="Y23" s="13" t="s">
        <v>319</v>
      </c>
      <c r="Z23" s="19" t="s">
        <v>1859</v>
      </c>
      <c r="AA23" t="s">
        <v>499</v>
      </c>
      <c r="AB23">
        <v>66</v>
      </c>
      <c r="AC23" t="s">
        <v>390</v>
      </c>
      <c r="AE23" s="13" t="s">
        <v>319</v>
      </c>
      <c r="AF23" s="17" t="s">
        <v>50</v>
      </c>
      <c r="AG23" t="s">
        <v>520</v>
      </c>
      <c r="AH23">
        <v>58</v>
      </c>
      <c r="AI23" s="8" t="s">
        <v>392</v>
      </c>
      <c r="AK23" s="13" t="s">
        <v>319</v>
      </c>
      <c r="AL23" s="17" t="s">
        <v>47</v>
      </c>
      <c r="AM23" s="9" t="s">
        <v>542</v>
      </c>
      <c r="AN23">
        <v>64</v>
      </c>
      <c r="AO23" s="8" t="s">
        <v>387</v>
      </c>
      <c r="AQ23" s="13" t="s">
        <v>319</v>
      </c>
      <c r="AR23" s="16" t="s">
        <v>65</v>
      </c>
      <c r="AS23" t="s">
        <v>561</v>
      </c>
      <c r="AT23">
        <v>59</v>
      </c>
      <c r="AU23" s="8" t="s">
        <v>463</v>
      </c>
      <c r="AW23" s="13" t="s">
        <v>319</v>
      </c>
      <c r="AX23" s="15" t="s">
        <v>84</v>
      </c>
      <c r="AY23" s="9">
        <v>5</v>
      </c>
      <c r="AZ23" s="9">
        <v>4</v>
      </c>
      <c r="BA23">
        <v>0.58045318443315574</v>
      </c>
      <c r="BB23" t="s">
        <v>390</v>
      </c>
      <c r="BD23" s="13" t="s">
        <v>319</v>
      </c>
      <c r="BE23" s="21" t="s">
        <v>33</v>
      </c>
      <c r="BF23">
        <v>6</v>
      </c>
      <c r="BG23">
        <v>4</v>
      </c>
      <c r="BH23" s="35">
        <v>0.58733257291673735</v>
      </c>
      <c r="BI23" s="8" t="s">
        <v>463</v>
      </c>
      <c r="BK23" s="13" t="s">
        <v>319</v>
      </c>
      <c r="BL23" s="16" t="s">
        <v>70</v>
      </c>
      <c r="BM23">
        <v>6</v>
      </c>
      <c r="BN23">
        <v>5</v>
      </c>
      <c r="BO23" s="35">
        <v>0.59489858239560223</v>
      </c>
      <c r="BP23" s="8" t="s">
        <v>500</v>
      </c>
      <c r="BR23" s="13" t="s">
        <v>319</v>
      </c>
      <c r="BS23" s="21" t="s">
        <v>33</v>
      </c>
      <c r="BT23">
        <v>7</v>
      </c>
      <c r="BU23">
        <v>5</v>
      </c>
      <c r="BV23" s="35">
        <v>0.5782997896114368</v>
      </c>
      <c r="BW23" s="8" t="s">
        <v>383</v>
      </c>
      <c r="BY23" s="13" t="s">
        <v>319</v>
      </c>
      <c r="BZ23" s="15" t="s">
        <v>86</v>
      </c>
      <c r="CA23" s="9">
        <v>8</v>
      </c>
      <c r="CB23" s="9">
        <v>5</v>
      </c>
      <c r="CC23" s="35">
        <v>0.57940443098087635</v>
      </c>
      <c r="CD23" s="22" t="s">
        <v>384</v>
      </c>
      <c r="CF23" s="13" t="s">
        <v>319</v>
      </c>
      <c r="CG23" s="16" t="s">
        <v>67</v>
      </c>
      <c r="CH23">
        <v>7</v>
      </c>
      <c r="CI23">
        <v>6</v>
      </c>
      <c r="CJ23" s="35">
        <v>0.55906446406069676</v>
      </c>
      <c r="CK23" s="8" t="s">
        <v>386</v>
      </c>
      <c r="CM23" s="13" t="s">
        <v>319</v>
      </c>
      <c r="CN23" s="21" t="s">
        <v>34</v>
      </c>
      <c r="CO23">
        <v>7</v>
      </c>
      <c r="CP23">
        <v>6</v>
      </c>
      <c r="CQ23" s="35">
        <v>0.48291721972184359</v>
      </c>
      <c r="CR23" s="8" t="s">
        <v>386</v>
      </c>
      <c r="CT23" s="13" t="s">
        <v>319</v>
      </c>
      <c r="CU23" s="17" t="s">
        <v>51</v>
      </c>
      <c r="CV23">
        <v>1</v>
      </c>
      <c r="CW23">
        <v>0</v>
      </c>
      <c r="CX23" s="35">
        <v>0.78582943423534579</v>
      </c>
      <c r="CY23" t="s">
        <v>637</v>
      </c>
      <c r="DA23" s="13" t="s">
        <v>319</v>
      </c>
      <c r="DB23" s="19" t="s">
        <v>40</v>
      </c>
      <c r="DC23">
        <v>1</v>
      </c>
      <c r="DD23">
        <v>1</v>
      </c>
      <c r="DE23" s="35">
        <v>0.75078014619475852</v>
      </c>
      <c r="DF23" s="8" t="s">
        <v>781</v>
      </c>
      <c r="DH23" s="13" t="s">
        <v>319</v>
      </c>
      <c r="DI23" s="19" t="s">
        <v>37</v>
      </c>
      <c r="DJ23">
        <v>2</v>
      </c>
      <c r="DK23">
        <v>0</v>
      </c>
      <c r="DL23" s="35">
        <v>0.76356292556082717</v>
      </c>
      <c r="DM23" s="8" t="s">
        <v>386</v>
      </c>
      <c r="DO23" s="13" t="s">
        <v>319</v>
      </c>
      <c r="DP23" s="19" t="s">
        <v>43</v>
      </c>
      <c r="DQ23">
        <v>2</v>
      </c>
      <c r="DR23">
        <v>1</v>
      </c>
      <c r="DS23" s="35">
        <v>0.68130889676455542</v>
      </c>
      <c r="DT23" t="s">
        <v>637</v>
      </c>
      <c r="DV23" s="13" t="s">
        <v>319</v>
      </c>
      <c r="DW23" s="58" t="s">
        <v>784</v>
      </c>
      <c r="DX23">
        <v>4</v>
      </c>
      <c r="DY23">
        <v>0</v>
      </c>
      <c r="DZ23" s="35">
        <v>0.66106377551368811</v>
      </c>
      <c r="EA23" t="s">
        <v>637</v>
      </c>
      <c r="EC23" s="13" t="s">
        <v>319</v>
      </c>
      <c r="ED23" s="15" t="s">
        <v>82</v>
      </c>
      <c r="EE23">
        <v>4</v>
      </c>
      <c r="EF23">
        <v>1</v>
      </c>
      <c r="EG23" s="35">
        <v>0.69297835910371064</v>
      </c>
      <c r="EH23" s="22" t="s">
        <v>384</v>
      </c>
      <c r="EJ23" s="13" t="s">
        <v>319</v>
      </c>
      <c r="EK23" s="17" t="s">
        <v>58</v>
      </c>
      <c r="EL23">
        <v>4</v>
      </c>
      <c r="EM23">
        <v>2</v>
      </c>
      <c r="EN23" s="35">
        <v>0.6835575136878268</v>
      </c>
      <c r="EO23" t="s">
        <v>637</v>
      </c>
      <c r="EQ23" s="13" t="s">
        <v>319</v>
      </c>
      <c r="ER23" s="21" t="s">
        <v>292</v>
      </c>
      <c r="ES23">
        <v>5</v>
      </c>
      <c r="ET23">
        <v>2</v>
      </c>
      <c r="EU23" s="35">
        <v>0.68586876550471987</v>
      </c>
      <c r="EV23" s="22" t="s">
        <v>381</v>
      </c>
      <c r="EX23" s="13" t="s">
        <v>319</v>
      </c>
      <c r="EY23" s="15" t="s">
        <v>79</v>
      </c>
      <c r="EZ23">
        <v>5</v>
      </c>
      <c r="FA23">
        <v>3</v>
      </c>
      <c r="FB23" s="35">
        <v>0.64982796320586522</v>
      </c>
      <c r="FC23" s="8" t="s">
        <v>392</v>
      </c>
      <c r="FE23" s="13" t="s">
        <v>319</v>
      </c>
      <c r="FF23" s="15" t="s">
        <v>88</v>
      </c>
      <c r="FG23">
        <v>5</v>
      </c>
      <c r="FH23">
        <v>4</v>
      </c>
      <c r="FI23" s="35">
        <v>0.64330108085380666</v>
      </c>
      <c r="FJ23" t="s">
        <v>637</v>
      </c>
      <c r="FL23" s="13" t="s">
        <v>319</v>
      </c>
      <c r="FM23" s="19" t="s">
        <v>46</v>
      </c>
      <c r="FN23">
        <v>7</v>
      </c>
      <c r="FO23">
        <v>3</v>
      </c>
      <c r="FP23" s="35">
        <v>0.61076443367111621</v>
      </c>
      <c r="FQ23" s="22" t="s">
        <v>381</v>
      </c>
      <c r="FS23" s="13" t="s">
        <v>319</v>
      </c>
      <c r="FT23" s="58" t="s">
        <v>792</v>
      </c>
      <c r="FU23">
        <v>8</v>
      </c>
      <c r="FV23">
        <v>3</v>
      </c>
      <c r="FW23" s="35">
        <v>0.57587645729250314</v>
      </c>
      <c r="FX23" t="s">
        <v>637</v>
      </c>
      <c r="FZ23" s="13" t="s">
        <v>319</v>
      </c>
      <c r="GA23" s="19" t="s">
        <v>37</v>
      </c>
      <c r="GB23">
        <v>7</v>
      </c>
      <c r="GC23">
        <v>5</v>
      </c>
      <c r="GD23" s="35">
        <v>0.55937992860981256</v>
      </c>
      <c r="GE23" s="8" t="s">
        <v>386</v>
      </c>
      <c r="GG23" s="13" t="s">
        <v>319</v>
      </c>
      <c r="GH23" s="19" t="s">
        <v>37</v>
      </c>
      <c r="GI23">
        <v>7</v>
      </c>
      <c r="GJ23">
        <v>5</v>
      </c>
      <c r="GK23" s="35">
        <v>0.56453817081674429</v>
      </c>
      <c r="GL23" t="s">
        <v>1</v>
      </c>
      <c r="GN23" s="13" t="s">
        <v>319</v>
      </c>
      <c r="GO23" s="15" t="s">
        <v>79</v>
      </c>
      <c r="GP23">
        <v>7</v>
      </c>
      <c r="GQ23">
        <v>5</v>
      </c>
      <c r="GR23" s="35">
        <v>0.56156336462403267</v>
      </c>
      <c r="GS23" s="22" t="s">
        <v>381</v>
      </c>
      <c r="GU23" s="13" t="s">
        <v>319</v>
      </c>
      <c r="GV23" s="58" t="s">
        <v>792</v>
      </c>
      <c r="GW23" s="46">
        <v>8</v>
      </c>
      <c r="GX23" s="46">
        <v>4</v>
      </c>
      <c r="GY23" s="35">
        <v>0.56860746649280758</v>
      </c>
      <c r="GZ23" s="22" t="s">
        <v>381</v>
      </c>
      <c r="HB23" s="13" t="s">
        <v>319</v>
      </c>
      <c r="HC23" s="58" t="s">
        <v>792</v>
      </c>
      <c r="HD23" s="46">
        <v>8</v>
      </c>
      <c r="HE23" s="46">
        <v>4</v>
      </c>
      <c r="HF23" s="35">
        <v>0.56694648443082829</v>
      </c>
      <c r="HG23" t="s">
        <v>1</v>
      </c>
      <c r="HI23" s="13" t="s">
        <v>319</v>
      </c>
      <c r="HJ23" s="58" t="s">
        <v>792</v>
      </c>
      <c r="HK23" s="46">
        <v>8</v>
      </c>
      <c r="HL23" s="46">
        <v>4</v>
      </c>
      <c r="HM23" s="35">
        <v>0.56383977171926369</v>
      </c>
      <c r="HN23" t="s">
        <v>1</v>
      </c>
      <c r="HP23" s="13" t="s">
        <v>319</v>
      </c>
      <c r="HQ23" s="58" t="s">
        <v>788</v>
      </c>
      <c r="HR23">
        <v>1</v>
      </c>
      <c r="HS23">
        <v>0</v>
      </c>
      <c r="HT23" s="35">
        <v>0.76867815181423016</v>
      </c>
      <c r="HU23" s="8" t="s">
        <v>463</v>
      </c>
      <c r="HW23" s="13" t="s">
        <v>319</v>
      </c>
      <c r="HX23" s="15" t="s">
        <v>83</v>
      </c>
      <c r="HY23">
        <v>2</v>
      </c>
      <c r="HZ23">
        <v>0</v>
      </c>
      <c r="IA23" s="35">
        <v>0.77638774410990841</v>
      </c>
      <c r="IB23" s="8" t="s">
        <v>386</v>
      </c>
      <c r="ID23" s="13" t="s">
        <v>319</v>
      </c>
      <c r="IE23" s="16" t="s">
        <v>64</v>
      </c>
      <c r="IF23">
        <v>3</v>
      </c>
      <c r="IG23">
        <v>0</v>
      </c>
      <c r="IH23" s="35">
        <v>0.73223853048753063</v>
      </c>
      <c r="II23" t="s">
        <v>637</v>
      </c>
      <c r="IK23" s="13" t="s">
        <v>319</v>
      </c>
      <c r="IL23" s="15" t="s">
        <v>77</v>
      </c>
      <c r="IM23">
        <v>3</v>
      </c>
      <c r="IN23">
        <v>1</v>
      </c>
      <c r="IO23" s="35">
        <v>0.7491255308147996</v>
      </c>
      <c r="IP23" t="s">
        <v>637</v>
      </c>
      <c r="IR23" s="13" t="s">
        <v>319</v>
      </c>
      <c r="IS23" s="17" t="s">
        <v>300</v>
      </c>
      <c r="IT23">
        <v>3</v>
      </c>
      <c r="IU23">
        <v>2</v>
      </c>
      <c r="IV23" s="35">
        <v>0.73432397504281111</v>
      </c>
      <c r="IW23" t="s">
        <v>637</v>
      </c>
      <c r="IY23" s="13" t="s">
        <v>319</v>
      </c>
      <c r="IZ23" s="58" t="s">
        <v>790</v>
      </c>
      <c r="JA23">
        <v>5</v>
      </c>
      <c r="JB23">
        <v>1</v>
      </c>
      <c r="JC23" s="35">
        <v>0.7116953812230441</v>
      </c>
      <c r="JD23" t="s">
        <v>637</v>
      </c>
      <c r="JF23" s="13" t="s">
        <v>319</v>
      </c>
      <c r="JG23" s="69" t="s">
        <v>1301</v>
      </c>
      <c r="JH23" s="6">
        <v>5</v>
      </c>
      <c r="JI23" s="6">
        <v>2</v>
      </c>
      <c r="JJ23" s="35">
        <v>0.70601026382082421</v>
      </c>
      <c r="JK23" s="8" t="s">
        <v>387</v>
      </c>
      <c r="JM23" s="13" t="s">
        <v>319</v>
      </c>
      <c r="JN23" s="21" t="s">
        <v>33</v>
      </c>
      <c r="JO23" s="6">
        <v>5</v>
      </c>
      <c r="JP23" s="6">
        <v>3</v>
      </c>
      <c r="JQ23" s="35">
        <v>0.70183262442007477</v>
      </c>
      <c r="JR23" s="8" t="s">
        <v>387</v>
      </c>
      <c r="JT23" s="13" t="s">
        <v>319</v>
      </c>
      <c r="JU23" s="15" t="s">
        <v>83</v>
      </c>
      <c r="JV23" s="6">
        <v>6</v>
      </c>
      <c r="JW23" s="6">
        <v>2</v>
      </c>
      <c r="JX23" s="35">
        <v>0.74488019923934767</v>
      </c>
      <c r="JY23" s="8" t="s">
        <v>383</v>
      </c>
      <c r="JZ23" s="8" t="s">
        <v>500</v>
      </c>
      <c r="KB23" s="13" t="s">
        <v>319</v>
      </c>
      <c r="KC23" s="58" t="s">
        <v>790</v>
      </c>
      <c r="KD23" s="6">
        <v>8</v>
      </c>
      <c r="KE23" s="6">
        <v>1</v>
      </c>
      <c r="KF23" s="35">
        <v>0.74114443467861701</v>
      </c>
      <c r="KG23" s="22" t="s">
        <v>432</v>
      </c>
      <c r="KI23" s="13" t="s">
        <v>319</v>
      </c>
      <c r="KJ23" s="17" t="s">
        <v>300</v>
      </c>
      <c r="KK23" s="6">
        <v>6</v>
      </c>
      <c r="KL23" s="6">
        <v>3</v>
      </c>
      <c r="KM23" s="35">
        <v>0.72963922229134726</v>
      </c>
      <c r="KN23" t="s">
        <v>637</v>
      </c>
      <c r="KP23" s="13" t="s">
        <v>319</v>
      </c>
      <c r="KQ23" s="17" t="s">
        <v>53</v>
      </c>
      <c r="KR23" s="6">
        <v>8</v>
      </c>
      <c r="KS23" s="6">
        <v>2</v>
      </c>
      <c r="KT23" s="35">
        <v>0.73355848811794544</v>
      </c>
      <c r="KU23" s="22" t="s">
        <v>432</v>
      </c>
      <c r="KW23" s="13" t="s">
        <v>319</v>
      </c>
      <c r="KX23" s="17" t="s">
        <v>53</v>
      </c>
      <c r="KY23" s="6">
        <v>8</v>
      </c>
      <c r="KZ23" s="6">
        <v>2</v>
      </c>
      <c r="LA23" s="35">
        <v>0.73261730816496984</v>
      </c>
      <c r="LB23" t="s">
        <v>1</v>
      </c>
      <c r="LD23" s="13" t="s">
        <v>319</v>
      </c>
      <c r="LE23" s="16" t="s">
        <v>115</v>
      </c>
      <c r="LF23" s="6">
        <v>9</v>
      </c>
      <c r="LG23" s="6">
        <v>2</v>
      </c>
      <c r="LH23" s="35">
        <v>0.7411837379609223</v>
      </c>
      <c r="LI23" s="22" t="s">
        <v>432</v>
      </c>
      <c r="LK23" s="13" t="s">
        <v>319</v>
      </c>
      <c r="LL23" s="16" t="s">
        <v>115</v>
      </c>
      <c r="LM23" s="6">
        <v>9</v>
      </c>
      <c r="LN23" s="6">
        <v>2</v>
      </c>
      <c r="LO23" s="35">
        <v>0.7400142547852322</v>
      </c>
      <c r="LP23" t="s">
        <v>1</v>
      </c>
      <c r="LR23" s="13" t="s">
        <v>319</v>
      </c>
      <c r="LS23" s="17" t="s">
        <v>300</v>
      </c>
      <c r="LT23" s="6">
        <v>8</v>
      </c>
      <c r="LU23" s="6">
        <v>4</v>
      </c>
      <c r="LV23" s="35">
        <v>0.72596152918429313</v>
      </c>
      <c r="LW23" s="22" t="s">
        <v>381</v>
      </c>
      <c r="LY23" s="13" t="s">
        <v>319</v>
      </c>
      <c r="LZ23" s="17" t="s">
        <v>300</v>
      </c>
      <c r="MA23" s="6">
        <v>8</v>
      </c>
      <c r="MB23" s="6">
        <v>4</v>
      </c>
      <c r="MC23" s="35">
        <v>0.72682691808772726</v>
      </c>
      <c r="MD23" t="s">
        <v>1</v>
      </c>
      <c r="MF23" s="13" t="s">
        <v>319</v>
      </c>
      <c r="MG23" s="16" t="s">
        <v>69</v>
      </c>
      <c r="MH23" s="6">
        <v>7</v>
      </c>
      <c r="MI23" s="6">
        <v>6</v>
      </c>
      <c r="MJ23" s="35">
        <v>0.73148779572968847</v>
      </c>
      <c r="MK23" s="22" t="s">
        <v>384</v>
      </c>
      <c r="MM23" s="13" t="s">
        <v>319</v>
      </c>
      <c r="MN23" s="16" t="s">
        <v>66</v>
      </c>
      <c r="MO23" s="6">
        <v>9</v>
      </c>
      <c r="MP23" s="6">
        <v>4</v>
      </c>
      <c r="MQ23" s="35">
        <v>0.70831681164202398</v>
      </c>
      <c r="MR23" s="22" t="s">
        <v>384</v>
      </c>
      <c r="MT23" s="13" t="s">
        <v>319</v>
      </c>
      <c r="MU23" s="16" t="s">
        <v>66</v>
      </c>
      <c r="MV23" s="6">
        <v>9</v>
      </c>
      <c r="MW23" s="6">
        <v>4</v>
      </c>
      <c r="MX23" s="35">
        <v>0.70808180524937903</v>
      </c>
      <c r="MY23" t="s">
        <v>1</v>
      </c>
      <c r="NA23" s="13" t="s">
        <v>319</v>
      </c>
      <c r="NB23" s="17" t="s">
        <v>51</v>
      </c>
      <c r="NC23" s="6">
        <v>9</v>
      </c>
      <c r="ND23" s="6">
        <v>4</v>
      </c>
      <c r="NE23" s="35">
        <v>0.7022806709608348</v>
      </c>
      <c r="NF23" s="22" t="s">
        <v>381</v>
      </c>
      <c r="NH23" s="13" t="s">
        <v>319</v>
      </c>
      <c r="NI23" s="17" t="s">
        <v>51</v>
      </c>
      <c r="NJ23" s="6">
        <v>9</v>
      </c>
      <c r="NK23" s="6">
        <v>4</v>
      </c>
      <c r="NL23" s="35">
        <v>0.69663177146061472</v>
      </c>
      <c r="NM23" t="s">
        <v>1</v>
      </c>
      <c r="NO23" s="13" t="s">
        <v>319</v>
      </c>
      <c r="NP23" s="17" t="s">
        <v>51</v>
      </c>
      <c r="NQ23" s="6">
        <v>9</v>
      </c>
      <c r="NR23" s="6">
        <v>4</v>
      </c>
      <c r="NS23" s="35">
        <v>0.69521008958515129</v>
      </c>
      <c r="NT23" t="s">
        <v>1</v>
      </c>
      <c r="NV23" s="13" t="s">
        <v>319</v>
      </c>
      <c r="NW23" s="17" t="s">
        <v>51</v>
      </c>
      <c r="NX23" s="6">
        <v>9</v>
      </c>
      <c r="NY23" s="6">
        <v>4</v>
      </c>
      <c r="NZ23" s="35">
        <v>0.69451487634819975</v>
      </c>
      <c r="OA23" t="s">
        <v>1</v>
      </c>
      <c r="OC23" s="13" t="s">
        <v>319</v>
      </c>
      <c r="OD23" s="17" t="s">
        <v>51</v>
      </c>
      <c r="OE23" s="6">
        <v>9</v>
      </c>
      <c r="OF23" s="6">
        <v>4</v>
      </c>
      <c r="OG23" s="35">
        <v>0.68514504252873687</v>
      </c>
      <c r="OH23" t="s">
        <v>1</v>
      </c>
      <c r="OJ23" s="13" t="s">
        <v>319</v>
      </c>
      <c r="OK23" s="17" t="s">
        <v>51</v>
      </c>
      <c r="OL23" s="6">
        <v>9</v>
      </c>
      <c r="OM23" s="6">
        <v>4</v>
      </c>
      <c r="ON23" s="35">
        <v>0.68472099840086353</v>
      </c>
      <c r="OO23" t="s">
        <v>1</v>
      </c>
      <c r="OQ23" s="13" t="s">
        <v>319</v>
      </c>
      <c r="OR23" s="17" t="s">
        <v>51</v>
      </c>
      <c r="OS23" s="6">
        <v>9</v>
      </c>
      <c r="OT23" s="6">
        <v>4</v>
      </c>
      <c r="OU23" s="35">
        <v>0.69135473459881969</v>
      </c>
      <c r="OV23" t="s">
        <v>1</v>
      </c>
      <c r="OX23" s="13" t="s">
        <v>319</v>
      </c>
      <c r="OY23" s="17" t="s">
        <v>51</v>
      </c>
      <c r="OZ23" s="6">
        <v>9</v>
      </c>
      <c r="PA23" s="6">
        <v>4</v>
      </c>
      <c r="PB23" s="35">
        <v>0.70001650234467472</v>
      </c>
      <c r="PC23" t="s">
        <v>1</v>
      </c>
      <c r="PE23" s="13" t="s">
        <v>319</v>
      </c>
      <c r="PF23" s="17" t="s">
        <v>51</v>
      </c>
      <c r="PG23" s="6">
        <v>9</v>
      </c>
      <c r="PH23" s="6">
        <v>4</v>
      </c>
      <c r="PI23" s="35">
        <v>0.70014330527397661</v>
      </c>
      <c r="PJ23" t="s">
        <v>1</v>
      </c>
    </row>
    <row r="24" spans="2:426" x14ac:dyDescent="0.35">
      <c r="B24" s="13" t="s">
        <v>320</v>
      </c>
      <c r="C24" s="17" t="s">
        <v>50</v>
      </c>
      <c r="D24" t="s">
        <v>327</v>
      </c>
      <c r="E24">
        <v>66</v>
      </c>
      <c r="G24" s="13" t="s">
        <v>320</v>
      </c>
      <c r="H24" s="16" t="s">
        <v>67</v>
      </c>
      <c r="I24" t="s">
        <v>379</v>
      </c>
      <c r="J24">
        <v>53</v>
      </c>
      <c r="K24" t="s">
        <v>390</v>
      </c>
      <c r="M24" s="13" t="s">
        <v>320</v>
      </c>
      <c r="N24" s="17" t="s">
        <v>53</v>
      </c>
      <c r="O24" s="9" t="s">
        <v>429</v>
      </c>
      <c r="P24">
        <v>73</v>
      </c>
      <c r="Q24" t="s">
        <v>390</v>
      </c>
      <c r="S24" s="13" t="s">
        <v>320</v>
      </c>
      <c r="T24" s="17" t="s">
        <v>47</v>
      </c>
      <c r="U24" t="s">
        <v>459</v>
      </c>
      <c r="V24">
        <v>69</v>
      </c>
      <c r="W24" t="s">
        <v>390</v>
      </c>
      <c r="Y24" s="13" t="s">
        <v>320</v>
      </c>
      <c r="Z24" s="19" t="s">
        <v>2011</v>
      </c>
      <c r="AA24" t="s">
        <v>499</v>
      </c>
      <c r="AB24">
        <v>62</v>
      </c>
      <c r="AC24" t="s">
        <v>390</v>
      </c>
      <c r="AE24" s="13" t="s">
        <v>320</v>
      </c>
      <c r="AF24" s="16" t="s">
        <v>65</v>
      </c>
      <c r="AG24" t="s">
        <v>520</v>
      </c>
      <c r="AH24">
        <v>53</v>
      </c>
      <c r="AI24" t="s">
        <v>390</v>
      </c>
      <c r="AK24" s="13" t="s">
        <v>320</v>
      </c>
      <c r="AL24" s="15" t="s">
        <v>82</v>
      </c>
      <c r="AM24" s="9" t="s">
        <v>542</v>
      </c>
      <c r="AN24">
        <v>64</v>
      </c>
      <c r="AO24" s="22" t="s">
        <v>432</v>
      </c>
      <c r="AQ24" s="13" t="s">
        <v>320</v>
      </c>
      <c r="AR24" s="19" t="s">
        <v>40</v>
      </c>
      <c r="AS24" t="s">
        <v>561</v>
      </c>
      <c r="AT24">
        <v>57</v>
      </c>
      <c r="AU24" s="8" t="s">
        <v>383</v>
      </c>
      <c r="AW24" s="13" t="s">
        <v>320</v>
      </c>
      <c r="AX24" s="16" t="s">
        <v>114</v>
      </c>
      <c r="AY24">
        <v>5</v>
      </c>
      <c r="AZ24">
        <v>4</v>
      </c>
      <c r="BA24">
        <v>0.57147408067054284</v>
      </c>
      <c r="BB24" t="s">
        <v>390</v>
      </c>
      <c r="BD24" s="13" t="s">
        <v>320</v>
      </c>
      <c r="BE24" s="17" t="s">
        <v>49</v>
      </c>
      <c r="BF24">
        <v>6</v>
      </c>
      <c r="BG24">
        <v>4</v>
      </c>
      <c r="BH24" s="35">
        <v>0.57900186000247256</v>
      </c>
      <c r="BI24" s="9" t="s">
        <v>390</v>
      </c>
      <c r="BK24" s="13" t="s">
        <v>320</v>
      </c>
      <c r="BL24" s="21" t="s">
        <v>31</v>
      </c>
      <c r="BM24">
        <v>5</v>
      </c>
      <c r="BN24">
        <v>6</v>
      </c>
      <c r="BO24" s="35">
        <v>0.57851278329341238</v>
      </c>
      <c r="BP24" t="s">
        <v>637</v>
      </c>
      <c r="BR24" s="13" t="s">
        <v>320</v>
      </c>
      <c r="BS24" s="17" t="s">
        <v>49</v>
      </c>
      <c r="BT24">
        <v>7</v>
      </c>
      <c r="BU24">
        <v>5</v>
      </c>
      <c r="BV24" s="35">
        <v>0.57342348355145278</v>
      </c>
      <c r="BW24" t="s">
        <v>637</v>
      </c>
      <c r="BY24" s="13" t="s">
        <v>320</v>
      </c>
      <c r="BZ24" s="17" t="s">
        <v>49</v>
      </c>
      <c r="CA24">
        <v>7</v>
      </c>
      <c r="CB24">
        <v>6</v>
      </c>
      <c r="CC24" s="35">
        <v>0.55238258166833853</v>
      </c>
      <c r="CD24" t="s">
        <v>1</v>
      </c>
      <c r="CF24" s="13" t="s">
        <v>320</v>
      </c>
      <c r="CG24" s="15" t="s">
        <v>74</v>
      </c>
      <c r="CH24" s="9">
        <v>8</v>
      </c>
      <c r="CI24" s="9">
        <v>5</v>
      </c>
      <c r="CJ24" s="35">
        <v>0.53083711080523166</v>
      </c>
      <c r="CK24" s="22" t="s">
        <v>432</v>
      </c>
      <c r="CM24" s="13" t="s">
        <v>320</v>
      </c>
      <c r="CN24" s="17" t="s">
        <v>49</v>
      </c>
      <c r="CO24">
        <v>7</v>
      </c>
      <c r="CP24">
        <v>6</v>
      </c>
      <c r="CQ24" s="35">
        <v>0.47825038651415436</v>
      </c>
      <c r="CR24" s="22" t="s">
        <v>381</v>
      </c>
      <c r="CT24" s="13" t="s">
        <v>320</v>
      </c>
      <c r="CU24" s="16" t="s">
        <v>114</v>
      </c>
      <c r="CV24">
        <v>1</v>
      </c>
      <c r="CW24">
        <v>0</v>
      </c>
      <c r="CX24" s="35">
        <v>0.78006587027128915</v>
      </c>
      <c r="CY24" t="s">
        <v>637</v>
      </c>
      <c r="DA24" s="13" t="s">
        <v>320</v>
      </c>
      <c r="DB24" s="17" t="s">
        <v>55</v>
      </c>
      <c r="DC24">
        <v>2</v>
      </c>
      <c r="DD24">
        <v>0</v>
      </c>
      <c r="DE24" s="35">
        <v>0.74469417374796132</v>
      </c>
      <c r="DF24" t="s">
        <v>637</v>
      </c>
      <c r="DH24" s="13" t="s">
        <v>320</v>
      </c>
      <c r="DI24" s="58" t="s">
        <v>792</v>
      </c>
      <c r="DJ24" s="46">
        <v>2</v>
      </c>
      <c r="DK24" s="46">
        <v>0</v>
      </c>
      <c r="DL24" s="35">
        <v>0.76005415116284669</v>
      </c>
      <c r="DM24" t="s">
        <v>637</v>
      </c>
      <c r="DO24" s="13" t="s">
        <v>320</v>
      </c>
      <c r="DP24" s="19" t="s">
        <v>36</v>
      </c>
      <c r="DQ24" s="46">
        <v>2</v>
      </c>
      <c r="DR24" s="46">
        <v>1</v>
      </c>
      <c r="DS24" s="35">
        <v>0.67914820999797698</v>
      </c>
      <c r="DT24" s="8" t="s">
        <v>877</v>
      </c>
      <c r="DV24" s="13" t="s">
        <v>320</v>
      </c>
      <c r="DW24" s="15" t="s">
        <v>87</v>
      </c>
      <c r="DX24" s="46">
        <v>3</v>
      </c>
      <c r="DY24" s="46">
        <v>1</v>
      </c>
      <c r="DZ24" s="35">
        <v>0.6600472213767421</v>
      </c>
      <c r="EA24" s="8" t="s">
        <v>502</v>
      </c>
      <c r="EC24" s="13" t="s">
        <v>320</v>
      </c>
      <c r="ED24" s="15" t="s">
        <v>86</v>
      </c>
      <c r="EE24">
        <v>3</v>
      </c>
      <c r="EF24">
        <v>2</v>
      </c>
      <c r="EG24" s="35">
        <v>0.68915349161073691</v>
      </c>
      <c r="EH24" s="8" t="s">
        <v>523</v>
      </c>
      <c r="EJ24" s="13" t="s">
        <v>320</v>
      </c>
      <c r="EK24" s="21" t="s">
        <v>292</v>
      </c>
      <c r="EL24">
        <v>4</v>
      </c>
      <c r="EM24">
        <v>2</v>
      </c>
      <c r="EN24" s="35">
        <v>0.68277639183329841</v>
      </c>
      <c r="EO24" s="8" t="s">
        <v>501</v>
      </c>
      <c r="EQ24" s="13" t="s">
        <v>320</v>
      </c>
      <c r="ER24" s="58" t="s">
        <v>795</v>
      </c>
      <c r="ES24">
        <v>6</v>
      </c>
      <c r="ET24">
        <v>1</v>
      </c>
      <c r="EU24" s="35">
        <v>0.67553118719840211</v>
      </c>
      <c r="EV24" t="s">
        <v>637</v>
      </c>
      <c r="EX24" s="13" t="s">
        <v>320</v>
      </c>
      <c r="EY24" s="58" t="s">
        <v>788</v>
      </c>
      <c r="EZ24" s="46">
        <v>5</v>
      </c>
      <c r="FA24" s="46">
        <v>3</v>
      </c>
      <c r="FB24" s="35">
        <v>0.6412519779746878</v>
      </c>
      <c r="FC24" t="s">
        <v>637</v>
      </c>
      <c r="FE24" s="13" t="s">
        <v>320</v>
      </c>
      <c r="FF24" s="19" t="s">
        <v>46</v>
      </c>
      <c r="FG24" s="46">
        <v>6</v>
      </c>
      <c r="FH24" s="46">
        <v>3</v>
      </c>
      <c r="FI24" s="35">
        <v>0.64273660814719658</v>
      </c>
      <c r="FJ24" t="s">
        <v>637</v>
      </c>
      <c r="FL24" s="13" t="s">
        <v>320</v>
      </c>
      <c r="FM24" s="16" t="s">
        <v>70</v>
      </c>
      <c r="FN24" s="46">
        <v>6</v>
      </c>
      <c r="FO24" s="46">
        <v>4</v>
      </c>
      <c r="FP24" s="35">
        <v>0.60442174837372842</v>
      </c>
      <c r="FQ24" s="8" t="s">
        <v>500</v>
      </c>
      <c r="FS24" s="13" t="s">
        <v>320</v>
      </c>
      <c r="FT24" s="16" t="s">
        <v>62</v>
      </c>
      <c r="FU24" s="46">
        <v>7</v>
      </c>
      <c r="FV24" s="46">
        <v>4</v>
      </c>
      <c r="FW24" s="35">
        <v>0.57195091497650929</v>
      </c>
      <c r="FX24" t="s">
        <v>637</v>
      </c>
      <c r="FZ24" s="13" t="s">
        <v>320</v>
      </c>
      <c r="GA24" s="15" t="s">
        <v>79</v>
      </c>
      <c r="GB24" s="46">
        <v>7</v>
      </c>
      <c r="GC24" s="46">
        <v>5</v>
      </c>
      <c r="GD24" s="35">
        <v>0.55618032456510036</v>
      </c>
      <c r="GE24" s="8" t="s">
        <v>461</v>
      </c>
      <c r="GG24" s="13" t="s">
        <v>320</v>
      </c>
      <c r="GH24" s="15" t="s">
        <v>79</v>
      </c>
      <c r="GI24" s="46">
        <v>7</v>
      </c>
      <c r="GJ24" s="46">
        <v>5</v>
      </c>
      <c r="GK24" s="35">
        <v>0.56341677900950349</v>
      </c>
      <c r="GL24" t="s">
        <v>1</v>
      </c>
      <c r="GN24" s="13" t="s">
        <v>320</v>
      </c>
      <c r="GO24" s="58" t="s">
        <v>792</v>
      </c>
      <c r="GP24" s="46">
        <v>8</v>
      </c>
      <c r="GQ24" s="46">
        <v>4</v>
      </c>
      <c r="GR24" s="35">
        <v>0.56032031428340856</v>
      </c>
      <c r="GS24" s="22" t="s">
        <v>381</v>
      </c>
      <c r="GU24" s="13" t="s">
        <v>320</v>
      </c>
      <c r="GV24" s="15" t="s">
        <v>79</v>
      </c>
      <c r="GW24">
        <v>7</v>
      </c>
      <c r="GX24">
        <v>5</v>
      </c>
      <c r="GY24" s="35">
        <v>0.56715861068558604</v>
      </c>
      <c r="GZ24" s="8" t="s">
        <v>386</v>
      </c>
      <c r="HB24" s="13" t="s">
        <v>320</v>
      </c>
      <c r="HC24" s="15" t="s">
        <v>79</v>
      </c>
      <c r="HD24">
        <v>7</v>
      </c>
      <c r="HE24">
        <v>5</v>
      </c>
      <c r="HF24" s="35">
        <v>0.56490054356864683</v>
      </c>
      <c r="HG24" t="s">
        <v>1</v>
      </c>
      <c r="HI24" s="13" t="s">
        <v>320</v>
      </c>
      <c r="HJ24" s="58" t="s">
        <v>795</v>
      </c>
      <c r="HK24">
        <v>9</v>
      </c>
      <c r="HL24">
        <v>3</v>
      </c>
      <c r="HM24" s="35">
        <v>0.56165313823181773</v>
      </c>
      <c r="HN24" s="22" t="s">
        <v>381</v>
      </c>
      <c r="HP24" s="13" t="s">
        <v>320</v>
      </c>
      <c r="HQ24" s="15" t="s">
        <v>78</v>
      </c>
      <c r="HR24">
        <v>1</v>
      </c>
      <c r="HS24">
        <v>0</v>
      </c>
      <c r="HT24" s="35">
        <v>0.76745279201089811</v>
      </c>
      <c r="HU24" t="s">
        <v>637</v>
      </c>
      <c r="HW24" s="13" t="s">
        <v>320</v>
      </c>
      <c r="HX24" s="15" t="s">
        <v>77</v>
      </c>
      <c r="HY24">
        <v>2</v>
      </c>
      <c r="HZ24">
        <v>0</v>
      </c>
      <c r="IA24" s="35">
        <v>0.76681592666237675</v>
      </c>
      <c r="IB24" t="s">
        <v>637</v>
      </c>
      <c r="ID24" s="13" t="s">
        <v>320</v>
      </c>
      <c r="IE24" s="21" t="s">
        <v>34</v>
      </c>
      <c r="IF24">
        <v>2</v>
      </c>
      <c r="IG24">
        <v>1</v>
      </c>
      <c r="IH24" s="35">
        <v>0.72798536622192145</v>
      </c>
      <c r="II24" s="8" t="s">
        <v>759</v>
      </c>
      <c r="IK24" s="13" t="s">
        <v>320</v>
      </c>
      <c r="IL24" s="17" t="s">
        <v>145</v>
      </c>
      <c r="IM24">
        <v>3</v>
      </c>
      <c r="IN24">
        <v>1</v>
      </c>
      <c r="IO24" s="35">
        <v>0.74426194715562088</v>
      </c>
      <c r="IP24" t="s">
        <v>637</v>
      </c>
      <c r="IR24" s="13" t="s">
        <v>320</v>
      </c>
      <c r="IS24" s="17" t="s">
        <v>49</v>
      </c>
      <c r="IT24">
        <v>3</v>
      </c>
      <c r="IU24">
        <v>2</v>
      </c>
      <c r="IV24" s="35">
        <v>0.72089791312524565</v>
      </c>
      <c r="IW24" s="8" t="s">
        <v>502</v>
      </c>
      <c r="IY24" s="13" t="s">
        <v>320</v>
      </c>
      <c r="IZ24" s="58" t="s">
        <v>785</v>
      </c>
      <c r="JA24">
        <v>5</v>
      </c>
      <c r="JB24">
        <v>1</v>
      </c>
      <c r="JC24" s="35">
        <v>0.70777267183858916</v>
      </c>
      <c r="JD24" s="8" t="s">
        <v>392</v>
      </c>
      <c r="JF24" s="13" t="s">
        <v>320</v>
      </c>
      <c r="JG24" s="16" t="s">
        <v>115</v>
      </c>
      <c r="JH24" s="6">
        <v>6</v>
      </c>
      <c r="JI24" s="6">
        <v>1</v>
      </c>
      <c r="JJ24" s="35">
        <v>0.70218405008445262</v>
      </c>
      <c r="JK24" s="22" t="s">
        <v>432</v>
      </c>
      <c r="JM24" s="13" t="s">
        <v>320</v>
      </c>
      <c r="JN24" s="58" t="s">
        <v>790</v>
      </c>
      <c r="JO24" s="6">
        <v>7</v>
      </c>
      <c r="JP24" s="6">
        <v>1</v>
      </c>
      <c r="JQ24" s="35">
        <v>0.69910649622481813</v>
      </c>
      <c r="JR24" s="8" t="s">
        <v>500</v>
      </c>
      <c r="JT24" s="13" t="s">
        <v>320</v>
      </c>
      <c r="JU24" s="15" t="s">
        <v>85</v>
      </c>
      <c r="JV24" s="6">
        <v>5</v>
      </c>
      <c r="JW24" s="6">
        <v>3</v>
      </c>
      <c r="JX24" s="35">
        <v>0.72862465477168736</v>
      </c>
      <c r="JY24" t="s">
        <v>637</v>
      </c>
      <c r="JZ24" t="s">
        <v>637</v>
      </c>
      <c r="KB24" s="13" t="s">
        <v>320</v>
      </c>
      <c r="KC24" s="17" t="s">
        <v>51</v>
      </c>
      <c r="KD24" s="6">
        <v>6</v>
      </c>
      <c r="KE24" s="6">
        <v>3</v>
      </c>
      <c r="KF24" s="35">
        <v>0.73436932899182228</v>
      </c>
      <c r="KG24" t="s">
        <v>637</v>
      </c>
      <c r="KI24" s="13" t="s">
        <v>320</v>
      </c>
      <c r="KJ24" s="17" t="s">
        <v>51</v>
      </c>
      <c r="KK24" s="6">
        <v>6</v>
      </c>
      <c r="KL24" s="6">
        <v>3</v>
      </c>
      <c r="KM24" s="35">
        <v>0.72573966021992664</v>
      </c>
      <c r="KN24" t="s">
        <v>1</v>
      </c>
      <c r="KP24" s="13" t="s">
        <v>320</v>
      </c>
      <c r="KQ24" s="17" t="s">
        <v>300</v>
      </c>
      <c r="KR24" s="6">
        <v>7</v>
      </c>
      <c r="KS24" s="6">
        <v>3</v>
      </c>
      <c r="KT24" s="35">
        <v>0.73291799545530467</v>
      </c>
      <c r="KU24" s="8" t="s">
        <v>386</v>
      </c>
      <c r="KW24" s="13" t="s">
        <v>320</v>
      </c>
      <c r="KX24" s="16" t="s">
        <v>69</v>
      </c>
      <c r="KY24" s="6">
        <v>5</v>
      </c>
      <c r="KZ24" s="6">
        <v>5</v>
      </c>
      <c r="LA24" s="35">
        <v>0.72471145717073615</v>
      </c>
      <c r="LB24" s="8" t="s">
        <v>383</v>
      </c>
      <c r="LD24" s="13" t="s">
        <v>320</v>
      </c>
      <c r="LE24" s="17" t="s">
        <v>300</v>
      </c>
      <c r="LF24" s="6">
        <v>7</v>
      </c>
      <c r="LG24" s="6">
        <v>4</v>
      </c>
      <c r="LH24" s="35">
        <v>0.7223973021721688</v>
      </c>
      <c r="LI24" s="8" t="s">
        <v>383</v>
      </c>
      <c r="LK24" s="13" t="s">
        <v>320</v>
      </c>
      <c r="LL24" s="17" t="s">
        <v>300</v>
      </c>
      <c r="LM24" s="6">
        <v>7</v>
      </c>
      <c r="LN24" s="6">
        <v>4</v>
      </c>
      <c r="LO24" s="35">
        <v>0.71642251191752071</v>
      </c>
      <c r="LP24" t="s">
        <v>1</v>
      </c>
      <c r="LR24" s="13" t="s">
        <v>320</v>
      </c>
      <c r="LS24" s="16" t="s">
        <v>69</v>
      </c>
      <c r="LT24" s="6">
        <v>6</v>
      </c>
      <c r="LU24" s="6">
        <v>6</v>
      </c>
      <c r="LV24" s="35">
        <v>0.72297616159362788</v>
      </c>
      <c r="LW24" s="8" t="s">
        <v>461</v>
      </c>
      <c r="LY24" s="13" t="s">
        <v>320</v>
      </c>
      <c r="LZ24" s="15" t="s">
        <v>73</v>
      </c>
      <c r="MA24" s="6">
        <v>9</v>
      </c>
      <c r="MB24" s="6">
        <v>3</v>
      </c>
      <c r="MC24" s="35">
        <v>0.72221169633631666</v>
      </c>
      <c r="MD24" s="22" t="s">
        <v>432</v>
      </c>
      <c r="MF24" s="13" t="s">
        <v>320</v>
      </c>
      <c r="MG24" s="17" t="s">
        <v>53</v>
      </c>
      <c r="MH24" s="6">
        <v>10</v>
      </c>
      <c r="MI24" s="6">
        <v>3</v>
      </c>
      <c r="MJ24" s="35">
        <v>0.719264849186672</v>
      </c>
      <c r="MK24" t="s">
        <v>637</v>
      </c>
      <c r="MM24" s="13" t="s">
        <v>320</v>
      </c>
      <c r="MN24" s="17" t="s">
        <v>51</v>
      </c>
      <c r="MO24" s="6">
        <v>9</v>
      </c>
      <c r="MP24" s="6">
        <v>4</v>
      </c>
      <c r="MQ24" s="35">
        <v>0.70629982551954851</v>
      </c>
      <c r="MR24" s="22" t="s">
        <v>381</v>
      </c>
      <c r="MT24" s="13" t="s">
        <v>320</v>
      </c>
      <c r="MU24" s="17" t="s">
        <v>51</v>
      </c>
      <c r="MV24" s="6">
        <v>9</v>
      </c>
      <c r="MW24" s="6">
        <v>4</v>
      </c>
      <c r="MX24" s="35">
        <v>0.70745455784629352</v>
      </c>
      <c r="MY24" t="s">
        <v>1</v>
      </c>
      <c r="NA24" s="13" t="s">
        <v>320</v>
      </c>
      <c r="NB24" s="16" t="s">
        <v>66</v>
      </c>
      <c r="NC24" s="6">
        <v>9</v>
      </c>
      <c r="ND24" s="6">
        <v>4</v>
      </c>
      <c r="NE24" s="35">
        <v>0.70155099023752532</v>
      </c>
      <c r="NF24" s="8" t="s">
        <v>386</v>
      </c>
      <c r="NH24" s="13" t="s">
        <v>320</v>
      </c>
      <c r="NI24" s="16" t="s">
        <v>66</v>
      </c>
      <c r="NJ24" s="6">
        <v>9</v>
      </c>
      <c r="NK24" s="6">
        <v>4</v>
      </c>
      <c r="NL24" s="35">
        <v>0.69566201317325305</v>
      </c>
      <c r="NM24" t="s">
        <v>1</v>
      </c>
      <c r="NO24" s="13" t="s">
        <v>320</v>
      </c>
      <c r="NP24" s="16" t="s">
        <v>66</v>
      </c>
      <c r="NQ24" s="6">
        <v>9</v>
      </c>
      <c r="NR24" s="6">
        <v>4</v>
      </c>
      <c r="NS24" s="35">
        <v>0.69356318364620639</v>
      </c>
      <c r="NT24" t="s">
        <v>1</v>
      </c>
      <c r="NV24" s="13" t="s">
        <v>320</v>
      </c>
      <c r="NW24" s="16" t="s">
        <v>66</v>
      </c>
      <c r="NX24" s="6">
        <v>9</v>
      </c>
      <c r="NY24" s="6">
        <v>4</v>
      </c>
      <c r="NZ24" s="35">
        <v>0.69264464011145022</v>
      </c>
      <c r="OA24" t="s">
        <v>1</v>
      </c>
      <c r="OC24" s="13" t="s">
        <v>320</v>
      </c>
      <c r="OD24" s="17" t="s">
        <v>53</v>
      </c>
      <c r="OE24" s="6">
        <v>10</v>
      </c>
      <c r="OF24" s="6">
        <v>3</v>
      </c>
      <c r="OG24" s="35">
        <v>0.68347213250745842</v>
      </c>
      <c r="OH24" s="22" t="s">
        <v>381</v>
      </c>
      <c r="OJ24" s="13" t="s">
        <v>320</v>
      </c>
      <c r="OK24" s="17" t="s">
        <v>53</v>
      </c>
      <c r="OL24" s="6">
        <v>10</v>
      </c>
      <c r="OM24" s="6">
        <v>3</v>
      </c>
      <c r="ON24" s="35">
        <v>0.68306299147725402</v>
      </c>
      <c r="OO24" t="s">
        <v>1</v>
      </c>
      <c r="OQ24" s="13" t="s">
        <v>320</v>
      </c>
      <c r="OR24" s="16" t="s">
        <v>66</v>
      </c>
      <c r="OS24" s="6">
        <v>9</v>
      </c>
      <c r="OT24" s="6">
        <v>4</v>
      </c>
      <c r="OU24" s="35">
        <v>0.68898612969175688</v>
      </c>
      <c r="OV24" s="22" t="s">
        <v>381</v>
      </c>
      <c r="OX24" s="13" t="s">
        <v>320</v>
      </c>
      <c r="OY24" s="16" t="s">
        <v>66</v>
      </c>
      <c r="OZ24" s="6">
        <v>9</v>
      </c>
      <c r="PA24" s="6">
        <v>4</v>
      </c>
      <c r="PB24" s="35">
        <v>0.69759976342174668</v>
      </c>
      <c r="PC24" t="s">
        <v>1</v>
      </c>
      <c r="PE24" s="13" t="s">
        <v>320</v>
      </c>
      <c r="PF24" s="16" t="s">
        <v>66</v>
      </c>
      <c r="PG24" s="6">
        <v>9</v>
      </c>
      <c r="PH24" s="6">
        <v>4</v>
      </c>
      <c r="PI24" s="35">
        <v>0.69749316023812946</v>
      </c>
      <c r="PJ24" t="s">
        <v>1</v>
      </c>
    </row>
    <row r="25" spans="2:426" x14ac:dyDescent="0.35">
      <c r="B25" s="13" t="s">
        <v>321</v>
      </c>
      <c r="C25" s="19" t="s">
        <v>39</v>
      </c>
      <c r="D25" t="s">
        <v>327</v>
      </c>
      <c r="E25">
        <v>62</v>
      </c>
      <c r="G25" s="13" t="s">
        <v>321</v>
      </c>
      <c r="H25" s="19" t="s">
        <v>36</v>
      </c>
      <c r="I25" s="9" t="s">
        <v>379</v>
      </c>
      <c r="J25">
        <v>51</v>
      </c>
      <c r="K25" t="s">
        <v>390</v>
      </c>
      <c r="M25" s="13" t="s">
        <v>320</v>
      </c>
      <c r="N25" s="19" t="s">
        <v>38</v>
      </c>
      <c r="O25" s="9" t="s">
        <v>430</v>
      </c>
      <c r="P25">
        <v>73</v>
      </c>
      <c r="Q25" s="8" t="s">
        <v>436</v>
      </c>
      <c r="S25" s="13" t="s">
        <v>320</v>
      </c>
      <c r="T25" s="17" t="s">
        <v>57</v>
      </c>
      <c r="U25" t="s">
        <v>459</v>
      </c>
      <c r="V25">
        <v>68</v>
      </c>
      <c r="W25" t="s">
        <v>390</v>
      </c>
      <c r="Y25" s="13" t="s">
        <v>321</v>
      </c>
      <c r="Z25" s="16" t="s">
        <v>114</v>
      </c>
      <c r="AA25" t="s">
        <v>499</v>
      </c>
      <c r="AB25">
        <v>62</v>
      </c>
      <c r="AC25" t="s">
        <v>390</v>
      </c>
      <c r="AE25" s="13" t="s">
        <v>320</v>
      </c>
      <c r="AF25" s="16" t="s">
        <v>67</v>
      </c>
      <c r="AG25" t="s">
        <v>519</v>
      </c>
      <c r="AH25">
        <v>53</v>
      </c>
      <c r="AI25" s="8" t="s">
        <v>523</v>
      </c>
      <c r="AK25" s="13" t="s">
        <v>321</v>
      </c>
      <c r="AL25" s="17" t="s">
        <v>49</v>
      </c>
      <c r="AM25" t="s">
        <v>541</v>
      </c>
      <c r="AN25">
        <v>56</v>
      </c>
      <c r="AO25" t="s">
        <v>390</v>
      </c>
      <c r="AQ25" s="13" t="s">
        <v>321</v>
      </c>
      <c r="AR25" s="17" t="s">
        <v>49</v>
      </c>
      <c r="AS25" t="s">
        <v>541</v>
      </c>
      <c r="AT25">
        <v>50</v>
      </c>
      <c r="AU25" t="s">
        <v>1</v>
      </c>
      <c r="AW25" s="13" t="s">
        <v>321</v>
      </c>
      <c r="AX25" s="19" t="s">
        <v>2011</v>
      </c>
      <c r="AY25" s="9">
        <v>4</v>
      </c>
      <c r="AZ25" s="9">
        <v>5</v>
      </c>
      <c r="BA25">
        <v>0.56922020548111629</v>
      </c>
      <c r="BB25" t="s">
        <v>390</v>
      </c>
      <c r="BD25" s="13" t="s">
        <v>321</v>
      </c>
      <c r="BE25" s="21" t="s">
        <v>34</v>
      </c>
      <c r="BF25">
        <v>5</v>
      </c>
      <c r="BG25">
        <v>5</v>
      </c>
      <c r="BH25" s="35">
        <v>0.57347046580037531</v>
      </c>
      <c r="BI25" s="9" t="s">
        <v>390</v>
      </c>
      <c r="BK25" s="13" t="s">
        <v>321</v>
      </c>
      <c r="BL25" s="16" t="s">
        <v>60</v>
      </c>
      <c r="BM25">
        <v>6</v>
      </c>
      <c r="BN25">
        <v>5</v>
      </c>
      <c r="BO25" s="35">
        <v>0.57676040381039151</v>
      </c>
      <c r="BP25" t="s">
        <v>637</v>
      </c>
      <c r="BR25" s="13" t="s">
        <v>321</v>
      </c>
      <c r="BS25" s="21" t="s">
        <v>292</v>
      </c>
      <c r="BT25">
        <v>6</v>
      </c>
      <c r="BU25">
        <v>6</v>
      </c>
      <c r="BV25" s="35">
        <v>0.56252548164788485</v>
      </c>
      <c r="BW25" t="s">
        <v>637</v>
      </c>
      <c r="BY25" s="13" t="s">
        <v>321</v>
      </c>
      <c r="BZ25" s="21" t="s">
        <v>33</v>
      </c>
      <c r="CA25">
        <v>7</v>
      </c>
      <c r="CB25">
        <v>6</v>
      </c>
      <c r="CC25" s="35">
        <v>0.55155299972315275</v>
      </c>
      <c r="CD25" s="8" t="s">
        <v>383</v>
      </c>
      <c r="CF25" s="13" t="s">
        <v>321</v>
      </c>
      <c r="CG25" s="17" t="s">
        <v>49</v>
      </c>
      <c r="CH25">
        <v>7</v>
      </c>
      <c r="CI25">
        <v>6</v>
      </c>
      <c r="CJ25" s="35">
        <v>0.52642438013706849</v>
      </c>
      <c r="CK25" s="8" t="s">
        <v>386</v>
      </c>
      <c r="CM25" s="13" t="s">
        <v>321</v>
      </c>
      <c r="CN25" s="21" t="s">
        <v>31</v>
      </c>
      <c r="CO25">
        <v>7</v>
      </c>
      <c r="CP25">
        <v>6</v>
      </c>
      <c r="CQ25" s="35">
        <v>0.4631505710924223</v>
      </c>
      <c r="CR25" s="8" t="s">
        <v>463</v>
      </c>
      <c r="CT25" s="13" t="s">
        <v>321</v>
      </c>
      <c r="CU25" s="21" t="s">
        <v>31</v>
      </c>
      <c r="CV25">
        <v>1</v>
      </c>
      <c r="CW25">
        <v>0</v>
      </c>
      <c r="CX25" s="35">
        <v>0.77749580349363401</v>
      </c>
      <c r="CY25" t="s">
        <v>1</v>
      </c>
      <c r="DA25" s="13" t="s">
        <v>321</v>
      </c>
      <c r="DB25" s="15" t="s">
        <v>82</v>
      </c>
      <c r="DC25">
        <v>2</v>
      </c>
      <c r="DD25">
        <v>0</v>
      </c>
      <c r="DE25" s="35">
        <v>0.73398038637813723</v>
      </c>
      <c r="DF25" t="s">
        <v>637</v>
      </c>
      <c r="DH25" s="13" t="s">
        <v>321</v>
      </c>
      <c r="DI25" s="19" t="s">
        <v>40</v>
      </c>
      <c r="DJ25">
        <v>1</v>
      </c>
      <c r="DK25">
        <v>1</v>
      </c>
      <c r="DL25" s="35">
        <v>0.75502257043718279</v>
      </c>
      <c r="DM25" s="8" t="s">
        <v>383</v>
      </c>
      <c r="DO25" s="13" t="s">
        <v>321</v>
      </c>
      <c r="DP25" s="19" t="s">
        <v>39</v>
      </c>
      <c r="DQ25">
        <v>2</v>
      </c>
      <c r="DR25">
        <v>1</v>
      </c>
      <c r="DS25" s="35">
        <v>0.67770862872537518</v>
      </c>
      <c r="DT25" s="8" t="s">
        <v>502</v>
      </c>
      <c r="DV25" s="13" t="s">
        <v>321</v>
      </c>
      <c r="DW25" s="19" t="s">
        <v>35</v>
      </c>
      <c r="DX25">
        <v>2</v>
      </c>
      <c r="DY25">
        <v>2</v>
      </c>
      <c r="DZ25" s="35">
        <v>0.65799248747070582</v>
      </c>
      <c r="EA25" t="s">
        <v>637</v>
      </c>
      <c r="EC25" s="13" t="s">
        <v>321</v>
      </c>
      <c r="ED25" s="21" t="s">
        <v>24</v>
      </c>
      <c r="EE25">
        <v>3</v>
      </c>
      <c r="EF25">
        <v>2</v>
      </c>
      <c r="EG25" s="35">
        <v>0.66565648022883384</v>
      </c>
      <c r="EH25" s="8" t="s">
        <v>523</v>
      </c>
      <c r="EJ25" s="13" t="s">
        <v>321</v>
      </c>
      <c r="EK25" s="58" t="s">
        <v>792</v>
      </c>
      <c r="EL25" s="46">
        <v>5</v>
      </c>
      <c r="EM25" s="46">
        <v>1</v>
      </c>
      <c r="EN25" s="35">
        <v>0.67205064335233178</v>
      </c>
      <c r="EO25" t="s">
        <v>637</v>
      </c>
      <c r="EQ25" s="13" t="s">
        <v>321</v>
      </c>
      <c r="ER25" s="19" t="s">
        <v>40</v>
      </c>
      <c r="ES25" s="46">
        <v>4</v>
      </c>
      <c r="ET25" s="46">
        <v>3</v>
      </c>
      <c r="EU25" s="35">
        <v>0.65875592523149284</v>
      </c>
      <c r="EV25" s="22" t="s">
        <v>381</v>
      </c>
      <c r="EX25" s="13" t="s">
        <v>321</v>
      </c>
      <c r="EY25" s="16" t="s">
        <v>62</v>
      </c>
      <c r="EZ25">
        <v>5</v>
      </c>
      <c r="FA25">
        <v>3</v>
      </c>
      <c r="FB25" s="35">
        <v>0.63472620816851855</v>
      </c>
      <c r="FC25" s="8" t="s">
        <v>565</v>
      </c>
      <c r="FE25" s="13" t="s">
        <v>321</v>
      </c>
      <c r="FF25" s="19" t="s">
        <v>40</v>
      </c>
      <c r="FG25">
        <v>5</v>
      </c>
      <c r="FH25">
        <v>4</v>
      </c>
      <c r="FI25" s="35">
        <v>0.63953181993806085</v>
      </c>
      <c r="FJ25" s="8" t="s">
        <v>461</v>
      </c>
      <c r="FL25" s="13" t="s">
        <v>321</v>
      </c>
      <c r="FM25" s="16" t="s">
        <v>59</v>
      </c>
      <c r="FN25">
        <v>7</v>
      </c>
      <c r="FO25">
        <v>3</v>
      </c>
      <c r="FP25" s="35">
        <v>0.5900576930740391</v>
      </c>
      <c r="FQ25" t="s">
        <v>637</v>
      </c>
      <c r="FS25" s="13" t="s">
        <v>321</v>
      </c>
      <c r="FT25" s="16" t="s">
        <v>60</v>
      </c>
      <c r="FU25">
        <v>7</v>
      </c>
      <c r="FV25">
        <v>4</v>
      </c>
      <c r="FW25" s="35">
        <v>0.56840479930763887</v>
      </c>
      <c r="FX25" s="8" t="s">
        <v>461</v>
      </c>
      <c r="FZ25" s="13" t="s">
        <v>321</v>
      </c>
      <c r="GA25" s="58" t="s">
        <v>792</v>
      </c>
      <c r="GB25">
        <v>8</v>
      </c>
      <c r="GC25">
        <v>4</v>
      </c>
      <c r="GD25" s="35">
        <v>0.55438632183995551</v>
      </c>
      <c r="GE25" s="8" t="s">
        <v>383</v>
      </c>
      <c r="GG25" s="13" t="s">
        <v>321</v>
      </c>
      <c r="GH25" s="58" t="s">
        <v>792</v>
      </c>
      <c r="GI25">
        <v>8</v>
      </c>
      <c r="GJ25">
        <v>4</v>
      </c>
      <c r="GK25" s="35">
        <v>0.56194616527178187</v>
      </c>
      <c r="GL25" t="s">
        <v>1</v>
      </c>
      <c r="GN25" s="13" t="s">
        <v>321</v>
      </c>
      <c r="GO25" s="19" t="s">
        <v>37</v>
      </c>
      <c r="GP25">
        <v>7</v>
      </c>
      <c r="GQ25">
        <v>5</v>
      </c>
      <c r="GR25" s="35">
        <v>0.55959206900041036</v>
      </c>
      <c r="GS25" s="8" t="s">
        <v>383</v>
      </c>
      <c r="GU25" s="13" t="s">
        <v>321</v>
      </c>
      <c r="GV25" s="58" t="s">
        <v>795</v>
      </c>
      <c r="GW25" s="46">
        <v>9</v>
      </c>
      <c r="GX25" s="46">
        <v>3</v>
      </c>
      <c r="GY25" s="35">
        <v>0.56486276281792891</v>
      </c>
      <c r="GZ25" s="22" t="s">
        <v>381</v>
      </c>
      <c r="HB25" s="13" t="s">
        <v>321</v>
      </c>
      <c r="HC25" s="58" t="s">
        <v>795</v>
      </c>
      <c r="HD25" s="46">
        <v>9</v>
      </c>
      <c r="HE25" s="46">
        <v>3</v>
      </c>
      <c r="HF25" s="35">
        <v>0.56374458535136762</v>
      </c>
      <c r="HG25" t="s">
        <v>1</v>
      </c>
      <c r="HI25" s="13" t="s">
        <v>321</v>
      </c>
      <c r="HJ25" s="15" t="s">
        <v>79</v>
      </c>
      <c r="HK25" s="46">
        <v>7</v>
      </c>
      <c r="HL25" s="46">
        <v>5</v>
      </c>
      <c r="HM25" s="35">
        <v>0.56067703870586638</v>
      </c>
      <c r="HN25" s="8" t="s">
        <v>386</v>
      </c>
      <c r="HP25" s="13" t="s">
        <v>321</v>
      </c>
      <c r="HQ25" s="16" t="s">
        <v>60</v>
      </c>
      <c r="HR25">
        <v>1</v>
      </c>
      <c r="HS25">
        <v>0</v>
      </c>
      <c r="HT25" s="35">
        <v>0.76695326253592555</v>
      </c>
      <c r="HU25" t="s">
        <v>637</v>
      </c>
      <c r="HW25" s="13" t="s">
        <v>321</v>
      </c>
      <c r="HX25" s="69" t="s">
        <v>966</v>
      </c>
      <c r="HY25">
        <v>2</v>
      </c>
      <c r="HZ25">
        <v>0</v>
      </c>
      <c r="IA25" s="35">
        <v>0.75392506340798793</v>
      </c>
      <c r="IB25" t="s">
        <v>637</v>
      </c>
      <c r="ID25" s="13" t="s">
        <v>321</v>
      </c>
      <c r="IE25" s="16" t="s">
        <v>66</v>
      </c>
      <c r="IF25">
        <v>2</v>
      </c>
      <c r="IG25">
        <v>1</v>
      </c>
      <c r="IH25" s="35">
        <v>0.72753119359648044</v>
      </c>
      <c r="II25" t="s">
        <v>637</v>
      </c>
      <c r="IK25" s="13" t="s">
        <v>321</v>
      </c>
      <c r="IL25" s="17" t="s">
        <v>50</v>
      </c>
      <c r="IM25">
        <v>3</v>
      </c>
      <c r="IN25">
        <v>1</v>
      </c>
      <c r="IO25" s="35">
        <v>0.74313186050553481</v>
      </c>
      <c r="IP25" t="s">
        <v>637</v>
      </c>
      <c r="IR25" s="13" t="s">
        <v>321</v>
      </c>
      <c r="IS25" s="17" t="s">
        <v>145</v>
      </c>
      <c r="IT25">
        <v>4</v>
      </c>
      <c r="IU25">
        <v>1</v>
      </c>
      <c r="IV25" s="35">
        <v>0.71742540582441761</v>
      </c>
      <c r="IW25" s="8" t="s">
        <v>386</v>
      </c>
      <c r="IY25" s="13" t="s">
        <v>321</v>
      </c>
      <c r="IZ25" s="15" t="s">
        <v>83</v>
      </c>
      <c r="JA25">
        <v>4</v>
      </c>
      <c r="JB25">
        <v>2</v>
      </c>
      <c r="JC25" s="35">
        <v>0.69884659316254261</v>
      </c>
      <c r="JD25" t="s">
        <v>637</v>
      </c>
      <c r="JF25" s="13" t="s">
        <v>321</v>
      </c>
      <c r="JG25" s="19" t="s">
        <v>45</v>
      </c>
      <c r="JH25" s="6">
        <v>4</v>
      </c>
      <c r="JI25" s="6">
        <v>3</v>
      </c>
      <c r="JJ25" s="35">
        <v>0.68699256060517122</v>
      </c>
      <c r="JK25" t="s">
        <v>637</v>
      </c>
      <c r="JM25" s="13" t="s">
        <v>321</v>
      </c>
      <c r="JN25" s="17" t="s">
        <v>300</v>
      </c>
      <c r="JO25" s="6">
        <v>5</v>
      </c>
      <c r="JP25" s="6">
        <v>3</v>
      </c>
      <c r="JQ25" s="35">
        <v>0.6958836287008362</v>
      </c>
      <c r="JR25" s="22" t="s">
        <v>381</v>
      </c>
      <c r="JT25" s="13" t="s">
        <v>321</v>
      </c>
      <c r="JU25" s="58" t="s">
        <v>790</v>
      </c>
      <c r="JV25" s="6">
        <v>7</v>
      </c>
      <c r="JW25" s="6">
        <v>1</v>
      </c>
      <c r="JX25" s="35">
        <v>0.72462947872199457</v>
      </c>
      <c r="JY25" s="8" t="s">
        <v>386</v>
      </c>
      <c r="JZ25" s="8" t="s">
        <v>461</v>
      </c>
      <c r="KB25" s="13" t="s">
        <v>321</v>
      </c>
      <c r="KC25" s="58" t="s">
        <v>785</v>
      </c>
      <c r="KD25" s="6">
        <v>7</v>
      </c>
      <c r="KE25" s="6">
        <v>2</v>
      </c>
      <c r="KF25" s="35">
        <v>0.73436822958822945</v>
      </c>
      <c r="KG25" s="8" t="s">
        <v>523</v>
      </c>
      <c r="KI25" s="13" t="s">
        <v>321</v>
      </c>
      <c r="KJ25" s="17" t="s">
        <v>53</v>
      </c>
      <c r="KK25" s="6">
        <v>7</v>
      </c>
      <c r="KL25" s="6">
        <v>2</v>
      </c>
      <c r="KM25" s="35">
        <v>0.72170079468746484</v>
      </c>
      <c r="KN25" t="s">
        <v>637</v>
      </c>
      <c r="KP25" s="13" t="s">
        <v>321</v>
      </c>
      <c r="KQ25" s="21" t="s">
        <v>33</v>
      </c>
      <c r="KR25" s="6">
        <v>7</v>
      </c>
      <c r="KS25" s="6">
        <v>3</v>
      </c>
      <c r="KT25" s="35">
        <v>0.73196400844687382</v>
      </c>
      <c r="KU25" s="8" t="s">
        <v>500</v>
      </c>
      <c r="KW25" s="13" t="s">
        <v>321</v>
      </c>
      <c r="KX25" s="16" t="s">
        <v>115</v>
      </c>
      <c r="KY25" s="6">
        <v>8</v>
      </c>
      <c r="KZ25" s="6">
        <v>2</v>
      </c>
      <c r="LA25" s="35">
        <v>0.7229215544575387</v>
      </c>
      <c r="LB25" s="22" t="s">
        <v>381</v>
      </c>
      <c r="LD25" s="13" t="s">
        <v>321</v>
      </c>
      <c r="LE25" s="15" t="s">
        <v>73</v>
      </c>
      <c r="LF25" s="6">
        <v>8</v>
      </c>
      <c r="LG25" s="6">
        <v>3</v>
      </c>
      <c r="LH25" s="35">
        <v>0.71385029622164697</v>
      </c>
      <c r="LI25" t="s">
        <v>637</v>
      </c>
      <c r="LK25" s="13" t="s">
        <v>321</v>
      </c>
      <c r="LL25" s="15" t="s">
        <v>73</v>
      </c>
      <c r="LM25" s="6">
        <v>8</v>
      </c>
      <c r="LN25" s="6">
        <v>3</v>
      </c>
      <c r="LO25" s="35">
        <v>0.71405706048021733</v>
      </c>
      <c r="LP25" t="s">
        <v>1</v>
      </c>
      <c r="LR25" s="13" t="s">
        <v>321</v>
      </c>
      <c r="LS25" s="21" t="s">
        <v>33</v>
      </c>
      <c r="LT25" s="6">
        <v>8</v>
      </c>
      <c r="LU25" s="6">
        <v>4</v>
      </c>
      <c r="LV25" s="35">
        <v>0.7202005763603051</v>
      </c>
      <c r="LW25" t="s">
        <v>637</v>
      </c>
      <c r="LY25" s="13" t="s">
        <v>321</v>
      </c>
      <c r="LZ25" s="16" t="s">
        <v>67</v>
      </c>
      <c r="MA25" s="6">
        <v>9</v>
      </c>
      <c r="MB25" s="6">
        <v>3</v>
      </c>
      <c r="MC25" s="35">
        <v>0.72147682926688839</v>
      </c>
      <c r="MD25" s="8" t="s">
        <v>500</v>
      </c>
      <c r="MF25" s="13" t="s">
        <v>321</v>
      </c>
      <c r="MG25" s="17" t="s">
        <v>51</v>
      </c>
      <c r="MH25" s="6">
        <v>9</v>
      </c>
      <c r="MI25" s="6">
        <v>4</v>
      </c>
      <c r="MJ25" s="35">
        <v>0.7187821725273279</v>
      </c>
      <c r="MK25" t="s">
        <v>637</v>
      </c>
      <c r="MM25" s="13" t="s">
        <v>321</v>
      </c>
      <c r="MN25" s="16" t="s">
        <v>69</v>
      </c>
      <c r="MO25" s="6">
        <v>7</v>
      </c>
      <c r="MP25" s="6">
        <v>6</v>
      </c>
      <c r="MQ25" s="35">
        <v>0.70572381813619445</v>
      </c>
      <c r="MR25" s="8" t="s">
        <v>383</v>
      </c>
      <c r="MT25" s="13" t="s">
        <v>321</v>
      </c>
      <c r="MU25" s="58" t="s">
        <v>908</v>
      </c>
      <c r="MV25" s="6">
        <v>10</v>
      </c>
      <c r="MW25" s="6">
        <v>3</v>
      </c>
      <c r="MX25" s="35">
        <v>0.7062171615896411</v>
      </c>
      <c r="MY25" t="s">
        <v>637</v>
      </c>
      <c r="NA25" s="13" t="s">
        <v>321</v>
      </c>
      <c r="NB25" s="17" t="s">
        <v>53</v>
      </c>
      <c r="NC25" s="6">
        <v>10</v>
      </c>
      <c r="ND25" s="6">
        <v>3</v>
      </c>
      <c r="NE25" s="35">
        <v>0.70006110286892775</v>
      </c>
      <c r="NF25" t="s">
        <v>637</v>
      </c>
      <c r="NH25" s="13" t="s">
        <v>321</v>
      </c>
      <c r="NI25" s="17" t="s">
        <v>53</v>
      </c>
      <c r="NJ25" s="6">
        <v>10</v>
      </c>
      <c r="NK25" s="6">
        <v>3</v>
      </c>
      <c r="NL25" s="35">
        <v>0.69412310301257441</v>
      </c>
      <c r="NM25" t="s">
        <v>1</v>
      </c>
      <c r="NO25" s="13" t="s">
        <v>321</v>
      </c>
      <c r="NP25" s="17" t="s">
        <v>53</v>
      </c>
      <c r="NQ25" s="6">
        <v>10</v>
      </c>
      <c r="NR25" s="6">
        <v>3</v>
      </c>
      <c r="NS25" s="35">
        <v>0.69296349460261597</v>
      </c>
      <c r="NT25" t="s">
        <v>1</v>
      </c>
      <c r="NV25" s="13" t="s">
        <v>321</v>
      </c>
      <c r="NW25" s="17" t="s">
        <v>53</v>
      </c>
      <c r="NX25" s="6">
        <v>10</v>
      </c>
      <c r="NY25" s="6">
        <v>3</v>
      </c>
      <c r="NZ25" s="35">
        <v>0.69202995515291221</v>
      </c>
      <c r="OA25" t="s">
        <v>1</v>
      </c>
      <c r="OC25" s="13" t="s">
        <v>321</v>
      </c>
      <c r="OD25" s="16" t="s">
        <v>66</v>
      </c>
      <c r="OE25" s="6">
        <v>9</v>
      </c>
      <c r="OF25" s="6">
        <v>4</v>
      </c>
      <c r="OG25" s="35">
        <v>0.68332981357244438</v>
      </c>
      <c r="OH25" s="8" t="s">
        <v>386</v>
      </c>
      <c r="OJ25" s="13" t="s">
        <v>321</v>
      </c>
      <c r="OK25" s="16" t="s">
        <v>66</v>
      </c>
      <c r="OL25" s="6">
        <v>9</v>
      </c>
      <c r="OM25" s="6">
        <v>4</v>
      </c>
      <c r="ON25" s="35">
        <v>0.68273690874414206</v>
      </c>
      <c r="OO25" t="s">
        <v>1</v>
      </c>
      <c r="OQ25" s="13" t="s">
        <v>321</v>
      </c>
      <c r="OR25" s="17" t="s">
        <v>53</v>
      </c>
      <c r="OS25" s="6">
        <v>10</v>
      </c>
      <c r="OT25" s="6">
        <v>3</v>
      </c>
      <c r="OU25" s="35">
        <v>0.68861568576554411</v>
      </c>
      <c r="OV25" s="8" t="s">
        <v>386</v>
      </c>
      <c r="OX25" s="13" t="s">
        <v>321</v>
      </c>
      <c r="OY25" s="17" t="s">
        <v>53</v>
      </c>
      <c r="OZ25" s="6">
        <v>10</v>
      </c>
      <c r="PA25" s="6">
        <v>3</v>
      </c>
      <c r="PB25" s="35">
        <v>0.69707999156933376</v>
      </c>
      <c r="PC25" t="s">
        <v>1</v>
      </c>
      <c r="PE25" s="13" t="s">
        <v>321</v>
      </c>
      <c r="PF25" s="17" t="s">
        <v>53</v>
      </c>
      <c r="PG25" s="6">
        <v>10</v>
      </c>
      <c r="PH25" s="6">
        <v>3</v>
      </c>
      <c r="PI25" s="35">
        <v>0.69721773657694242</v>
      </c>
      <c r="PJ25" t="s">
        <v>1</v>
      </c>
    </row>
    <row r="26" spans="2:426" x14ac:dyDescent="0.35">
      <c r="B26" s="13" t="s">
        <v>322</v>
      </c>
      <c r="C26" s="15" t="s">
        <v>85</v>
      </c>
      <c r="D26" t="s">
        <v>327</v>
      </c>
      <c r="E26">
        <v>59</v>
      </c>
      <c r="G26" s="13" t="s">
        <v>322</v>
      </c>
      <c r="H26" s="16" t="s">
        <v>114</v>
      </c>
      <c r="I26" t="s">
        <v>379</v>
      </c>
      <c r="J26">
        <v>50</v>
      </c>
      <c r="K26" s="8" t="s">
        <v>394</v>
      </c>
      <c r="M26" s="13" t="s">
        <v>322</v>
      </c>
      <c r="N26" s="17" t="s">
        <v>48</v>
      </c>
      <c r="O26" s="9" t="s">
        <v>430</v>
      </c>
      <c r="P26">
        <v>71</v>
      </c>
      <c r="Q26" t="s">
        <v>390</v>
      </c>
      <c r="S26" s="13" t="s">
        <v>322</v>
      </c>
      <c r="T26" s="21" t="s">
        <v>26</v>
      </c>
      <c r="U26" t="s">
        <v>459</v>
      </c>
      <c r="V26">
        <v>67</v>
      </c>
      <c r="W26" t="s">
        <v>390</v>
      </c>
      <c r="Y26" s="13" t="s">
        <v>322</v>
      </c>
      <c r="Z26" s="16" t="s">
        <v>71</v>
      </c>
      <c r="AA26" t="s">
        <v>498</v>
      </c>
      <c r="AB26">
        <v>61</v>
      </c>
      <c r="AC26" s="8" t="s">
        <v>502</v>
      </c>
      <c r="AE26" s="13" t="s">
        <v>322</v>
      </c>
      <c r="AF26" s="15" t="s">
        <v>82</v>
      </c>
      <c r="AG26" t="s">
        <v>520</v>
      </c>
      <c r="AH26">
        <v>52</v>
      </c>
      <c r="AI26" t="s">
        <v>390</v>
      </c>
      <c r="AK26" s="13" t="s">
        <v>322</v>
      </c>
      <c r="AL26" s="16" t="s">
        <v>66</v>
      </c>
      <c r="AM26" t="s">
        <v>541</v>
      </c>
      <c r="AN26">
        <v>54</v>
      </c>
      <c r="AO26" t="s">
        <v>390</v>
      </c>
      <c r="AQ26" s="13" t="s">
        <v>322</v>
      </c>
      <c r="AR26" s="15" t="s">
        <v>82</v>
      </c>
      <c r="AS26" t="s">
        <v>561</v>
      </c>
      <c r="AT26">
        <v>49</v>
      </c>
      <c r="AU26" s="8" t="s">
        <v>383</v>
      </c>
      <c r="AW26" s="13" t="s">
        <v>322</v>
      </c>
      <c r="AX26" s="16" t="s">
        <v>70</v>
      </c>
      <c r="AY26">
        <v>5</v>
      </c>
      <c r="AZ26">
        <v>4</v>
      </c>
      <c r="BA26">
        <v>0.56470075887205917</v>
      </c>
      <c r="BB26" s="8" t="s">
        <v>501</v>
      </c>
      <c r="BD26" s="13" t="s">
        <v>322</v>
      </c>
      <c r="BE26" s="16" t="s">
        <v>62</v>
      </c>
      <c r="BF26">
        <v>6</v>
      </c>
      <c r="BG26">
        <v>4</v>
      </c>
      <c r="BH26" s="35">
        <v>0.56472765831904193</v>
      </c>
      <c r="BI26" s="9" t="s">
        <v>390</v>
      </c>
      <c r="BK26" s="13" t="s">
        <v>322</v>
      </c>
      <c r="BL26" s="15" t="s">
        <v>74</v>
      </c>
      <c r="BM26" s="9">
        <v>7</v>
      </c>
      <c r="BN26" s="9">
        <v>4</v>
      </c>
      <c r="BO26" s="35">
        <v>0.57287172332043512</v>
      </c>
      <c r="BP26" t="s">
        <v>637</v>
      </c>
      <c r="BR26" s="13" t="s">
        <v>322</v>
      </c>
      <c r="BS26" s="15" t="s">
        <v>86</v>
      </c>
      <c r="BT26" s="9">
        <v>7</v>
      </c>
      <c r="BU26" s="9">
        <v>5</v>
      </c>
      <c r="BV26" s="35">
        <v>0.56031875381746499</v>
      </c>
      <c r="BW26" t="s">
        <v>637</v>
      </c>
      <c r="BY26" s="13" t="s">
        <v>322</v>
      </c>
      <c r="BZ26" s="15" t="s">
        <v>74</v>
      </c>
      <c r="CA26" s="9">
        <v>8</v>
      </c>
      <c r="CB26" s="9">
        <v>5</v>
      </c>
      <c r="CC26" s="35">
        <v>0.54991907811471907</v>
      </c>
      <c r="CD26" t="s">
        <v>637</v>
      </c>
      <c r="CF26" s="13" t="s">
        <v>322</v>
      </c>
      <c r="CG26" s="16" t="s">
        <v>61</v>
      </c>
      <c r="CH26">
        <v>8</v>
      </c>
      <c r="CI26">
        <v>6</v>
      </c>
      <c r="CJ26" s="35">
        <v>0.51763661677626938</v>
      </c>
      <c r="CK26" t="s">
        <v>637</v>
      </c>
      <c r="CM26" s="13" t="s">
        <v>322</v>
      </c>
      <c r="CN26" s="16" t="s">
        <v>61</v>
      </c>
      <c r="CO26">
        <v>8</v>
      </c>
      <c r="CP26">
        <v>6</v>
      </c>
      <c r="CQ26" s="35">
        <v>0.45646812615628052</v>
      </c>
      <c r="CR26" s="8" t="s">
        <v>1</v>
      </c>
      <c r="CT26" s="13" t="s">
        <v>322</v>
      </c>
      <c r="CU26" s="21" t="s">
        <v>24</v>
      </c>
      <c r="CV26">
        <v>1</v>
      </c>
      <c r="CW26">
        <v>0</v>
      </c>
      <c r="CX26" s="35">
        <v>0.77659214321210279</v>
      </c>
      <c r="CY26" s="8" t="s">
        <v>759</v>
      </c>
      <c r="DA26" s="13" t="s">
        <v>322</v>
      </c>
      <c r="DB26" s="17" t="s">
        <v>300</v>
      </c>
      <c r="DC26">
        <v>2</v>
      </c>
      <c r="DD26">
        <v>0</v>
      </c>
      <c r="DE26" s="35">
        <v>0.6821658712073323</v>
      </c>
      <c r="DF26" t="s">
        <v>637</v>
      </c>
      <c r="DH26" s="13" t="s">
        <v>322</v>
      </c>
      <c r="DI26" s="17" t="s">
        <v>55</v>
      </c>
      <c r="DJ26">
        <v>2</v>
      </c>
      <c r="DK26">
        <v>0</v>
      </c>
      <c r="DL26" s="35">
        <v>0.74954265859644609</v>
      </c>
      <c r="DM26" s="8" t="s">
        <v>383</v>
      </c>
      <c r="DO26" s="13" t="s">
        <v>322</v>
      </c>
      <c r="DP26" s="21" t="s">
        <v>1860</v>
      </c>
      <c r="DQ26">
        <v>2</v>
      </c>
      <c r="DR26">
        <v>1</v>
      </c>
      <c r="DS26" s="35">
        <v>0.67692348190025409</v>
      </c>
      <c r="DT26" s="8" t="s">
        <v>759</v>
      </c>
      <c r="DV26" s="13" t="s">
        <v>322</v>
      </c>
      <c r="DW26" s="15" t="s">
        <v>82</v>
      </c>
      <c r="DX26">
        <v>3</v>
      </c>
      <c r="DY26">
        <v>1</v>
      </c>
      <c r="DZ26" s="35">
        <v>0.65620917912403032</v>
      </c>
      <c r="EA26" t="s">
        <v>637</v>
      </c>
      <c r="EC26" s="13" t="s">
        <v>322</v>
      </c>
      <c r="ED26" s="16" t="s">
        <v>59</v>
      </c>
      <c r="EE26">
        <v>4</v>
      </c>
      <c r="EF26">
        <v>1</v>
      </c>
      <c r="EG26" s="35">
        <v>0.66433525893655221</v>
      </c>
      <c r="EH26" s="8" t="s">
        <v>463</v>
      </c>
      <c r="EJ26" s="13" t="s">
        <v>322</v>
      </c>
      <c r="EK26" s="19" t="s">
        <v>40</v>
      </c>
      <c r="EL26">
        <v>3</v>
      </c>
      <c r="EM26">
        <v>3</v>
      </c>
      <c r="EN26" s="35">
        <v>0.66890170318241127</v>
      </c>
      <c r="EO26" s="8" t="s">
        <v>461</v>
      </c>
      <c r="EQ26" s="13" t="s">
        <v>322</v>
      </c>
      <c r="ER26" s="16" t="s">
        <v>114</v>
      </c>
      <c r="ES26">
        <v>4</v>
      </c>
      <c r="ET26">
        <v>3</v>
      </c>
      <c r="EU26" s="35">
        <v>0.65335385668358015</v>
      </c>
      <c r="EV26" s="8" t="s">
        <v>387</v>
      </c>
      <c r="EX26" s="13" t="s">
        <v>322</v>
      </c>
      <c r="EY26" s="16" t="s">
        <v>59</v>
      </c>
      <c r="EZ26">
        <v>6</v>
      </c>
      <c r="FA26">
        <v>2</v>
      </c>
      <c r="FB26" s="35">
        <v>0.62870641142321182</v>
      </c>
      <c r="FC26" s="8" t="s">
        <v>565</v>
      </c>
      <c r="FE26" s="13" t="s">
        <v>322</v>
      </c>
      <c r="FF26" s="16" t="s">
        <v>62</v>
      </c>
      <c r="FG26">
        <v>6</v>
      </c>
      <c r="FH26">
        <v>3</v>
      </c>
      <c r="FI26" s="35">
        <v>0.63516554067460862</v>
      </c>
      <c r="FJ26" s="8" t="s">
        <v>386</v>
      </c>
      <c r="FL26" s="13" t="s">
        <v>322</v>
      </c>
      <c r="FM26" s="19" t="s">
        <v>40</v>
      </c>
      <c r="FN26">
        <v>5</v>
      </c>
      <c r="FO26">
        <v>5</v>
      </c>
      <c r="FP26" s="35">
        <v>0.57755654250086541</v>
      </c>
      <c r="FQ26" s="8" t="s">
        <v>386</v>
      </c>
      <c r="FS26" s="13" t="s">
        <v>322</v>
      </c>
      <c r="FT26" s="15" t="s">
        <v>86</v>
      </c>
      <c r="FU26">
        <v>7</v>
      </c>
      <c r="FV26">
        <v>4</v>
      </c>
      <c r="FW26" s="35">
        <v>0.56727778806221907</v>
      </c>
      <c r="FX26" s="8" t="s">
        <v>461</v>
      </c>
      <c r="FZ26" s="13" t="s">
        <v>322</v>
      </c>
      <c r="GA26" s="58" t="s">
        <v>795</v>
      </c>
      <c r="GB26">
        <v>9</v>
      </c>
      <c r="GC26">
        <v>3</v>
      </c>
      <c r="GD26" s="35">
        <v>0.55028475561159795</v>
      </c>
      <c r="GE26" s="8" t="s">
        <v>463</v>
      </c>
      <c r="GG26" s="13" t="s">
        <v>322</v>
      </c>
      <c r="GH26" s="58" t="s">
        <v>795</v>
      </c>
      <c r="GI26">
        <v>9</v>
      </c>
      <c r="GJ26">
        <v>3</v>
      </c>
      <c r="GK26" s="35">
        <v>0.55771405125256612</v>
      </c>
      <c r="GL26" t="s">
        <v>1</v>
      </c>
      <c r="GN26" s="13" t="s">
        <v>322</v>
      </c>
      <c r="GO26" s="58" t="s">
        <v>795</v>
      </c>
      <c r="GP26">
        <v>9</v>
      </c>
      <c r="GQ26">
        <v>3</v>
      </c>
      <c r="GR26" s="35">
        <v>0.55718005196471199</v>
      </c>
      <c r="GS26" t="s">
        <v>1</v>
      </c>
      <c r="GU26" s="13" t="s">
        <v>322</v>
      </c>
      <c r="GV26" s="19" t="s">
        <v>37</v>
      </c>
      <c r="GW26">
        <v>7</v>
      </c>
      <c r="GX26">
        <v>5</v>
      </c>
      <c r="GY26" s="35">
        <v>0.56264987846281822</v>
      </c>
      <c r="GZ26" s="8" t="s">
        <v>386</v>
      </c>
      <c r="HB26" s="13" t="s">
        <v>322</v>
      </c>
      <c r="HC26" s="19" t="s">
        <v>37</v>
      </c>
      <c r="HD26">
        <v>7</v>
      </c>
      <c r="HE26">
        <v>5</v>
      </c>
      <c r="HF26" s="35">
        <v>0.55875254146771636</v>
      </c>
      <c r="HG26" t="s">
        <v>1</v>
      </c>
      <c r="HI26" s="13" t="s">
        <v>322</v>
      </c>
      <c r="HJ26" s="17" t="s">
        <v>53</v>
      </c>
      <c r="HK26">
        <v>8</v>
      </c>
      <c r="HL26">
        <v>4</v>
      </c>
      <c r="HM26" s="35">
        <v>0.55550381366880353</v>
      </c>
      <c r="HN26" t="s">
        <v>637</v>
      </c>
      <c r="HP26" s="13" t="s">
        <v>322</v>
      </c>
      <c r="HQ26" s="58" t="s">
        <v>785</v>
      </c>
      <c r="HR26">
        <v>1</v>
      </c>
      <c r="HS26">
        <v>0</v>
      </c>
      <c r="HT26" s="35">
        <v>0.76517999269773984</v>
      </c>
      <c r="HU26" t="s">
        <v>637</v>
      </c>
      <c r="HW26" s="13" t="s">
        <v>322</v>
      </c>
      <c r="HX26" s="19" t="s">
        <v>45</v>
      </c>
      <c r="HY26">
        <v>2</v>
      </c>
      <c r="HZ26">
        <v>0</v>
      </c>
      <c r="IA26" s="35">
        <v>0.75058977041015629</v>
      </c>
      <c r="IB26" t="s">
        <v>637</v>
      </c>
      <c r="ID26" s="13" t="s">
        <v>322</v>
      </c>
      <c r="IE26" s="19" t="s">
        <v>46</v>
      </c>
      <c r="IF26">
        <v>2</v>
      </c>
      <c r="IG26">
        <v>1</v>
      </c>
      <c r="IH26" s="35">
        <v>0.71436206847030925</v>
      </c>
      <c r="II26" t="s">
        <v>637</v>
      </c>
      <c r="IK26" s="13" t="s">
        <v>322</v>
      </c>
      <c r="IL26" s="16" t="s">
        <v>115</v>
      </c>
      <c r="IM26">
        <v>4</v>
      </c>
      <c r="IN26">
        <v>0</v>
      </c>
      <c r="IO26" s="35">
        <v>0.74311716499630187</v>
      </c>
      <c r="IP26" s="8" t="s">
        <v>523</v>
      </c>
      <c r="IR26" s="13" t="s">
        <v>322</v>
      </c>
      <c r="IS26" s="69" t="s">
        <v>1301</v>
      </c>
      <c r="IT26">
        <v>3</v>
      </c>
      <c r="IU26">
        <v>2</v>
      </c>
      <c r="IV26" s="35">
        <v>0.70750933441490138</v>
      </c>
      <c r="IW26" t="s">
        <v>637</v>
      </c>
      <c r="IY26" s="13" t="s">
        <v>322</v>
      </c>
      <c r="IZ26" s="16" t="s">
        <v>115</v>
      </c>
      <c r="JA26">
        <v>5</v>
      </c>
      <c r="JB26">
        <v>1</v>
      </c>
      <c r="JC26" s="35">
        <v>0.69761366478190645</v>
      </c>
      <c r="JD26" t="s">
        <v>637</v>
      </c>
      <c r="JF26" s="13" t="s">
        <v>322</v>
      </c>
      <c r="JG26" s="17" t="s">
        <v>300</v>
      </c>
      <c r="JH26" s="6">
        <v>4</v>
      </c>
      <c r="JI26" s="6">
        <v>3</v>
      </c>
      <c r="JJ26" s="35">
        <v>0.68415256070992925</v>
      </c>
      <c r="JK26" t="s">
        <v>637</v>
      </c>
      <c r="JM26" s="13" t="s">
        <v>322</v>
      </c>
      <c r="JN26" s="16" t="s">
        <v>69</v>
      </c>
      <c r="JO26" s="6">
        <v>4</v>
      </c>
      <c r="JP26" s="6">
        <v>4</v>
      </c>
      <c r="JQ26" s="35">
        <v>0.69036351255935824</v>
      </c>
      <c r="JR26" t="s">
        <v>637</v>
      </c>
      <c r="JT26" s="13" t="s">
        <v>322</v>
      </c>
      <c r="JU26" s="21" t="s">
        <v>33</v>
      </c>
      <c r="JV26" s="6">
        <v>5</v>
      </c>
      <c r="JW26" s="6">
        <v>3</v>
      </c>
      <c r="JX26" s="35">
        <v>0.71843244775603621</v>
      </c>
      <c r="JY26" s="8" t="s">
        <v>500</v>
      </c>
      <c r="JZ26" s="8" t="s">
        <v>392</v>
      </c>
      <c r="KB26" s="13" t="s">
        <v>322</v>
      </c>
      <c r="KC26" s="19" t="s">
        <v>40</v>
      </c>
      <c r="KD26" s="6">
        <v>7</v>
      </c>
      <c r="KE26" s="6">
        <v>2</v>
      </c>
      <c r="KF26" s="35">
        <v>0.72826000419487069</v>
      </c>
      <c r="KG26" s="8" t="s">
        <v>501</v>
      </c>
      <c r="KI26" s="13" t="s">
        <v>322</v>
      </c>
      <c r="KJ26" s="69" t="s">
        <v>962</v>
      </c>
      <c r="KK26" s="6">
        <v>6</v>
      </c>
      <c r="KL26" s="6">
        <v>3</v>
      </c>
      <c r="KM26" s="35">
        <v>0.72078791964553302</v>
      </c>
      <c r="KN26" s="8" t="s">
        <v>387</v>
      </c>
      <c r="KP26" s="13" t="s">
        <v>322</v>
      </c>
      <c r="KQ26" s="16" t="s">
        <v>115</v>
      </c>
      <c r="KR26" s="6">
        <v>8</v>
      </c>
      <c r="KS26" s="6">
        <v>2</v>
      </c>
      <c r="KT26" s="35">
        <v>0.72210755608205079</v>
      </c>
      <c r="KU26" s="8" t="s">
        <v>565</v>
      </c>
      <c r="KW26" s="13" t="s">
        <v>322</v>
      </c>
      <c r="KX26" s="21" t="s">
        <v>33</v>
      </c>
      <c r="KY26" s="6">
        <v>7</v>
      </c>
      <c r="KZ26" s="6">
        <v>3</v>
      </c>
      <c r="LA26" s="35">
        <v>0.72142650774583128</v>
      </c>
      <c r="LB26" s="8" t="s">
        <v>386</v>
      </c>
      <c r="LD26" s="13" t="s">
        <v>322</v>
      </c>
      <c r="LE26" s="17" t="s">
        <v>53</v>
      </c>
      <c r="LF26" s="6">
        <v>8</v>
      </c>
      <c r="LG26" s="6">
        <v>3</v>
      </c>
      <c r="LH26" s="35">
        <v>0.70738767213275888</v>
      </c>
      <c r="LI26" s="8" t="s">
        <v>500</v>
      </c>
      <c r="LK26" s="13" t="s">
        <v>322</v>
      </c>
      <c r="LL26" s="17" t="s">
        <v>51</v>
      </c>
      <c r="LM26" s="6">
        <v>7</v>
      </c>
      <c r="LN26" s="6">
        <v>4</v>
      </c>
      <c r="LO26" s="35">
        <v>0.69718318633276277</v>
      </c>
      <c r="LP26" t="s">
        <v>637</v>
      </c>
      <c r="LR26" s="13" t="s">
        <v>322</v>
      </c>
      <c r="LS26" s="15" t="s">
        <v>73</v>
      </c>
      <c r="LT26" s="6">
        <v>9</v>
      </c>
      <c r="LU26" s="6">
        <v>3</v>
      </c>
      <c r="LV26" s="35">
        <v>0.71879938433349277</v>
      </c>
      <c r="LW26" s="8" t="s">
        <v>386</v>
      </c>
      <c r="LY26" s="13" t="s">
        <v>322</v>
      </c>
      <c r="LZ26" s="16" t="s">
        <v>69</v>
      </c>
      <c r="MA26" s="6">
        <v>6</v>
      </c>
      <c r="MB26" s="6">
        <v>6</v>
      </c>
      <c r="MC26" s="35">
        <v>0.72142039876736752</v>
      </c>
      <c r="MD26" s="8" t="s">
        <v>383</v>
      </c>
      <c r="MF26" s="13" t="s">
        <v>322</v>
      </c>
      <c r="MG26" s="16" t="s">
        <v>66</v>
      </c>
      <c r="MH26" s="6">
        <v>9</v>
      </c>
      <c r="MI26" s="6">
        <v>4</v>
      </c>
      <c r="MJ26" s="35">
        <v>0.71853981983926163</v>
      </c>
      <c r="MK26" t="s">
        <v>637</v>
      </c>
      <c r="MM26" s="13" t="s">
        <v>322</v>
      </c>
      <c r="MN26" s="17" t="s">
        <v>53</v>
      </c>
      <c r="MO26" s="6">
        <v>10</v>
      </c>
      <c r="MP26" s="6">
        <v>3</v>
      </c>
      <c r="MQ26" s="35">
        <v>0.70518749361461086</v>
      </c>
      <c r="MR26" s="8" t="s">
        <v>383</v>
      </c>
      <c r="MT26" s="13" t="s">
        <v>322</v>
      </c>
      <c r="MU26" s="16" t="s">
        <v>69</v>
      </c>
      <c r="MV26" s="6">
        <v>7</v>
      </c>
      <c r="MW26" s="6">
        <v>6</v>
      </c>
      <c r="MX26" s="35">
        <v>0.70503135890867585</v>
      </c>
      <c r="MY26" s="8" t="s">
        <v>386</v>
      </c>
      <c r="NA26" s="13" t="s">
        <v>322</v>
      </c>
      <c r="NB26" s="16" t="s">
        <v>69</v>
      </c>
      <c r="NC26" s="6">
        <v>7</v>
      </c>
      <c r="ND26" s="6">
        <v>6</v>
      </c>
      <c r="NE26" s="35">
        <v>0.6993465350432011</v>
      </c>
      <c r="NF26" t="s">
        <v>1</v>
      </c>
      <c r="NH26" s="13" t="s">
        <v>322</v>
      </c>
      <c r="NI26" s="16" t="s">
        <v>69</v>
      </c>
      <c r="NJ26" s="6">
        <v>7</v>
      </c>
      <c r="NK26" s="6">
        <v>6</v>
      </c>
      <c r="NL26" s="35">
        <v>0.69344217659027185</v>
      </c>
      <c r="NM26" t="s">
        <v>1</v>
      </c>
      <c r="NO26" s="13" t="s">
        <v>322</v>
      </c>
      <c r="NP26" s="16" t="s">
        <v>69</v>
      </c>
      <c r="NQ26" s="6">
        <v>7</v>
      </c>
      <c r="NR26" s="6">
        <v>6</v>
      </c>
      <c r="NS26" s="35">
        <v>0.69228042127939204</v>
      </c>
      <c r="NT26" t="s">
        <v>1</v>
      </c>
      <c r="NV26" s="13" t="s">
        <v>322</v>
      </c>
      <c r="NW26" s="16" t="s">
        <v>69</v>
      </c>
      <c r="NX26" s="6">
        <v>7</v>
      </c>
      <c r="NY26" s="6">
        <v>6</v>
      </c>
      <c r="NZ26" s="35">
        <v>0.69145206671579129</v>
      </c>
      <c r="OA26" t="s">
        <v>1</v>
      </c>
      <c r="OC26" s="13" t="s">
        <v>322</v>
      </c>
      <c r="OD26" s="16" t="s">
        <v>69</v>
      </c>
      <c r="OE26" s="6">
        <v>7</v>
      </c>
      <c r="OF26" s="6">
        <v>6</v>
      </c>
      <c r="OG26" s="35">
        <v>0.68152705581567596</v>
      </c>
      <c r="OH26" t="s">
        <v>1</v>
      </c>
      <c r="OJ26" s="13" t="s">
        <v>322</v>
      </c>
      <c r="OK26" s="16" t="s">
        <v>69</v>
      </c>
      <c r="OL26" s="6">
        <v>7</v>
      </c>
      <c r="OM26" s="6">
        <v>6</v>
      </c>
      <c r="ON26" s="35">
        <v>0.68063738155495224</v>
      </c>
      <c r="OO26" t="s">
        <v>1</v>
      </c>
      <c r="OQ26" s="13" t="s">
        <v>322</v>
      </c>
      <c r="OR26" s="16" t="s">
        <v>69</v>
      </c>
      <c r="OS26" s="6">
        <v>7</v>
      </c>
      <c r="OT26" s="6">
        <v>6</v>
      </c>
      <c r="OU26" s="35">
        <v>0.68764046762352127</v>
      </c>
      <c r="OV26" t="s">
        <v>1</v>
      </c>
      <c r="OX26" s="13" t="s">
        <v>322</v>
      </c>
      <c r="OY26" s="16" t="s">
        <v>69</v>
      </c>
      <c r="OZ26" s="6">
        <v>7</v>
      </c>
      <c r="PA26" s="6">
        <v>6</v>
      </c>
      <c r="PB26" s="35">
        <v>0.6960863780018165</v>
      </c>
      <c r="PC26" t="s">
        <v>1</v>
      </c>
      <c r="PE26" s="13" t="s">
        <v>322</v>
      </c>
      <c r="PF26" s="16" t="s">
        <v>69</v>
      </c>
      <c r="PG26" s="6">
        <v>7</v>
      </c>
      <c r="PH26" s="6">
        <v>6</v>
      </c>
      <c r="PI26" s="35">
        <v>0.69601783397460404</v>
      </c>
      <c r="PJ26" t="s">
        <v>1</v>
      </c>
    </row>
    <row r="27" spans="2:426" x14ac:dyDescent="0.35">
      <c r="B27" s="13" t="s">
        <v>322</v>
      </c>
      <c r="C27" s="16" t="s">
        <v>115</v>
      </c>
      <c r="D27" t="s">
        <v>327</v>
      </c>
      <c r="E27">
        <v>59</v>
      </c>
      <c r="M27" s="13" t="s">
        <v>322</v>
      </c>
      <c r="N27" s="15" t="s">
        <v>80</v>
      </c>
      <c r="O27" s="9" t="s">
        <v>430</v>
      </c>
      <c r="P27">
        <v>71</v>
      </c>
      <c r="Q27" t="s">
        <v>390</v>
      </c>
      <c r="S27"/>
      <c r="Y27"/>
      <c r="AE27"/>
      <c r="AK27"/>
      <c r="AQ27"/>
      <c r="AW27" s="22"/>
      <c r="BD27" s="22" t="s">
        <v>521</v>
      </c>
      <c r="BK27" s="22" t="s">
        <v>521</v>
      </c>
      <c r="BR27" s="22" t="s">
        <v>521</v>
      </c>
      <c r="BY27" s="22" t="s">
        <v>521</v>
      </c>
      <c r="CF27" s="22" t="s">
        <v>521</v>
      </c>
      <c r="CM27" s="22" t="s">
        <v>521</v>
      </c>
      <c r="CT27" s="22" t="s">
        <v>521</v>
      </c>
      <c r="DA27" s="22" t="s">
        <v>521</v>
      </c>
      <c r="DH27" s="22" t="s">
        <v>521</v>
      </c>
      <c r="DO27" s="22" t="s">
        <v>521</v>
      </c>
      <c r="DV27" s="22" t="s">
        <v>521</v>
      </c>
      <c r="EC27" s="22" t="s">
        <v>521</v>
      </c>
      <c r="EJ27" s="22" t="s">
        <v>521</v>
      </c>
      <c r="EQ27" s="22" t="s">
        <v>521</v>
      </c>
      <c r="EX27" s="22" t="s">
        <v>521</v>
      </c>
      <c r="FE27" s="22" t="s">
        <v>521</v>
      </c>
      <c r="FL27" s="22" t="s">
        <v>521</v>
      </c>
      <c r="FS27" s="22" t="s">
        <v>521</v>
      </c>
      <c r="FZ27" s="22" t="s">
        <v>521</v>
      </c>
      <c r="GG27" s="22" t="s">
        <v>521</v>
      </c>
      <c r="GH27" t="s">
        <v>1213</v>
      </c>
      <c r="GN27" s="22" t="s">
        <v>521</v>
      </c>
      <c r="GO27" t="s">
        <v>1213</v>
      </c>
      <c r="GU27" s="22" t="s">
        <v>521</v>
      </c>
      <c r="GV27" t="s">
        <v>1213</v>
      </c>
      <c r="HB27" s="22" t="s">
        <v>521</v>
      </c>
      <c r="HC27" t="s">
        <v>1213</v>
      </c>
      <c r="HI27" s="22" t="s">
        <v>521</v>
      </c>
      <c r="HJ27" t="s">
        <v>1213</v>
      </c>
      <c r="HP27" s="22" t="s">
        <v>521</v>
      </c>
      <c r="HW27" s="22" t="s">
        <v>521</v>
      </c>
      <c r="ID27" s="22" t="s">
        <v>521</v>
      </c>
      <c r="IK27" s="22" t="s">
        <v>521</v>
      </c>
      <c r="IR27" s="22" t="s">
        <v>521</v>
      </c>
      <c r="IY27" s="22" t="s">
        <v>521</v>
      </c>
      <c r="JF27" s="22" t="s">
        <v>521</v>
      </c>
      <c r="JM27" s="22" t="s">
        <v>521</v>
      </c>
      <c r="JT27" s="22" t="s">
        <v>521</v>
      </c>
      <c r="JY27" s="9" t="s">
        <v>3262</v>
      </c>
      <c r="JZ27" s="9" t="s">
        <v>3263</v>
      </c>
      <c r="KB27" s="22" t="s">
        <v>521</v>
      </c>
      <c r="KG27" s="9"/>
      <c r="KI27" s="22" t="s">
        <v>521</v>
      </c>
      <c r="KN27" t="s">
        <v>3875</v>
      </c>
      <c r="KP27" s="22" t="s">
        <v>521</v>
      </c>
      <c r="KU27" s="9"/>
      <c r="KW27" s="22" t="s">
        <v>521</v>
      </c>
      <c r="LB27" s="9"/>
      <c r="LD27" s="22" t="s">
        <v>521</v>
      </c>
      <c r="LI27" s="9"/>
      <c r="LK27" s="22" t="s">
        <v>521</v>
      </c>
      <c r="LP27" s="9"/>
      <c r="LR27" s="22" t="s">
        <v>521</v>
      </c>
      <c r="LW27" s="9"/>
      <c r="LY27" s="22" t="s">
        <v>521</v>
      </c>
      <c r="MD27" s="9"/>
      <c r="MF27" s="22" t="s">
        <v>521</v>
      </c>
      <c r="MK27" s="9"/>
      <c r="MM27" s="22" t="s">
        <v>521</v>
      </c>
      <c r="MR27" s="9"/>
      <c r="MT27" s="22" t="s">
        <v>521</v>
      </c>
      <c r="MY27" s="9"/>
      <c r="NA27" s="22" t="s">
        <v>521</v>
      </c>
      <c r="NF27" s="9"/>
      <c r="NH27" s="22" t="s">
        <v>521</v>
      </c>
      <c r="NM27" s="9"/>
      <c r="NO27" s="22" t="s">
        <v>521</v>
      </c>
      <c r="NT27" s="9"/>
      <c r="NV27" s="22" t="s">
        <v>521</v>
      </c>
      <c r="OA27" s="9"/>
      <c r="OC27" s="22" t="s">
        <v>521</v>
      </c>
      <c r="OH27" s="9"/>
      <c r="OJ27" s="22" t="s">
        <v>521</v>
      </c>
      <c r="OO27" s="9"/>
      <c r="OQ27" s="22" t="s">
        <v>521</v>
      </c>
      <c r="OV27" s="9"/>
      <c r="OX27" s="22" t="s">
        <v>521</v>
      </c>
      <c r="PE27" s="22" t="s">
        <v>521</v>
      </c>
    </row>
    <row r="28" spans="2:426" x14ac:dyDescent="0.35">
      <c r="AE28"/>
      <c r="AK28"/>
      <c r="AQ28"/>
      <c r="AW28" s="8"/>
      <c r="BD28" s="8" t="s">
        <v>522</v>
      </c>
      <c r="BK28" s="8" t="s">
        <v>522</v>
      </c>
      <c r="BR28" s="8" t="s">
        <v>522</v>
      </c>
      <c r="BY28" s="8" t="s">
        <v>522</v>
      </c>
      <c r="CF28" s="8" t="s">
        <v>522</v>
      </c>
      <c r="CM28" s="8" t="s">
        <v>522</v>
      </c>
      <c r="CT28" s="8" t="s">
        <v>522</v>
      </c>
      <c r="DA28" s="8" t="s">
        <v>522</v>
      </c>
      <c r="DH28" s="8" t="s">
        <v>522</v>
      </c>
      <c r="DO28" s="8" t="s">
        <v>522</v>
      </c>
      <c r="DV28" s="8" t="s">
        <v>522</v>
      </c>
      <c r="EC28" s="8" t="s">
        <v>522</v>
      </c>
      <c r="EJ28" s="8" t="s">
        <v>522</v>
      </c>
      <c r="EQ28" s="8" t="s">
        <v>522</v>
      </c>
      <c r="EX28" s="8" t="s">
        <v>522</v>
      </c>
      <c r="FE28" s="8" t="s">
        <v>522</v>
      </c>
      <c r="FL28" s="8" t="s">
        <v>522</v>
      </c>
      <c r="FS28" s="8" t="s">
        <v>522</v>
      </c>
      <c r="FZ28" s="8" t="s">
        <v>522</v>
      </c>
      <c r="GG28" s="8" t="s">
        <v>522</v>
      </c>
      <c r="GN28" s="8" t="s">
        <v>522</v>
      </c>
      <c r="GO28" s="78" t="s">
        <v>1214</v>
      </c>
      <c r="GU28" s="8" t="s">
        <v>522</v>
      </c>
      <c r="GV28" s="78" t="s">
        <v>1214</v>
      </c>
      <c r="HB28" s="8" t="s">
        <v>522</v>
      </c>
      <c r="HC28" s="78" t="s">
        <v>1214</v>
      </c>
      <c r="HI28" s="8" t="s">
        <v>522</v>
      </c>
      <c r="HJ28" s="78" t="s">
        <v>1214</v>
      </c>
      <c r="HP28" s="8" t="s">
        <v>522</v>
      </c>
      <c r="HW28" s="8" t="s">
        <v>522</v>
      </c>
      <c r="ID28" s="8" t="s">
        <v>522</v>
      </c>
      <c r="IK28" s="8" t="s">
        <v>522</v>
      </c>
      <c r="IR28" s="8" t="s">
        <v>522</v>
      </c>
      <c r="IY28" s="8" t="s">
        <v>522</v>
      </c>
      <c r="JF28" s="8" t="s">
        <v>522</v>
      </c>
      <c r="JM28" s="8" t="s">
        <v>522</v>
      </c>
      <c r="JT28" s="8" t="s">
        <v>522</v>
      </c>
      <c r="KB28" s="8" t="s">
        <v>522</v>
      </c>
      <c r="KI28" s="8" t="s">
        <v>522</v>
      </c>
      <c r="KP28" s="8" t="s">
        <v>522</v>
      </c>
      <c r="KQ28" s="340"/>
      <c r="KW28" s="8" t="s">
        <v>522</v>
      </c>
      <c r="KX28" s="340"/>
      <c r="LD28" s="8" t="s">
        <v>522</v>
      </c>
      <c r="LE28" s="340"/>
      <c r="LK28" s="8" t="s">
        <v>522</v>
      </c>
      <c r="LL28" s="340"/>
      <c r="LR28" s="8" t="s">
        <v>522</v>
      </c>
      <c r="LS28" s="340"/>
      <c r="LY28" s="8" t="s">
        <v>522</v>
      </c>
      <c r="LZ28" s="340"/>
      <c r="MF28" s="8" t="s">
        <v>522</v>
      </c>
      <c r="MG28" s="340"/>
      <c r="MM28" s="8" t="s">
        <v>522</v>
      </c>
      <c r="MN28" t="s">
        <v>4999</v>
      </c>
      <c r="MT28" s="8" t="s">
        <v>522</v>
      </c>
      <c r="MU28" t="s">
        <v>5043</v>
      </c>
      <c r="NA28" s="8" t="s">
        <v>522</v>
      </c>
      <c r="NB28" t="s">
        <v>5063</v>
      </c>
      <c r="NH28" s="8" t="s">
        <v>522</v>
      </c>
      <c r="NI28" t="s">
        <v>5090</v>
      </c>
      <c r="NO28" s="8" t="s">
        <v>522</v>
      </c>
      <c r="NP28" t="s">
        <v>5158</v>
      </c>
      <c r="NV28" s="8" t="s">
        <v>522</v>
      </c>
      <c r="NW28" t="s">
        <v>5090</v>
      </c>
      <c r="OC28" s="8" t="s">
        <v>522</v>
      </c>
      <c r="OD28" t="s">
        <v>5189</v>
      </c>
      <c r="OJ28" s="8" t="s">
        <v>522</v>
      </c>
      <c r="OK28" t="s">
        <v>5203</v>
      </c>
      <c r="OQ28" s="8" t="s">
        <v>522</v>
      </c>
      <c r="OR28" t="s">
        <v>5226</v>
      </c>
      <c r="OX28" s="8" t="s">
        <v>522</v>
      </c>
      <c r="OY28" t="s">
        <v>5242</v>
      </c>
      <c r="PE28" s="8" t="s">
        <v>522</v>
      </c>
      <c r="PF28" t="s">
        <v>5242</v>
      </c>
    </row>
    <row r="29" spans="2:426" x14ac:dyDescent="0.35">
      <c r="GV29" t="s">
        <v>1233</v>
      </c>
      <c r="HC29" t="s">
        <v>1233</v>
      </c>
      <c r="HJ29" t="s">
        <v>1233</v>
      </c>
      <c r="IE29" t="s">
        <v>3156</v>
      </c>
      <c r="JN29" t="s">
        <v>3157</v>
      </c>
      <c r="KJ29" t="s">
        <v>3905</v>
      </c>
      <c r="KQ29" t="s">
        <v>4083</v>
      </c>
      <c r="NB29" t="s">
        <v>5070</v>
      </c>
      <c r="NI29" t="s">
        <v>5070</v>
      </c>
      <c r="NP29" t="s">
        <v>5070</v>
      </c>
      <c r="NW29" t="s">
        <v>5070</v>
      </c>
      <c r="OD29" t="s">
        <v>5070</v>
      </c>
      <c r="OK29" t="s">
        <v>5070</v>
      </c>
      <c r="OR29" t="s">
        <v>5070</v>
      </c>
      <c r="OY29" t="s">
        <v>5070</v>
      </c>
      <c r="PF29" t="s">
        <v>5070</v>
      </c>
      <c r="PI29" s="78" t="s">
        <v>5260</v>
      </c>
    </row>
    <row r="30" spans="2:426" x14ac:dyDescent="0.35">
      <c r="HC30" t="s">
        <v>1245</v>
      </c>
      <c r="HJ30" t="s">
        <v>1245</v>
      </c>
      <c r="HK30" t="s">
        <v>1253</v>
      </c>
      <c r="KQ30" t="s">
        <v>4084</v>
      </c>
      <c r="NI30" t="s">
        <v>5091</v>
      </c>
      <c r="NP30" t="s">
        <v>5091</v>
      </c>
      <c r="NW30" t="s">
        <v>5091</v>
      </c>
      <c r="OD30" t="s">
        <v>5091</v>
      </c>
      <c r="OK30" t="s">
        <v>5091</v>
      </c>
      <c r="OR30" t="s">
        <v>5091</v>
      </c>
      <c r="OY30" t="s">
        <v>5091</v>
      </c>
      <c r="PF30" t="s">
        <v>5091</v>
      </c>
      <c r="PI30" s="78" t="s">
        <v>5261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" operator="equal" id="{AABADF6F-2149-4163-9116-4797E29E8392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2" operator="equal" id="{8B485922-8D3F-443F-9526-5E0A7D376231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NP16:NP26</xm:sqref>
        </x14:conditionalFormatting>
        <x14:conditionalFormatting xmlns:xm="http://schemas.microsoft.com/office/excel/2006/main">
          <x14:cfRule type="cellIs" priority="9" operator="equal" id="{03615945-E644-4BE5-8D4E-8B43F935AF16}">
            <xm:f>'Conf Standings'!$T$44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10" operator="equal" id="{18AAA074-B353-4BE3-B3A3-51DB265A15B0}">
            <xm:f>'Conf Standings'!$T$43</xm:f>
            <x14:dxf>
              <fill>
                <patternFill>
                  <bgColor theme="0" tint="-0.14996795556505021"/>
                </patternFill>
              </fill>
            </x14:dxf>
          </x14:cfRule>
          <xm:sqref>NW16:NW26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I293"/>
  <sheetViews>
    <sheetView zoomScale="70" zoomScaleNormal="70" workbookViewId="0">
      <selection activeCell="CQ293" sqref="CQ293"/>
    </sheetView>
  </sheetViews>
  <sheetFormatPr defaultRowHeight="14.5" x14ac:dyDescent="0.35"/>
  <cols>
    <col min="2" max="2" width="15.08984375" customWidth="1"/>
    <col min="3" max="3" width="14.36328125" bestFit="1" customWidth="1"/>
    <col min="4" max="4" width="2.6328125" customWidth="1"/>
    <col min="5" max="5" width="15.6328125" bestFit="1" customWidth="1"/>
    <col min="6" max="6" width="15.1796875" bestFit="1" customWidth="1"/>
    <col min="7" max="7" width="2.6328125" customWidth="1"/>
    <col min="8" max="8" width="14.08984375" customWidth="1"/>
    <col min="9" max="9" width="14.54296875" bestFit="1" customWidth="1"/>
    <col min="10" max="10" width="2.6328125" customWidth="1"/>
    <col min="11" max="11" width="13.81640625" bestFit="1" customWidth="1"/>
    <col min="12" max="12" width="14.54296875" bestFit="1" customWidth="1"/>
    <col min="13" max="13" width="2.6328125" customWidth="1"/>
    <col min="14" max="14" width="15.90625" customWidth="1"/>
    <col min="15" max="15" width="16.36328125" customWidth="1"/>
    <col min="16" max="16" width="2.6328125" customWidth="1"/>
    <col min="17" max="17" width="16.1796875" bestFit="1" customWidth="1"/>
    <col min="18" max="18" width="14.90625" bestFit="1" customWidth="1"/>
    <col min="19" max="19" width="2.6328125" customWidth="1"/>
    <col min="20" max="20" width="17.36328125" bestFit="1" customWidth="1"/>
    <col min="21" max="21" width="18.81640625" bestFit="1" customWidth="1"/>
    <col min="23" max="23" width="12.81640625" customWidth="1"/>
    <col min="67" max="67" width="19.81640625" customWidth="1"/>
  </cols>
  <sheetData>
    <row r="1" spans="2:77" x14ac:dyDescent="0.35">
      <c r="B1" s="15" t="s">
        <v>8</v>
      </c>
      <c r="C1" s="1"/>
      <c r="D1" s="1"/>
      <c r="E1" s="16" t="s">
        <v>116</v>
      </c>
      <c r="F1" s="1"/>
      <c r="G1" s="1"/>
      <c r="H1" s="17" t="s">
        <v>13</v>
      </c>
      <c r="I1" s="1"/>
      <c r="J1" s="1"/>
      <c r="K1" s="19" t="s">
        <v>14</v>
      </c>
      <c r="L1" s="1"/>
      <c r="M1" s="1"/>
      <c r="N1" s="18" t="s">
        <v>15</v>
      </c>
      <c r="O1" s="1"/>
      <c r="P1" s="1"/>
      <c r="Q1" s="58" t="s">
        <v>782</v>
      </c>
      <c r="R1" s="1"/>
      <c r="S1" s="1"/>
      <c r="T1" s="69" t="s">
        <v>1023</v>
      </c>
      <c r="U1" s="1"/>
      <c r="BX1" s="19" t="s">
        <v>41</v>
      </c>
      <c r="BY1" s="47">
        <v>78</v>
      </c>
    </row>
    <row r="2" spans="2:77" x14ac:dyDescent="0.35">
      <c r="B2" s="1" t="s">
        <v>9</v>
      </c>
      <c r="C2" s="1" t="s">
        <v>10</v>
      </c>
      <c r="D2" s="1"/>
      <c r="E2" s="1" t="s">
        <v>11</v>
      </c>
      <c r="F2" s="1" t="s">
        <v>12</v>
      </c>
      <c r="G2" s="1"/>
      <c r="H2" s="1" t="s">
        <v>16</v>
      </c>
      <c r="I2" s="1" t="s">
        <v>17</v>
      </c>
      <c r="J2" s="1"/>
      <c r="K2" s="1" t="s">
        <v>18</v>
      </c>
      <c r="L2" s="1" t="s">
        <v>19</v>
      </c>
      <c r="M2" s="1"/>
      <c r="N2" s="1" t="s">
        <v>20</v>
      </c>
      <c r="O2" s="1" t="s">
        <v>21</v>
      </c>
      <c r="P2" s="1"/>
      <c r="Q2" s="1" t="s">
        <v>797</v>
      </c>
      <c r="R2" s="1" t="s">
        <v>798</v>
      </c>
      <c r="S2" s="1"/>
      <c r="T2" s="1" t="s">
        <v>956</v>
      </c>
      <c r="U2" s="1" t="s">
        <v>957</v>
      </c>
      <c r="AG2">
        <v>246</v>
      </c>
      <c r="AH2">
        <v>357</v>
      </c>
      <c r="AI2">
        <v>1</v>
      </c>
      <c r="AM2" s="70" t="s">
        <v>1024</v>
      </c>
      <c r="BX2" s="21" t="s">
        <v>34</v>
      </c>
      <c r="BY2" s="47">
        <v>59</v>
      </c>
    </row>
    <row r="3" spans="2:77" x14ac:dyDescent="0.35">
      <c r="B3" s="9" t="s">
        <v>74</v>
      </c>
      <c r="C3" s="9" t="s">
        <v>86</v>
      </c>
      <c r="D3" s="9"/>
      <c r="E3" s="9" t="s">
        <v>69</v>
      </c>
      <c r="F3" s="9" t="s">
        <v>61</v>
      </c>
      <c r="G3" s="9"/>
      <c r="H3" s="9" t="s">
        <v>57</v>
      </c>
      <c r="I3" s="9" t="s">
        <v>53</v>
      </c>
      <c r="J3" s="9"/>
      <c r="K3" s="9" t="s">
        <v>900</v>
      </c>
      <c r="L3" s="9" t="s">
        <v>41</v>
      </c>
      <c r="M3" s="9"/>
      <c r="N3" s="9" t="s">
        <v>24</v>
      </c>
      <c r="O3" s="9" t="s">
        <v>119</v>
      </c>
      <c r="P3" s="9"/>
      <c r="Q3" s="9" t="s">
        <v>784</v>
      </c>
      <c r="R3" s="9" t="s">
        <v>787</v>
      </c>
      <c r="S3" s="9"/>
      <c r="T3" t="s">
        <v>1301</v>
      </c>
      <c r="U3" s="9" t="s">
        <v>962</v>
      </c>
      <c r="AG3">
        <v>357</v>
      </c>
      <c r="AH3">
        <v>146</v>
      </c>
      <c r="AI3">
        <v>2</v>
      </c>
      <c r="AM3" s="70"/>
      <c r="BX3" s="21" t="s">
        <v>31</v>
      </c>
      <c r="BY3" s="47">
        <v>57</v>
      </c>
    </row>
    <row r="4" spans="2:77" x14ac:dyDescent="0.35">
      <c r="B4" s="9" t="s">
        <v>78</v>
      </c>
      <c r="C4" s="9" t="s">
        <v>82</v>
      </c>
      <c r="D4" s="9"/>
      <c r="E4" s="9" t="s">
        <v>67</v>
      </c>
      <c r="F4" s="9" t="s">
        <v>64</v>
      </c>
      <c r="G4" s="9"/>
      <c r="H4" s="9" t="s">
        <v>47</v>
      </c>
      <c r="I4" s="9" t="s">
        <v>145</v>
      </c>
      <c r="J4" s="9"/>
      <c r="K4" s="9" t="s">
        <v>38</v>
      </c>
      <c r="L4" s="9" t="s">
        <v>46</v>
      </c>
      <c r="M4" s="9"/>
      <c r="N4" s="9" t="s">
        <v>1860</v>
      </c>
      <c r="O4" s="9" t="s">
        <v>32</v>
      </c>
      <c r="P4" s="9"/>
      <c r="Q4" s="9" t="s">
        <v>786</v>
      </c>
      <c r="R4" s="9" t="s">
        <v>789</v>
      </c>
      <c r="S4" s="9"/>
      <c r="T4" t="s">
        <v>1302</v>
      </c>
      <c r="U4" s="9" t="s">
        <v>963</v>
      </c>
      <c r="AG4">
        <v>146</v>
      </c>
      <c r="AH4">
        <v>257</v>
      </c>
      <c r="AI4">
        <v>3</v>
      </c>
      <c r="AM4" s="70" t="s">
        <v>1035</v>
      </c>
      <c r="BX4" s="17" t="s">
        <v>49</v>
      </c>
      <c r="BY4" s="47">
        <v>58</v>
      </c>
    </row>
    <row r="5" spans="2:77" x14ac:dyDescent="0.35">
      <c r="B5" s="9" t="s">
        <v>73</v>
      </c>
      <c r="C5" s="9" t="s">
        <v>85</v>
      </c>
      <c r="D5" s="9"/>
      <c r="E5" s="9" t="s">
        <v>70</v>
      </c>
      <c r="F5" s="9" t="s">
        <v>62</v>
      </c>
      <c r="G5" s="9"/>
      <c r="H5" s="9" t="s">
        <v>49</v>
      </c>
      <c r="I5" s="9" t="s">
        <v>117</v>
      </c>
      <c r="J5" s="9"/>
      <c r="K5" s="9" t="s">
        <v>39</v>
      </c>
      <c r="L5" s="9" t="s">
        <v>45</v>
      </c>
      <c r="M5" s="9"/>
      <c r="N5" s="9" t="s">
        <v>25</v>
      </c>
      <c r="O5" s="9" t="s">
        <v>31</v>
      </c>
      <c r="P5" s="9"/>
      <c r="Q5" s="9" t="s">
        <v>785</v>
      </c>
      <c r="R5" s="9" t="s">
        <v>790</v>
      </c>
      <c r="S5" s="9"/>
      <c r="T5" t="s">
        <v>958</v>
      </c>
      <c r="U5" s="9" t="s">
        <v>964</v>
      </c>
      <c r="X5" s="9" t="s">
        <v>1003</v>
      </c>
      <c r="Z5" s="9" t="s">
        <v>1004</v>
      </c>
      <c r="AG5">
        <v>257</v>
      </c>
      <c r="AH5">
        <v>136</v>
      </c>
      <c r="AI5">
        <v>4</v>
      </c>
      <c r="AM5" s="70"/>
      <c r="AY5" s="1" t="s">
        <v>1065</v>
      </c>
      <c r="BX5" s="16" t="s">
        <v>69</v>
      </c>
      <c r="BY5" s="47">
        <v>95</v>
      </c>
    </row>
    <row r="6" spans="2:77" x14ac:dyDescent="0.35">
      <c r="B6" s="9" t="s">
        <v>79</v>
      </c>
      <c r="C6" s="9" t="s">
        <v>88</v>
      </c>
      <c r="D6" s="9"/>
      <c r="E6" s="9" t="s">
        <v>68</v>
      </c>
      <c r="F6" s="9" t="s">
        <v>59</v>
      </c>
      <c r="G6" s="9"/>
      <c r="H6" s="9" t="s">
        <v>51</v>
      </c>
      <c r="I6" s="9" t="s">
        <v>55</v>
      </c>
      <c r="J6" s="9"/>
      <c r="K6" s="9" t="s">
        <v>35</v>
      </c>
      <c r="L6" s="9" t="s">
        <v>44</v>
      </c>
      <c r="M6" s="9"/>
      <c r="N6" s="9" t="s">
        <v>34</v>
      </c>
      <c r="O6" s="9" t="s">
        <v>292</v>
      </c>
      <c r="P6" s="9"/>
      <c r="Q6" s="9" t="s">
        <v>795</v>
      </c>
      <c r="R6" s="9" t="s">
        <v>794</v>
      </c>
      <c r="S6" s="9"/>
      <c r="T6" s="9" t="s">
        <v>959</v>
      </c>
      <c r="U6" s="9" t="s">
        <v>965</v>
      </c>
      <c r="W6" s="9" t="s">
        <v>990</v>
      </c>
      <c r="X6" s="9" t="s">
        <v>1117</v>
      </c>
      <c r="Z6" s="9" t="s">
        <v>1120</v>
      </c>
      <c r="AA6" s="6"/>
      <c r="AB6" s="6"/>
      <c r="AC6" s="6" t="s">
        <v>141</v>
      </c>
      <c r="AG6">
        <v>136</v>
      </c>
      <c r="AH6">
        <v>247</v>
      </c>
      <c r="AI6">
        <v>5</v>
      </c>
      <c r="AM6" s="70" t="s">
        <v>90</v>
      </c>
      <c r="AN6" s="1" t="s">
        <v>990</v>
      </c>
      <c r="AQ6" s="70"/>
      <c r="AR6" s="1" t="s">
        <v>1028</v>
      </c>
      <c r="AY6">
        <v>1</v>
      </c>
      <c r="AZ6" t="s">
        <v>1036</v>
      </c>
      <c r="BL6" t="s">
        <v>1112</v>
      </c>
      <c r="BX6" s="21" t="s">
        <v>26</v>
      </c>
      <c r="BY6" s="47">
        <v>37</v>
      </c>
    </row>
    <row r="7" spans="2:77" x14ac:dyDescent="0.35">
      <c r="B7" s="9" t="s">
        <v>76</v>
      </c>
      <c r="C7" s="9" t="s">
        <v>84</v>
      </c>
      <c r="D7" s="9"/>
      <c r="E7" s="9" t="s">
        <v>114</v>
      </c>
      <c r="F7" s="9" t="s">
        <v>60</v>
      </c>
      <c r="G7" s="9"/>
      <c r="H7" s="9" t="s">
        <v>48</v>
      </c>
      <c r="I7" s="9" t="s">
        <v>56</v>
      </c>
      <c r="J7" s="9"/>
      <c r="K7" s="9" t="s">
        <v>40</v>
      </c>
      <c r="L7" s="9" t="s">
        <v>42</v>
      </c>
      <c r="M7" s="9"/>
      <c r="N7" s="9" t="s">
        <v>33</v>
      </c>
      <c r="O7" s="9" t="s">
        <v>29</v>
      </c>
      <c r="P7" s="9"/>
      <c r="Q7" s="9" t="s">
        <v>908</v>
      </c>
      <c r="R7" s="9" t="s">
        <v>788</v>
      </c>
      <c r="S7" s="9"/>
      <c r="T7" t="s">
        <v>3913</v>
      </c>
      <c r="U7" s="9" t="s">
        <v>966</v>
      </c>
      <c r="W7" s="9" t="s">
        <v>992</v>
      </c>
      <c r="X7" s="9" t="s">
        <v>1118</v>
      </c>
      <c r="Z7" s="9" t="s">
        <v>1121</v>
      </c>
      <c r="AA7" s="6"/>
      <c r="AB7" s="6"/>
      <c r="AC7" s="6" t="s">
        <v>1110</v>
      </c>
      <c r="AD7" t="s">
        <v>1111</v>
      </c>
      <c r="AE7" t="s">
        <v>1110</v>
      </c>
      <c r="AG7">
        <v>247</v>
      </c>
      <c r="AH7">
        <v>135</v>
      </c>
      <c r="AI7">
        <v>6</v>
      </c>
      <c r="AM7" s="70" t="s">
        <v>89</v>
      </c>
      <c r="AN7" s="1" t="s">
        <v>1484</v>
      </c>
      <c r="AQ7" s="70" t="s">
        <v>396</v>
      </c>
      <c r="AR7" s="6" t="s">
        <v>1033</v>
      </c>
      <c r="AY7">
        <v>2</v>
      </c>
      <c r="AZ7" t="s">
        <v>1037</v>
      </c>
      <c r="BI7" t="s">
        <v>1069</v>
      </c>
      <c r="BJ7" t="s">
        <v>1077</v>
      </c>
      <c r="BK7" t="s">
        <v>1068</v>
      </c>
      <c r="BL7">
        <f t="shared" ref="BL7:BL15" si="0">BP7/5</f>
        <v>0.2</v>
      </c>
      <c r="BM7">
        <f t="shared" ref="BM7:BM15" si="1">BN7/6</f>
        <v>0.21666666666666667</v>
      </c>
      <c r="BN7">
        <v>1.3</v>
      </c>
      <c r="BO7" t="s">
        <v>1127</v>
      </c>
      <c r="BP7">
        <v>1</v>
      </c>
      <c r="BX7" s="17" t="s">
        <v>300</v>
      </c>
      <c r="BY7" s="47">
        <v>6</v>
      </c>
    </row>
    <row r="8" spans="2:77" x14ac:dyDescent="0.35">
      <c r="B8" s="9" t="s">
        <v>80</v>
      </c>
      <c r="C8" s="9" t="s">
        <v>87</v>
      </c>
      <c r="D8" s="9"/>
      <c r="E8" s="9" t="s">
        <v>66</v>
      </c>
      <c r="F8" s="9" t="s">
        <v>63</v>
      </c>
      <c r="G8" s="9"/>
      <c r="H8" s="9" t="s">
        <v>50</v>
      </c>
      <c r="I8" s="9" t="s">
        <v>118</v>
      </c>
      <c r="J8" s="9"/>
      <c r="K8" s="9" t="s">
        <v>2011</v>
      </c>
      <c r="L8" s="9" t="s">
        <v>43</v>
      </c>
      <c r="M8" s="9"/>
      <c r="N8" s="9" t="s">
        <v>26</v>
      </c>
      <c r="O8" s="9" t="s">
        <v>28</v>
      </c>
      <c r="P8" s="9"/>
      <c r="Q8" s="9" t="s">
        <v>793</v>
      </c>
      <c r="R8" s="9" t="s">
        <v>792</v>
      </c>
      <c r="S8" s="9"/>
      <c r="T8" t="s">
        <v>1308</v>
      </c>
      <c r="U8" s="9" t="s">
        <v>967</v>
      </c>
      <c r="W8" s="9" t="s">
        <v>994</v>
      </c>
      <c r="X8" s="9" t="s">
        <v>1119</v>
      </c>
      <c r="Z8" s="9" t="s">
        <v>1122</v>
      </c>
      <c r="AA8" s="6"/>
      <c r="AB8" s="6"/>
      <c r="AG8">
        <v>135</v>
      </c>
      <c r="AH8">
        <v>246</v>
      </c>
      <c r="AI8">
        <v>7</v>
      </c>
      <c r="AM8" s="70" t="s">
        <v>91</v>
      </c>
      <c r="AN8" t="s">
        <v>1027</v>
      </c>
      <c r="AS8" t="s">
        <v>1029</v>
      </c>
      <c r="AY8">
        <v>3</v>
      </c>
      <c r="AZ8" t="s">
        <v>1038</v>
      </c>
      <c r="BH8" t="s">
        <v>1070</v>
      </c>
      <c r="BI8">
        <v>12</v>
      </c>
      <c r="BJ8">
        <v>12</v>
      </c>
      <c r="BK8">
        <v>12</v>
      </c>
      <c r="BL8">
        <f t="shared" si="0"/>
        <v>0.13</v>
      </c>
      <c r="BM8">
        <f t="shared" si="1"/>
        <v>0.13333333333333333</v>
      </c>
      <c r="BN8">
        <v>0.8</v>
      </c>
      <c r="BO8" t="s">
        <v>1128</v>
      </c>
      <c r="BP8">
        <v>0.65</v>
      </c>
      <c r="BX8" s="19" t="s">
        <v>42</v>
      </c>
      <c r="BY8" s="47">
        <v>27</v>
      </c>
    </row>
    <row r="9" spans="2:77" x14ac:dyDescent="0.35">
      <c r="B9" s="9" t="s">
        <v>77</v>
      </c>
      <c r="C9" s="9" t="s">
        <v>83</v>
      </c>
      <c r="D9" s="9"/>
      <c r="E9" s="9" t="s">
        <v>71</v>
      </c>
      <c r="F9" s="9" t="s">
        <v>65</v>
      </c>
      <c r="G9" s="9"/>
      <c r="H9" s="9" t="s">
        <v>52</v>
      </c>
      <c r="I9" s="9" t="s">
        <v>300</v>
      </c>
      <c r="J9" s="9"/>
      <c r="K9" s="9" t="s">
        <v>36</v>
      </c>
      <c r="L9" s="9" t="s">
        <v>1859</v>
      </c>
      <c r="M9" s="9"/>
      <c r="N9" s="9" t="s">
        <v>22</v>
      </c>
      <c r="O9" s="9" t="s">
        <v>30</v>
      </c>
      <c r="P9" s="9"/>
      <c r="Q9" s="9" t="s">
        <v>783</v>
      </c>
      <c r="R9" s="9" t="s">
        <v>791</v>
      </c>
      <c r="S9" s="9"/>
      <c r="T9" s="9" t="s">
        <v>960</v>
      </c>
      <c r="U9" s="9" t="s">
        <v>968</v>
      </c>
      <c r="AA9" s="6"/>
      <c r="AB9" s="6"/>
      <c r="AC9" s="6" t="s">
        <v>90</v>
      </c>
      <c r="AD9" t="s">
        <v>89</v>
      </c>
      <c r="AE9" t="s">
        <v>91</v>
      </c>
      <c r="AM9" s="70" t="s">
        <v>92</v>
      </c>
      <c r="AN9" s="1" t="s">
        <v>1113</v>
      </c>
      <c r="AS9" t="s">
        <v>1030</v>
      </c>
      <c r="AY9">
        <v>4</v>
      </c>
      <c r="AZ9" t="s">
        <v>1039</v>
      </c>
      <c r="BH9" t="s">
        <v>1071</v>
      </c>
      <c r="BI9" t="s">
        <v>1078</v>
      </c>
      <c r="BJ9">
        <v>13</v>
      </c>
      <c r="BK9">
        <v>13</v>
      </c>
      <c r="BL9">
        <f t="shared" si="0"/>
        <v>0.1</v>
      </c>
      <c r="BM9">
        <f t="shared" si="1"/>
        <v>9.9999999999999992E-2</v>
      </c>
      <c r="BN9">
        <v>0.6</v>
      </c>
      <c r="BO9" t="s">
        <v>1129</v>
      </c>
      <c r="BP9">
        <v>0.5</v>
      </c>
      <c r="BQ9" t="s">
        <v>1149</v>
      </c>
      <c r="BX9" s="15" t="s">
        <v>87</v>
      </c>
      <c r="BY9" s="47">
        <v>28</v>
      </c>
    </row>
    <row r="10" spans="2:77" x14ac:dyDescent="0.35">
      <c r="B10" s="9" t="s">
        <v>75</v>
      </c>
      <c r="C10" s="9" t="s">
        <v>81</v>
      </c>
      <c r="D10" s="9"/>
      <c r="E10" s="9" t="s">
        <v>72</v>
      </c>
      <c r="F10" s="9" t="s">
        <v>115</v>
      </c>
      <c r="G10" s="9"/>
      <c r="H10" s="9" t="s">
        <v>58</v>
      </c>
      <c r="I10" s="9" t="s">
        <v>54</v>
      </c>
      <c r="J10" s="9"/>
      <c r="K10" s="9" t="s">
        <v>37</v>
      </c>
      <c r="L10" s="9" t="s">
        <v>1858</v>
      </c>
      <c r="M10" s="9"/>
      <c r="N10" s="9" t="s">
        <v>23</v>
      </c>
      <c r="O10" s="9" t="s">
        <v>27</v>
      </c>
      <c r="P10" s="9"/>
      <c r="Q10" s="9" t="s">
        <v>796</v>
      </c>
      <c r="R10" s="9" t="s">
        <v>909</v>
      </c>
      <c r="S10" s="9"/>
      <c r="T10" s="9" t="s">
        <v>961</v>
      </c>
      <c r="U10" s="9" t="s">
        <v>969</v>
      </c>
      <c r="W10" s="9" t="s">
        <v>995</v>
      </c>
      <c r="X10" s="9" t="s">
        <v>997</v>
      </c>
      <c r="Z10" t="s">
        <v>993</v>
      </c>
      <c r="AA10" s="6"/>
      <c r="AB10" s="1" t="s">
        <v>1348</v>
      </c>
      <c r="AC10" t="s">
        <v>1351</v>
      </c>
      <c r="AD10" t="s">
        <v>1359</v>
      </c>
      <c r="AE10" t="s">
        <v>1354</v>
      </c>
      <c r="AF10">
        <v>2</v>
      </c>
      <c r="AG10">
        <v>4</v>
      </c>
      <c r="AH10">
        <v>6</v>
      </c>
      <c r="AI10">
        <f t="shared" ref="AI10:AI23" si="2">AVERAGE(AF10:AH10)</f>
        <v>4</v>
      </c>
      <c r="AJ10">
        <v>246</v>
      </c>
      <c r="AK10">
        <v>4</v>
      </c>
      <c r="AM10" s="70" t="s">
        <v>93</v>
      </c>
      <c r="AN10" s="1" t="s">
        <v>1114</v>
      </c>
      <c r="AT10" t="s">
        <v>1031</v>
      </c>
      <c r="AY10">
        <v>5</v>
      </c>
      <c r="AZ10" t="s">
        <v>1040</v>
      </c>
      <c r="BH10" t="s">
        <v>1072</v>
      </c>
      <c r="BI10">
        <v>13</v>
      </c>
      <c r="BJ10">
        <v>14</v>
      </c>
      <c r="BK10" t="s">
        <v>1075</v>
      </c>
      <c r="BL10">
        <f t="shared" si="0"/>
        <v>0.1</v>
      </c>
      <c r="BM10">
        <f t="shared" si="1"/>
        <v>9.9999999999999992E-2</v>
      </c>
      <c r="BN10">
        <v>0.6</v>
      </c>
      <c r="BO10" t="s">
        <v>1130</v>
      </c>
      <c r="BP10">
        <v>0.5</v>
      </c>
      <c r="BQ10" t="s">
        <v>1149</v>
      </c>
      <c r="BX10" s="19" t="s">
        <v>36</v>
      </c>
      <c r="BY10" s="47">
        <v>19</v>
      </c>
    </row>
    <row r="11" spans="2:77" x14ac:dyDescent="0.35">
      <c r="H11" s="9"/>
      <c r="I11" s="9"/>
      <c r="W11" s="9" t="s">
        <v>996</v>
      </c>
      <c r="X11" s="9" t="s">
        <v>998</v>
      </c>
      <c r="Z11" t="s">
        <v>991</v>
      </c>
      <c r="AA11" s="6"/>
      <c r="AB11" s="1" t="s">
        <v>1350</v>
      </c>
      <c r="AC11" t="s">
        <v>1353</v>
      </c>
      <c r="AD11" t="s">
        <v>1361</v>
      </c>
      <c r="AE11" t="s">
        <v>1356</v>
      </c>
      <c r="AF11">
        <v>3</v>
      </c>
      <c r="AG11">
        <v>5</v>
      </c>
      <c r="AH11">
        <v>7</v>
      </c>
      <c r="AI11">
        <f t="shared" si="2"/>
        <v>5</v>
      </c>
      <c r="AJ11">
        <v>357</v>
      </c>
      <c r="AK11">
        <v>1</v>
      </c>
      <c r="AM11" s="70" t="s">
        <v>94</v>
      </c>
      <c r="AN11" t="s">
        <v>1026</v>
      </c>
      <c r="AT11" t="s">
        <v>4057</v>
      </c>
      <c r="AY11">
        <v>6</v>
      </c>
      <c r="AZ11" t="s">
        <v>1041</v>
      </c>
      <c r="BH11" t="s">
        <v>1073</v>
      </c>
      <c r="BI11">
        <v>14</v>
      </c>
      <c r="BJ11">
        <v>15</v>
      </c>
      <c r="BK11" t="s">
        <v>1079</v>
      </c>
      <c r="BL11">
        <f t="shared" si="0"/>
        <v>0.08</v>
      </c>
      <c r="BM11">
        <f t="shared" si="1"/>
        <v>8.3333333333333329E-2</v>
      </c>
      <c r="BN11">
        <v>0.5</v>
      </c>
      <c r="BO11" t="s">
        <v>1134</v>
      </c>
      <c r="BP11">
        <v>0.4</v>
      </c>
      <c r="BQ11" t="s">
        <v>1149</v>
      </c>
      <c r="BT11" t="s">
        <v>1148</v>
      </c>
      <c r="BX11" s="21" t="s">
        <v>119</v>
      </c>
      <c r="BY11" s="47">
        <v>89</v>
      </c>
    </row>
    <row r="12" spans="2:77" x14ac:dyDescent="0.35">
      <c r="AA12" s="6"/>
      <c r="AB12" s="1" t="s">
        <v>1352</v>
      </c>
      <c r="AC12" t="s">
        <v>1355</v>
      </c>
      <c r="AD12" t="s">
        <v>1349</v>
      </c>
      <c r="AE12" t="s">
        <v>1358</v>
      </c>
      <c r="AF12">
        <v>4</v>
      </c>
      <c r="AG12">
        <v>6</v>
      </c>
      <c r="AH12">
        <v>1</v>
      </c>
      <c r="AI12">
        <f t="shared" si="2"/>
        <v>3.6666666666666665</v>
      </c>
      <c r="AJ12">
        <v>146</v>
      </c>
      <c r="AK12">
        <v>5</v>
      </c>
      <c r="AM12" s="70" t="s">
        <v>95</v>
      </c>
      <c r="AN12" s="1" t="s">
        <v>992</v>
      </c>
      <c r="AT12" t="s">
        <v>2040</v>
      </c>
      <c r="AY12">
        <v>7</v>
      </c>
      <c r="AZ12" t="s">
        <v>1042</v>
      </c>
      <c r="BH12" t="s">
        <v>1057</v>
      </c>
      <c r="BI12">
        <v>15</v>
      </c>
      <c r="BJ12">
        <v>16</v>
      </c>
      <c r="BK12" t="s">
        <v>1076</v>
      </c>
      <c r="BL12">
        <f t="shared" si="0"/>
        <v>0.08</v>
      </c>
      <c r="BM12">
        <f t="shared" si="1"/>
        <v>8.3333333333333329E-2</v>
      </c>
      <c r="BN12">
        <v>0.5</v>
      </c>
      <c r="BO12" t="s">
        <v>1131</v>
      </c>
      <c r="BP12">
        <v>0.4</v>
      </c>
      <c r="BT12">
        <v>-9</v>
      </c>
      <c r="BX12" s="58" t="s">
        <v>783</v>
      </c>
      <c r="BY12" s="47">
        <v>0</v>
      </c>
    </row>
    <row r="13" spans="2:77" x14ac:dyDescent="0.35">
      <c r="B13" s="1" t="s">
        <v>986</v>
      </c>
      <c r="C13" s="1" t="s">
        <v>989</v>
      </c>
      <c r="E13" s="1" t="s">
        <v>981</v>
      </c>
      <c r="F13" s="1" t="s">
        <v>1367</v>
      </c>
      <c r="H13" s="1" t="s">
        <v>1091</v>
      </c>
      <c r="I13" s="1" t="s">
        <v>1094</v>
      </c>
      <c r="K13" s="1" t="s">
        <v>985</v>
      </c>
      <c r="L13" s="1" t="s">
        <v>982</v>
      </c>
      <c r="N13" s="1" t="s">
        <v>976</v>
      </c>
      <c r="O13" s="1" t="s">
        <v>978</v>
      </c>
      <c r="Q13" s="1" t="s">
        <v>973</v>
      </c>
      <c r="R13" s="1" t="s">
        <v>975</v>
      </c>
      <c r="T13" s="1" t="s">
        <v>970</v>
      </c>
      <c r="U13" s="1" t="s">
        <v>971</v>
      </c>
      <c r="W13" s="9" t="s">
        <v>1001</v>
      </c>
      <c r="X13" s="9" t="s">
        <v>997</v>
      </c>
      <c r="Z13" t="s">
        <v>993</v>
      </c>
      <c r="AA13" s="6"/>
      <c r="AB13" s="1" t="s">
        <v>1354</v>
      </c>
      <c r="AC13" t="s">
        <v>1357</v>
      </c>
      <c r="AD13" t="s">
        <v>1351</v>
      </c>
      <c r="AE13" t="s">
        <v>1360</v>
      </c>
      <c r="AF13">
        <v>5</v>
      </c>
      <c r="AG13">
        <v>7</v>
      </c>
      <c r="AH13">
        <v>2</v>
      </c>
      <c r="AI13">
        <f t="shared" si="2"/>
        <v>4.666666666666667</v>
      </c>
      <c r="AJ13">
        <v>257</v>
      </c>
      <c r="AK13">
        <v>2</v>
      </c>
      <c r="AM13" s="70" t="s">
        <v>96</v>
      </c>
      <c r="AN13" s="1" t="s">
        <v>1485</v>
      </c>
      <c r="AT13" t="s">
        <v>1804</v>
      </c>
      <c r="AY13">
        <v>8</v>
      </c>
      <c r="AZ13" t="s">
        <v>1043</v>
      </c>
      <c r="BH13" t="s">
        <v>1074</v>
      </c>
      <c r="BI13" t="s">
        <v>1080</v>
      </c>
      <c r="BJ13" t="s">
        <v>1081</v>
      </c>
      <c r="BK13" t="s">
        <v>1081</v>
      </c>
      <c r="BL13">
        <f t="shared" si="0"/>
        <v>0.13</v>
      </c>
      <c r="BM13">
        <f t="shared" si="1"/>
        <v>9.9999999999999992E-2</v>
      </c>
      <c r="BN13">
        <v>0.6</v>
      </c>
      <c r="BO13" t="s">
        <v>1132</v>
      </c>
      <c r="BP13">
        <v>0.65</v>
      </c>
      <c r="BQ13" t="s">
        <v>1150</v>
      </c>
      <c r="BT13">
        <v>-3</v>
      </c>
      <c r="BX13" s="15" t="s">
        <v>88</v>
      </c>
      <c r="BY13" s="47">
        <v>41</v>
      </c>
    </row>
    <row r="14" spans="2:77" x14ac:dyDescent="0.35">
      <c r="B14" s="9" t="s">
        <v>78</v>
      </c>
      <c r="C14" s="9" t="s">
        <v>81</v>
      </c>
      <c r="E14" s="9" t="s">
        <v>72</v>
      </c>
      <c r="F14" s="9" t="s">
        <v>63</v>
      </c>
      <c r="H14" s="9" t="s">
        <v>58</v>
      </c>
      <c r="I14" s="9" t="s">
        <v>56</v>
      </c>
      <c r="K14" s="9" t="s">
        <v>35</v>
      </c>
      <c r="L14" s="9" t="s">
        <v>43</v>
      </c>
      <c r="N14" s="9" t="s">
        <v>23</v>
      </c>
      <c r="O14" s="9" t="s">
        <v>29</v>
      </c>
      <c r="Q14" t="s">
        <v>793</v>
      </c>
      <c r="R14" t="s">
        <v>791</v>
      </c>
      <c r="T14" t="s">
        <v>1301</v>
      </c>
      <c r="U14" t="s">
        <v>966</v>
      </c>
      <c r="W14" s="9" t="s">
        <v>1002</v>
      </c>
      <c r="X14" s="9" t="s">
        <v>998</v>
      </c>
      <c r="Z14" t="s">
        <v>991</v>
      </c>
      <c r="AA14" s="6"/>
      <c r="AB14" s="1" t="s">
        <v>1356</v>
      </c>
      <c r="AC14" t="s">
        <v>1359</v>
      </c>
      <c r="AD14" t="s">
        <v>1353</v>
      </c>
      <c r="AE14" t="s">
        <v>1348</v>
      </c>
      <c r="AF14">
        <v>6</v>
      </c>
      <c r="AG14">
        <v>1</v>
      </c>
      <c r="AH14">
        <v>3</v>
      </c>
      <c r="AI14">
        <f t="shared" si="2"/>
        <v>3.3333333333333335</v>
      </c>
      <c r="AJ14">
        <v>136</v>
      </c>
      <c r="AK14">
        <v>6</v>
      </c>
      <c r="AM14" s="70" t="s">
        <v>97</v>
      </c>
      <c r="AN14" s="1" t="s">
        <v>1115</v>
      </c>
      <c r="AY14">
        <v>9</v>
      </c>
      <c r="AZ14" t="s">
        <v>2419</v>
      </c>
      <c r="BL14">
        <f t="shared" si="0"/>
        <v>0.13</v>
      </c>
      <c r="BM14">
        <f t="shared" si="1"/>
        <v>9.9999999999999992E-2</v>
      </c>
      <c r="BN14">
        <v>0.6</v>
      </c>
      <c r="BO14" t="s">
        <v>1133</v>
      </c>
      <c r="BP14">
        <v>0.65</v>
      </c>
      <c r="BQ14" t="s">
        <v>1150</v>
      </c>
      <c r="BT14">
        <v>-1</v>
      </c>
      <c r="BX14" s="16" t="s">
        <v>70</v>
      </c>
      <c r="BY14" s="47">
        <v>48</v>
      </c>
    </row>
    <row r="15" spans="2:77" x14ac:dyDescent="0.35">
      <c r="B15" s="9" t="s">
        <v>77</v>
      </c>
      <c r="C15" s="9" t="s">
        <v>88</v>
      </c>
      <c r="E15" s="9" t="s">
        <v>114</v>
      </c>
      <c r="F15" s="9" t="s">
        <v>65</v>
      </c>
      <c r="H15" s="9" t="s">
        <v>57</v>
      </c>
      <c r="I15" s="9" t="s">
        <v>145</v>
      </c>
      <c r="K15" s="9" t="s">
        <v>2011</v>
      </c>
      <c r="L15" s="9" t="s">
        <v>44</v>
      </c>
      <c r="N15" s="9" t="s">
        <v>24</v>
      </c>
      <c r="O15" s="9" t="s">
        <v>30</v>
      </c>
      <c r="Q15" t="s">
        <v>796</v>
      </c>
      <c r="R15" t="s">
        <v>792</v>
      </c>
      <c r="T15" t="s">
        <v>1302</v>
      </c>
      <c r="U15" t="s">
        <v>965</v>
      </c>
      <c r="AA15" s="6"/>
      <c r="AB15" s="1" t="s">
        <v>1358</v>
      </c>
      <c r="AC15" t="s">
        <v>1361</v>
      </c>
      <c r="AD15" t="s">
        <v>1355</v>
      </c>
      <c r="AE15" t="s">
        <v>1350</v>
      </c>
      <c r="AF15">
        <v>7</v>
      </c>
      <c r="AG15">
        <v>2</v>
      </c>
      <c r="AH15">
        <v>4</v>
      </c>
      <c r="AI15">
        <f t="shared" si="2"/>
        <v>4.333333333333333</v>
      </c>
      <c r="AJ15">
        <v>247</v>
      </c>
      <c r="AK15">
        <v>3</v>
      </c>
      <c r="AM15" s="70" t="s">
        <v>98</v>
      </c>
      <c r="AN15" t="s">
        <v>1025</v>
      </c>
      <c r="AQ15" t="s">
        <v>836</v>
      </c>
      <c r="AR15" t="s">
        <v>1032</v>
      </c>
      <c r="AY15">
        <v>10</v>
      </c>
      <c r="AZ15" t="s">
        <v>2709</v>
      </c>
      <c r="BL15">
        <f t="shared" si="0"/>
        <v>0.05</v>
      </c>
      <c r="BM15">
        <f t="shared" si="1"/>
        <v>8.3333333333333329E-2</v>
      </c>
      <c r="BN15">
        <v>0.5</v>
      </c>
      <c r="BO15" t="s">
        <v>1255</v>
      </c>
      <c r="BP15">
        <v>0.25</v>
      </c>
      <c r="BT15">
        <v>-4</v>
      </c>
      <c r="BX15" s="17" t="s">
        <v>58</v>
      </c>
      <c r="BY15" s="47">
        <v>3</v>
      </c>
    </row>
    <row r="16" spans="2:77" x14ac:dyDescent="0.35">
      <c r="B16" s="9" t="s">
        <v>76</v>
      </c>
      <c r="C16" s="9" t="s">
        <v>87</v>
      </c>
      <c r="E16" s="71" t="s">
        <v>59</v>
      </c>
      <c r="F16" s="9" t="s">
        <v>64</v>
      </c>
      <c r="H16" s="9" t="s">
        <v>47</v>
      </c>
      <c r="I16" s="9" t="s">
        <v>117</v>
      </c>
      <c r="K16" s="9" t="s">
        <v>40</v>
      </c>
      <c r="L16" s="9" t="s">
        <v>45</v>
      </c>
      <c r="N16" s="9" t="s">
        <v>34</v>
      </c>
      <c r="O16" s="9" t="s">
        <v>28</v>
      </c>
      <c r="Q16" t="s">
        <v>783</v>
      </c>
      <c r="R16" t="s">
        <v>790</v>
      </c>
      <c r="T16" t="s">
        <v>958</v>
      </c>
      <c r="U16" t="s">
        <v>1344</v>
      </c>
      <c r="W16" s="9" t="s">
        <v>999</v>
      </c>
      <c r="X16" s="9" t="s">
        <v>997</v>
      </c>
      <c r="Z16" t="s">
        <v>993</v>
      </c>
      <c r="AA16" s="6"/>
      <c r="AB16" s="1" t="s">
        <v>1360</v>
      </c>
      <c r="AC16" t="s">
        <v>1349</v>
      </c>
      <c r="AD16" t="s">
        <v>1357</v>
      </c>
      <c r="AE16" t="s">
        <v>1352</v>
      </c>
      <c r="AF16">
        <v>1</v>
      </c>
      <c r="AG16">
        <v>3</v>
      </c>
      <c r="AH16">
        <v>5</v>
      </c>
      <c r="AI16">
        <f t="shared" si="2"/>
        <v>3</v>
      </c>
      <c r="AJ16">
        <v>135</v>
      </c>
      <c r="AK16">
        <v>7</v>
      </c>
      <c r="AM16" s="70" t="s">
        <v>99</v>
      </c>
      <c r="AN16" s="1" t="s">
        <v>1116</v>
      </c>
      <c r="AS16" t="s">
        <v>1406</v>
      </c>
      <c r="AY16">
        <v>11</v>
      </c>
      <c r="AZ16" t="s">
        <v>2496</v>
      </c>
      <c r="BN16">
        <f>SUM(BN7:BN15)</f>
        <v>6</v>
      </c>
      <c r="BX16" s="17" t="s">
        <v>57</v>
      </c>
      <c r="BY16" s="47">
        <v>70</v>
      </c>
    </row>
    <row r="17" spans="1:77" x14ac:dyDescent="0.35">
      <c r="B17" s="9" t="s">
        <v>75</v>
      </c>
      <c r="C17" s="9" t="s">
        <v>85</v>
      </c>
      <c r="E17" s="71" t="s">
        <v>61</v>
      </c>
      <c r="F17" s="9" t="s">
        <v>115</v>
      </c>
      <c r="H17" s="9" t="s">
        <v>48</v>
      </c>
      <c r="I17" s="9" t="s">
        <v>118</v>
      </c>
      <c r="K17" s="9" t="s">
        <v>900</v>
      </c>
      <c r="L17" s="9" t="s">
        <v>41</v>
      </c>
      <c r="N17" s="9" t="s">
        <v>25</v>
      </c>
      <c r="O17" s="9" t="s">
        <v>27</v>
      </c>
      <c r="Q17" t="s">
        <v>784</v>
      </c>
      <c r="R17" t="s">
        <v>794</v>
      </c>
      <c r="T17" s="9" t="s">
        <v>959</v>
      </c>
      <c r="U17" t="s">
        <v>1343</v>
      </c>
      <c r="W17" s="9" t="s">
        <v>1000</v>
      </c>
      <c r="X17" s="9" t="s">
        <v>998</v>
      </c>
      <c r="Z17" t="s">
        <v>991</v>
      </c>
      <c r="AA17" s="6"/>
      <c r="AB17" s="1" t="s">
        <v>1349</v>
      </c>
      <c r="AC17" t="s">
        <v>1360</v>
      </c>
      <c r="AD17" t="s">
        <v>1352</v>
      </c>
      <c r="AE17" t="s">
        <v>1357</v>
      </c>
      <c r="AF17">
        <v>7</v>
      </c>
      <c r="AG17">
        <v>5</v>
      </c>
      <c r="AH17">
        <v>3</v>
      </c>
      <c r="AI17">
        <f t="shared" si="2"/>
        <v>5</v>
      </c>
      <c r="AJ17">
        <v>357</v>
      </c>
      <c r="AK17">
        <v>1</v>
      </c>
      <c r="AM17" s="70" t="s">
        <v>100</v>
      </c>
      <c r="AN17" s="1" t="s">
        <v>994</v>
      </c>
      <c r="AS17" t="s">
        <v>1405</v>
      </c>
      <c r="AY17">
        <v>12</v>
      </c>
      <c r="AZ17" t="s">
        <v>2708</v>
      </c>
      <c r="BT17">
        <f>(BT12+ABS(MIN(BT$12:BT$15)))/((MAX(BT$12:BT$15))+ABS(MIN(BT$12:BT$15)))</f>
        <v>0</v>
      </c>
      <c r="BX17" s="19" t="s">
        <v>46</v>
      </c>
      <c r="BY17" s="47">
        <v>71</v>
      </c>
    </row>
    <row r="18" spans="1:77" x14ac:dyDescent="0.35">
      <c r="Y18" s="6"/>
      <c r="Z18" s="6"/>
      <c r="AA18" s="6"/>
      <c r="AB18" s="1" t="s">
        <v>1351</v>
      </c>
      <c r="AC18" t="s">
        <v>1348</v>
      </c>
      <c r="AD18" t="s">
        <v>1354</v>
      </c>
      <c r="AE18" t="s">
        <v>1359</v>
      </c>
      <c r="AF18">
        <v>1</v>
      </c>
      <c r="AG18">
        <v>6</v>
      </c>
      <c r="AH18">
        <v>4</v>
      </c>
      <c r="AI18">
        <f t="shared" si="2"/>
        <v>3.6666666666666665</v>
      </c>
      <c r="AJ18">
        <v>146</v>
      </c>
      <c r="AK18">
        <v>5</v>
      </c>
      <c r="AT18" t="s">
        <v>1031</v>
      </c>
      <c r="BO18" t="s">
        <v>1151</v>
      </c>
      <c r="BT18">
        <f>(BT13+ABS(MIN(BT$12:BT$15)))/((MAX(BT$12:BT$15))+ABS(MIN(BT$12:BT$15)))</f>
        <v>0.75</v>
      </c>
      <c r="BX18" s="15" t="s">
        <v>75</v>
      </c>
      <c r="BY18" s="47">
        <v>8</v>
      </c>
    </row>
    <row r="19" spans="1:77" x14ac:dyDescent="0.35">
      <c r="B19" s="1" t="s">
        <v>987</v>
      </c>
      <c r="C19" s="1" t="s">
        <v>988</v>
      </c>
      <c r="E19" s="1" t="s">
        <v>983</v>
      </c>
      <c r="F19" s="1" t="s">
        <v>1370</v>
      </c>
      <c r="H19" s="1" t="s">
        <v>1092</v>
      </c>
      <c r="I19" s="1" t="s">
        <v>1093</v>
      </c>
      <c r="K19" s="1" t="s">
        <v>977</v>
      </c>
      <c r="L19" s="1" t="s">
        <v>984</v>
      </c>
      <c r="N19" s="1" t="s">
        <v>979</v>
      </c>
      <c r="O19" s="1" t="s">
        <v>980</v>
      </c>
      <c r="Q19" s="1" t="s">
        <v>972</v>
      </c>
      <c r="R19" s="1" t="s">
        <v>974</v>
      </c>
      <c r="T19" s="1" t="s">
        <v>1021</v>
      </c>
      <c r="U19" s="1" t="s">
        <v>1022</v>
      </c>
      <c r="Y19" s="6"/>
      <c r="Z19" s="6"/>
      <c r="AA19" s="6"/>
      <c r="AB19" s="1" t="s">
        <v>1353</v>
      </c>
      <c r="AC19" t="s">
        <v>1350</v>
      </c>
      <c r="AD19" t="s">
        <v>1356</v>
      </c>
      <c r="AE19" t="s">
        <v>1361</v>
      </c>
      <c r="AF19">
        <v>2</v>
      </c>
      <c r="AG19">
        <v>7</v>
      </c>
      <c r="AH19">
        <v>5</v>
      </c>
      <c r="AI19">
        <f t="shared" si="2"/>
        <v>4.666666666666667</v>
      </c>
      <c r="AJ19">
        <v>257</v>
      </c>
      <c r="AK19">
        <v>2</v>
      </c>
      <c r="AM19" s="70" t="s">
        <v>90</v>
      </c>
      <c r="AN19" s="6" t="s">
        <v>1400</v>
      </c>
      <c r="AT19" t="s">
        <v>3236</v>
      </c>
      <c r="AY19" s="6" t="s">
        <v>102</v>
      </c>
      <c r="AZ19" s="1" t="s">
        <v>1044</v>
      </c>
      <c r="BO19" t="s">
        <v>1147</v>
      </c>
      <c r="BP19" s="34">
        <v>1</v>
      </c>
      <c r="BT19">
        <f>(BT14+ABS(MIN(BT$12:BT$15)))/((MAX(BT$12:BT$15))+ABS(MIN(BT$12:BT$15)))</f>
        <v>1</v>
      </c>
      <c r="BX19" s="58" t="s">
        <v>788</v>
      </c>
      <c r="BY19" s="47">
        <v>0</v>
      </c>
    </row>
    <row r="20" spans="1:77" x14ac:dyDescent="0.35">
      <c r="B20" s="9" t="s">
        <v>74</v>
      </c>
      <c r="C20" s="9" t="s">
        <v>84</v>
      </c>
      <c r="E20" s="9" t="s">
        <v>69</v>
      </c>
      <c r="F20" s="71" t="s">
        <v>66</v>
      </c>
      <c r="H20" s="9" t="s">
        <v>50</v>
      </c>
      <c r="I20" s="9" t="s">
        <v>54</v>
      </c>
      <c r="K20" s="9" t="s">
        <v>39</v>
      </c>
      <c r="L20" s="9" t="s">
        <v>46</v>
      </c>
      <c r="N20" s="9" t="s">
        <v>33</v>
      </c>
      <c r="O20" s="9" t="s">
        <v>292</v>
      </c>
      <c r="Q20" t="s">
        <v>786</v>
      </c>
      <c r="R20" t="s">
        <v>787</v>
      </c>
      <c r="T20" t="s">
        <v>3913</v>
      </c>
      <c r="U20" t="s">
        <v>964</v>
      </c>
      <c r="Y20" s="6"/>
      <c r="Z20" s="6"/>
      <c r="AA20" s="6"/>
      <c r="AB20" s="1" t="s">
        <v>1355</v>
      </c>
      <c r="AC20" t="s">
        <v>1352</v>
      </c>
      <c r="AD20" t="s">
        <v>1358</v>
      </c>
      <c r="AE20" t="s">
        <v>1349</v>
      </c>
      <c r="AF20">
        <v>3</v>
      </c>
      <c r="AG20">
        <v>1</v>
      </c>
      <c r="AH20">
        <v>6</v>
      </c>
      <c r="AI20">
        <f t="shared" si="2"/>
        <v>3.3333333333333335</v>
      </c>
      <c r="AJ20">
        <v>136</v>
      </c>
      <c r="AK20">
        <v>6</v>
      </c>
      <c r="AM20" s="70" t="s">
        <v>89</v>
      </c>
      <c r="AN20" s="6" t="s">
        <v>1484</v>
      </c>
      <c r="AT20" t="s">
        <v>4057</v>
      </c>
      <c r="AZ20" t="s">
        <v>1770</v>
      </c>
      <c r="BA20" t="s">
        <v>1771</v>
      </c>
      <c r="BB20" t="s">
        <v>1067</v>
      </c>
      <c r="BO20" t="s">
        <v>1135</v>
      </c>
      <c r="BP20" s="34">
        <f>11/12</f>
        <v>0.91666666666666663</v>
      </c>
      <c r="BQ20">
        <v>1</v>
      </c>
      <c r="BT20">
        <f>(BT15+ABS(MIN(BT$12:BT$15)))/((MAX(BT$12:BT$15))+ABS(MIN(BT$12:BT$15)))</f>
        <v>0.625</v>
      </c>
      <c r="BX20" s="19" t="s">
        <v>43</v>
      </c>
      <c r="BY20" s="47">
        <v>12</v>
      </c>
    </row>
    <row r="21" spans="1:77" x14ac:dyDescent="0.35">
      <c r="B21" s="9" t="s">
        <v>73</v>
      </c>
      <c r="C21" s="9" t="s">
        <v>83</v>
      </c>
      <c r="E21" s="9" t="s">
        <v>70</v>
      </c>
      <c r="F21" s="71" t="s">
        <v>71</v>
      </c>
      <c r="H21" s="9" t="s">
        <v>49</v>
      </c>
      <c r="I21" s="9" t="s">
        <v>55</v>
      </c>
      <c r="K21" s="9" t="s">
        <v>38</v>
      </c>
      <c r="L21" s="9" t="s">
        <v>42</v>
      </c>
      <c r="N21" s="9" t="s">
        <v>26</v>
      </c>
      <c r="O21" s="9" t="s">
        <v>31</v>
      </c>
      <c r="Q21" t="s">
        <v>785</v>
      </c>
      <c r="R21" t="s">
        <v>788</v>
      </c>
      <c r="T21" t="s">
        <v>1308</v>
      </c>
      <c r="U21" t="s">
        <v>1342</v>
      </c>
      <c r="Y21" s="6"/>
      <c r="Z21" s="6"/>
      <c r="AA21" s="6"/>
      <c r="AB21" s="1" t="s">
        <v>1357</v>
      </c>
      <c r="AC21" t="s">
        <v>1354</v>
      </c>
      <c r="AD21" t="s">
        <v>1360</v>
      </c>
      <c r="AE21" t="s">
        <v>1351</v>
      </c>
      <c r="AF21">
        <v>4</v>
      </c>
      <c r="AG21">
        <v>2</v>
      </c>
      <c r="AH21">
        <v>7</v>
      </c>
      <c r="AI21">
        <f t="shared" si="2"/>
        <v>4.333333333333333</v>
      </c>
      <c r="AJ21">
        <v>247</v>
      </c>
      <c r="AK21">
        <v>3</v>
      </c>
      <c r="AM21" s="70" t="s">
        <v>91</v>
      </c>
      <c r="AN21" s="6" t="s">
        <v>1027</v>
      </c>
      <c r="AT21" t="s">
        <v>2040</v>
      </c>
      <c r="AZ21" t="s">
        <v>1048</v>
      </c>
      <c r="BA21" t="s">
        <v>1045</v>
      </c>
      <c r="BO21" t="s">
        <v>1136</v>
      </c>
      <c r="BP21" s="34">
        <f>10/12</f>
        <v>0.83333333333333337</v>
      </c>
      <c r="BQ21">
        <v>0.95</v>
      </c>
      <c r="BX21" s="16" t="s">
        <v>59</v>
      </c>
      <c r="BY21" s="47">
        <v>39</v>
      </c>
    </row>
    <row r="22" spans="1:77" x14ac:dyDescent="0.35">
      <c r="B22" s="9" t="s">
        <v>79</v>
      </c>
      <c r="C22" s="9" t="s">
        <v>86</v>
      </c>
      <c r="E22" s="9" t="s">
        <v>67</v>
      </c>
      <c r="F22" s="9" t="s">
        <v>62</v>
      </c>
      <c r="H22" s="9" t="s">
        <v>52</v>
      </c>
      <c r="I22" s="9" t="s">
        <v>53</v>
      </c>
      <c r="K22" s="9" t="s">
        <v>36</v>
      </c>
      <c r="L22" s="9" t="s">
        <v>1859</v>
      </c>
      <c r="N22" s="9" t="s">
        <v>1860</v>
      </c>
      <c r="O22" s="9" t="s">
        <v>119</v>
      </c>
      <c r="Q22" t="s">
        <v>795</v>
      </c>
      <c r="R22" t="s">
        <v>789</v>
      </c>
      <c r="T22" s="9" t="s">
        <v>960</v>
      </c>
      <c r="U22" t="s">
        <v>963</v>
      </c>
      <c r="Y22" s="6"/>
      <c r="Z22" s="6"/>
      <c r="AA22" s="6"/>
      <c r="AB22" s="1" t="s">
        <v>1359</v>
      </c>
      <c r="AC22" t="s">
        <v>1356</v>
      </c>
      <c r="AD22" t="s">
        <v>1348</v>
      </c>
      <c r="AE22" t="s">
        <v>1353</v>
      </c>
      <c r="AF22">
        <v>5</v>
      </c>
      <c r="AG22">
        <v>3</v>
      </c>
      <c r="AH22">
        <v>1</v>
      </c>
      <c r="AI22">
        <f t="shared" si="2"/>
        <v>3</v>
      </c>
      <c r="AJ22">
        <v>135</v>
      </c>
      <c r="AK22">
        <v>7</v>
      </c>
      <c r="AM22" s="70" t="s">
        <v>92</v>
      </c>
      <c r="AN22" s="6" t="s">
        <v>1113</v>
      </c>
      <c r="AT22" t="s">
        <v>1804</v>
      </c>
      <c r="AZ22" t="s">
        <v>1049</v>
      </c>
      <c r="BA22" t="s">
        <v>1046</v>
      </c>
      <c r="BO22" t="s">
        <v>1137</v>
      </c>
      <c r="BP22" s="34">
        <f>9/12</f>
        <v>0.75</v>
      </c>
      <c r="BQ22">
        <v>0.9</v>
      </c>
      <c r="BX22" s="19" t="s">
        <v>37</v>
      </c>
      <c r="BY22" s="47">
        <v>18</v>
      </c>
    </row>
    <row r="23" spans="1:77" x14ac:dyDescent="0.35">
      <c r="B23" s="9" t="s">
        <v>80</v>
      </c>
      <c r="C23" s="9" t="s">
        <v>82</v>
      </c>
      <c r="E23" s="9" t="s">
        <v>68</v>
      </c>
      <c r="F23" s="9" t="s">
        <v>60</v>
      </c>
      <c r="H23" s="9" t="s">
        <v>51</v>
      </c>
      <c r="I23" s="9" t="s">
        <v>300</v>
      </c>
      <c r="K23" s="9" t="s">
        <v>37</v>
      </c>
      <c r="L23" s="9" t="s">
        <v>1858</v>
      </c>
      <c r="N23" s="9" t="s">
        <v>22</v>
      </c>
      <c r="O23" s="9" t="s">
        <v>32</v>
      </c>
      <c r="Q23" t="s">
        <v>908</v>
      </c>
      <c r="R23" t="s">
        <v>909</v>
      </c>
      <c r="T23" s="9" t="s">
        <v>961</v>
      </c>
      <c r="U23" t="s">
        <v>962</v>
      </c>
      <c r="Y23" s="6"/>
      <c r="Z23" s="6"/>
      <c r="AA23" s="6"/>
      <c r="AB23" s="1" t="s">
        <v>1361</v>
      </c>
      <c r="AC23" t="s">
        <v>1358</v>
      </c>
      <c r="AD23" t="s">
        <v>1350</v>
      </c>
      <c r="AE23" t="s">
        <v>1355</v>
      </c>
      <c r="AF23">
        <v>6</v>
      </c>
      <c r="AG23">
        <v>4</v>
      </c>
      <c r="AH23">
        <v>2</v>
      </c>
      <c r="AI23">
        <f t="shared" si="2"/>
        <v>4</v>
      </c>
      <c r="AJ23">
        <v>246</v>
      </c>
      <c r="AK23">
        <v>4</v>
      </c>
      <c r="AM23" s="70" t="s">
        <v>93</v>
      </c>
      <c r="AN23" s="92" t="s">
        <v>1026</v>
      </c>
      <c r="AS23" t="s">
        <v>3237</v>
      </c>
      <c r="AZ23" t="s">
        <v>1050</v>
      </c>
      <c r="BA23" t="s">
        <v>1047</v>
      </c>
      <c r="BO23" t="s">
        <v>1138</v>
      </c>
      <c r="BP23" s="34">
        <f>8/12</f>
        <v>0.66666666666666663</v>
      </c>
      <c r="BQ23">
        <v>0.8</v>
      </c>
      <c r="BX23" s="15" t="s">
        <v>79</v>
      </c>
      <c r="BY23" s="47">
        <v>45</v>
      </c>
    </row>
    <row r="24" spans="1:77" x14ac:dyDescent="0.35">
      <c r="AM24" s="70" t="s">
        <v>94</v>
      </c>
      <c r="AN24" s="92" t="s">
        <v>1114</v>
      </c>
      <c r="AY24" s="6" t="s">
        <v>151</v>
      </c>
      <c r="AZ24" s="1" t="s">
        <v>158</v>
      </c>
      <c r="BB24" t="s">
        <v>2920</v>
      </c>
      <c r="BO24" t="s">
        <v>1139</v>
      </c>
      <c r="BP24" s="34">
        <f>7/12</f>
        <v>0.58333333333333337</v>
      </c>
      <c r="BQ24">
        <v>0.7</v>
      </c>
      <c r="BS24" t="s">
        <v>1255</v>
      </c>
      <c r="BX24" s="58" t="s">
        <v>792</v>
      </c>
      <c r="BY24" s="47">
        <v>0</v>
      </c>
    </row>
    <row r="25" spans="1:77" x14ac:dyDescent="0.35">
      <c r="F25" s="9"/>
      <c r="H25" s="9" t="s">
        <v>1124</v>
      </c>
      <c r="T25" s="9"/>
      <c r="AM25" s="70" t="s">
        <v>95</v>
      </c>
      <c r="AN25" s="6" t="s">
        <v>1025</v>
      </c>
      <c r="AQ25" t="s">
        <v>837</v>
      </c>
      <c r="AR25" t="s">
        <v>1034</v>
      </c>
      <c r="AZ25" t="s">
        <v>2918</v>
      </c>
      <c r="BA25" t="s">
        <v>2919</v>
      </c>
      <c r="BB25" t="s">
        <v>1067</v>
      </c>
      <c r="BO25" t="s">
        <v>1140</v>
      </c>
      <c r="BP25" s="34">
        <f>6/12</f>
        <v>0.5</v>
      </c>
      <c r="BQ25">
        <v>0.6</v>
      </c>
      <c r="BX25" s="58" t="s">
        <v>795</v>
      </c>
      <c r="BY25" s="47">
        <v>0</v>
      </c>
    </row>
    <row r="26" spans="1:77" x14ac:dyDescent="0.35">
      <c r="H26" s="9"/>
      <c r="I26" s="9"/>
      <c r="T26" s="9"/>
      <c r="W26" s="153" t="s">
        <v>1572</v>
      </c>
      <c r="AF26" s="6"/>
      <c r="AG26" s="6"/>
      <c r="AH26" s="6"/>
      <c r="AI26" s="6"/>
      <c r="AJ26" s="6"/>
      <c r="AM26" s="70" t="s">
        <v>96</v>
      </c>
      <c r="AN26" s="6" t="s">
        <v>1485</v>
      </c>
      <c r="AS26" t="s">
        <v>1406</v>
      </c>
      <c r="AZ26" t="s">
        <v>1051</v>
      </c>
      <c r="BA26" t="s">
        <v>1054</v>
      </c>
      <c r="BO26" t="s">
        <v>1141</v>
      </c>
      <c r="BP26" s="34">
        <f>5/12</f>
        <v>0.41666666666666669</v>
      </c>
      <c r="BQ26">
        <v>0.5</v>
      </c>
      <c r="BT26" t="s">
        <v>1257</v>
      </c>
      <c r="BX26" s="17" t="s">
        <v>53</v>
      </c>
      <c r="BY26" s="47">
        <v>81</v>
      </c>
    </row>
    <row r="27" spans="1:77" x14ac:dyDescent="0.35">
      <c r="I27" s="9"/>
      <c r="T27" s="9"/>
      <c r="W27" s="153" t="s">
        <v>1571</v>
      </c>
      <c r="AB27" s="6"/>
      <c r="AC27" s="6"/>
      <c r="AF27" s="6"/>
      <c r="AG27" s="6"/>
      <c r="AH27" s="6"/>
      <c r="AI27" s="6"/>
      <c r="AJ27" s="6"/>
      <c r="AM27" s="70" t="s">
        <v>97</v>
      </c>
      <c r="AN27" s="6" t="s">
        <v>2195</v>
      </c>
      <c r="AS27" t="s">
        <v>1405</v>
      </c>
      <c r="AZ27" t="s">
        <v>1052</v>
      </c>
      <c r="BA27" t="s">
        <v>1055</v>
      </c>
      <c r="BO27" t="s">
        <v>1142</v>
      </c>
      <c r="BP27" s="34">
        <f>4/12</f>
        <v>0.33333333333333331</v>
      </c>
      <c r="BQ27">
        <v>0.4</v>
      </c>
      <c r="BS27">
        <v>1</v>
      </c>
      <c r="BT27" t="s">
        <v>1286</v>
      </c>
      <c r="BX27" s="16" t="s">
        <v>62</v>
      </c>
      <c r="BY27" s="47">
        <v>49</v>
      </c>
    </row>
    <row r="28" spans="1:77" x14ac:dyDescent="0.35">
      <c r="I28" s="9"/>
      <c r="W28" s="153"/>
      <c r="AA28" s="6"/>
      <c r="AC28" t="s">
        <v>143</v>
      </c>
      <c r="AD28">
        <v>0.49859999999999999</v>
      </c>
      <c r="AE28" s="6">
        <v>43.8125</v>
      </c>
      <c r="AF28">
        <f t="shared" ref="AF28:AG33" si="3">RANK(AD28, AD$28:AD$33)</f>
        <v>2</v>
      </c>
      <c r="AG28" s="6">
        <f t="shared" si="3"/>
        <v>6</v>
      </c>
      <c r="AH28" s="6"/>
      <c r="AI28" t="s">
        <v>4</v>
      </c>
      <c r="AJ28" t="s">
        <v>15</v>
      </c>
      <c r="AM28" s="70" t="s">
        <v>98</v>
      </c>
      <c r="AN28" s="6" t="s">
        <v>1115</v>
      </c>
      <c r="AT28" t="s">
        <v>1031</v>
      </c>
      <c r="AZ28" t="s">
        <v>1053</v>
      </c>
      <c r="BA28" t="s">
        <v>1056</v>
      </c>
      <c r="BO28" t="s">
        <v>1143</v>
      </c>
      <c r="BP28" s="34">
        <f>3/12</f>
        <v>0.25</v>
      </c>
      <c r="BQ28">
        <v>0.3</v>
      </c>
      <c r="BS28" s="46">
        <v>3</v>
      </c>
      <c r="BT28" t="s">
        <v>1285</v>
      </c>
      <c r="BX28" s="19" t="s">
        <v>40</v>
      </c>
      <c r="BY28" s="47">
        <v>60</v>
      </c>
    </row>
    <row r="29" spans="1:77" x14ac:dyDescent="0.35">
      <c r="A29" t="s">
        <v>396</v>
      </c>
      <c r="B29" t="s">
        <v>1082</v>
      </c>
      <c r="E29" t="s">
        <v>1086</v>
      </c>
      <c r="H29" t="s">
        <v>1095</v>
      </c>
      <c r="I29" s="9"/>
      <c r="K29" t="s">
        <v>1090</v>
      </c>
      <c r="N29" t="s">
        <v>166</v>
      </c>
      <c r="Q29" t="s">
        <v>1103</v>
      </c>
      <c r="T29" s="9" t="s">
        <v>1107</v>
      </c>
      <c r="W29" s="153" t="s">
        <v>1581</v>
      </c>
      <c r="AA29" s="6"/>
      <c r="AC29" t="s">
        <v>144</v>
      </c>
      <c r="AD29" s="35">
        <v>0.44800000000000001</v>
      </c>
      <c r="AE29" s="6">
        <v>55.0625</v>
      </c>
      <c r="AF29">
        <f t="shared" si="3"/>
        <v>6</v>
      </c>
      <c r="AG29" s="6">
        <f t="shared" si="3"/>
        <v>2</v>
      </c>
      <c r="AH29" s="6"/>
      <c r="AI29" t="s">
        <v>723</v>
      </c>
      <c r="AJ29" t="s">
        <v>14</v>
      </c>
      <c r="AM29" s="70" t="s">
        <v>99</v>
      </c>
      <c r="AN29" s="6" t="s">
        <v>2196</v>
      </c>
      <c r="AT29" t="s">
        <v>3236</v>
      </c>
      <c r="AY29" t="s">
        <v>152</v>
      </c>
      <c r="AZ29" s="1" t="s">
        <v>156</v>
      </c>
      <c r="BO29" t="s">
        <v>1144</v>
      </c>
      <c r="BP29" s="34">
        <f>2/12</f>
        <v>0.16666666666666666</v>
      </c>
      <c r="BQ29">
        <v>0.2</v>
      </c>
      <c r="BS29" s="46">
        <v>5</v>
      </c>
      <c r="BT29" t="s">
        <v>1265</v>
      </c>
      <c r="BX29" s="15" t="s">
        <v>77</v>
      </c>
      <c r="BY29" s="47">
        <v>17</v>
      </c>
    </row>
    <row r="30" spans="1:77" x14ac:dyDescent="0.35">
      <c r="A30" t="s">
        <v>836</v>
      </c>
      <c r="B30" t="s">
        <v>1083</v>
      </c>
      <c r="E30" t="s">
        <v>1087</v>
      </c>
      <c r="H30" t="s">
        <v>1096</v>
      </c>
      <c r="K30" t="s">
        <v>1088</v>
      </c>
      <c r="N30" t="s">
        <v>1101</v>
      </c>
      <c r="Q30" t="s">
        <v>1104</v>
      </c>
      <c r="T30" s="9" t="s">
        <v>1108</v>
      </c>
      <c r="W30" s="153" t="s">
        <v>1573</v>
      </c>
      <c r="AA30" s="6"/>
      <c r="AC30" t="s">
        <v>503</v>
      </c>
      <c r="AD30">
        <v>0.49419999999999997</v>
      </c>
      <c r="AE30" s="6">
        <v>46.75</v>
      </c>
      <c r="AF30">
        <f t="shared" si="3"/>
        <v>4</v>
      </c>
      <c r="AG30" s="6">
        <f t="shared" si="3"/>
        <v>4</v>
      </c>
      <c r="AH30" s="6"/>
      <c r="AI30" t="s">
        <v>719</v>
      </c>
      <c r="AJ30" t="s">
        <v>13</v>
      </c>
      <c r="AM30" s="70" t="s">
        <v>100</v>
      </c>
      <c r="AN30" s="6" t="s">
        <v>1116</v>
      </c>
      <c r="AT30" t="s">
        <v>3235</v>
      </c>
      <c r="AZ30" t="s">
        <v>1058</v>
      </c>
      <c r="BA30" t="s">
        <v>1060</v>
      </c>
      <c r="BB30" t="s">
        <v>1067</v>
      </c>
      <c r="BO30" t="s">
        <v>1145</v>
      </c>
      <c r="BP30" s="34">
        <f>1/12</f>
        <v>8.3333333333333329E-2</v>
      </c>
      <c r="BQ30">
        <v>0.1</v>
      </c>
      <c r="BS30" s="46">
        <v>7</v>
      </c>
      <c r="BT30" t="s">
        <v>1266</v>
      </c>
      <c r="BX30" s="16" t="s">
        <v>66</v>
      </c>
      <c r="BY30" s="47">
        <v>33</v>
      </c>
    </row>
    <row r="31" spans="1:77" x14ac:dyDescent="0.35">
      <c r="A31" t="s">
        <v>837</v>
      </c>
      <c r="B31" t="s">
        <v>1084</v>
      </c>
      <c r="E31" t="s">
        <v>1088</v>
      </c>
      <c r="H31" t="s">
        <v>1097</v>
      </c>
      <c r="I31" s="9"/>
      <c r="K31" t="s">
        <v>1099</v>
      </c>
      <c r="N31" t="s">
        <v>1102</v>
      </c>
      <c r="Q31" t="s">
        <v>1105</v>
      </c>
      <c r="T31" s="9" t="s">
        <v>1109</v>
      </c>
      <c r="W31" s="153"/>
      <c r="AC31" t="s">
        <v>172</v>
      </c>
      <c r="AD31">
        <v>0.50190000000000001</v>
      </c>
      <c r="AE31" s="6">
        <v>44.375</v>
      </c>
      <c r="AF31">
        <f t="shared" si="3"/>
        <v>1</v>
      </c>
      <c r="AG31" s="6">
        <f t="shared" si="3"/>
        <v>5</v>
      </c>
      <c r="AI31" t="s">
        <v>390</v>
      </c>
      <c r="AJ31" t="s">
        <v>1023</v>
      </c>
      <c r="AM31" s="70" t="s">
        <v>101</v>
      </c>
      <c r="AN31" s="6" t="s">
        <v>1401</v>
      </c>
      <c r="AT31" t="s">
        <v>2040</v>
      </c>
      <c r="AZ31" t="s">
        <v>1059</v>
      </c>
      <c r="BA31" t="s">
        <v>1061</v>
      </c>
      <c r="BO31" t="s">
        <v>1146</v>
      </c>
      <c r="BP31" s="34">
        <v>0</v>
      </c>
      <c r="BQ31">
        <v>0</v>
      </c>
      <c r="BS31" s="46">
        <v>5</v>
      </c>
      <c r="BT31" t="s">
        <v>1260</v>
      </c>
      <c r="BX31" s="15" t="s">
        <v>86</v>
      </c>
      <c r="BY31" s="47">
        <v>97</v>
      </c>
    </row>
    <row r="32" spans="1:77" x14ac:dyDescent="0.35">
      <c r="A32" t="s">
        <v>921</v>
      </c>
      <c r="B32" t="s">
        <v>1085</v>
      </c>
      <c r="E32" t="s">
        <v>1089</v>
      </c>
      <c r="H32" t="s">
        <v>1098</v>
      </c>
      <c r="I32" s="9"/>
      <c r="K32" t="s">
        <v>1100</v>
      </c>
      <c r="N32" t="s">
        <v>167</v>
      </c>
      <c r="Q32" t="s">
        <v>1106</v>
      </c>
      <c r="T32" s="9" t="s">
        <v>918</v>
      </c>
      <c r="W32" s="153" t="s">
        <v>1574</v>
      </c>
      <c r="AC32" t="s">
        <v>173</v>
      </c>
      <c r="AD32">
        <v>0.4965</v>
      </c>
      <c r="AE32" s="6">
        <v>49.8125</v>
      </c>
      <c r="AF32">
        <f t="shared" si="3"/>
        <v>3</v>
      </c>
      <c r="AG32" s="6">
        <f t="shared" si="3"/>
        <v>3</v>
      </c>
      <c r="AI32" t="s">
        <v>717</v>
      </c>
      <c r="AJ32" t="s">
        <v>116</v>
      </c>
      <c r="AT32" t="s">
        <v>1804</v>
      </c>
      <c r="AY32" t="s">
        <v>155</v>
      </c>
      <c r="AZ32" s="1" t="s">
        <v>1064</v>
      </c>
      <c r="BO32" t="s">
        <v>1178</v>
      </c>
      <c r="BP32" s="34">
        <f>3/12</f>
        <v>0.25</v>
      </c>
      <c r="BQ32">
        <v>0.2</v>
      </c>
      <c r="BS32" s="46">
        <v>3</v>
      </c>
      <c r="BT32" t="s">
        <v>1256</v>
      </c>
      <c r="BX32" s="17" t="s">
        <v>145</v>
      </c>
      <c r="BY32" s="47">
        <v>54</v>
      </c>
    </row>
    <row r="33" spans="9:77" x14ac:dyDescent="0.35">
      <c r="I33" s="9"/>
      <c r="W33" s="153" t="s">
        <v>1582</v>
      </c>
      <c r="AC33" t="s">
        <v>799</v>
      </c>
      <c r="AD33">
        <v>0.46339999999999998</v>
      </c>
      <c r="AE33" s="6">
        <v>58.1875</v>
      </c>
      <c r="AF33">
        <f t="shared" si="3"/>
        <v>5</v>
      </c>
      <c r="AG33" s="6">
        <f t="shared" si="3"/>
        <v>1</v>
      </c>
      <c r="AI33" t="s">
        <v>714</v>
      </c>
      <c r="AJ33" t="s">
        <v>8</v>
      </c>
      <c r="AZ33" t="s">
        <v>1063</v>
      </c>
      <c r="BA33" t="s">
        <v>1066</v>
      </c>
      <c r="BS33" s="46">
        <v>2</v>
      </c>
      <c r="BT33" t="s">
        <v>1261</v>
      </c>
      <c r="BX33" s="19" t="s">
        <v>35</v>
      </c>
      <c r="BY33" s="47">
        <v>65</v>
      </c>
    </row>
    <row r="34" spans="9:77" x14ac:dyDescent="0.35">
      <c r="I34" s="9"/>
      <c r="W34" s="153"/>
      <c r="AC34" t="s">
        <v>1296</v>
      </c>
      <c r="AD34" s="92">
        <v>0.49880000000000002</v>
      </c>
      <c r="AE34" s="92">
        <v>50.75</v>
      </c>
      <c r="AG34" s="6"/>
      <c r="AI34" t="s">
        <v>706</v>
      </c>
      <c r="AJ34" t="s">
        <v>782</v>
      </c>
      <c r="AZ34" t="s">
        <v>1062</v>
      </c>
      <c r="BS34" s="46">
        <v>5</v>
      </c>
      <c r="BT34" t="s">
        <v>1277</v>
      </c>
      <c r="BX34" s="21" t="s">
        <v>292</v>
      </c>
      <c r="BY34" s="47">
        <v>42</v>
      </c>
    </row>
    <row r="35" spans="9:77" x14ac:dyDescent="0.35">
      <c r="W35" s="153" t="s">
        <v>1575</v>
      </c>
      <c r="AB35" s="1"/>
      <c r="AM35" s="1">
        <v>1</v>
      </c>
      <c r="AN35" s="6">
        <v>1</v>
      </c>
      <c r="AO35" s="6">
        <v>2</v>
      </c>
      <c r="AP35" s="6">
        <v>3</v>
      </c>
      <c r="AQ35" s="1">
        <v>6</v>
      </c>
      <c r="AZ35" t="s">
        <v>4055</v>
      </c>
      <c r="BA35" t="s">
        <v>4056</v>
      </c>
      <c r="BS35" s="46">
        <v>2</v>
      </c>
      <c r="BT35" t="s">
        <v>1263</v>
      </c>
      <c r="BX35" s="17" t="s">
        <v>50</v>
      </c>
      <c r="BY35" s="47">
        <v>30</v>
      </c>
    </row>
    <row r="36" spans="9:77" x14ac:dyDescent="0.35">
      <c r="I36" s="9"/>
      <c r="W36" s="153" t="s">
        <v>1576</v>
      </c>
      <c r="AA36" s="6"/>
      <c r="AB36" s="1"/>
      <c r="AM36" s="1">
        <v>2</v>
      </c>
      <c r="AN36" s="6">
        <v>2</v>
      </c>
      <c r="AO36" s="6">
        <v>1</v>
      </c>
      <c r="AP36" s="6">
        <v>4</v>
      </c>
      <c r="AQ36" s="1">
        <v>7</v>
      </c>
      <c r="BC36" s="9">
        <v>1</v>
      </c>
      <c r="BD36">
        <v>1</v>
      </c>
      <c r="BE36" s="19" t="s">
        <v>41</v>
      </c>
      <c r="BH36" t="s">
        <v>1185</v>
      </c>
      <c r="BP36" t="s">
        <v>1284</v>
      </c>
      <c r="BS36" s="46">
        <v>3</v>
      </c>
      <c r="BT36" t="s">
        <v>1269</v>
      </c>
      <c r="BX36" s="16" t="s">
        <v>60</v>
      </c>
      <c r="BY36" s="47">
        <v>38</v>
      </c>
    </row>
    <row r="37" spans="9:77" x14ac:dyDescent="0.35">
      <c r="I37" s="9"/>
      <c r="W37" s="7"/>
      <c r="AA37" s="6"/>
      <c r="AB37" s="1"/>
      <c r="AD37">
        <v>12345678</v>
      </c>
      <c r="AF37">
        <v>1</v>
      </c>
      <c r="AG37">
        <v>2</v>
      </c>
      <c r="AH37">
        <v>8</v>
      </c>
      <c r="AI37">
        <v>5</v>
      </c>
      <c r="AK37">
        <f t="shared" ref="AK37:AK44" si="4">SUM(AG37:AI37)</f>
        <v>15</v>
      </c>
      <c r="AM37" s="1">
        <v>3</v>
      </c>
      <c r="AN37" s="6">
        <v>3</v>
      </c>
      <c r="AO37" s="6">
        <v>4</v>
      </c>
      <c r="AP37" s="6">
        <v>1</v>
      </c>
      <c r="AQ37" s="1">
        <v>8</v>
      </c>
      <c r="BC37" s="9">
        <v>2</v>
      </c>
      <c r="BD37">
        <v>2</v>
      </c>
      <c r="BE37" s="21" t="s">
        <v>34</v>
      </c>
      <c r="BH37" t="s">
        <v>1186</v>
      </c>
      <c r="BP37">
        <v>5</v>
      </c>
      <c r="BQ37" t="s">
        <v>1283</v>
      </c>
      <c r="BX37" s="16" t="s">
        <v>114</v>
      </c>
      <c r="BY37" s="47">
        <v>35</v>
      </c>
    </row>
    <row r="38" spans="9:77" x14ac:dyDescent="0.35">
      <c r="I38" s="9"/>
      <c r="W38" s="7" t="s">
        <v>1577</v>
      </c>
      <c r="AA38" s="6"/>
      <c r="AB38" s="1"/>
      <c r="AD38">
        <v>18273645</v>
      </c>
      <c r="AF38">
        <v>2</v>
      </c>
      <c r="AG38">
        <v>1</v>
      </c>
      <c r="AH38">
        <v>7</v>
      </c>
      <c r="AI38">
        <v>6</v>
      </c>
      <c r="AK38">
        <f t="shared" si="4"/>
        <v>14</v>
      </c>
      <c r="AM38" s="1">
        <v>4</v>
      </c>
      <c r="AN38" s="6">
        <v>4</v>
      </c>
      <c r="AO38" s="6">
        <v>3</v>
      </c>
      <c r="AP38" s="6">
        <v>2</v>
      </c>
      <c r="AQ38" s="1">
        <v>9</v>
      </c>
      <c r="BC38" s="9">
        <v>3</v>
      </c>
      <c r="BD38">
        <v>3</v>
      </c>
      <c r="BE38" s="16" t="s">
        <v>69</v>
      </c>
      <c r="BP38">
        <v>2</v>
      </c>
      <c r="BQ38" t="s">
        <v>1282</v>
      </c>
      <c r="BT38" t="s">
        <v>1258</v>
      </c>
      <c r="BX38" s="21" t="s">
        <v>33</v>
      </c>
      <c r="BY38" s="47">
        <v>51</v>
      </c>
    </row>
    <row r="39" spans="9:77" x14ac:dyDescent="0.35">
      <c r="I39" s="9"/>
      <c r="W39" s="7" t="s">
        <v>1579</v>
      </c>
      <c r="AA39" s="1"/>
      <c r="AB39" s="1"/>
      <c r="AD39">
        <v>15263748</v>
      </c>
      <c r="AF39">
        <v>3</v>
      </c>
      <c r="AG39">
        <v>4</v>
      </c>
      <c r="AH39">
        <v>6</v>
      </c>
      <c r="AI39">
        <v>7</v>
      </c>
      <c r="AK39">
        <f t="shared" si="4"/>
        <v>17</v>
      </c>
      <c r="BC39" s="9">
        <v>4</v>
      </c>
      <c r="BD39">
        <v>6</v>
      </c>
      <c r="BE39" s="17" t="s">
        <v>300</v>
      </c>
      <c r="BH39" t="s">
        <v>1187</v>
      </c>
      <c r="BP39">
        <v>0</v>
      </c>
      <c r="BQ39" t="s">
        <v>1281</v>
      </c>
      <c r="BS39" s="46">
        <v>-5</v>
      </c>
      <c r="BT39" t="s">
        <v>1270</v>
      </c>
      <c r="BX39" s="17" t="s">
        <v>118</v>
      </c>
      <c r="BY39" s="47">
        <v>9</v>
      </c>
    </row>
    <row r="40" spans="9:77" x14ac:dyDescent="0.35">
      <c r="W40" s="7"/>
      <c r="AA40" s="1"/>
      <c r="AB40" s="1"/>
      <c r="AF40">
        <v>4</v>
      </c>
      <c r="AG40">
        <v>3</v>
      </c>
      <c r="AH40">
        <v>5</v>
      </c>
      <c r="AI40">
        <v>8</v>
      </c>
      <c r="AK40">
        <f t="shared" si="4"/>
        <v>16</v>
      </c>
      <c r="BC40" s="9">
        <v>5</v>
      </c>
      <c r="BD40">
        <v>4</v>
      </c>
      <c r="BE40" s="21" t="s">
        <v>31</v>
      </c>
      <c r="BH40" t="s">
        <v>1188</v>
      </c>
      <c r="BP40">
        <v>-2</v>
      </c>
      <c r="BQ40" t="s">
        <v>1280</v>
      </c>
      <c r="BS40" s="46">
        <v>-3</v>
      </c>
      <c r="BT40" t="s">
        <v>1259</v>
      </c>
      <c r="BX40" s="15" t="s">
        <v>82</v>
      </c>
      <c r="BY40" s="47">
        <v>55</v>
      </c>
    </row>
    <row r="41" spans="9:77" x14ac:dyDescent="0.35">
      <c r="W41" s="7" t="s">
        <v>1578</v>
      </c>
      <c r="AA41" s="1"/>
      <c r="AB41" s="1"/>
      <c r="AF41">
        <v>5</v>
      </c>
      <c r="AG41">
        <v>6</v>
      </c>
      <c r="AH41">
        <v>4</v>
      </c>
      <c r="AI41">
        <v>1</v>
      </c>
      <c r="AK41">
        <f t="shared" si="4"/>
        <v>11</v>
      </c>
      <c r="AN41" t="s">
        <v>1548</v>
      </c>
      <c r="AO41" t="s">
        <v>1110</v>
      </c>
      <c r="AP41" t="s">
        <v>997</v>
      </c>
      <c r="BC41" s="9">
        <v>6</v>
      </c>
      <c r="BD41">
        <v>5</v>
      </c>
      <c r="BE41" s="17" t="s">
        <v>49</v>
      </c>
      <c r="BH41" t="s">
        <v>1189</v>
      </c>
      <c r="BP41">
        <v>-5</v>
      </c>
      <c r="BQ41" t="s">
        <v>1279</v>
      </c>
      <c r="BS41" s="46">
        <v>-2</v>
      </c>
      <c r="BT41" t="s">
        <v>1262</v>
      </c>
      <c r="BX41" s="16" t="s">
        <v>67</v>
      </c>
      <c r="BY41" s="47">
        <v>61</v>
      </c>
    </row>
    <row r="42" spans="9:77" x14ac:dyDescent="0.35">
      <c r="W42" s="153" t="s">
        <v>1580</v>
      </c>
      <c r="AA42" s="1"/>
      <c r="AB42" s="1"/>
      <c r="AF42">
        <v>6</v>
      </c>
      <c r="AG42">
        <v>5</v>
      </c>
      <c r="AH42">
        <v>3</v>
      </c>
      <c r="AI42">
        <v>2</v>
      </c>
      <c r="AK42">
        <f t="shared" si="4"/>
        <v>10</v>
      </c>
      <c r="AN42" t="s">
        <v>1549</v>
      </c>
      <c r="AO42" t="s">
        <v>1111</v>
      </c>
      <c r="AP42" t="s">
        <v>993</v>
      </c>
      <c r="BC42" s="9">
        <v>7</v>
      </c>
      <c r="BD42">
        <v>12</v>
      </c>
      <c r="BE42" s="15" t="s">
        <v>88</v>
      </c>
      <c r="BH42" t="s">
        <v>1190</v>
      </c>
      <c r="BS42" s="46"/>
      <c r="BX42" s="58" t="s">
        <v>794</v>
      </c>
      <c r="BY42" s="47">
        <v>0</v>
      </c>
    </row>
    <row r="43" spans="9:77" x14ac:dyDescent="0.35">
      <c r="AA43" s="1"/>
      <c r="AB43" s="1"/>
      <c r="AF43">
        <v>7</v>
      </c>
      <c r="AG43">
        <v>8</v>
      </c>
      <c r="AH43">
        <v>2</v>
      </c>
      <c r="AI43">
        <v>3</v>
      </c>
      <c r="AK43">
        <f t="shared" si="4"/>
        <v>13</v>
      </c>
      <c r="AN43" t="s">
        <v>1548</v>
      </c>
      <c r="AO43" t="s">
        <v>1110</v>
      </c>
      <c r="AP43" t="s">
        <v>1547</v>
      </c>
      <c r="BC43" s="9">
        <v>8</v>
      </c>
      <c r="BD43">
        <v>15</v>
      </c>
      <c r="BE43" s="58" t="s">
        <v>788</v>
      </c>
      <c r="BR43" s="46"/>
      <c r="BS43" s="46"/>
      <c r="BT43" t="s">
        <v>1264</v>
      </c>
      <c r="BX43" s="21" t="s">
        <v>24</v>
      </c>
      <c r="BY43" s="47">
        <v>77</v>
      </c>
    </row>
    <row r="44" spans="9:77" x14ac:dyDescent="0.35">
      <c r="AA44" s="1"/>
      <c r="AF44">
        <v>8</v>
      </c>
      <c r="AG44">
        <v>7</v>
      </c>
      <c r="AH44">
        <v>1</v>
      </c>
      <c r="AI44">
        <v>4</v>
      </c>
      <c r="AK44">
        <f t="shared" si="4"/>
        <v>12</v>
      </c>
      <c r="BC44" s="9">
        <v>9</v>
      </c>
      <c r="BD44">
        <v>7</v>
      </c>
      <c r="BE44" s="21" t="s">
        <v>26</v>
      </c>
      <c r="BS44" s="46" t="s">
        <v>1267</v>
      </c>
      <c r="BT44" t="s">
        <v>1287</v>
      </c>
      <c r="BX44" s="15" t="s">
        <v>78</v>
      </c>
      <c r="BY44" s="47">
        <v>52</v>
      </c>
    </row>
    <row r="45" spans="9:77" x14ac:dyDescent="0.35">
      <c r="AA45" s="1"/>
      <c r="BC45" s="9">
        <v>10</v>
      </c>
      <c r="BD45">
        <v>8</v>
      </c>
      <c r="BE45" s="19" t="s">
        <v>36</v>
      </c>
      <c r="BS45" s="46" t="s">
        <v>1268</v>
      </c>
      <c r="BT45" t="s">
        <v>1288</v>
      </c>
      <c r="BX45" s="15" t="s">
        <v>74</v>
      </c>
      <c r="BY45" s="47">
        <v>62</v>
      </c>
    </row>
    <row r="46" spans="9:77" x14ac:dyDescent="0.35">
      <c r="AA46" s="1"/>
      <c r="BS46" s="46"/>
      <c r="BX46" s="19" t="s">
        <v>45</v>
      </c>
      <c r="BY46" s="47">
        <v>66</v>
      </c>
    </row>
    <row r="47" spans="9:77" x14ac:dyDescent="0.35">
      <c r="AA47" s="1"/>
      <c r="BK47">
        <f t="shared" ref="BK47:BK55" si="5">BL47/6</f>
        <v>0.21666666666666667</v>
      </c>
      <c r="BL47">
        <v>1.3</v>
      </c>
      <c r="BM47">
        <f t="shared" ref="BM47:BM56" si="6">BN47/6</f>
        <v>0.20833333333333334</v>
      </c>
      <c r="BN47">
        <v>1.25</v>
      </c>
      <c r="BO47" t="s">
        <v>1127</v>
      </c>
      <c r="BP47" s="34">
        <f t="shared" ref="BP47:BP55" si="7">BK47-BM47</f>
        <v>8.3333333333333315E-3</v>
      </c>
      <c r="BS47" s="46"/>
      <c r="BX47" s="19" t="s">
        <v>1859</v>
      </c>
      <c r="BY47" s="47">
        <v>11</v>
      </c>
    </row>
    <row r="48" spans="9:77" x14ac:dyDescent="0.35">
      <c r="AA48" s="1"/>
      <c r="BK48">
        <f t="shared" si="5"/>
        <v>0.13333333333333333</v>
      </c>
      <c r="BL48">
        <v>0.8</v>
      </c>
      <c r="BM48">
        <f t="shared" si="6"/>
        <v>0.125</v>
      </c>
      <c r="BN48">
        <v>0.75</v>
      </c>
      <c r="BO48" t="s">
        <v>1128</v>
      </c>
      <c r="BP48" s="34">
        <f t="shared" si="7"/>
        <v>8.3333333333333315E-3</v>
      </c>
      <c r="BX48" s="17" t="s">
        <v>54</v>
      </c>
      <c r="BY48" s="47">
        <v>4</v>
      </c>
    </row>
    <row r="49" spans="27:77" x14ac:dyDescent="0.35">
      <c r="AA49" s="1"/>
      <c r="BK49">
        <f t="shared" si="5"/>
        <v>9.9999999999999992E-2</v>
      </c>
      <c r="BL49">
        <v>0.6</v>
      </c>
      <c r="BM49">
        <f t="shared" si="6"/>
        <v>9.1666666666666674E-2</v>
      </c>
      <c r="BN49">
        <v>0.55000000000000004</v>
      </c>
      <c r="BO49" t="s">
        <v>1129</v>
      </c>
      <c r="BP49" s="34">
        <f t="shared" si="7"/>
        <v>8.3333333333333176E-3</v>
      </c>
      <c r="BX49" s="58" t="s">
        <v>786</v>
      </c>
      <c r="BY49" s="47">
        <v>0</v>
      </c>
    </row>
    <row r="50" spans="27:77" x14ac:dyDescent="0.35">
      <c r="AA50" s="1"/>
      <c r="BK50">
        <f t="shared" si="5"/>
        <v>9.9999999999999992E-2</v>
      </c>
      <c r="BL50">
        <v>0.6</v>
      </c>
      <c r="BM50">
        <f t="shared" si="6"/>
        <v>9.1666666666666674E-2</v>
      </c>
      <c r="BN50">
        <v>0.55000000000000004</v>
      </c>
      <c r="BO50" t="s">
        <v>1130</v>
      </c>
      <c r="BP50" s="34">
        <f t="shared" si="7"/>
        <v>8.3333333333333176E-3</v>
      </c>
      <c r="BX50" s="15" t="s">
        <v>84</v>
      </c>
      <c r="BY50" s="47">
        <v>40</v>
      </c>
    </row>
    <row r="51" spans="27:77" x14ac:dyDescent="0.35">
      <c r="AA51" s="1"/>
      <c r="BK51">
        <f t="shared" si="5"/>
        <v>8.3333333333333329E-2</v>
      </c>
      <c r="BL51">
        <v>0.5</v>
      </c>
      <c r="BM51">
        <f t="shared" si="6"/>
        <v>7.4999999999999997E-2</v>
      </c>
      <c r="BN51">
        <v>0.45</v>
      </c>
      <c r="BO51" t="s">
        <v>1134</v>
      </c>
      <c r="BP51" s="34">
        <f t="shared" si="7"/>
        <v>8.3333333333333315E-3</v>
      </c>
      <c r="BX51" s="15" t="s">
        <v>80</v>
      </c>
      <c r="BY51" s="47">
        <v>22</v>
      </c>
    </row>
    <row r="52" spans="27:77" x14ac:dyDescent="0.35">
      <c r="AA52" s="1"/>
      <c r="BK52">
        <f t="shared" si="5"/>
        <v>8.3333333333333329E-2</v>
      </c>
      <c r="BL52">
        <v>0.5</v>
      </c>
      <c r="BM52">
        <f t="shared" si="6"/>
        <v>7.4999999999999997E-2</v>
      </c>
      <c r="BN52">
        <v>0.45</v>
      </c>
      <c r="BO52" t="s">
        <v>1131</v>
      </c>
      <c r="BP52" s="34">
        <f t="shared" si="7"/>
        <v>8.3333333333333315E-3</v>
      </c>
      <c r="BX52" s="58" t="s">
        <v>787</v>
      </c>
      <c r="BY52" s="47">
        <v>0</v>
      </c>
    </row>
    <row r="53" spans="27:77" x14ac:dyDescent="0.35">
      <c r="BK53">
        <f t="shared" si="5"/>
        <v>9.9999999999999992E-2</v>
      </c>
      <c r="BL53">
        <v>0.6</v>
      </c>
      <c r="BM53">
        <f t="shared" si="6"/>
        <v>8.3333333333333329E-2</v>
      </c>
      <c r="BN53">
        <v>0.5</v>
      </c>
      <c r="BO53" t="s">
        <v>1132</v>
      </c>
      <c r="BP53" s="34">
        <f t="shared" si="7"/>
        <v>1.6666666666666663E-2</v>
      </c>
      <c r="BX53" s="58" t="s">
        <v>790</v>
      </c>
      <c r="BY53" s="47">
        <v>0</v>
      </c>
    </row>
    <row r="54" spans="27:77" x14ac:dyDescent="0.35">
      <c r="BK54">
        <f t="shared" si="5"/>
        <v>9.9999999999999992E-2</v>
      </c>
      <c r="BL54">
        <v>0.6</v>
      </c>
      <c r="BM54">
        <f t="shared" si="6"/>
        <v>8.3333333333333329E-2</v>
      </c>
      <c r="BN54">
        <v>0.5</v>
      </c>
      <c r="BO54" t="s">
        <v>1133</v>
      </c>
      <c r="BP54" s="34">
        <f t="shared" si="7"/>
        <v>1.6666666666666663E-2</v>
      </c>
      <c r="BX54" s="15" t="s">
        <v>83</v>
      </c>
      <c r="BY54" s="47">
        <v>26</v>
      </c>
    </row>
    <row r="55" spans="27:77" x14ac:dyDescent="0.35">
      <c r="BK55">
        <f t="shared" si="5"/>
        <v>8.3333333333333329E-2</v>
      </c>
      <c r="BL55">
        <v>0.5</v>
      </c>
      <c r="BM55">
        <f t="shared" si="6"/>
        <v>9.1666666666666674E-2</v>
      </c>
      <c r="BN55">
        <v>0.55000000000000004</v>
      </c>
      <c r="BO55" t="s">
        <v>1255</v>
      </c>
      <c r="BP55" s="34">
        <f t="shared" si="7"/>
        <v>-8.3333333333333454E-3</v>
      </c>
      <c r="BX55" s="21" t="s">
        <v>28</v>
      </c>
      <c r="BY55" s="47">
        <v>16</v>
      </c>
    </row>
    <row r="56" spans="27:77" x14ac:dyDescent="0.35">
      <c r="BM56">
        <f t="shared" si="6"/>
        <v>7.4999999999999997E-2</v>
      </c>
      <c r="BN56">
        <v>0.45</v>
      </c>
      <c r="BO56" t="s">
        <v>1718</v>
      </c>
      <c r="BP56" s="34">
        <f>BK56+BM56</f>
        <v>7.4999999999999997E-2</v>
      </c>
      <c r="BX56" s="58" t="s">
        <v>793</v>
      </c>
      <c r="BY56" s="47">
        <v>0</v>
      </c>
    </row>
    <row r="57" spans="27:77" x14ac:dyDescent="0.35">
      <c r="BX57" s="58" t="s">
        <v>784</v>
      </c>
      <c r="BY57" s="47">
        <v>0</v>
      </c>
    </row>
    <row r="58" spans="27:77" x14ac:dyDescent="0.35">
      <c r="AX58" t="s">
        <v>1690</v>
      </c>
      <c r="BC58" t="s">
        <v>1783</v>
      </c>
      <c r="BD58" t="s">
        <v>1767</v>
      </c>
      <c r="BE58" t="s">
        <v>2110</v>
      </c>
      <c r="BF58" t="s">
        <v>1774</v>
      </c>
      <c r="BG58" t="s">
        <v>1784</v>
      </c>
      <c r="BL58">
        <f>56*4</f>
        <v>224</v>
      </c>
      <c r="BX58" s="17" t="s">
        <v>55</v>
      </c>
      <c r="BY58" s="47">
        <v>34</v>
      </c>
    </row>
    <row r="59" spans="27:77" x14ac:dyDescent="0.35">
      <c r="AW59" t="s">
        <v>1692</v>
      </c>
      <c r="AX59">
        <v>20</v>
      </c>
      <c r="AY59" t="s">
        <v>919</v>
      </c>
      <c r="AZ59" t="s">
        <v>1693</v>
      </c>
      <c r="BC59">
        <v>4</v>
      </c>
      <c r="BD59">
        <v>1</v>
      </c>
      <c r="BF59">
        <v>1</v>
      </c>
      <c r="BG59">
        <v>5</v>
      </c>
      <c r="BH59">
        <v>20</v>
      </c>
      <c r="BJ59">
        <v>28</v>
      </c>
      <c r="BK59">
        <f t="shared" ref="BK59:BK68" si="8">SUM(BH59:BJ59)</f>
        <v>48</v>
      </c>
      <c r="BL59">
        <v>56</v>
      </c>
      <c r="BX59" s="58" t="s">
        <v>909</v>
      </c>
      <c r="BY59" s="47">
        <v>0</v>
      </c>
    </row>
    <row r="60" spans="27:77" x14ac:dyDescent="0.35">
      <c r="AW60" t="s">
        <v>1695</v>
      </c>
      <c r="AX60">
        <v>20</v>
      </c>
      <c r="AY60" t="s">
        <v>920</v>
      </c>
      <c r="AZ60" t="s">
        <v>1693</v>
      </c>
      <c r="BC60">
        <v>5</v>
      </c>
      <c r="BD60">
        <v>2</v>
      </c>
      <c r="BF60">
        <v>2</v>
      </c>
      <c r="BG60">
        <v>6</v>
      </c>
      <c r="BH60">
        <v>20</v>
      </c>
      <c r="BJ60">
        <v>28</v>
      </c>
      <c r="BK60">
        <f t="shared" si="8"/>
        <v>48</v>
      </c>
      <c r="BL60">
        <v>56</v>
      </c>
      <c r="BN60" t="s">
        <v>2111</v>
      </c>
      <c r="BX60" s="15" t="s">
        <v>81</v>
      </c>
      <c r="BY60" s="47">
        <v>1</v>
      </c>
    </row>
    <row r="61" spans="27:77" x14ac:dyDescent="0.35">
      <c r="AW61" t="s">
        <v>1697</v>
      </c>
      <c r="AX61">
        <v>40</v>
      </c>
      <c r="AY61" t="s">
        <v>1698</v>
      </c>
      <c r="AZ61" t="s">
        <v>1699</v>
      </c>
      <c r="BC61">
        <v>6</v>
      </c>
      <c r="BE61" t="s">
        <v>2085</v>
      </c>
      <c r="BF61" t="s">
        <v>1711</v>
      </c>
      <c r="BG61">
        <v>7</v>
      </c>
      <c r="BI61">
        <v>16</v>
      </c>
      <c r="BJ61">
        <v>28</v>
      </c>
      <c r="BK61">
        <f t="shared" si="8"/>
        <v>44</v>
      </c>
      <c r="BL61">
        <v>56</v>
      </c>
      <c r="BX61" s="17" t="s">
        <v>47</v>
      </c>
      <c r="BY61" s="47">
        <v>68</v>
      </c>
    </row>
    <row r="62" spans="27:77" x14ac:dyDescent="0.35">
      <c r="AW62" t="s">
        <v>1701</v>
      </c>
      <c r="AX62">
        <v>40</v>
      </c>
      <c r="AY62" t="s">
        <v>1702</v>
      </c>
      <c r="AZ62" t="s">
        <v>1699</v>
      </c>
      <c r="BC62">
        <v>7</v>
      </c>
      <c r="BD62">
        <v>3</v>
      </c>
      <c r="BE62" t="s">
        <v>2086</v>
      </c>
      <c r="BG62">
        <v>8</v>
      </c>
      <c r="BH62">
        <v>40</v>
      </c>
      <c r="BI62">
        <v>16</v>
      </c>
      <c r="BK62">
        <f t="shared" si="8"/>
        <v>56</v>
      </c>
      <c r="BL62">
        <v>56</v>
      </c>
      <c r="BX62" s="58" t="s">
        <v>785</v>
      </c>
      <c r="BY62" s="47">
        <v>0</v>
      </c>
    </row>
    <row r="63" spans="27:77" x14ac:dyDescent="0.35">
      <c r="AW63" t="s">
        <v>1703</v>
      </c>
      <c r="AX63">
        <v>32</v>
      </c>
      <c r="AY63" t="s">
        <v>1704</v>
      </c>
      <c r="AZ63" t="s">
        <v>1699</v>
      </c>
      <c r="BC63">
        <v>8</v>
      </c>
      <c r="BE63" t="s">
        <v>2087</v>
      </c>
      <c r="BF63" t="s">
        <v>1696</v>
      </c>
      <c r="BG63">
        <v>9</v>
      </c>
      <c r="BI63">
        <v>16</v>
      </c>
      <c r="BJ63">
        <v>28</v>
      </c>
      <c r="BK63">
        <f t="shared" si="8"/>
        <v>44</v>
      </c>
      <c r="BL63">
        <v>56</v>
      </c>
      <c r="BX63" s="15" t="s">
        <v>73</v>
      </c>
      <c r="BY63" s="47">
        <v>46</v>
      </c>
    </row>
    <row r="64" spans="27:77" x14ac:dyDescent="0.35">
      <c r="AW64" t="s">
        <v>1705</v>
      </c>
      <c r="AX64">
        <v>16</v>
      </c>
      <c r="AY64" t="s">
        <v>1706</v>
      </c>
      <c r="AZ64" t="s">
        <v>1699</v>
      </c>
      <c r="BC64">
        <v>9</v>
      </c>
      <c r="BD64">
        <v>4</v>
      </c>
      <c r="BE64" t="s">
        <v>2088</v>
      </c>
      <c r="BG64">
        <v>10</v>
      </c>
      <c r="BH64">
        <v>40</v>
      </c>
      <c r="BI64">
        <v>16</v>
      </c>
      <c r="BK64">
        <f t="shared" si="8"/>
        <v>56</v>
      </c>
      <c r="BL64">
        <v>56</v>
      </c>
      <c r="BX64" s="21" t="s">
        <v>22</v>
      </c>
      <c r="BY64" s="47">
        <v>24</v>
      </c>
    </row>
    <row r="65" spans="49:77" x14ac:dyDescent="0.35">
      <c r="AW65" t="s">
        <v>1707</v>
      </c>
      <c r="AX65">
        <v>8</v>
      </c>
      <c r="AY65" t="s">
        <v>1708</v>
      </c>
      <c r="AZ65" t="s">
        <v>1699</v>
      </c>
      <c r="BC65">
        <v>10</v>
      </c>
      <c r="BD65">
        <v>5</v>
      </c>
      <c r="BE65" t="s">
        <v>1729</v>
      </c>
      <c r="BF65" t="s">
        <v>1902</v>
      </c>
      <c r="BG65">
        <v>11</v>
      </c>
      <c r="BH65">
        <v>32</v>
      </c>
      <c r="BI65">
        <v>16</v>
      </c>
      <c r="BJ65">
        <v>6</v>
      </c>
      <c r="BK65">
        <f t="shared" si="8"/>
        <v>54</v>
      </c>
      <c r="BL65">
        <v>56</v>
      </c>
      <c r="BX65" s="21" t="s">
        <v>30</v>
      </c>
      <c r="BY65" s="47">
        <v>13</v>
      </c>
    </row>
    <row r="66" spans="49:77" x14ac:dyDescent="0.35">
      <c r="AW66" t="s">
        <v>1709</v>
      </c>
      <c r="AX66">
        <v>4</v>
      </c>
      <c r="AY66" t="s">
        <v>1710</v>
      </c>
      <c r="AZ66" t="s">
        <v>1699</v>
      </c>
      <c r="BC66">
        <v>11</v>
      </c>
      <c r="BD66">
        <v>6</v>
      </c>
      <c r="BE66" t="s">
        <v>1712</v>
      </c>
      <c r="BF66" t="s">
        <v>1902</v>
      </c>
      <c r="BG66">
        <v>12</v>
      </c>
      <c r="BH66">
        <v>16</v>
      </c>
      <c r="BI66">
        <v>16</v>
      </c>
      <c r="BJ66">
        <v>8</v>
      </c>
      <c r="BK66">
        <f t="shared" si="8"/>
        <v>40</v>
      </c>
      <c r="BL66">
        <v>56</v>
      </c>
      <c r="BX66" s="19" t="s">
        <v>900</v>
      </c>
      <c r="BY66" s="47">
        <v>88</v>
      </c>
    </row>
    <row r="67" spans="49:77" x14ac:dyDescent="0.35">
      <c r="AW67" t="s">
        <v>1709</v>
      </c>
      <c r="AX67">
        <v>2</v>
      </c>
      <c r="AY67" t="s">
        <v>1700</v>
      </c>
      <c r="AZ67" t="s">
        <v>1699</v>
      </c>
      <c r="BC67">
        <v>12</v>
      </c>
      <c r="BD67" t="s">
        <v>1711</v>
      </c>
      <c r="BE67" t="s">
        <v>1711</v>
      </c>
      <c r="BG67" t="s">
        <v>1785</v>
      </c>
      <c r="BH67">
        <v>8</v>
      </c>
      <c r="BI67">
        <v>8</v>
      </c>
      <c r="BK67">
        <f t="shared" si="8"/>
        <v>16</v>
      </c>
      <c r="BL67">
        <v>7</v>
      </c>
      <c r="BM67">
        <f>56*12</f>
        <v>672</v>
      </c>
      <c r="BN67" t="s">
        <v>1793</v>
      </c>
      <c r="BX67" s="21" t="s">
        <v>25</v>
      </c>
      <c r="BY67" s="47">
        <v>63</v>
      </c>
    </row>
    <row r="68" spans="49:77" x14ac:dyDescent="0.35">
      <c r="BC68" t="s">
        <v>1785</v>
      </c>
      <c r="BD68" t="s">
        <v>1786</v>
      </c>
      <c r="BE68" t="s">
        <v>1786</v>
      </c>
      <c r="BG68" t="s">
        <v>1904</v>
      </c>
      <c r="BH68">
        <v>6</v>
      </c>
      <c r="BI68">
        <v>6</v>
      </c>
      <c r="BK68">
        <f t="shared" si="8"/>
        <v>12</v>
      </c>
      <c r="BL68">
        <v>8</v>
      </c>
      <c r="BM68">
        <v>182</v>
      </c>
      <c r="BN68" t="s">
        <v>2109</v>
      </c>
      <c r="BX68" s="19" t="s">
        <v>39</v>
      </c>
      <c r="BY68" s="47">
        <v>74</v>
      </c>
    </row>
    <row r="69" spans="49:77" x14ac:dyDescent="0.35">
      <c r="AX69">
        <f>SUM(AX59:AX67)</f>
        <v>182</v>
      </c>
      <c r="BC69" t="s">
        <v>1904</v>
      </c>
      <c r="BG69" t="s">
        <v>1711</v>
      </c>
      <c r="BL69">
        <v>8</v>
      </c>
      <c r="BM69">
        <v>126</v>
      </c>
      <c r="BN69" t="s">
        <v>2108</v>
      </c>
      <c r="BX69" s="16" t="s">
        <v>71</v>
      </c>
      <c r="BY69" s="47">
        <v>25</v>
      </c>
    </row>
    <row r="70" spans="49:77" x14ac:dyDescent="0.35">
      <c r="AX70">
        <f>AX69/56</f>
        <v>3.25</v>
      </c>
      <c r="BC70" t="s">
        <v>1711</v>
      </c>
      <c r="BG70" t="s">
        <v>1803</v>
      </c>
      <c r="BL70">
        <v>6.5</v>
      </c>
      <c r="BM70">
        <v>110</v>
      </c>
      <c r="BN70" t="s">
        <v>2112</v>
      </c>
      <c r="BX70" s="21" t="s">
        <v>29</v>
      </c>
      <c r="BY70" s="47">
        <v>23</v>
      </c>
    </row>
    <row r="71" spans="49:77" x14ac:dyDescent="0.35">
      <c r="BD71" t="s">
        <v>1903</v>
      </c>
      <c r="BM71">
        <v>29.5</v>
      </c>
      <c r="BN71" t="s">
        <v>1769</v>
      </c>
      <c r="BR71" t="s">
        <v>919</v>
      </c>
      <c r="BS71" t="s">
        <v>920</v>
      </c>
      <c r="BT71" t="s">
        <v>1708</v>
      </c>
      <c r="BU71" t="s">
        <v>1710</v>
      </c>
      <c r="BV71" t="s">
        <v>1700</v>
      </c>
      <c r="BX71" s="19" t="s">
        <v>2011</v>
      </c>
      <c r="BY71" s="47">
        <v>20</v>
      </c>
    </row>
    <row r="72" spans="49:77" x14ac:dyDescent="0.35">
      <c r="BD72" t="s">
        <v>2082</v>
      </c>
      <c r="BM72">
        <v>1119.5</v>
      </c>
      <c r="BN72" t="s">
        <v>1905</v>
      </c>
      <c r="BT72">
        <v>1</v>
      </c>
      <c r="BX72" s="21" t="s">
        <v>32</v>
      </c>
      <c r="BY72" s="47">
        <v>69</v>
      </c>
    </row>
    <row r="73" spans="49:77" x14ac:dyDescent="0.35">
      <c r="BS73">
        <v>8</v>
      </c>
      <c r="BU73" t="s">
        <v>1112</v>
      </c>
      <c r="BX73" s="16" t="s">
        <v>65</v>
      </c>
      <c r="BY73" s="47">
        <v>15</v>
      </c>
    </row>
    <row r="74" spans="49:77" x14ac:dyDescent="0.35">
      <c r="AY74">
        <v>40</v>
      </c>
      <c r="AZ74" t="s">
        <v>1685</v>
      </c>
      <c r="BB74" t="s">
        <v>1267</v>
      </c>
      <c r="BC74">
        <v>100</v>
      </c>
      <c r="BD74">
        <v>70</v>
      </c>
      <c r="BE74">
        <v>70</v>
      </c>
      <c r="BF74">
        <v>5</v>
      </c>
      <c r="BQ74">
        <v>9</v>
      </c>
      <c r="BR74">
        <v>16</v>
      </c>
      <c r="BU74" t="s">
        <v>1112</v>
      </c>
      <c r="BX74" s="58" t="s">
        <v>789</v>
      </c>
      <c r="BY74" s="47">
        <v>0</v>
      </c>
    </row>
    <row r="75" spans="49:77" x14ac:dyDescent="0.35">
      <c r="AW75">
        <v>20</v>
      </c>
      <c r="AX75">
        <v>20</v>
      </c>
      <c r="AY75">
        <v>40</v>
      </c>
      <c r="AZ75" t="s">
        <v>1686</v>
      </c>
      <c r="BB75" t="s">
        <v>922</v>
      </c>
      <c r="BC75">
        <v>90</v>
      </c>
      <c r="BD75">
        <v>63</v>
      </c>
      <c r="BE75">
        <v>65</v>
      </c>
      <c r="BF75">
        <v>5</v>
      </c>
      <c r="BG75">
        <v>16</v>
      </c>
      <c r="BH75" t="s">
        <v>919</v>
      </c>
      <c r="BI75" t="s">
        <v>1267</v>
      </c>
      <c r="BJ75">
        <v>30</v>
      </c>
      <c r="BL75">
        <v>28</v>
      </c>
      <c r="BM75" t="s">
        <v>1693</v>
      </c>
      <c r="BT75">
        <v>4</v>
      </c>
      <c r="BX75" s="15" t="s">
        <v>85</v>
      </c>
      <c r="BY75" s="47">
        <v>50</v>
      </c>
    </row>
    <row r="76" spans="49:77" x14ac:dyDescent="0.35">
      <c r="AW76">
        <v>20</v>
      </c>
      <c r="AX76">
        <v>20</v>
      </c>
      <c r="AY76">
        <v>40</v>
      </c>
      <c r="AZ76" t="s">
        <v>1687</v>
      </c>
      <c r="BB76" t="s">
        <v>1696</v>
      </c>
      <c r="BC76">
        <v>80</v>
      </c>
      <c r="BD76">
        <v>56</v>
      </c>
      <c r="BE76">
        <v>60</v>
      </c>
      <c r="BF76">
        <v>6</v>
      </c>
      <c r="BG76">
        <v>12</v>
      </c>
      <c r="BH76" t="s">
        <v>920</v>
      </c>
      <c r="BI76" t="s">
        <v>922</v>
      </c>
      <c r="BJ76">
        <v>24</v>
      </c>
      <c r="BL76">
        <v>28</v>
      </c>
      <c r="BM76" t="s">
        <v>1693</v>
      </c>
      <c r="BS76">
        <v>5</v>
      </c>
      <c r="BV76" t="s">
        <v>1112</v>
      </c>
      <c r="BX76" s="58" t="s">
        <v>791</v>
      </c>
      <c r="BY76" s="47">
        <v>0</v>
      </c>
    </row>
    <row r="77" spans="49:77" x14ac:dyDescent="0.35">
      <c r="AW77">
        <v>20</v>
      </c>
      <c r="AX77">
        <v>20</v>
      </c>
      <c r="AY77">
        <v>40</v>
      </c>
      <c r="AZ77" t="s">
        <v>1688</v>
      </c>
      <c r="BB77" t="s">
        <v>1711</v>
      </c>
      <c r="BC77">
        <v>70</v>
      </c>
      <c r="BD77">
        <v>49</v>
      </c>
      <c r="BE77">
        <v>54</v>
      </c>
      <c r="BF77">
        <v>6</v>
      </c>
      <c r="BG77">
        <v>8</v>
      </c>
      <c r="BH77" t="s">
        <v>1711</v>
      </c>
      <c r="BI77" t="s">
        <v>1696</v>
      </c>
      <c r="BJ77">
        <v>18</v>
      </c>
      <c r="BL77">
        <v>28</v>
      </c>
      <c r="BM77" t="s">
        <v>1693</v>
      </c>
      <c r="BQ77">
        <v>12</v>
      </c>
      <c r="BR77">
        <v>13</v>
      </c>
      <c r="BV77" t="s">
        <v>1112</v>
      </c>
      <c r="BX77" s="19" t="s">
        <v>1858</v>
      </c>
      <c r="BY77" s="47">
        <v>2</v>
      </c>
    </row>
    <row r="78" spans="49:77" x14ac:dyDescent="0.35">
      <c r="AW78">
        <v>20</v>
      </c>
      <c r="AX78">
        <v>12</v>
      </c>
      <c r="AY78">
        <v>32</v>
      </c>
      <c r="AZ78" t="s">
        <v>1689</v>
      </c>
      <c r="BB78" t="s">
        <v>1712</v>
      </c>
      <c r="BC78">
        <v>60</v>
      </c>
      <c r="BD78">
        <v>42</v>
      </c>
      <c r="BE78">
        <v>48</v>
      </c>
      <c r="BF78">
        <v>6</v>
      </c>
      <c r="BG78">
        <v>4</v>
      </c>
      <c r="BH78" t="s">
        <v>1696</v>
      </c>
      <c r="BI78" t="s">
        <v>1711</v>
      </c>
      <c r="BJ78">
        <v>12</v>
      </c>
      <c r="BL78">
        <v>28</v>
      </c>
      <c r="BM78" t="s">
        <v>1699</v>
      </c>
      <c r="BT78">
        <v>3</v>
      </c>
      <c r="BX78" s="17" t="s">
        <v>48</v>
      </c>
      <c r="BY78" s="47">
        <v>32</v>
      </c>
    </row>
    <row r="79" spans="49:77" x14ac:dyDescent="0.35">
      <c r="AY79">
        <v>16</v>
      </c>
      <c r="AZ79" t="s">
        <v>1691</v>
      </c>
      <c r="BB79" t="s">
        <v>1713</v>
      </c>
      <c r="BC79">
        <v>50</v>
      </c>
      <c r="BD79">
        <v>35</v>
      </c>
      <c r="BE79">
        <v>42</v>
      </c>
      <c r="BF79">
        <v>6</v>
      </c>
      <c r="BG79">
        <v>2</v>
      </c>
      <c r="BH79" t="s">
        <v>1700</v>
      </c>
      <c r="BI79" t="s">
        <v>1788</v>
      </c>
      <c r="BJ79">
        <v>6</v>
      </c>
      <c r="BL79">
        <v>14</v>
      </c>
      <c r="BM79" t="s">
        <v>1699</v>
      </c>
      <c r="BS79">
        <v>6</v>
      </c>
      <c r="BU79" t="s">
        <v>1112</v>
      </c>
      <c r="BX79" s="16" t="s">
        <v>61</v>
      </c>
      <c r="BY79" s="47">
        <v>56</v>
      </c>
    </row>
    <row r="80" spans="49:77" x14ac:dyDescent="0.35">
      <c r="AY80">
        <v>8</v>
      </c>
      <c r="AZ80" t="s">
        <v>1694</v>
      </c>
      <c r="BB80" t="s">
        <v>1717</v>
      </c>
      <c r="BC80">
        <v>40</v>
      </c>
      <c r="BD80">
        <v>28</v>
      </c>
      <c r="BE80">
        <v>36</v>
      </c>
      <c r="BF80">
        <v>8</v>
      </c>
      <c r="BG80">
        <v>1</v>
      </c>
      <c r="BI80" t="s">
        <v>1789</v>
      </c>
      <c r="BJ80">
        <v>0</v>
      </c>
      <c r="BQ80">
        <v>11</v>
      </c>
      <c r="BR80">
        <v>14</v>
      </c>
      <c r="BU80" t="s">
        <v>1112</v>
      </c>
      <c r="BX80" s="17" t="s">
        <v>56</v>
      </c>
      <c r="BY80" s="47">
        <v>29</v>
      </c>
    </row>
    <row r="81" spans="24:77" x14ac:dyDescent="0.35">
      <c r="AY81">
        <v>4</v>
      </c>
      <c r="AZ81" t="s">
        <v>1696</v>
      </c>
      <c r="BB81" t="s">
        <v>1716</v>
      </c>
      <c r="BC81">
        <v>30</v>
      </c>
      <c r="BD81">
        <v>21</v>
      </c>
      <c r="BE81">
        <v>28</v>
      </c>
      <c r="BF81">
        <v>8</v>
      </c>
      <c r="BT81">
        <v>2</v>
      </c>
      <c r="BX81" s="21" t="s">
        <v>23</v>
      </c>
      <c r="BY81" s="47">
        <v>21</v>
      </c>
    </row>
    <row r="82" spans="24:77" x14ac:dyDescent="0.35">
      <c r="AY82">
        <v>2</v>
      </c>
      <c r="AZ82" t="s">
        <v>1700</v>
      </c>
      <c r="BB82" t="s">
        <v>1715</v>
      </c>
      <c r="BC82">
        <v>20</v>
      </c>
      <c r="BD82">
        <v>14</v>
      </c>
      <c r="BE82">
        <v>20</v>
      </c>
      <c r="BF82">
        <v>10</v>
      </c>
      <c r="BS82">
        <v>7</v>
      </c>
      <c r="BX82" s="21" t="s">
        <v>1860</v>
      </c>
      <c r="BY82" s="47">
        <v>67</v>
      </c>
    </row>
    <row r="83" spans="24:77" x14ac:dyDescent="0.35">
      <c r="AI83" t="s">
        <v>1727</v>
      </c>
      <c r="AJ83">
        <v>32</v>
      </c>
      <c r="AK83">
        <v>32</v>
      </c>
      <c r="AY83">
        <v>1</v>
      </c>
      <c r="BB83" t="s">
        <v>1714</v>
      </c>
      <c r="BC83">
        <v>10</v>
      </c>
      <c r="BD83">
        <v>7</v>
      </c>
      <c r="BE83">
        <v>10</v>
      </c>
      <c r="BF83">
        <v>10</v>
      </c>
      <c r="BQ83">
        <v>10</v>
      </c>
      <c r="BR83">
        <v>15</v>
      </c>
      <c r="BX83" s="17" t="s">
        <v>117</v>
      </c>
      <c r="BY83" s="47">
        <v>44</v>
      </c>
    </row>
    <row r="84" spans="24:77" x14ac:dyDescent="0.35">
      <c r="X84">
        <v>40</v>
      </c>
      <c r="Y84">
        <v>40</v>
      </c>
      <c r="AI84" t="s">
        <v>1728</v>
      </c>
      <c r="AJ84">
        <v>56</v>
      </c>
      <c r="AK84">
        <v>16</v>
      </c>
      <c r="AL84">
        <f>56-32</f>
        <v>24</v>
      </c>
      <c r="AM84">
        <v>40</v>
      </c>
      <c r="BX84" s="17" t="s">
        <v>52</v>
      </c>
      <c r="BY84" s="47">
        <v>5</v>
      </c>
    </row>
    <row r="85" spans="24:77" x14ac:dyDescent="0.35">
      <c r="X85">
        <v>60</v>
      </c>
      <c r="Y85">
        <v>20</v>
      </c>
      <c r="Z85">
        <v>20</v>
      </c>
      <c r="AA85">
        <v>40</v>
      </c>
      <c r="AI85" t="s">
        <v>1729</v>
      </c>
      <c r="AJ85">
        <v>76</v>
      </c>
      <c r="AM85">
        <v>20</v>
      </c>
      <c r="AN85">
        <v>20</v>
      </c>
      <c r="AO85">
        <v>40</v>
      </c>
      <c r="BH85" t="s">
        <v>2026</v>
      </c>
      <c r="BX85" s="16" t="s">
        <v>68</v>
      </c>
      <c r="BY85" s="47">
        <v>36</v>
      </c>
    </row>
    <row r="86" spans="24:77" x14ac:dyDescent="0.35">
      <c r="X86">
        <v>80</v>
      </c>
      <c r="AA86">
        <v>20</v>
      </c>
      <c r="AB86">
        <v>20</v>
      </c>
      <c r="AC86">
        <v>40</v>
      </c>
      <c r="AI86" t="s">
        <v>1730</v>
      </c>
      <c r="AJ86">
        <v>96</v>
      </c>
      <c r="AO86">
        <v>20</v>
      </c>
      <c r="AP86">
        <v>20</v>
      </c>
      <c r="AQ86">
        <v>40</v>
      </c>
      <c r="BH86" t="s">
        <v>2025</v>
      </c>
      <c r="BX86" s="58" t="s">
        <v>796</v>
      </c>
      <c r="BY86" s="47">
        <v>0</v>
      </c>
    </row>
    <row r="87" spans="24:77" x14ac:dyDescent="0.35">
      <c r="X87">
        <v>100</v>
      </c>
      <c r="AC87">
        <v>20</v>
      </c>
      <c r="AD87">
        <v>20</v>
      </c>
      <c r="AE87">
        <v>40</v>
      </c>
      <c r="AI87" t="s">
        <v>1731</v>
      </c>
      <c r="AJ87">
        <v>116</v>
      </c>
      <c r="AQ87">
        <v>20</v>
      </c>
      <c r="AR87">
        <v>20</v>
      </c>
      <c r="AS87">
        <v>40</v>
      </c>
      <c r="BB87" s="1" t="s">
        <v>1790</v>
      </c>
      <c r="BX87" s="16" t="s">
        <v>115</v>
      </c>
      <c r="BY87" s="47">
        <v>7</v>
      </c>
    </row>
    <row r="88" spans="24:77" x14ac:dyDescent="0.35">
      <c r="X88">
        <v>112</v>
      </c>
      <c r="AE88">
        <v>20</v>
      </c>
      <c r="AF88">
        <v>12</v>
      </c>
      <c r="AG88">
        <v>32</v>
      </c>
      <c r="AI88" t="s">
        <v>1772</v>
      </c>
      <c r="AJ88">
        <v>128</v>
      </c>
      <c r="AS88">
        <v>20</v>
      </c>
      <c r="AT88">
        <v>12</v>
      </c>
      <c r="AU88">
        <v>32</v>
      </c>
      <c r="BB88" s="1" t="s">
        <v>2041</v>
      </c>
      <c r="BH88" t="s">
        <v>2029</v>
      </c>
      <c r="BX88" s="15" t="s">
        <v>76</v>
      </c>
      <c r="BY88" s="47">
        <v>43</v>
      </c>
    </row>
    <row r="89" spans="24:77" x14ac:dyDescent="0.35">
      <c r="AG89">
        <v>16</v>
      </c>
      <c r="AI89" t="s">
        <v>4717</v>
      </c>
      <c r="AU89">
        <v>16</v>
      </c>
      <c r="BH89" t="s">
        <v>2030</v>
      </c>
      <c r="BX89" s="58" t="s">
        <v>908</v>
      </c>
      <c r="BY89" s="47">
        <v>0</v>
      </c>
    </row>
    <row r="90" spans="24:77" x14ac:dyDescent="0.35">
      <c r="AG90">
        <v>8</v>
      </c>
      <c r="AI90" t="s">
        <v>4718</v>
      </c>
      <c r="AU90">
        <v>8</v>
      </c>
      <c r="BX90" s="19" t="s">
        <v>44</v>
      </c>
      <c r="BY90" s="47">
        <v>64</v>
      </c>
    </row>
    <row r="91" spans="24:77" x14ac:dyDescent="0.35">
      <c r="AG91">
        <v>4</v>
      </c>
      <c r="AI91" t="s">
        <v>4719</v>
      </c>
      <c r="AU91">
        <v>4</v>
      </c>
      <c r="BX91" s="16" t="s">
        <v>63</v>
      </c>
      <c r="BY91" s="47">
        <v>31</v>
      </c>
    </row>
    <row r="92" spans="24:77" x14ac:dyDescent="0.35">
      <c r="AG92">
        <v>2</v>
      </c>
      <c r="AI92" t="s">
        <v>4720</v>
      </c>
      <c r="AU92">
        <v>2</v>
      </c>
      <c r="BX92" s="17" t="s">
        <v>51</v>
      </c>
      <c r="BY92" s="47">
        <v>47</v>
      </c>
    </row>
    <row r="93" spans="24:77" x14ac:dyDescent="0.35">
      <c r="AG93">
        <v>1</v>
      </c>
      <c r="AU93">
        <v>1</v>
      </c>
      <c r="BX93" s="16" t="s">
        <v>64</v>
      </c>
      <c r="BY93" s="47">
        <v>53</v>
      </c>
    </row>
    <row r="94" spans="24:77" x14ac:dyDescent="0.35">
      <c r="BK94" t="s">
        <v>4037</v>
      </c>
      <c r="BX94" s="16" t="s">
        <v>72</v>
      </c>
      <c r="BY94" s="47">
        <v>14</v>
      </c>
    </row>
    <row r="95" spans="24:77" x14ac:dyDescent="0.35">
      <c r="BK95" t="s">
        <v>4038</v>
      </c>
      <c r="BX95" s="19" t="s">
        <v>38</v>
      </c>
      <c r="BY95" s="47">
        <v>80</v>
      </c>
    </row>
    <row r="96" spans="24:77" x14ac:dyDescent="0.35">
      <c r="BX96" s="21" t="s">
        <v>27</v>
      </c>
      <c r="BY96" s="47">
        <v>10</v>
      </c>
    </row>
    <row r="102" spans="35:75" x14ac:dyDescent="0.35">
      <c r="BI102" s="1" t="s">
        <v>2412</v>
      </c>
    </row>
    <row r="103" spans="35:75" x14ac:dyDescent="0.35">
      <c r="BI103" s="1" t="s">
        <v>2413</v>
      </c>
    </row>
    <row r="105" spans="35:75" x14ac:dyDescent="0.35">
      <c r="AJ105" s="1" t="s">
        <v>173</v>
      </c>
      <c r="AK105" s="1"/>
      <c r="AL105" s="1" t="s">
        <v>172</v>
      </c>
      <c r="AM105" s="1"/>
      <c r="AN105" s="1" t="s">
        <v>171</v>
      </c>
      <c r="AO105" s="1"/>
      <c r="AP105" s="1" t="s">
        <v>144</v>
      </c>
      <c r="AQ105" s="1"/>
      <c r="AR105" s="1" t="s">
        <v>143</v>
      </c>
      <c r="AS105" s="1"/>
      <c r="AT105" s="1" t="s">
        <v>799</v>
      </c>
      <c r="AU105" s="1"/>
      <c r="AV105" s="1" t="s">
        <v>1296</v>
      </c>
      <c r="BE105">
        <v>1</v>
      </c>
      <c r="BF105" s="1" t="s">
        <v>1609</v>
      </c>
      <c r="BI105" t="s">
        <v>2407</v>
      </c>
      <c r="BN105" t="s">
        <v>2070</v>
      </c>
    </row>
    <row r="106" spans="35:75" x14ac:dyDescent="0.35">
      <c r="AI106">
        <v>1</v>
      </c>
      <c r="AJ106" s="248" t="s">
        <v>1609</v>
      </c>
      <c r="AL106" s="248" t="s">
        <v>2047</v>
      </c>
      <c r="AN106" s="248" t="s">
        <v>2051</v>
      </c>
      <c r="AP106" s="248" t="s">
        <v>1606</v>
      </c>
      <c r="AR106" s="248" t="s">
        <v>2056</v>
      </c>
      <c r="AT106" s="248" t="s">
        <v>2060</v>
      </c>
      <c r="AV106" s="248" t="s">
        <v>966</v>
      </c>
      <c r="AY106" s="6"/>
      <c r="BE106">
        <v>2</v>
      </c>
      <c r="BF106" s="1" t="s">
        <v>2044</v>
      </c>
      <c r="BI106" t="s">
        <v>2074</v>
      </c>
      <c r="BM106" t="s">
        <v>396</v>
      </c>
      <c r="BN106" t="s">
        <v>1609</v>
      </c>
      <c r="BP106" t="s">
        <v>2248</v>
      </c>
    </row>
    <row r="107" spans="35:75" x14ac:dyDescent="0.35">
      <c r="AI107">
        <v>2</v>
      </c>
      <c r="AJ107" s="248" t="s">
        <v>2044</v>
      </c>
      <c r="AL107" s="248" t="s">
        <v>2048</v>
      </c>
      <c r="AN107" s="248" t="s">
        <v>2052</v>
      </c>
      <c r="AP107" s="248" t="s">
        <v>2054</v>
      </c>
      <c r="AR107" s="248" t="s">
        <v>2059</v>
      </c>
      <c r="AT107" s="248" t="s">
        <v>2061</v>
      </c>
      <c r="AV107" s="248" t="s">
        <v>1342</v>
      </c>
      <c r="AY107" s="6"/>
      <c r="BE107">
        <v>3</v>
      </c>
      <c r="BF107" t="s">
        <v>2045</v>
      </c>
      <c r="BM107" t="s">
        <v>836</v>
      </c>
      <c r="BN107" t="s">
        <v>2047</v>
      </c>
      <c r="BP107" t="s">
        <v>2080</v>
      </c>
    </row>
    <row r="108" spans="35:75" x14ac:dyDescent="0.35">
      <c r="AI108">
        <v>3</v>
      </c>
      <c r="AJ108" s="248" t="s">
        <v>2045</v>
      </c>
      <c r="AL108" s="248" t="s">
        <v>2049</v>
      </c>
      <c r="AN108" s="248" t="s">
        <v>2053</v>
      </c>
      <c r="AP108" s="248" t="s">
        <v>2055</v>
      </c>
      <c r="AR108" s="248" t="s">
        <v>2057</v>
      </c>
      <c r="AT108" s="248" t="s">
        <v>2062</v>
      </c>
      <c r="AV108" s="248" t="s">
        <v>3913</v>
      </c>
      <c r="AY108" s="6"/>
      <c r="BE108">
        <v>4</v>
      </c>
      <c r="BF108" t="s">
        <v>2046</v>
      </c>
      <c r="BI108" t="s">
        <v>2408</v>
      </c>
      <c r="BM108" t="s">
        <v>837</v>
      </c>
      <c r="BN108" t="s">
        <v>2051</v>
      </c>
      <c r="BT108" t="s">
        <v>1690</v>
      </c>
    </row>
    <row r="109" spans="35:75" x14ac:dyDescent="0.35">
      <c r="AI109">
        <v>4</v>
      </c>
      <c r="AJ109" s="248" t="s">
        <v>2046</v>
      </c>
      <c r="AL109" s="248" t="s">
        <v>2050</v>
      </c>
      <c r="AN109" s="248" t="s">
        <v>2076</v>
      </c>
      <c r="AP109" s="248" t="s">
        <v>2077</v>
      </c>
      <c r="AR109" s="248" t="s">
        <v>2078</v>
      </c>
      <c r="AT109" s="247" t="s">
        <v>2348</v>
      </c>
      <c r="AV109" s="250" t="s">
        <v>961</v>
      </c>
      <c r="AY109" s="6"/>
      <c r="BE109">
        <v>4</v>
      </c>
      <c r="BF109" t="s">
        <v>2064</v>
      </c>
      <c r="BI109" t="s">
        <v>2285</v>
      </c>
      <c r="BM109" t="s">
        <v>921</v>
      </c>
      <c r="BN109" t="s">
        <v>1606</v>
      </c>
      <c r="BP109" t="s">
        <v>2217</v>
      </c>
      <c r="BR109" t="s">
        <v>2081</v>
      </c>
      <c r="BS109">
        <v>8</v>
      </c>
      <c r="BT109">
        <v>16</v>
      </c>
      <c r="BU109">
        <v>16</v>
      </c>
    </row>
    <row r="110" spans="35:75" x14ac:dyDescent="0.35">
      <c r="AI110">
        <v>5</v>
      </c>
      <c r="AJ110" s="248" t="s">
        <v>2063</v>
      </c>
      <c r="AL110" s="248" t="s">
        <v>2075</v>
      </c>
      <c r="AN110" s="247" t="s">
        <v>2339</v>
      </c>
      <c r="AP110" s="247" t="s">
        <v>2342</v>
      </c>
      <c r="AR110" s="250" t="s">
        <v>2345</v>
      </c>
      <c r="AT110" s="250" t="s">
        <v>792</v>
      </c>
      <c r="AV110" s="247" t="s">
        <v>1302</v>
      </c>
      <c r="AY110" s="6"/>
      <c r="BI110" t="s">
        <v>2286</v>
      </c>
      <c r="BM110" t="s">
        <v>2079</v>
      </c>
      <c r="BN110" t="s">
        <v>2056</v>
      </c>
      <c r="BP110" t="s">
        <v>2218</v>
      </c>
      <c r="BR110" t="s">
        <v>2247</v>
      </c>
      <c r="BS110">
        <v>6</v>
      </c>
      <c r="BT110">
        <v>14</v>
      </c>
      <c r="BU110">
        <v>14</v>
      </c>
    </row>
    <row r="111" spans="35:75" x14ac:dyDescent="0.35">
      <c r="AI111">
        <v>6</v>
      </c>
      <c r="AJ111" s="247" t="s">
        <v>2333</v>
      </c>
      <c r="AL111" s="249" t="s">
        <v>2336</v>
      </c>
      <c r="AN111" s="247" t="s">
        <v>2340</v>
      </c>
      <c r="AP111" s="250" t="s">
        <v>2343</v>
      </c>
      <c r="AR111" s="247" t="s">
        <v>2346</v>
      </c>
      <c r="AT111" s="247" t="s">
        <v>2349</v>
      </c>
      <c r="AV111" s="247" t="s">
        <v>959</v>
      </c>
      <c r="AY111" s="6"/>
      <c r="BE111">
        <v>1</v>
      </c>
      <c r="BF111" s="1" t="s">
        <v>2047</v>
      </c>
      <c r="BM111" t="s">
        <v>1074</v>
      </c>
      <c r="BN111" t="s">
        <v>2060</v>
      </c>
      <c r="BP111" t="s">
        <v>2219</v>
      </c>
      <c r="BR111" t="s">
        <v>2081</v>
      </c>
      <c r="BS111">
        <v>8</v>
      </c>
      <c r="BT111">
        <v>16</v>
      </c>
      <c r="BU111">
        <v>16</v>
      </c>
      <c r="BW111" t="s">
        <v>2252</v>
      </c>
    </row>
    <row r="112" spans="35:75" x14ac:dyDescent="0.35">
      <c r="AI112">
        <v>7</v>
      </c>
      <c r="AJ112" s="247" t="s">
        <v>2334</v>
      </c>
      <c r="AL112" s="247" t="s">
        <v>2337</v>
      </c>
      <c r="AN112" s="247" t="s">
        <v>2341</v>
      </c>
      <c r="AP112" s="247" t="s">
        <v>2344</v>
      </c>
      <c r="AR112" s="247" t="s">
        <v>2347</v>
      </c>
      <c r="AT112" s="249" t="s">
        <v>2614</v>
      </c>
      <c r="AV112" s="247" t="s">
        <v>962</v>
      </c>
      <c r="AY112" s="6"/>
      <c r="BE112">
        <v>2</v>
      </c>
      <c r="BF112" s="1" t="s">
        <v>2048</v>
      </c>
      <c r="BI112" t="s">
        <v>2409</v>
      </c>
      <c r="BM112" t="s">
        <v>2058</v>
      </c>
      <c r="BN112" t="s">
        <v>966</v>
      </c>
      <c r="BP112" t="s">
        <v>2220</v>
      </c>
      <c r="BR112" t="s">
        <v>2247</v>
      </c>
      <c r="BS112">
        <v>6</v>
      </c>
      <c r="BT112">
        <v>14</v>
      </c>
      <c r="BU112">
        <v>14</v>
      </c>
      <c r="BW112" t="s">
        <v>2253</v>
      </c>
    </row>
    <row r="113" spans="33:83" x14ac:dyDescent="0.35">
      <c r="AI113">
        <v>8</v>
      </c>
      <c r="AJ113" s="247" t="s">
        <v>2335</v>
      </c>
      <c r="AL113" s="247" t="s">
        <v>2338</v>
      </c>
      <c r="AN113" s="247" t="s">
        <v>2351</v>
      </c>
      <c r="AP113" s="247" t="s">
        <v>2350</v>
      </c>
      <c r="AR113" s="249" t="s">
        <v>2613</v>
      </c>
      <c r="AT113" s="249" t="s">
        <v>2615</v>
      </c>
      <c r="AV113" s="249" t="s">
        <v>965</v>
      </c>
      <c r="AY113" s="6"/>
      <c r="BE113">
        <v>3</v>
      </c>
      <c r="BF113" t="s">
        <v>2049</v>
      </c>
      <c r="BI113" t="s">
        <v>2245</v>
      </c>
      <c r="BP113" t="s">
        <v>2221</v>
      </c>
      <c r="BR113" t="s">
        <v>2081</v>
      </c>
      <c r="BS113">
        <v>8</v>
      </c>
      <c r="BT113">
        <v>16</v>
      </c>
      <c r="BU113">
        <v>16</v>
      </c>
    </row>
    <row r="114" spans="33:83" x14ac:dyDescent="0.35">
      <c r="AY114" s="6"/>
      <c r="BE114">
        <v>4</v>
      </c>
      <c r="BF114" t="s">
        <v>2050</v>
      </c>
      <c r="BI114" t="s">
        <v>2406</v>
      </c>
      <c r="BN114" t="s">
        <v>2071</v>
      </c>
      <c r="BP114" t="s">
        <v>2222</v>
      </c>
      <c r="BR114" t="s">
        <v>2247</v>
      </c>
      <c r="BS114">
        <v>6</v>
      </c>
      <c r="BT114">
        <v>14</v>
      </c>
      <c r="BU114">
        <v>14</v>
      </c>
    </row>
    <row r="115" spans="33:83" x14ac:dyDescent="0.35">
      <c r="AG115" t="s">
        <v>837</v>
      </c>
      <c r="AH115" t="s">
        <v>2601</v>
      </c>
      <c r="AK115" t="s">
        <v>173</v>
      </c>
      <c r="AM115" t="s">
        <v>2613</v>
      </c>
      <c r="AY115" s="6"/>
      <c r="BE115">
        <v>4</v>
      </c>
      <c r="BF115" t="s">
        <v>2065</v>
      </c>
      <c r="BI115" t="s">
        <v>2246</v>
      </c>
      <c r="BN115" t="s">
        <v>2057</v>
      </c>
      <c r="BQ115" t="s">
        <v>2254</v>
      </c>
    </row>
    <row r="116" spans="33:83" x14ac:dyDescent="0.35">
      <c r="AG116" t="s">
        <v>837</v>
      </c>
      <c r="AH116" t="s">
        <v>2604</v>
      </c>
      <c r="AK116" t="s">
        <v>171</v>
      </c>
      <c r="AM116" t="s">
        <v>2615</v>
      </c>
      <c r="AY116" s="6"/>
      <c r="BI116" t="s">
        <v>2249</v>
      </c>
      <c r="BN116" t="s">
        <v>2054</v>
      </c>
      <c r="BP116" t="s">
        <v>1712</v>
      </c>
      <c r="BS116">
        <v>8</v>
      </c>
      <c r="BT116">
        <v>16</v>
      </c>
    </row>
    <row r="117" spans="33:83" x14ac:dyDescent="0.35">
      <c r="AG117" t="s">
        <v>1074</v>
      </c>
      <c r="AH117" t="s">
        <v>2602</v>
      </c>
      <c r="AK117" t="s">
        <v>143</v>
      </c>
      <c r="AM117" t="s">
        <v>965</v>
      </c>
      <c r="AY117" s="6"/>
      <c r="BE117">
        <v>1</v>
      </c>
      <c r="BF117" s="1" t="s">
        <v>2051</v>
      </c>
      <c r="BI117" t="s">
        <v>2287</v>
      </c>
      <c r="BN117" t="s">
        <v>2052</v>
      </c>
      <c r="BP117" t="s">
        <v>1073</v>
      </c>
      <c r="BS117">
        <v>4</v>
      </c>
      <c r="BT117">
        <v>8</v>
      </c>
      <c r="BZ117">
        <v>100</v>
      </c>
      <c r="CA117">
        <v>10</v>
      </c>
    </row>
    <row r="118" spans="33:83" x14ac:dyDescent="0.35">
      <c r="AG118" t="s">
        <v>1074</v>
      </c>
      <c r="AH118" t="s">
        <v>2603</v>
      </c>
      <c r="AK118" t="s">
        <v>171</v>
      </c>
      <c r="AM118" t="s">
        <v>2614</v>
      </c>
      <c r="AU118" s="92" t="s">
        <v>2611</v>
      </c>
      <c r="AY118" s="6"/>
      <c r="BE118">
        <v>2</v>
      </c>
      <c r="BF118" s="1" t="s">
        <v>2052</v>
      </c>
      <c r="BI118" t="s">
        <v>2250</v>
      </c>
      <c r="BN118" t="s">
        <v>2048</v>
      </c>
      <c r="BP118" t="s">
        <v>1057</v>
      </c>
      <c r="BS118">
        <v>2</v>
      </c>
      <c r="BT118">
        <v>4</v>
      </c>
      <c r="BZ118">
        <v>50</v>
      </c>
      <c r="CA118">
        <f>SQRT(50)</f>
        <v>7.0710678118654755</v>
      </c>
      <c r="CB118">
        <f>AVERAGE(CA117,CA118)^2</f>
        <v>72.855339059327378</v>
      </c>
    </row>
    <row r="119" spans="33:83" x14ac:dyDescent="0.35">
      <c r="AU119" s="92" t="s">
        <v>2612</v>
      </c>
      <c r="BE119">
        <v>3</v>
      </c>
      <c r="BF119" t="s">
        <v>2053</v>
      </c>
      <c r="BI119" t="s">
        <v>2251</v>
      </c>
      <c r="BN119" t="s">
        <v>2044</v>
      </c>
      <c r="BP119" t="s">
        <v>1074</v>
      </c>
      <c r="BS119">
        <v>1</v>
      </c>
      <c r="BT119">
        <v>2</v>
      </c>
      <c r="BZ119">
        <v>75</v>
      </c>
      <c r="CA119">
        <f>SQRT(75)</f>
        <v>8.6602540378443873</v>
      </c>
    </row>
    <row r="120" spans="33:83" x14ac:dyDescent="0.35">
      <c r="AR120">
        <v>1</v>
      </c>
      <c r="AS120" t="s">
        <v>2596</v>
      </c>
      <c r="AX120">
        <v>1</v>
      </c>
      <c r="AY120" t="s">
        <v>2606</v>
      </c>
      <c r="BE120">
        <v>4</v>
      </c>
      <c r="BF120" t="s">
        <v>2066</v>
      </c>
      <c r="BN120" t="s">
        <v>2061</v>
      </c>
    </row>
    <row r="121" spans="33:83" x14ac:dyDescent="0.35">
      <c r="AR121">
        <v>2</v>
      </c>
      <c r="AS121" t="s">
        <v>2597</v>
      </c>
      <c r="AX121">
        <v>2</v>
      </c>
      <c r="AY121" t="s">
        <v>2607</v>
      </c>
      <c r="BN121" t="s">
        <v>1342</v>
      </c>
    </row>
    <row r="122" spans="33:83" x14ac:dyDescent="0.35">
      <c r="AR122">
        <v>3</v>
      </c>
      <c r="AS122" t="s">
        <v>2598</v>
      </c>
      <c r="AX122">
        <v>3</v>
      </c>
      <c r="AY122" t="s">
        <v>2608</v>
      </c>
      <c r="BI122" t="s">
        <v>2410</v>
      </c>
    </row>
    <row r="123" spans="33:83" x14ac:dyDescent="0.35">
      <c r="AJ123" t="s">
        <v>2617</v>
      </c>
      <c r="AR123">
        <v>4</v>
      </c>
      <c r="AS123" t="s">
        <v>2599</v>
      </c>
      <c r="AX123">
        <v>4</v>
      </c>
      <c r="AY123" t="s">
        <v>2609</v>
      </c>
      <c r="BE123">
        <v>1</v>
      </c>
      <c r="BF123" s="1" t="s">
        <v>1606</v>
      </c>
      <c r="BH123" t="s">
        <v>2070</v>
      </c>
      <c r="BI123" t="s">
        <v>2414</v>
      </c>
      <c r="BN123" t="s">
        <v>2072</v>
      </c>
      <c r="BP123" t="s">
        <v>1783</v>
      </c>
      <c r="BQ123" t="s">
        <v>1767</v>
      </c>
      <c r="BR123" t="s">
        <v>2117</v>
      </c>
      <c r="BS123" t="s">
        <v>2359</v>
      </c>
      <c r="BT123" t="s">
        <v>1774</v>
      </c>
      <c r="BU123" t="s">
        <v>1784</v>
      </c>
      <c r="CA123">
        <f>56*4</f>
        <v>224</v>
      </c>
    </row>
    <row r="124" spans="33:83" x14ac:dyDescent="0.35">
      <c r="AJ124" t="s">
        <v>2618</v>
      </c>
      <c r="AR124">
        <v>5</v>
      </c>
      <c r="AS124" t="s">
        <v>2627</v>
      </c>
      <c r="AX124">
        <v>5</v>
      </c>
      <c r="AY124" t="s">
        <v>3592</v>
      </c>
      <c r="BE124">
        <v>3</v>
      </c>
      <c r="BF124" t="s">
        <v>2054</v>
      </c>
      <c r="BH124" t="s">
        <v>2417</v>
      </c>
      <c r="BI124" t="s">
        <v>2411</v>
      </c>
      <c r="BN124" t="s">
        <v>3913</v>
      </c>
      <c r="BP124">
        <v>4</v>
      </c>
      <c r="BQ124">
        <v>1</v>
      </c>
      <c r="BT124">
        <v>1</v>
      </c>
      <c r="BU124">
        <v>5</v>
      </c>
      <c r="BV124">
        <v>20</v>
      </c>
      <c r="BY124">
        <v>28</v>
      </c>
      <c r="BZ124">
        <f t="shared" ref="BZ124:BZ134" si="9">SUM(BV124:BY124)</f>
        <v>48</v>
      </c>
      <c r="CA124">
        <v>56</v>
      </c>
    </row>
    <row r="125" spans="33:83" x14ac:dyDescent="0.35">
      <c r="AJ125" t="s">
        <v>2620</v>
      </c>
      <c r="AR125">
        <v>6</v>
      </c>
      <c r="AS125" t="s">
        <v>2591</v>
      </c>
      <c r="AX125">
        <v>6</v>
      </c>
      <c r="AY125" t="s">
        <v>2590</v>
      </c>
      <c r="BE125">
        <v>2</v>
      </c>
      <c r="BF125" s="1" t="s">
        <v>2055</v>
      </c>
      <c r="BI125" s="92" t="s">
        <v>2416</v>
      </c>
      <c r="BN125" t="s">
        <v>2062</v>
      </c>
      <c r="BP125">
        <v>5</v>
      </c>
      <c r="BQ125">
        <v>2</v>
      </c>
      <c r="BT125">
        <v>2</v>
      </c>
      <c r="BU125">
        <v>6</v>
      </c>
      <c r="BV125">
        <v>20</v>
      </c>
      <c r="BY125">
        <v>28</v>
      </c>
      <c r="BZ125">
        <f t="shared" si="9"/>
        <v>48</v>
      </c>
      <c r="CA125">
        <v>56</v>
      </c>
    </row>
    <row r="126" spans="33:83" x14ac:dyDescent="0.35">
      <c r="AJ126" t="s">
        <v>2619</v>
      </c>
      <c r="AR126">
        <v>7</v>
      </c>
      <c r="AS126" t="s">
        <v>2592</v>
      </c>
      <c r="AX126">
        <v>7</v>
      </c>
      <c r="AY126" t="s">
        <v>2590</v>
      </c>
      <c r="BE126">
        <v>4</v>
      </c>
      <c r="BF126" t="s">
        <v>2067</v>
      </c>
      <c r="BH126" t="s">
        <v>2073</v>
      </c>
      <c r="BI126" t="s">
        <v>2415</v>
      </c>
      <c r="BN126" t="s">
        <v>2055</v>
      </c>
      <c r="BP126">
        <v>6</v>
      </c>
      <c r="BR126" t="s">
        <v>2085</v>
      </c>
      <c r="BS126" t="s">
        <v>2085</v>
      </c>
      <c r="BT126" t="s">
        <v>1711</v>
      </c>
      <c r="BU126">
        <v>7</v>
      </c>
      <c r="BW126">
        <v>16</v>
      </c>
      <c r="BX126">
        <v>12</v>
      </c>
      <c r="BY126">
        <v>28</v>
      </c>
      <c r="BZ126">
        <f t="shared" si="9"/>
        <v>56</v>
      </c>
      <c r="CA126">
        <v>56</v>
      </c>
      <c r="CC126" t="s">
        <v>2228</v>
      </c>
      <c r="CD126" t="s">
        <v>2229</v>
      </c>
    </row>
    <row r="127" spans="33:83" x14ac:dyDescent="0.35">
      <c r="AR127">
        <v>8</v>
      </c>
      <c r="AS127" t="s">
        <v>2593</v>
      </c>
      <c r="AX127">
        <v>8</v>
      </c>
      <c r="AY127" t="s">
        <v>2605</v>
      </c>
      <c r="BN127" t="s">
        <v>2053</v>
      </c>
      <c r="BP127">
        <v>7</v>
      </c>
      <c r="BQ127">
        <v>3</v>
      </c>
      <c r="BR127" t="s">
        <v>2086</v>
      </c>
      <c r="BS127" t="s">
        <v>2086</v>
      </c>
      <c r="BU127">
        <v>8</v>
      </c>
      <c r="BV127">
        <v>40</v>
      </c>
      <c r="BW127">
        <v>14</v>
      </c>
      <c r="BX127">
        <v>12</v>
      </c>
      <c r="BZ127">
        <f t="shared" si="9"/>
        <v>66</v>
      </c>
      <c r="CA127">
        <v>56</v>
      </c>
      <c r="CC127">
        <f>56*5</f>
        <v>280</v>
      </c>
      <c r="CD127">
        <v>728</v>
      </c>
      <c r="CE127" t="s">
        <v>2370</v>
      </c>
    </row>
    <row r="128" spans="33:83" x14ac:dyDescent="0.35">
      <c r="AR128">
        <v>9</v>
      </c>
      <c r="AS128" t="s">
        <v>2594</v>
      </c>
      <c r="AX128">
        <v>9</v>
      </c>
      <c r="AY128" t="s">
        <v>2590</v>
      </c>
      <c r="BE128">
        <v>1</v>
      </c>
      <c r="BF128" s="1" t="s">
        <v>2056</v>
      </c>
      <c r="BI128" t="s">
        <v>2493</v>
      </c>
      <c r="BN128" t="s">
        <v>2049</v>
      </c>
      <c r="BP128">
        <v>8</v>
      </c>
      <c r="BR128" t="s">
        <v>2087</v>
      </c>
      <c r="BS128" t="s">
        <v>2087</v>
      </c>
      <c r="BT128" t="s">
        <v>1696</v>
      </c>
      <c r="BU128">
        <v>9</v>
      </c>
      <c r="BW128">
        <v>16</v>
      </c>
      <c r="BX128">
        <v>12</v>
      </c>
      <c r="BY128">
        <v>28</v>
      </c>
      <c r="BZ128">
        <f t="shared" si="9"/>
        <v>56</v>
      </c>
      <c r="CA128">
        <v>56</v>
      </c>
      <c r="CC128">
        <v>40</v>
      </c>
      <c r="CD128">
        <v>182</v>
      </c>
      <c r="CE128" t="s">
        <v>2369</v>
      </c>
    </row>
    <row r="129" spans="33:83" x14ac:dyDescent="0.35">
      <c r="AR129">
        <v>10</v>
      </c>
      <c r="AS129" t="s">
        <v>2600</v>
      </c>
      <c r="AX129">
        <v>10</v>
      </c>
      <c r="AY129" t="s">
        <v>2610</v>
      </c>
      <c r="BE129">
        <v>2</v>
      </c>
      <c r="BF129" s="1" t="s">
        <v>2059</v>
      </c>
      <c r="BI129" t="s">
        <v>2494</v>
      </c>
      <c r="BN129" t="s">
        <v>2045</v>
      </c>
      <c r="BP129">
        <v>9</v>
      </c>
      <c r="BQ129">
        <v>4</v>
      </c>
      <c r="BR129" t="s">
        <v>2088</v>
      </c>
      <c r="BS129" t="s">
        <v>2088</v>
      </c>
      <c r="BU129">
        <v>10</v>
      </c>
      <c r="BV129">
        <v>40</v>
      </c>
      <c r="BW129">
        <v>14</v>
      </c>
      <c r="BX129">
        <v>12</v>
      </c>
      <c r="BZ129">
        <f t="shared" si="9"/>
        <v>66</v>
      </c>
      <c r="CA129">
        <v>56</v>
      </c>
      <c r="CC129">
        <v>56</v>
      </c>
      <c r="CD129">
        <v>126</v>
      </c>
      <c r="CE129" t="s">
        <v>2368</v>
      </c>
    </row>
    <row r="130" spans="33:83" x14ac:dyDescent="0.35">
      <c r="AR130">
        <v>11</v>
      </c>
      <c r="AS130" t="s">
        <v>2595</v>
      </c>
      <c r="BE130">
        <v>3</v>
      </c>
      <c r="BF130" t="s">
        <v>2057</v>
      </c>
      <c r="BN130" t="s">
        <v>2059</v>
      </c>
      <c r="BP130">
        <v>10</v>
      </c>
      <c r="BQ130">
        <v>5</v>
      </c>
      <c r="BR130" t="s">
        <v>2215</v>
      </c>
      <c r="BS130" t="s">
        <v>2215</v>
      </c>
      <c r="BT130" t="s">
        <v>1902</v>
      </c>
      <c r="BU130">
        <v>11</v>
      </c>
      <c r="BV130">
        <v>32</v>
      </c>
      <c r="BW130">
        <v>16</v>
      </c>
      <c r="BX130">
        <v>12</v>
      </c>
      <c r="BY130">
        <v>6</v>
      </c>
      <c r="BZ130">
        <f t="shared" si="9"/>
        <v>66</v>
      </c>
      <c r="CA130">
        <v>56</v>
      </c>
      <c r="CC130">
        <v>0</v>
      </c>
      <c r="CD130">
        <v>120</v>
      </c>
      <c r="CE130" t="s">
        <v>2112</v>
      </c>
    </row>
    <row r="131" spans="33:83" x14ac:dyDescent="0.35">
      <c r="BE131">
        <v>4</v>
      </c>
      <c r="BF131" t="s">
        <v>2068</v>
      </c>
      <c r="BP131">
        <v>11</v>
      </c>
      <c r="BQ131">
        <v>6</v>
      </c>
      <c r="BR131" t="s">
        <v>2214</v>
      </c>
      <c r="BS131" t="s">
        <v>2214</v>
      </c>
      <c r="BT131" t="s">
        <v>1902</v>
      </c>
      <c r="BU131">
        <v>12</v>
      </c>
      <c r="BV131">
        <v>16</v>
      </c>
      <c r="BW131">
        <v>14</v>
      </c>
      <c r="BX131">
        <v>12</v>
      </c>
      <c r="BY131">
        <v>8</v>
      </c>
      <c r="BZ131">
        <f t="shared" si="9"/>
        <v>50</v>
      </c>
      <c r="CA131">
        <v>56</v>
      </c>
      <c r="CC131">
        <v>0</v>
      </c>
      <c r="CD131">
        <v>110</v>
      </c>
      <c r="CE131" t="s">
        <v>2371</v>
      </c>
    </row>
    <row r="132" spans="33:83" x14ac:dyDescent="0.35">
      <c r="AY132" s="6"/>
      <c r="BH132">
        <v>14</v>
      </c>
      <c r="BI132" t="s">
        <v>2225</v>
      </c>
      <c r="BN132" t="s">
        <v>2073</v>
      </c>
      <c r="BP132">
        <v>12</v>
      </c>
      <c r="BQ132" t="s">
        <v>1711</v>
      </c>
      <c r="BR132" t="s">
        <v>2216</v>
      </c>
      <c r="BS132" t="s">
        <v>2367</v>
      </c>
      <c r="BU132">
        <v>13</v>
      </c>
      <c r="BV132">
        <v>8</v>
      </c>
      <c r="BW132">
        <v>16</v>
      </c>
      <c r="BX132">
        <v>24</v>
      </c>
      <c r="BZ132">
        <f t="shared" si="9"/>
        <v>48</v>
      </c>
      <c r="CA132">
        <v>56</v>
      </c>
      <c r="CC132">
        <v>0</v>
      </c>
      <c r="CD132">
        <v>29.5</v>
      </c>
      <c r="CE132" t="s">
        <v>1769</v>
      </c>
    </row>
    <row r="133" spans="33:83" x14ac:dyDescent="0.35">
      <c r="AG133">
        <v>1</v>
      </c>
      <c r="AH133">
        <v>2</v>
      </c>
      <c r="AI133">
        <v>6</v>
      </c>
      <c r="AJ133">
        <v>7</v>
      </c>
      <c r="AL133">
        <v>1</v>
      </c>
      <c r="AM133">
        <v>1</v>
      </c>
      <c r="AN133">
        <v>5</v>
      </c>
      <c r="AO133">
        <v>6</v>
      </c>
      <c r="AQ133">
        <v>1</v>
      </c>
      <c r="AT133">
        <v>7</v>
      </c>
      <c r="AW133">
        <v>1</v>
      </c>
      <c r="AX133" s="6"/>
      <c r="AZ133">
        <v>7</v>
      </c>
      <c r="BE133">
        <v>1</v>
      </c>
      <c r="BF133" s="1" t="s">
        <v>2060</v>
      </c>
      <c r="BH133">
        <v>20</v>
      </c>
      <c r="BI133" t="s">
        <v>2226</v>
      </c>
      <c r="BN133" t="s">
        <v>2046</v>
      </c>
      <c r="BP133">
        <v>13</v>
      </c>
      <c r="BQ133" t="s">
        <v>1696</v>
      </c>
      <c r="BR133" t="s">
        <v>1711</v>
      </c>
      <c r="BS133" t="s">
        <v>1711</v>
      </c>
      <c r="BU133" t="s">
        <v>1785</v>
      </c>
      <c r="BV133">
        <v>4</v>
      </c>
      <c r="BW133">
        <v>8</v>
      </c>
      <c r="BX133">
        <v>8</v>
      </c>
      <c r="BZ133">
        <f t="shared" si="9"/>
        <v>20</v>
      </c>
      <c r="CA133">
        <v>7</v>
      </c>
      <c r="CC133">
        <f>SUM(CC127:CC132)</f>
        <v>376</v>
      </c>
      <c r="CD133">
        <f>SUM(CD127:CD132)</f>
        <v>1295.5</v>
      </c>
    </row>
    <row r="134" spans="33:83" x14ac:dyDescent="0.35">
      <c r="AG134">
        <v>1</v>
      </c>
      <c r="AH134">
        <v>3</v>
      </c>
      <c r="AI134">
        <v>6</v>
      </c>
      <c r="AJ134">
        <v>7</v>
      </c>
      <c r="AL134">
        <v>1</v>
      </c>
      <c r="AM134">
        <v>1</v>
      </c>
      <c r="AN134">
        <v>6</v>
      </c>
      <c r="AO134">
        <v>6</v>
      </c>
      <c r="AQ134">
        <v>1</v>
      </c>
      <c r="AT134">
        <v>7</v>
      </c>
      <c r="AW134">
        <v>1</v>
      </c>
      <c r="AX134" s="6"/>
      <c r="AZ134">
        <v>7</v>
      </c>
      <c r="BE134">
        <v>2</v>
      </c>
      <c r="BF134" s="1" t="s">
        <v>2061</v>
      </c>
      <c r="BH134">
        <v>23</v>
      </c>
      <c r="BI134" t="s">
        <v>2227</v>
      </c>
      <c r="BN134" t="s">
        <v>2063</v>
      </c>
      <c r="BP134" t="s">
        <v>1785</v>
      </c>
      <c r="BQ134" t="s">
        <v>1700</v>
      </c>
      <c r="BR134" t="s">
        <v>1786</v>
      </c>
      <c r="BS134" t="s">
        <v>1786</v>
      </c>
      <c r="BU134" t="s">
        <v>1904</v>
      </c>
      <c r="BV134">
        <v>2</v>
      </c>
      <c r="BW134">
        <v>6</v>
      </c>
      <c r="BX134">
        <v>6</v>
      </c>
      <c r="BZ134">
        <f t="shared" si="9"/>
        <v>14</v>
      </c>
      <c r="CA134">
        <v>8</v>
      </c>
      <c r="CD134" s="205">
        <f>CC133/CD133*100</f>
        <v>29.02354303357777</v>
      </c>
    </row>
    <row r="135" spans="33:83" x14ac:dyDescent="0.35">
      <c r="AG135">
        <v>1</v>
      </c>
      <c r="AH135">
        <v>4</v>
      </c>
      <c r="AI135">
        <v>6</v>
      </c>
      <c r="AJ135">
        <v>7</v>
      </c>
      <c r="AL135">
        <v>1</v>
      </c>
      <c r="AM135">
        <v>2</v>
      </c>
      <c r="AN135">
        <v>6</v>
      </c>
      <c r="AO135">
        <v>6</v>
      </c>
      <c r="AQ135">
        <v>1</v>
      </c>
      <c r="AT135">
        <v>7</v>
      </c>
      <c r="AW135">
        <v>1</v>
      </c>
      <c r="AX135" s="6"/>
      <c r="AZ135">
        <v>7</v>
      </c>
      <c r="BE135">
        <v>3</v>
      </c>
      <c r="BF135" t="s">
        <v>2069</v>
      </c>
      <c r="BH135">
        <v>26</v>
      </c>
      <c r="BI135" t="s">
        <v>2113</v>
      </c>
      <c r="BN135" t="s">
        <v>2050</v>
      </c>
      <c r="BP135" t="s">
        <v>1904</v>
      </c>
      <c r="BU135" t="s">
        <v>1711</v>
      </c>
      <c r="CA135">
        <v>8</v>
      </c>
    </row>
    <row r="136" spans="33:83" x14ac:dyDescent="0.35">
      <c r="AG136">
        <v>1</v>
      </c>
      <c r="AH136">
        <v>5</v>
      </c>
      <c r="AI136">
        <v>6</v>
      </c>
      <c r="AJ136">
        <v>7</v>
      </c>
      <c r="AL136">
        <v>1</v>
      </c>
      <c r="AM136">
        <v>3</v>
      </c>
      <c r="AN136">
        <v>6</v>
      </c>
      <c r="AO136">
        <v>7</v>
      </c>
      <c r="AQ136">
        <v>1</v>
      </c>
      <c r="AT136">
        <v>7</v>
      </c>
      <c r="AW136">
        <v>1</v>
      </c>
      <c r="AX136" s="6"/>
      <c r="AZ136">
        <v>7</v>
      </c>
      <c r="BH136">
        <v>32</v>
      </c>
      <c r="BI136" t="s">
        <v>2114</v>
      </c>
      <c r="BN136" t="s">
        <v>2075</v>
      </c>
      <c r="BP136" t="s">
        <v>1711</v>
      </c>
      <c r="BU136" t="s">
        <v>1803</v>
      </c>
      <c r="CA136">
        <v>6.5</v>
      </c>
    </row>
    <row r="137" spans="33:83" x14ac:dyDescent="0.35">
      <c r="AG137">
        <v>1</v>
      </c>
      <c r="AH137">
        <v>5</v>
      </c>
      <c r="AI137">
        <v>6</v>
      </c>
      <c r="AJ137">
        <v>7</v>
      </c>
      <c r="AL137">
        <v>1</v>
      </c>
      <c r="AM137">
        <v>4</v>
      </c>
      <c r="AN137">
        <v>6</v>
      </c>
      <c r="AO137">
        <v>7</v>
      </c>
      <c r="AQ137">
        <v>1</v>
      </c>
      <c r="AT137">
        <v>7</v>
      </c>
      <c r="AW137">
        <v>1</v>
      </c>
      <c r="AX137" s="6"/>
      <c r="AZ137">
        <v>7</v>
      </c>
      <c r="BE137">
        <v>1</v>
      </c>
      <c r="BF137" s="6" t="s">
        <v>966</v>
      </c>
      <c r="BH137">
        <v>38</v>
      </c>
      <c r="BI137" t="s">
        <v>2115</v>
      </c>
      <c r="BN137" t="s">
        <v>2076</v>
      </c>
      <c r="BQ137" t="s">
        <v>1903</v>
      </c>
    </row>
    <row r="138" spans="33:83" x14ac:dyDescent="0.35">
      <c r="AG138">
        <v>1</v>
      </c>
      <c r="AH138">
        <v>6</v>
      </c>
      <c r="AI138">
        <v>7</v>
      </c>
      <c r="AJ138">
        <v>8</v>
      </c>
      <c r="AL138">
        <v>1</v>
      </c>
      <c r="AM138">
        <v>5</v>
      </c>
      <c r="AN138">
        <v>6</v>
      </c>
      <c r="AO138">
        <v>7</v>
      </c>
      <c r="AQ138">
        <v>1</v>
      </c>
      <c r="AT138">
        <v>7</v>
      </c>
      <c r="AW138">
        <v>1</v>
      </c>
      <c r="AZ138">
        <v>7</v>
      </c>
      <c r="BE138">
        <v>2</v>
      </c>
      <c r="BF138" s="6" t="s">
        <v>1342</v>
      </c>
      <c r="BH138">
        <v>44</v>
      </c>
      <c r="BI138" t="s">
        <v>922</v>
      </c>
      <c r="BN138" t="s">
        <v>2077</v>
      </c>
      <c r="BQ138" t="s">
        <v>2223</v>
      </c>
    </row>
    <row r="139" spans="33:83" x14ac:dyDescent="0.35">
      <c r="AG139">
        <v>1</v>
      </c>
      <c r="AH139">
        <v>6</v>
      </c>
      <c r="AI139">
        <v>7</v>
      </c>
      <c r="AJ139">
        <v>8</v>
      </c>
      <c r="AO139">
        <v>7</v>
      </c>
      <c r="AQ139">
        <v>1</v>
      </c>
      <c r="AT139">
        <v>7</v>
      </c>
      <c r="AW139">
        <v>1</v>
      </c>
      <c r="AZ139">
        <v>7</v>
      </c>
      <c r="BE139">
        <v>3</v>
      </c>
      <c r="BF139" s="6" t="s">
        <v>3914</v>
      </c>
      <c r="BH139">
        <v>50</v>
      </c>
      <c r="BI139" t="s">
        <v>2116</v>
      </c>
      <c r="BN139" t="s">
        <v>2078</v>
      </c>
    </row>
    <row r="140" spans="33:83" x14ac:dyDescent="0.35">
      <c r="AG140">
        <v>1</v>
      </c>
      <c r="AH140">
        <v>6</v>
      </c>
      <c r="AI140">
        <v>7</v>
      </c>
      <c r="AJ140">
        <v>8</v>
      </c>
      <c r="AO140">
        <v>7</v>
      </c>
      <c r="AQ140">
        <v>2</v>
      </c>
      <c r="AT140">
        <v>8</v>
      </c>
      <c r="AW140">
        <v>2</v>
      </c>
      <c r="AZ140">
        <v>8</v>
      </c>
    </row>
    <row r="141" spans="33:83" x14ac:dyDescent="0.35">
      <c r="AJ141">
        <v>8</v>
      </c>
      <c r="AO141">
        <v>7</v>
      </c>
      <c r="AQ141">
        <v>3</v>
      </c>
      <c r="AT141">
        <v>8</v>
      </c>
      <c r="AW141">
        <v>3</v>
      </c>
      <c r="AZ141">
        <v>8</v>
      </c>
      <c r="BW141" t="s">
        <v>2117</v>
      </c>
      <c r="BZ141" t="s">
        <v>2359</v>
      </c>
      <c r="CB141" t="s">
        <v>2329</v>
      </c>
    </row>
    <row r="142" spans="33:83" x14ac:dyDescent="0.35">
      <c r="AJ142">
        <v>9</v>
      </c>
      <c r="AO142">
        <v>8</v>
      </c>
      <c r="AQ142">
        <v>4</v>
      </c>
      <c r="AT142">
        <v>8</v>
      </c>
      <c r="AW142">
        <v>4</v>
      </c>
      <c r="AZ142">
        <v>8</v>
      </c>
      <c r="BK142" t="s">
        <v>143</v>
      </c>
      <c r="BL142">
        <v>2</v>
      </c>
      <c r="BM142">
        <v>1</v>
      </c>
      <c r="BN142">
        <v>2</v>
      </c>
      <c r="BW142" t="s">
        <v>1267</v>
      </c>
      <c r="BX142" s="46">
        <v>50</v>
      </c>
      <c r="BY142">
        <v>36</v>
      </c>
      <c r="BZ142" t="s">
        <v>1267</v>
      </c>
      <c r="CB142" t="s">
        <v>2330</v>
      </c>
    </row>
    <row r="143" spans="33:83" x14ac:dyDescent="0.35">
      <c r="AJ143">
        <v>9</v>
      </c>
      <c r="AO143">
        <v>9</v>
      </c>
      <c r="AQ143">
        <v>5</v>
      </c>
      <c r="AT143">
        <v>8</v>
      </c>
      <c r="AW143">
        <v>5</v>
      </c>
      <c r="AZ143">
        <v>8</v>
      </c>
      <c r="BK143" t="s">
        <v>144</v>
      </c>
      <c r="BL143">
        <v>2</v>
      </c>
      <c r="BM143">
        <v>1</v>
      </c>
      <c r="BN143">
        <v>2</v>
      </c>
      <c r="BW143" t="s">
        <v>922</v>
      </c>
      <c r="BX143" s="46">
        <v>44</v>
      </c>
      <c r="BY143">
        <v>32</v>
      </c>
      <c r="BZ143" t="s">
        <v>922</v>
      </c>
      <c r="CB143" t="s">
        <v>2331</v>
      </c>
    </row>
    <row r="144" spans="33:83" x14ac:dyDescent="0.35">
      <c r="AJ144">
        <v>10</v>
      </c>
      <c r="AO144">
        <v>10</v>
      </c>
      <c r="AQ144">
        <v>5</v>
      </c>
      <c r="AT144">
        <v>8</v>
      </c>
      <c r="AW144">
        <v>5</v>
      </c>
      <c r="AZ144">
        <v>8</v>
      </c>
      <c r="BK144" t="s">
        <v>171</v>
      </c>
      <c r="BL144">
        <v>2</v>
      </c>
      <c r="BM144">
        <v>1</v>
      </c>
      <c r="BN144">
        <v>1</v>
      </c>
      <c r="BW144" t="s">
        <v>1696</v>
      </c>
      <c r="BX144" s="46">
        <v>38</v>
      </c>
      <c r="BY144">
        <v>28</v>
      </c>
      <c r="BZ144" t="s">
        <v>1696</v>
      </c>
      <c r="CC144" t="s">
        <v>2332</v>
      </c>
    </row>
    <row r="145" spans="36:151" x14ac:dyDescent="0.35">
      <c r="AJ145">
        <v>11</v>
      </c>
      <c r="AQ145">
        <v>6</v>
      </c>
      <c r="AT145">
        <v>9</v>
      </c>
      <c r="AW145">
        <v>6</v>
      </c>
      <c r="AZ145">
        <v>8</v>
      </c>
      <c r="BK145" t="s">
        <v>172</v>
      </c>
      <c r="BL145">
        <v>2</v>
      </c>
      <c r="BM145">
        <v>1</v>
      </c>
      <c r="BN145">
        <v>1</v>
      </c>
      <c r="BW145" t="s">
        <v>1711</v>
      </c>
      <c r="BX145" s="46">
        <v>32</v>
      </c>
      <c r="BY145" s="1">
        <v>24</v>
      </c>
      <c r="BZ145" t="s">
        <v>1711</v>
      </c>
    </row>
    <row r="146" spans="36:151" x14ac:dyDescent="0.35">
      <c r="AQ146">
        <v>6</v>
      </c>
      <c r="AT146">
        <v>9</v>
      </c>
      <c r="AW146">
        <v>6</v>
      </c>
      <c r="AZ146">
        <v>8</v>
      </c>
      <c r="BK146" t="s">
        <v>173</v>
      </c>
      <c r="BL146">
        <v>2</v>
      </c>
      <c r="BM146">
        <v>1</v>
      </c>
      <c r="BN146">
        <v>1</v>
      </c>
      <c r="BW146" s="35" t="s">
        <v>2323</v>
      </c>
      <c r="BX146" s="46">
        <v>26</v>
      </c>
      <c r="BY146" s="1">
        <v>22</v>
      </c>
      <c r="BZ146" t="s">
        <v>2323</v>
      </c>
    </row>
    <row r="147" spans="36:151" x14ac:dyDescent="0.35">
      <c r="AQ147">
        <v>6</v>
      </c>
      <c r="AW147">
        <v>6</v>
      </c>
      <c r="AZ147">
        <v>9</v>
      </c>
      <c r="BK147" t="s">
        <v>799</v>
      </c>
      <c r="BL147">
        <v>2</v>
      </c>
      <c r="BM147">
        <v>1</v>
      </c>
      <c r="BN147">
        <v>0</v>
      </c>
      <c r="BP147">
        <v>1</v>
      </c>
      <c r="BQ147">
        <v>2</v>
      </c>
      <c r="BR147">
        <v>3</v>
      </c>
      <c r="BS147">
        <v>4</v>
      </c>
      <c r="BT147">
        <v>5</v>
      </c>
      <c r="BW147" s="6" t="s">
        <v>2324</v>
      </c>
      <c r="BX147" s="10">
        <v>26</v>
      </c>
      <c r="BY147" s="1">
        <v>20</v>
      </c>
      <c r="BZ147" t="s">
        <v>2405</v>
      </c>
      <c r="EJ147" t="s">
        <v>4487</v>
      </c>
      <c r="EK147" t="s">
        <v>1767</v>
      </c>
      <c r="EL147" t="s">
        <v>2117</v>
      </c>
      <c r="EM147" t="s">
        <v>2359</v>
      </c>
      <c r="EN147" t="s">
        <v>1774</v>
      </c>
      <c r="EO147" t="s">
        <v>4478</v>
      </c>
      <c r="EP147" s="1" t="s">
        <v>180</v>
      </c>
      <c r="ER147" t="s">
        <v>4461</v>
      </c>
      <c r="ES147" t="s">
        <v>4462</v>
      </c>
      <c r="ET147" t="s">
        <v>4463</v>
      </c>
    </row>
    <row r="148" spans="36:151" x14ac:dyDescent="0.35">
      <c r="AQ148">
        <v>6</v>
      </c>
      <c r="AW148">
        <v>6</v>
      </c>
      <c r="AZ148">
        <v>9</v>
      </c>
      <c r="BK148" t="s">
        <v>1296</v>
      </c>
      <c r="BL148">
        <v>2</v>
      </c>
      <c r="BM148">
        <v>1</v>
      </c>
      <c r="BN148">
        <v>0</v>
      </c>
      <c r="BP148" t="s">
        <v>1397</v>
      </c>
      <c r="BQ148" t="s">
        <v>2212</v>
      </c>
      <c r="BR148" t="s">
        <v>2213</v>
      </c>
      <c r="BT148" t="s">
        <v>1398</v>
      </c>
      <c r="BW148" t="s">
        <v>2325</v>
      </c>
      <c r="BX148" s="10">
        <v>23</v>
      </c>
      <c r="BY148">
        <v>18</v>
      </c>
      <c r="BZ148" t="s">
        <v>2325</v>
      </c>
      <c r="EF148" t="s">
        <v>4220</v>
      </c>
      <c r="EG148">
        <v>1</v>
      </c>
      <c r="EH148" t="s">
        <v>4476</v>
      </c>
      <c r="EJ148" s="236"/>
      <c r="EO148">
        <v>56</v>
      </c>
      <c r="EP148" s="1">
        <f t="shared" ref="EP148:EP169" si="10">SUM(EK148:EO148)</f>
        <v>56</v>
      </c>
      <c r="EQ148">
        <v>1</v>
      </c>
      <c r="ET148" t="s">
        <v>3129</v>
      </c>
    </row>
    <row r="149" spans="36:151" x14ac:dyDescent="0.35">
      <c r="AQ149">
        <v>6</v>
      </c>
      <c r="AW149">
        <v>6</v>
      </c>
      <c r="AZ149">
        <v>9</v>
      </c>
      <c r="BP149" t="s">
        <v>2208</v>
      </c>
      <c r="BQ149" t="s">
        <v>2210</v>
      </c>
      <c r="BR149" t="s">
        <v>2207</v>
      </c>
      <c r="BS149" t="s">
        <v>2207</v>
      </c>
      <c r="BT149" t="s">
        <v>2209</v>
      </c>
      <c r="BW149" t="s">
        <v>2326</v>
      </c>
      <c r="BX149" s="46">
        <v>20</v>
      </c>
      <c r="BY149">
        <v>14</v>
      </c>
      <c r="BZ149" t="s">
        <v>2326</v>
      </c>
      <c r="DE149">
        <v>1</v>
      </c>
      <c r="DF149" s="6" t="s">
        <v>1484</v>
      </c>
      <c r="DH149" s="236"/>
      <c r="DI149" t="s">
        <v>4220</v>
      </c>
      <c r="DJ149">
        <v>56</v>
      </c>
      <c r="DP149">
        <f t="shared" ref="DP149:DP157" si="11">SUM(DJ149:DO149)</f>
        <v>56</v>
      </c>
      <c r="DQ149">
        <v>1</v>
      </c>
      <c r="DR149">
        <v>56</v>
      </c>
      <c r="DS149" t="s">
        <v>4375</v>
      </c>
      <c r="DT149" s="6" t="s">
        <v>1400</v>
      </c>
      <c r="EF149" t="s">
        <v>2687</v>
      </c>
      <c r="EG149">
        <v>2</v>
      </c>
      <c r="EH149" t="s">
        <v>4476</v>
      </c>
      <c r="EJ149" s="236"/>
      <c r="EO149">
        <v>56</v>
      </c>
      <c r="EP149" s="1">
        <f t="shared" si="10"/>
        <v>56</v>
      </c>
      <c r="EQ149">
        <v>2</v>
      </c>
      <c r="ET149" t="s">
        <v>3130</v>
      </c>
    </row>
    <row r="150" spans="36:151" x14ac:dyDescent="0.35">
      <c r="AQ150">
        <v>6</v>
      </c>
      <c r="AW150">
        <v>6</v>
      </c>
      <c r="AZ150">
        <v>9</v>
      </c>
      <c r="BD150" s="1" t="s">
        <v>1767</v>
      </c>
      <c r="BE150" s="1" t="s">
        <v>2117</v>
      </c>
      <c r="BF150" s="1" t="s">
        <v>2359</v>
      </c>
      <c r="BG150" s="1" t="s">
        <v>1774</v>
      </c>
      <c r="BH150" s="1"/>
      <c r="BM150" t="s">
        <v>396</v>
      </c>
      <c r="BN150" t="s">
        <v>837</v>
      </c>
      <c r="BP150" t="s">
        <v>2194</v>
      </c>
      <c r="BQ150" t="s">
        <v>831</v>
      </c>
      <c r="BR150" t="s">
        <v>818</v>
      </c>
      <c r="BS150" t="s">
        <v>818</v>
      </c>
      <c r="BT150" t="s">
        <v>824</v>
      </c>
      <c r="BW150" t="s">
        <v>2327</v>
      </c>
      <c r="BX150" s="46">
        <v>17</v>
      </c>
      <c r="BY150">
        <v>10</v>
      </c>
      <c r="BZ150" t="s">
        <v>2327</v>
      </c>
      <c r="DE150">
        <v>2</v>
      </c>
      <c r="DF150" s="6" t="s">
        <v>1113</v>
      </c>
      <c r="DH150" s="236"/>
      <c r="DI150" t="s">
        <v>2687</v>
      </c>
      <c r="DJ150">
        <v>56</v>
      </c>
      <c r="DP150">
        <f t="shared" si="11"/>
        <v>56</v>
      </c>
      <c r="DQ150">
        <v>2</v>
      </c>
      <c r="DR150">
        <v>56</v>
      </c>
      <c r="DS150" t="s">
        <v>4376</v>
      </c>
      <c r="DT150" s="6" t="s">
        <v>1484</v>
      </c>
      <c r="EF150" t="s">
        <v>3948</v>
      </c>
      <c r="EG150">
        <v>3</v>
      </c>
      <c r="EH150" t="s">
        <v>4476</v>
      </c>
      <c r="EJ150" s="236"/>
      <c r="EO150">
        <v>56</v>
      </c>
      <c r="EP150" s="1">
        <f t="shared" si="10"/>
        <v>56</v>
      </c>
      <c r="EQ150">
        <v>3</v>
      </c>
      <c r="ET150" t="s">
        <v>3131</v>
      </c>
    </row>
    <row r="151" spans="36:151" x14ac:dyDescent="0.35">
      <c r="AQ151">
        <v>6</v>
      </c>
      <c r="AW151">
        <v>6</v>
      </c>
      <c r="AZ151">
        <v>9</v>
      </c>
      <c r="BD151" s="1">
        <v>70</v>
      </c>
      <c r="BE151" s="1">
        <v>50</v>
      </c>
      <c r="BF151" s="1">
        <v>36</v>
      </c>
      <c r="BG151" s="1">
        <v>30</v>
      </c>
      <c r="BH151" s="1" t="s">
        <v>2116</v>
      </c>
      <c r="BM151" t="s">
        <v>2200</v>
      </c>
      <c r="BN151" t="s">
        <v>2202</v>
      </c>
      <c r="BP151" t="s">
        <v>2178</v>
      </c>
      <c r="BQ151" t="s">
        <v>2177</v>
      </c>
      <c r="BR151" t="s">
        <v>2181</v>
      </c>
      <c r="BS151" t="s">
        <v>2184</v>
      </c>
      <c r="BT151" t="s">
        <v>2188</v>
      </c>
      <c r="BW151" t="s">
        <v>2328</v>
      </c>
      <c r="BX151" s="46">
        <v>14</v>
      </c>
      <c r="BY151">
        <v>6</v>
      </c>
      <c r="BZ151" t="s">
        <v>2328</v>
      </c>
      <c r="DE151">
        <v>3</v>
      </c>
      <c r="DF151" s="6" t="s">
        <v>1114</v>
      </c>
      <c r="DH151" s="236"/>
      <c r="DI151" t="s">
        <v>3948</v>
      </c>
      <c r="DJ151">
        <v>56</v>
      </c>
      <c r="DP151">
        <f t="shared" si="11"/>
        <v>56</v>
      </c>
      <c r="DQ151">
        <v>3</v>
      </c>
      <c r="DR151">
        <v>56</v>
      </c>
      <c r="DS151" t="s">
        <v>4377</v>
      </c>
      <c r="DT151" s="6" t="s">
        <v>1113</v>
      </c>
      <c r="EA151" t="s">
        <v>4461</v>
      </c>
      <c r="EB151" t="s">
        <v>4462</v>
      </c>
      <c r="EC151" t="s">
        <v>4463</v>
      </c>
      <c r="EF151" t="s">
        <v>3949</v>
      </c>
      <c r="EG151">
        <v>4</v>
      </c>
      <c r="EH151" t="s">
        <v>1027</v>
      </c>
      <c r="EJ151" s="236"/>
      <c r="EL151">
        <v>16</v>
      </c>
      <c r="EM151">
        <v>12</v>
      </c>
      <c r="EO151">
        <v>56</v>
      </c>
      <c r="EP151" s="1">
        <f t="shared" si="10"/>
        <v>84</v>
      </c>
      <c r="EQ151">
        <v>4</v>
      </c>
      <c r="ER151" t="s">
        <v>4464</v>
      </c>
      <c r="ET151" s="1" t="s">
        <v>3132</v>
      </c>
      <c r="EU151" s="360" t="s">
        <v>4384</v>
      </c>
    </row>
    <row r="152" spans="36:151" x14ac:dyDescent="0.35">
      <c r="AZ152">
        <v>9</v>
      </c>
      <c r="BD152" s="1">
        <v>63</v>
      </c>
      <c r="BE152" s="1">
        <v>44</v>
      </c>
      <c r="BF152" s="1">
        <v>32</v>
      </c>
      <c r="BG152" s="1">
        <v>24</v>
      </c>
      <c r="BH152" s="1" t="s">
        <v>922</v>
      </c>
      <c r="BM152" t="s">
        <v>2203</v>
      </c>
      <c r="BN152" t="s">
        <v>2204</v>
      </c>
      <c r="BP152" t="s">
        <v>2179</v>
      </c>
      <c r="BQ152" s="78" t="s">
        <v>2176</v>
      </c>
      <c r="BR152" t="s">
        <v>2191</v>
      </c>
      <c r="BS152" t="s">
        <v>2185</v>
      </c>
      <c r="BT152" t="s">
        <v>2192</v>
      </c>
      <c r="CW152" s="6" t="s">
        <v>1484</v>
      </c>
      <c r="DD152" t="s">
        <v>4138</v>
      </c>
      <c r="DE152">
        <v>4</v>
      </c>
      <c r="DF152" s="6" t="s">
        <v>1027</v>
      </c>
      <c r="DH152" s="236"/>
      <c r="DI152" t="s">
        <v>3949</v>
      </c>
      <c r="DJ152">
        <v>56</v>
      </c>
      <c r="DL152">
        <v>16</v>
      </c>
      <c r="DM152">
        <v>12</v>
      </c>
      <c r="DP152">
        <f t="shared" si="11"/>
        <v>84</v>
      </c>
      <c r="DQ152">
        <v>4</v>
      </c>
      <c r="DR152">
        <v>56</v>
      </c>
      <c r="DS152" t="s">
        <v>4378</v>
      </c>
      <c r="DT152" s="6" t="s">
        <v>1114</v>
      </c>
      <c r="DX152" s="1" t="s">
        <v>3129</v>
      </c>
      <c r="EA152" t="s">
        <v>4464</v>
      </c>
      <c r="EC152" t="s">
        <v>3132</v>
      </c>
      <c r="EF152" t="s">
        <v>3950</v>
      </c>
      <c r="EG152">
        <v>5</v>
      </c>
      <c r="EH152" t="s">
        <v>1400</v>
      </c>
      <c r="EL152">
        <v>16</v>
      </c>
      <c r="EM152">
        <v>12</v>
      </c>
      <c r="EO152">
        <v>56</v>
      </c>
      <c r="EP152" s="1">
        <f t="shared" si="10"/>
        <v>84</v>
      </c>
      <c r="EQ152">
        <v>5</v>
      </c>
      <c r="ER152" t="s">
        <v>4464</v>
      </c>
      <c r="ET152" t="s">
        <v>3133</v>
      </c>
      <c r="EU152" s="236"/>
    </row>
    <row r="153" spans="36:151" x14ac:dyDescent="0.35">
      <c r="AZ153">
        <v>9</v>
      </c>
      <c r="BD153" s="1">
        <v>56</v>
      </c>
      <c r="BE153" s="1">
        <v>38</v>
      </c>
      <c r="BF153" s="1">
        <v>28</v>
      </c>
      <c r="BG153" s="1">
        <v>18</v>
      </c>
      <c r="BH153" s="1" t="s">
        <v>1696</v>
      </c>
      <c r="BM153" t="s">
        <v>2205</v>
      </c>
      <c r="BN153" t="s">
        <v>2201</v>
      </c>
      <c r="BP153" t="s">
        <v>2180</v>
      </c>
      <c r="BQ153" t="s">
        <v>2182</v>
      </c>
      <c r="BS153" t="s">
        <v>2186</v>
      </c>
      <c r="BT153" t="s">
        <v>2193</v>
      </c>
      <c r="CW153" s="6" t="s">
        <v>1400</v>
      </c>
      <c r="CZ153" t="s">
        <v>143</v>
      </c>
      <c r="DA153">
        <v>1</v>
      </c>
      <c r="DB153">
        <v>2</v>
      </c>
      <c r="DC153" t="s">
        <v>4136</v>
      </c>
      <c r="DE153">
        <v>5</v>
      </c>
      <c r="DF153" s="6" t="s">
        <v>4214</v>
      </c>
      <c r="DH153" s="236" t="s">
        <v>4217</v>
      </c>
      <c r="DI153" t="s">
        <v>3950</v>
      </c>
      <c r="DJ153">
        <v>40</v>
      </c>
      <c r="DK153">
        <v>20</v>
      </c>
      <c r="DL153">
        <v>16</v>
      </c>
      <c r="DM153">
        <v>12</v>
      </c>
      <c r="DP153">
        <f t="shared" si="11"/>
        <v>88</v>
      </c>
      <c r="DQ153">
        <v>5</v>
      </c>
      <c r="DR153">
        <v>40</v>
      </c>
      <c r="DS153" t="s">
        <v>4383</v>
      </c>
      <c r="DT153" s="1" t="s">
        <v>4379</v>
      </c>
      <c r="DW153" t="s">
        <v>1727</v>
      </c>
      <c r="DX153" t="s">
        <v>3130</v>
      </c>
      <c r="EA153" t="s">
        <v>4464</v>
      </c>
      <c r="EB153" t="s">
        <v>1767</v>
      </c>
      <c r="EC153" t="s">
        <v>3133</v>
      </c>
      <c r="EF153" t="s">
        <v>3951</v>
      </c>
      <c r="EG153">
        <v>6</v>
      </c>
      <c r="EH153" t="s">
        <v>4374</v>
      </c>
      <c r="EK153">
        <v>20</v>
      </c>
      <c r="EL153">
        <v>16</v>
      </c>
      <c r="EM153">
        <v>12</v>
      </c>
      <c r="EN153">
        <v>28</v>
      </c>
      <c r="EO153">
        <v>0</v>
      </c>
      <c r="EP153" s="1">
        <f t="shared" si="10"/>
        <v>76</v>
      </c>
      <c r="EQ153">
        <v>6</v>
      </c>
      <c r="ER153" t="s">
        <v>4464</v>
      </c>
      <c r="ES153" t="s">
        <v>1767</v>
      </c>
      <c r="ET153" t="s">
        <v>1774</v>
      </c>
      <c r="EU153" s="236"/>
    </row>
    <row r="154" spans="36:151" x14ac:dyDescent="0.35">
      <c r="BD154" s="1">
        <v>49</v>
      </c>
      <c r="BE154" s="1">
        <v>32</v>
      </c>
      <c r="BF154" s="1">
        <v>24</v>
      </c>
      <c r="BG154" s="1">
        <v>12</v>
      </c>
      <c r="BH154" s="1" t="s">
        <v>1694</v>
      </c>
      <c r="BM154" t="s">
        <v>2211</v>
      </c>
      <c r="BP154" t="s">
        <v>2175</v>
      </c>
      <c r="BQ154" t="s">
        <v>2183</v>
      </c>
      <c r="BR154" t="s">
        <v>2190</v>
      </c>
      <c r="BS154" t="s">
        <v>2187</v>
      </c>
      <c r="BT154" t="s">
        <v>2189</v>
      </c>
      <c r="CW154" s="6" t="s">
        <v>1027</v>
      </c>
      <c r="CZ154" t="s">
        <v>144</v>
      </c>
      <c r="DA154">
        <v>1</v>
      </c>
      <c r="DB154">
        <v>2</v>
      </c>
      <c r="DC154" t="s">
        <v>4136</v>
      </c>
      <c r="DE154">
        <v>6</v>
      </c>
      <c r="DF154" s="6" t="s">
        <v>1026</v>
      </c>
      <c r="DH154" s="236" t="s">
        <v>4218</v>
      </c>
      <c r="DI154" t="s">
        <v>3951</v>
      </c>
      <c r="DJ154">
        <v>32</v>
      </c>
      <c r="DL154">
        <v>16</v>
      </c>
      <c r="DM154">
        <v>12</v>
      </c>
      <c r="DN154">
        <v>28</v>
      </c>
      <c r="DP154">
        <f t="shared" si="11"/>
        <v>88</v>
      </c>
      <c r="DQ154">
        <v>6</v>
      </c>
      <c r="DR154">
        <v>32</v>
      </c>
      <c r="DS154" t="s">
        <v>4383</v>
      </c>
      <c r="DT154" s="1" t="s">
        <v>4380</v>
      </c>
      <c r="DX154" s="1" t="s">
        <v>3131</v>
      </c>
      <c r="DY154" t="s">
        <v>1727</v>
      </c>
      <c r="EA154" t="s">
        <v>4464</v>
      </c>
      <c r="EB154" t="s">
        <v>1774</v>
      </c>
      <c r="EC154" t="s">
        <v>3134</v>
      </c>
      <c r="EF154" t="s">
        <v>3952</v>
      </c>
      <c r="EG154">
        <v>7</v>
      </c>
      <c r="EH154" t="s">
        <v>1026</v>
      </c>
      <c r="EJ154" s="236" t="s">
        <v>4217</v>
      </c>
      <c r="EK154">
        <v>20</v>
      </c>
      <c r="EL154">
        <v>16</v>
      </c>
      <c r="EM154">
        <v>12</v>
      </c>
      <c r="EO154">
        <v>40</v>
      </c>
      <c r="EP154" s="1">
        <f t="shared" si="10"/>
        <v>88</v>
      </c>
      <c r="EQ154">
        <v>7</v>
      </c>
      <c r="ER154" t="s">
        <v>4464</v>
      </c>
      <c r="ES154" t="s">
        <v>1767</v>
      </c>
      <c r="ET154" s="1" t="s">
        <v>3134</v>
      </c>
      <c r="EU154" s="360" t="s">
        <v>4379</v>
      </c>
    </row>
    <row r="155" spans="36:151" x14ac:dyDescent="0.35">
      <c r="BD155" s="1">
        <v>42</v>
      </c>
      <c r="BE155" s="1">
        <v>26</v>
      </c>
      <c r="BF155" s="1">
        <v>22</v>
      </c>
      <c r="BG155" s="1">
        <v>6</v>
      </c>
      <c r="BH155" s="1" t="s">
        <v>2120</v>
      </c>
      <c r="BP155">
        <v>5</v>
      </c>
      <c r="CW155" s="6" t="s">
        <v>1113</v>
      </c>
      <c r="CZ155" t="s">
        <v>3579</v>
      </c>
      <c r="DA155" t="s">
        <v>4136</v>
      </c>
      <c r="DB155">
        <v>1</v>
      </c>
      <c r="DC155">
        <v>2</v>
      </c>
      <c r="DE155">
        <v>7</v>
      </c>
      <c r="DF155" s="6" t="s">
        <v>1025</v>
      </c>
      <c r="DH155" s="236" t="s">
        <v>4219</v>
      </c>
      <c r="DI155" t="s">
        <v>3952</v>
      </c>
      <c r="DJ155">
        <v>40</v>
      </c>
      <c r="DK155">
        <v>20</v>
      </c>
      <c r="DL155">
        <v>16</v>
      </c>
      <c r="DM155">
        <v>12</v>
      </c>
      <c r="DP155">
        <f t="shared" si="11"/>
        <v>88</v>
      </c>
      <c r="DQ155">
        <v>7</v>
      </c>
      <c r="DR155">
        <v>40</v>
      </c>
      <c r="DS155" t="s">
        <v>4383</v>
      </c>
      <c r="DT155" s="1" t="s">
        <v>4381</v>
      </c>
      <c r="DW155" t="s">
        <v>1728</v>
      </c>
      <c r="DX155" t="s">
        <v>3132</v>
      </c>
      <c r="EA155" t="s">
        <v>4464</v>
      </c>
      <c r="EB155" t="s">
        <v>1767</v>
      </c>
      <c r="EC155" t="s">
        <v>3135</v>
      </c>
      <c r="EF155" t="s">
        <v>3953</v>
      </c>
      <c r="EG155">
        <v>8</v>
      </c>
      <c r="EH155" t="s">
        <v>1025</v>
      </c>
      <c r="EJ155" s="236" t="s">
        <v>4218</v>
      </c>
      <c r="EK155" s="235"/>
      <c r="EL155">
        <v>16</v>
      </c>
      <c r="EM155">
        <v>12</v>
      </c>
      <c r="EN155">
        <v>28</v>
      </c>
      <c r="EO155">
        <v>32</v>
      </c>
      <c r="EP155" s="1">
        <f t="shared" si="10"/>
        <v>88</v>
      </c>
      <c r="EQ155">
        <v>8</v>
      </c>
      <c r="ER155" t="s">
        <v>4464</v>
      </c>
      <c r="ES155" t="s">
        <v>1774</v>
      </c>
      <c r="ET155" s="1" t="s">
        <v>3135</v>
      </c>
      <c r="EU155" s="360" t="s">
        <v>4380</v>
      </c>
    </row>
    <row r="156" spans="36:151" x14ac:dyDescent="0.35">
      <c r="BF156" s="1">
        <v>20</v>
      </c>
      <c r="BH156" s="1" t="s">
        <v>2364</v>
      </c>
      <c r="BZ156">
        <v>1</v>
      </c>
      <c r="CA156">
        <v>2</v>
      </c>
      <c r="CB156">
        <v>3</v>
      </c>
      <c r="CC156">
        <v>4</v>
      </c>
      <c r="CD156">
        <v>5</v>
      </c>
      <c r="CH156" s="63">
        <v>1</v>
      </c>
      <c r="CI156" s="63">
        <v>2</v>
      </c>
      <c r="CJ156" s="341">
        <v>3</v>
      </c>
      <c r="CK156" s="341">
        <v>4</v>
      </c>
      <c r="CL156" s="341">
        <v>5</v>
      </c>
      <c r="CM156" s="341">
        <v>6</v>
      </c>
      <c r="CN156" s="341">
        <v>7</v>
      </c>
      <c r="CO156" s="341">
        <v>8</v>
      </c>
      <c r="CP156" s="341">
        <v>9</v>
      </c>
      <c r="CQ156" s="341">
        <v>10</v>
      </c>
      <c r="CR156" s="63">
        <v>11</v>
      </c>
      <c r="CS156" s="63">
        <v>12</v>
      </c>
      <c r="CT156" s="63">
        <v>13</v>
      </c>
      <c r="CW156" s="6" t="s">
        <v>1026</v>
      </c>
      <c r="CZ156" t="s">
        <v>172</v>
      </c>
      <c r="DA156">
        <v>1</v>
      </c>
      <c r="DB156" t="s">
        <v>4136</v>
      </c>
      <c r="DC156">
        <v>2</v>
      </c>
      <c r="DE156">
        <v>8</v>
      </c>
      <c r="DF156" s="6" t="s">
        <v>4374</v>
      </c>
      <c r="DI156" t="s">
        <v>3953</v>
      </c>
      <c r="DK156" s="235" t="s">
        <v>4058</v>
      </c>
      <c r="DL156">
        <v>16</v>
      </c>
      <c r="DM156">
        <v>12</v>
      </c>
      <c r="DN156">
        <v>28</v>
      </c>
      <c r="DP156">
        <f t="shared" si="11"/>
        <v>56</v>
      </c>
      <c r="DQ156">
        <v>8</v>
      </c>
      <c r="DW156" t="s">
        <v>4058</v>
      </c>
      <c r="DX156" s="1" t="s">
        <v>3133</v>
      </c>
      <c r="DY156" t="s">
        <v>1728</v>
      </c>
      <c r="EA156" t="s">
        <v>4464</v>
      </c>
      <c r="EB156" t="s">
        <v>1774</v>
      </c>
      <c r="EC156" t="s">
        <v>4465</v>
      </c>
      <c r="EF156" t="s">
        <v>3954</v>
      </c>
      <c r="EG156">
        <v>9</v>
      </c>
      <c r="EH156" t="s">
        <v>2195</v>
      </c>
      <c r="EJ156" s="236" t="s">
        <v>4219</v>
      </c>
      <c r="EK156" t="s">
        <v>4058</v>
      </c>
      <c r="EL156">
        <v>16</v>
      </c>
      <c r="EM156">
        <v>12</v>
      </c>
      <c r="EO156">
        <v>40</v>
      </c>
      <c r="EP156" s="1">
        <f t="shared" si="10"/>
        <v>68</v>
      </c>
      <c r="EQ156">
        <v>9</v>
      </c>
      <c r="ER156" t="s">
        <v>4464</v>
      </c>
      <c r="ES156" t="s">
        <v>4058</v>
      </c>
      <c r="ET156" s="1" t="s">
        <v>3136</v>
      </c>
      <c r="EU156" s="360" t="s">
        <v>4381</v>
      </c>
    </row>
    <row r="157" spans="36:151" x14ac:dyDescent="0.35">
      <c r="BD157" s="1">
        <v>35</v>
      </c>
      <c r="BE157" s="1">
        <v>23</v>
      </c>
      <c r="BF157" s="1">
        <v>18</v>
      </c>
      <c r="BG157" s="1">
        <v>0</v>
      </c>
      <c r="BH157" s="1" t="s">
        <v>2363</v>
      </c>
      <c r="BZ157" t="s">
        <v>2208</v>
      </c>
      <c r="CA157" t="s">
        <v>2210</v>
      </c>
      <c r="CB157" t="s">
        <v>2207</v>
      </c>
      <c r="CC157" t="s">
        <v>2207</v>
      </c>
      <c r="CD157" t="s">
        <v>2209</v>
      </c>
      <c r="CG157" t="s">
        <v>143</v>
      </c>
      <c r="CH157" s="63" t="s">
        <v>4135</v>
      </c>
      <c r="CI157" s="63" t="s">
        <v>4135</v>
      </c>
      <c r="CJ157" s="63" t="s">
        <v>4135</v>
      </c>
      <c r="CK157" s="341" t="s">
        <v>2</v>
      </c>
      <c r="CL157" s="341" t="s">
        <v>4135</v>
      </c>
      <c r="CM157" s="341" t="s">
        <v>2</v>
      </c>
      <c r="CN157" s="341" t="s">
        <v>4135</v>
      </c>
      <c r="CO157" s="341" t="s">
        <v>2</v>
      </c>
      <c r="CP157" s="341" t="s">
        <v>4135</v>
      </c>
      <c r="CQ157" s="63" t="s">
        <v>4135</v>
      </c>
      <c r="CR157" s="63" t="s">
        <v>4135</v>
      </c>
      <c r="CS157" s="63" t="s">
        <v>4135</v>
      </c>
      <c r="CU157">
        <f t="shared" ref="CU157:CU164" si="12">COUNTIF(CH157:CS157, "X")</f>
        <v>3</v>
      </c>
      <c r="CV157">
        <f t="shared" ref="CV157:CV164" si="13">COUNTIF(CH157:CS157, "O")</f>
        <v>9</v>
      </c>
      <c r="CW157" s="6" t="s">
        <v>1025</v>
      </c>
      <c r="CZ157" t="s">
        <v>799</v>
      </c>
      <c r="DA157" t="s">
        <v>4136</v>
      </c>
      <c r="DB157">
        <v>1</v>
      </c>
      <c r="DC157">
        <v>2</v>
      </c>
      <c r="DE157">
        <v>9</v>
      </c>
      <c r="DF157" t="s">
        <v>4221</v>
      </c>
      <c r="DI157" t="s">
        <v>3954</v>
      </c>
      <c r="DJ157">
        <v>56</v>
      </c>
      <c r="DL157">
        <v>16</v>
      </c>
      <c r="DM157">
        <v>12</v>
      </c>
      <c r="DP157">
        <f t="shared" si="11"/>
        <v>84</v>
      </c>
      <c r="DQ157">
        <v>9</v>
      </c>
      <c r="DR157">
        <v>56</v>
      </c>
      <c r="DT157" s="1" t="s">
        <v>4384</v>
      </c>
      <c r="DX157" t="s">
        <v>3134</v>
      </c>
      <c r="EA157" t="s">
        <v>4464</v>
      </c>
      <c r="EC157" t="s">
        <v>3136</v>
      </c>
      <c r="EF157" t="s">
        <v>3955</v>
      </c>
      <c r="EG157">
        <v>10</v>
      </c>
      <c r="EH157" t="s">
        <v>4374</v>
      </c>
      <c r="EJ157" s="236"/>
      <c r="EK157">
        <v>20</v>
      </c>
      <c r="EM157">
        <v>4</v>
      </c>
      <c r="EN157">
        <v>28</v>
      </c>
      <c r="EO157">
        <v>0</v>
      </c>
      <c r="EP157" s="1">
        <f t="shared" si="10"/>
        <v>52</v>
      </c>
      <c r="EQ157">
        <v>10</v>
      </c>
      <c r="ER157" t="s">
        <v>2359</v>
      </c>
      <c r="ES157" t="s">
        <v>1767</v>
      </c>
      <c r="ET157" t="s">
        <v>1774</v>
      </c>
      <c r="EU157" s="236" t="s">
        <v>4510</v>
      </c>
    </row>
    <row r="158" spans="36:151" x14ac:dyDescent="0.35">
      <c r="BD158" s="1">
        <v>28</v>
      </c>
      <c r="BE158" s="1">
        <v>20</v>
      </c>
      <c r="BF158" s="1">
        <v>14</v>
      </c>
      <c r="BG158" s="1"/>
      <c r="BH158" s="1" t="s">
        <v>2362</v>
      </c>
      <c r="BO158" s="46" t="s">
        <v>173</v>
      </c>
      <c r="BP158" s="1" t="s">
        <v>396</v>
      </c>
      <c r="BQ158" t="s">
        <v>836</v>
      </c>
      <c r="BR158" t="s">
        <v>837</v>
      </c>
      <c r="BS158" t="s">
        <v>921</v>
      </c>
      <c r="BT158" t="s">
        <v>2079</v>
      </c>
      <c r="BV158" t="s">
        <v>2197</v>
      </c>
      <c r="BY158" s="46" t="s">
        <v>173</v>
      </c>
      <c r="BZ158" t="s">
        <v>172</v>
      </c>
      <c r="CA158" t="s">
        <v>171</v>
      </c>
      <c r="CB158" t="s">
        <v>1</v>
      </c>
      <c r="CC158" t="s">
        <v>1296</v>
      </c>
      <c r="CD158" t="s">
        <v>144</v>
      </c>
      <c r="CG158" t="s">
        <v>144</v>
      </c>
      <c r="CH158" s="63" t="s">
        <v>4135</v>
      </c>
      <c r="CI158" s="63" t="s">
        <v>4135</v>
      </c>
      <c r="CJ158" s="63" t="s">
        <v>4135</v>
      </c>
      <c r="CK158" s="341" t="s">
        <v>4135</v>
      </c>
      <c r="CL158" s="341" t="s">
        <v>2</v>
      </c>
      <c r="CM158" s="341" t="s">
        <v>4135</v>
      </c>
      <c r="CN158" s="341" t="s">
        <v>2</v>
      </c>
      <c r="CO158" s="341" t="s">
        <v>4135</v>
      </c>
      <c r="CP158" s="341" t="s">
        <v>2</v>
      </c>
      <c r="CQ158" s="63" t="s">
        <v>4135</v>
      </c>
      <c r="CR158" s="63" t="s">
        <v>4135</v>
      </c>
      <c r="CS158" s="63" t="s">
        <v>4135</v>
      </c>
      <c r="CU158">
        <f t="shared" si="12"/>
        <v>3</v>
      </c>
      <c r="CV158">
        <f t="shared" si="13"/>
        <v>9</v>
      </c>
      <c r="CW158" s="6" t="s">
        <v>1114</v>
      </c>
      <c r="CZ158" t="s">
        <v>173</v>
      </c>
      <c r="DA158">
        <v>1</v>
      </c>
      <c r="DB158" t="s">
        <v>4136</v>
      </c>
      <c r="DC158">
        <v>2</v>
      </c>
      <c r="DE158">
        <v>10</v>
      </c>
      <c r="DF158" s="6" t="s">
        <v>2195</v>
      </c>
      <c r="DH158" s="236" t="s">
        <v>4217</v>
      </c>
      <c r="DI158" t="s">
        <v>3955</v>
      </c>
      <c r="DJ158">
        <v>40</v>
      </c>
      <c r="DK158">
        <v>20</v>
      </c>
      <c r="DM158">
        <v>4</v>
      </c>
      <c r="DN158">
        <v>28</v>
      </c>
      <c r="DP158">
        <f t="shared" ref="DP158:DP170" si="14">SUM(DJ158:DO158)</f>
        <v>92</v>
      </c>
      <c r="DQ158">
        <v>10</v>
      </c>
      <c r="DR158">
        <v>40</v>
      </c>
      <c r="DT158" s="358" t="s">
        <v>1485</v>
      </c>
      <c r="DW158" t="s">
        <v>1729</v>
      </c>
      <c r="DX158" t="s">
        <v>4460</v>
      </c>
      <c r="DY158" t="s">
        <v>1073</v>
      </c>
      <c r="EA158" t="s">
        <v>4468</v>
      </c>
      <c r="EB158" t="s">
        <v>4467</v>
      </c>
      <c r="EC158" t="s">
        <v>4469</v>
      </c>
      <c r="EF158" t="s">
        <v>3956</v>
      </c>
      <c r="EG158">
        <v>11</v>
      </c>
      <c r="EH158" t="s">
        <v>2196</v>
      </c>
      <c r="EJ158" s="236"/>
      <c r="EK158">
        <v>20</v>
      </c>
      <c r="EL158">
        <v>8</v>
      </c>
      <c r="EM158">
        <v>8</v>
      </c>
      <c r="EO158">
        <v>56</v>
      </c>
      <c r="EP158" s="1">
        <f t="shared" si="10"/>
        <v>92</v>
      </c>
      <c r="EQ158">
        <v>11</v>
      </c>
      <c r="ER158" t="s">
        <v>4464</v>
      </c>
      <c r="ES158" t="s">
        <v>1767</v>
      </c>
      <c r="ET158" s="1" t="s">
        <v>3137</v>
      </c>
      <c r="EU158" s="360" t="s">
        <v>4382</v>
      </c>
    </row>
    <row r="159" spans="36:151" x14ac:dyDescent="0.35">
      <c r="BD159" s="1">
        <v>21</v>
      </c>
      <c r="BE159" s="1">
        <v>17</v>
      </c>
      <c r="BF159" s="1">
        <v>10</v>
      </c>
      <c r="BG159" s="1"/>
      <c r="BH159" s="1" t="s">
        <v>2361</v>
      </c>
      <c r="BO159" s="46" t="s">
        <v>172</v>
      </c>
      <c r="BP159" s="1" t="s">
        <v>836</v>
      </c>
      <c r="BQ159" t="s">
        <v>396</v>
      </c>
      <c r="BR159" t="s">
        <v>2079</v>
      </c>
      <c r="BS159" t="s">
        <v>1074</v>
      </c>
      <c r="BT159" t="s">
        <v>2058</v>
      </c>
      <c r="BV159" t="s">
        <v>256</v>
      </c>
      <c r="BY159" s="46" t="s">
        <v>172</v>
      </c>
      <c r="BZ159" t="s">
        <v>173</v>
      </c>
      <c r="CA159" t="s">
        <v>144</v>
      </c>
      <c r="CB159" t="s">
        <v>1</v>
      </c>
      <c r="CC159" t="s">
        <v>143</v>
      </c>
      <c r="CD159" t="s">
        <v>799</v>
      </c>
      <c r="CG159" t="s">
        <v>3579</v>
      </c>
      <c r="CH159" s="63" t="s">
        <v>4135</v>
      </c>
      <c r="CI159" s="63" t="s">
        <v>4135</v>
      </c>
      <c r="CJ159" s="63" t="s">
        <v>4135</v>
      </c>
      <c r="CK159" s="341" t="s">
        <v>4135</v>
      </c>
      <c r="CL159" s="341" t="s">
        <v>2</v>
      </c>
      <c r="CM159" s="341" t="s">
        <v>4135</v>
      </c>
      <c r="CN159" s="341" t="s">
        <v>2</v>
      </c>
      <c r="CO159" s="341" t="s">
        <v>4135</v>
      </c>
      <c r="CP159" s="341" t="s">
        <v>2</v>
      </c>
      <c r="CQ159" s="63" t="s">
        <v>4135</v>
      </c>
      <c r="CR159" s="63" t="s">
        <v>4135</v>
      </c>
      <c r="CS159" s="63" t="s">
        <v>4135</v>
      </c>
      <c r="CU159">
        <f t="shared" si="12"/>
        <v>3</v>
      </c>
      <c r="CV159">
        <f t="shared" si="13"/>
        <v>9</v>
      </c>
      <c r="CW159" s="6" t="s">
        <v>2195</v>
      </c>
      <c r="CZ159" t="s">
        <v>1296</v>
      </c>
      <c r="DA159">
        <v>1</v>
      </c>
      <c r="DB159" t="s">
        <v>4136</v>
      </c>
      <c r="DC159">
        <v>2</v>
      </c>
      <c r="DE159">
        <v>11</v>
      </c>
      <c r="DF159" s="6" t="s">
        <v>4215</v>
      </c>
      <c r="DH159" s="236" t="s">
        <v>4218</v>
      </c>
      <c r="DI159" t="s">
        <v>3956</v>
      </c>
      <c r="DJ159">
        <v>32</v>
      </c>
      <c r="DK159">
        <v>20</v>
      </c>
      <c r="DL159">
        <v>8</v>
      </c>
      <c r="DM159">
        <v>8</v>
      </c>
      <c r="DP159">
        <f t="shared" si="14"/>
        <v>68</v>
      </c>
      <c r="DQ159">
        <v>11</v>
      </c>
      <c r="DR159">
        <v>32</v>
      </c>
      <c r="DT159" s="358" t="s">
        <v>4385</v>
      </c>
      <c r="DW159" t="s">
        <v>1730</v>
      </c>
      <c r="DX159" t="s">
        <v>3885</v>
      </c>
      <c r="EA159" t="s">
        <v>4464</v>
      </c>
      <c r="EB159" t="s">
        <v>1767</v>
      </c>
      <c r="EC159" t="s">
        <v>3138</v>
      </c>
      <c r="EF159" t="s">
        <v>3957</v>
      </c>
      <c r="EG159">
        <v>12</v>
      </c>
      <c r="EH159" t="s">
        <v>4477</v>
      </c>
      <c r="EJ159" s="236"/>
      <c r="EK159">
        <v>16</v>
      </c>
      <c r="EL159">
        <v>8</v>
      </c>
      <c r="EM159">
        <v>8</v>
      </c>
      <c r="EO159">
        <v>56</v>
      </c>
      <c r="EP159" s="1">
        <f t="shared" si="10"/>
        <v>88</v>
      </c>
      <c r="EQ159">
        <v>12</v>
      </c>
      <c r="ER159" t="s">
        <v>4464</v>
      </c>
      <c r="ES159" t="s">
        <v>1767</v>
      </c>
      <c r="ET159" t="s">
        <v>3138</v>
      </c>
    </row>
    <row r="160" spans="36:151" x14ac:dyDescent="0.35">
      <c r="BD160" s="1">
        <v>14</v>
      </c>
      <c r="BE160" s="1">
        <v>14</v>
      </c>
      <c r="BF160" s="1">
        <v>6</v>
      </c>
      <c r="BG160" s="1"/>
      <c r="BH160" s="1" t="s">
        <v>2360</v>
      </c>
      <c r="BO160" s="46" t="s">
        <v>171</v>
      </c>
      <c r="BP160" s="1" t="s">
        <v>837</v>
      </c>
      <c r="BQ160" t="s">
        <v>396</v>
      </c>
      <c r="BR160" t="s">
        <v>921</v>
      </c>
      <c r="BS160" t="s">
        <v>1074</v>
      </c>
      <c r="BT160" t="s">
        <v>2058</v>
      </c>
      <c r="BV160" t="s">
        <v>231</v>
      </c>
      <c r="BY160" s="46" t="s">
        <v>171</v>
      </c>
      <c r="BZ160" t="s">
        <v>1296</v>
      </c>
      <c r="CA160" t="s">
        <v>173</v>
      </c>
      <c r="CB160" t="s">
        <v>1</v>
      </c>
      <c r="CC160" t="s">
        <v>799</v>
      </c>
      <c r="CD160" t="s">
        <v>143</v>
      </c>
      <c r="CG160" t="s">
        <v>172</v>
      </c>
      <c r="CH160" s="63" t="s">
        <v>4135</v>
      </c>
      <c r="CI160" s="63" t="s">
        <v>4135</v>
      </c>
      <c r="CJ160" s="63" t="s">
        <v>4135</v>
      </c>
      <c r="CK160" s="341" t="s">
        <v>2</v>
      </c>
      <c r="CL160" s="341" t="s">
        <v>4135</v>
      </c>
      <c r="CM160" s="341" t="s">
        <v>2</v>
      </c>
      <c r="CN160" s="341" t="s">
        <v>4135</v>
      </c>
      <c r="CO160" s="341" t="s">
        <v>2</v>
      </c>
      <c r="CP160" s="341" t="s">
        <v>4135</v>
      </c>
      <c r="CQ160" s="63" t="s">
        <v>4135</v>
      </c>
      <c r="CR160" s="63" t="s">
        <v>4135</v>
      </c>
      <c r="CS160" s="63" t="s">
        <v>4135</v>
      </c>
      <c r="CU160">
        <f t="shared" si="12"/>
        <v>3</v>
      </c>
      <c r="CV160">
        <f t="shared" si="13"/>
        <v>9</v>
      </c>
      <c r="CW160" s="6" t="s">
        <v>1485</v>
      </c>
      <c r="DE160">
        <v>12</v>
      </c>
      <c r="DF160" s="6" t="s">
        <v>4216</v>
      </c>
      <c r="DH160" s="236" t="s">
        <v>4219</v>
      </c>
      <c r="DI160" t="s">
        <v>3957</v>
      </c>
      <c r="DJ160">
        <v>40</v>
      </c>
      <c r="DK160">
        <v>16</v>
      </c>
      <c r="DL160">
        <v>8</v>
      </c>
      <c r="DM160">
        <v>8</v>
      </c>
      <c r="DP160">
        <f t="shared" si="14"/>
        <v>72</v>
      </c>
      <c r="DQ160">
        <v>12</v>
      </c>
      <c r="DR160">
        <v>40</v>
      </c>
      <c r="DT160" s="358" t="s">
        <v>1115</v>
      </c>
      <c r="DW160" t="s">
        <v>3881</v>
      </c>
      <c r="DX160" t="s">
        <v>3886</v>
      </c>
      <c r="EA160" t="s">
        <v>4464</v>
      </c>
      <c r="EB160" t="s">
        <v>1767</v>
      </c>
      <c r="EC160" t="s">
        <v>3139</v>
      </c>
      <c r="EF160" t="s">
        <v>3958</v>
      </c>
      <c r="EG160">
        <v>13</v>
      </c>
      <c r="EH160" t="s">
        <v>4477</v>
      </c>
      <c r="EJ160" s="236"/>
      <c r="EK160">
        <v>16</v>
      </c>
      <c r="EN160">
        <v>14</v>
      </c>
      <c r="EO160">
        <v>56</v>
      </c>
      <c r="EP160" s="1">
        <f t="shared" si="10"/>
        <v>86</v>
      </c>
      <c r="EQ160">
        <v>13</v>
      </c>
      <c r="ER160" t="s">
        <v>1774</v>
      </c>
      <c r="ES160" t="s">
        <v>1767</v>
      </c>
      <c r="ET160" t="s">
        <v>3139</v>
      </c>
    </row>
    <row r="161" spans="55:165" x14ac:dyDescent="0.35">
      <c r="BD161" s="1">
        <v>7</v>
      </c>
      <c r="BE161" s="1"/>
      <c r="BG161" s="1"/>
      <c r="BH161" s="1" t="s">
        <v>1685</v>
      </c>
      <c r="BO161" s="46" t="s">
        <v>1296</v>
      </c>
      <c r="BP161" s="1" t="s">
        <v>921</v>
      </c>
      <c r="BQ161" t="s">
        <v>396</v>
      </c>
      <c r="BR161" t="s">
        <v>837</v>
      </c>
      <c r="BS161" t="s">
        <v>1074</v>
      </c>
      <c r="BT161" t="s">
        <v>2058</v>
      </c>
      <c r="BV161" t="s">
        <v>231</v>
      </c>
      <c r="BY161" s="46" t="s">
        <v>1296</v>
      </c>
      <c r="BZ161" t="s">
        <v>171</v>
      </c>
      <c r="CA161" t="s">
        <v>799</v>
      </c>
      <c r="CB161" t="s">
        <v>143</v>
      </c>
      <c r="CC161" t="s">
        <v>173</v>
      </c>
      <c r="CD161" t="s">
        <v>1</v>
      </c>
      <c r="CG161" t="s">
        <v>173</v>
      </c>
      <c r="CH161" s="63" t="s">
        <v>4135</v>
      </c>
      <c r="CI161" s="63" t="s">
        <v>4135</v>
      </c>
      <c r="CJ161" s="63" t="s">
        <v>4135</v>
      </c>
      <c r="CK161" s="341" t="s">
        <v>2</v>
      </c>
      <c r="CL161" s="341" t="s">
        <v>4135</v>
      </c>
      <c r="CM161" s="341" t="s">
        <v>2</v>
      </c>
      <c r="CN161" s="341" t="s">
        <v>4135</v>
      </c>
      <c r="CO161" s="341" t="s">
        <v>2</v>
      </c>
      <c r="CP161" s="341" t="s">
        <v>4135</v>
      </c>
      <c r="CQ161" s="63" t="s">
        <v>4135</v>
      </c>
      <c r="CR161" s="63" t="s">
        <v>4135</v>
      </c>
      <c r="CS161" s="63" t="s">
        <v>4135</v>
      </c>
      <c r="CU161">
        <f t="shared" si="12"/>
        <v>3</v>
      </c>
      <c r="CV161">
        <f t="shared" si="13"/>
        <v>9</v>
      </c>
      <c r="CW161" s="6" t="s">
        <v>2196</v>
      </c>
      <c r="DE161">
        <v>13</v>
      </c>
      <c r="DF161" s="6" t="s">
        <v>2196</v>
      </c>
      <c r="DH161" s="236"/>
      <c r="DI161" t="s">
        <v>3958</v>
      </c>
      <c r="DJ161">
        <v>56</v>
      </c>
      <c r="DK161">
        <v>16</v>
      </c>
      <c r="DN161">
        <v>14</v>
      </c>
      <c r="DP161">
        <f t="shared" si="14"/>
        <v>86</v>
      </c>
      <c r="DQ161">
        <v>13</v>
      </c>
      <c r="DR161">
        <v>56</v>
      </c>
      <c r="DT161" s="1" t="s">
        <v>4382</v>
      </c>
      <c r="DW161" t="s">
        <v>3882</v>
      </c>
      <c r="DY161" t="s">
        <v>1057</v>
      </c>
      <c r="EA161" t="s">
        <v>1767</v>
      </c>
      <c r="EB161" t="s">
        <v>1774</v>
      </c>
      <c r="EC161" t="s">
        <v>3140</v>
      </c>
      <c r="EF161" t="s">
        <v>3959</v>
      </c>
      <c r="EG161">
        <v>14</v>
      </c>
      <c r="EH161" t="s">
        <v>4477</v>
      </c>
      <c r="EK161">
        <v>8</v>
      </c>
      <c r="EL161">
        <v>4</v>
      </c>
      <c r="EM161">
        <v>4</v>
      </c>
      <c r="EO161">
        <v>56</v>
      </c>
      <c r="EP161" s="1">
        <f t="shared" si="10"/>
        <v>72</v>
      </c>
      <c r="EQ161">
        <v>14</v>
      </c>
      <c r="ER161" t="s">
        <v>4464</v>
      </c>
      <c r="ES161" t="s">
        <v>1767</v>
      </c>
      <c r="ET161" t="s">
        <v>3140</v>
      </c>
    </row>
    <row r="162" spans="55:165" x14ac:dyDescent="0.35">
      <c r="BD162" s="6"/>
      <c r="BO162" s="46" t="s">
        <v>144</v>
      </c>
      <c r="BP162" s="1" t="s">
        <v>2079</v>
      </c>
      <c r="BQ162" t="s">
        <v>396</v>
      </c>
      <c r="BR162" t="s">
        <v>836</v>
      </c>
      <c r="BS162" t="s">
        <v>1074</v>
      </c>
      <c r="BT162" t="s">
        <v>2058</v>
      </c>
      <c r="BV162" t="s">
        <v>256</v>
      </c>
      <c r="BY162" s="46" t="s">
        <v>144</v>
      </c>
      <c r="BZ162" t="s">
        <v>143</v>
      </c>
      <c r="CA162" t="s">
        <v>172</v>
      </c>
      <c r="CB162" t="s">
        <v>799</v>
      </c>
      <c r="CC162" t="s">
        <v>1</v>
      </c>
      <c r="CD162" t="s">
        <v>173</v>
      </c>
      <c r="CG162" t="s">
        <v>799</v>
      </c>
      <c r="CH162" s="63" t="s">
        <v>4135</v>
      </c>
      <c r="CI162" s="63" t="s">
        <v>4135</v>
      </c>
      <c r="CJ162" s="63" t="s">
        <v>4135</v>
      </c>
      <c r="CK162" s="341" t="s">
        <v>4135</v>
      </c>
      <c r="CL162" s="341" t="s">
        <v>2</v>
      </c>
      <c r="CM162" s="341" t="s">
        <v>4135</v>
      </c>
      <c r="CN162" s="341" t="s">
        <v>2</v>
      </c>
      <c r="CO162" s="341" t="s">
        <v>4135</v>
      </c>
      <c r="CP162" s="341" t="s">
        <v>2</v>
      </c>
      <c r="CQ162" s="63" t="s">
        <v>4135</v>
      </c>
      <c r="CR162" s="63" t="s">
        <v>4135</v>
      </c>
      <c r="CS162" s="63" t="s">
        <v>4135</v>
      </c>
      <c r="CU162">
        <f t="shared" si="12"/>
        <v>3</v>
      </c>
      <c r="CV162">
        <f t="shared" si="13"/>
        <v>9</v>
      </c>
      <c r="CW162" s="6" t="s">
        <v>1115</v>
      </c>
      <c r="DE162">
        <v>14</v>
      </c>
      <c r="DF162" s="6" t="s">
        <v>4223</v>
      </c>
      <c r="DI162" t="s">
        <v>3959</v>
      </c>
      <c r="DJ162">
        <v>56</v>
      </c>
      <c r="DK162">
        <v>8</v>
      </c>
      <c r="DL162">
        <v>4</v>
      </c>
      <c r="DM162">
        <v>4</v>
      </c>
      <c r="DP162">
        <f t="shared" si="14"/>
        <v>72</v>
      </c>
      <c r="DQ162">
        <v>14</v>
      </c>
      <c r="DR162">
        <v>56</v>
      </c>
      <c r="DT162" t="s">
        <v>1116</v>
      </c>
      <c r="DW162" t="s">
        <v>3883</v>
      </c>
      <c r="DX162" t="s">
        <v>3887</v>
      </c>
      <c r="EA162" t="s">
        <v>4464</v>
      </c>
      <c r="EB162" t="s">
        <v>1767</v>
      </c>
      <c r="EC162" t="s">
        <v>3141</v>
      </c>
      <c r="EF162" t="s">
        <v>3960</v>
      </c>
      <c r="EG162">
        <v>15</v>
      </c>
      <c r="EH162" t="s">
        <v>1401</v>
      </c>
      <c r="EK162">
        <v>8</v>
      </c>
      <c r="EL162">
        <v>4</v>
      </c>
      <c r="EM162">
        <v>4</v>
      </c>
      <c r="EO162">
        <v>56</v>
      </c>
      <c r="EP162" s="1">
        <f t="shared" si="10"/>
        <v>72</v>
      </c>
      <c r="EQ162">
        <v>15</v>
      </c>
      <c r="ER162" t="s">
        <v>4464</v>
      </c>
      <c r="ES162" t="s">
        <v>1767</v>
      </c>
      <c r="ET162" t="s">
        <v>3141</v>
      </c>
    </row>
    <row r="163" spans="55:165" x14ac:dyDescent="0.35">
      <c r="BO163" s="46" t="s">
        <v>143</v>
      </c>
      <c r="BP163" s="1" t="s">
        <v>1074</v>
      </c>
      <c r="BQ163" t="s">
        <v>836</v>
      </c>
      <c r="BR163" t="s">
        <v>837</v>
      </c>
      <c r="BS163" t="s">
        <v>921</v>
      </c>
      <c r="BT163" t="s">
        <v>2079</v>
      </c>
      <c r="BV163" t="s">
        <v>208</v>
      </c>
      <c r="BY163" s="46" t="s">
        <v>143</v>
      </c>
      <c r="BZ163" t="s">
        <v>144</v>
      </c>
      <c r="CA163" t="s">
        <v>1</v>
      </c>
      <c r="CB163" t="s">
        <v>1296</v>
      </c>
      <c r="CC163" t="s">
        <v>172</v>
      </c>
      <c r="CD163" t="s">
        <v>171</v>
      </c>
      <c r="CG163" t="s">
        <v>1296</v>
      </c>
      <c r="CH163" s="63" t="s">
        <v>4135</v>
      </c>
      <c r="CI163" s="63" t="s">
        <v>4135</v>
      </c>
      <c r="CJ163" s="63" t="s">
        <v>4135</v>
      </c>
      <c r="CK163" s="341" t="s">
        <v>4135</v>
      </c>
      <c r="CL163" s="341" t="s">
        <v>2</v>
      </c>
      <c r="CM163" s="341" t="s">
        <v>4135</v>
      </c>
      <c r="CN163" s="341" t="s">
        <v>2</v>
      </c>
      <c r="CO163" s="341" t="s">
        <v>4135</v>
      </c>
      <c r="CP163" s="341" t="s">
        <v>2</v>
      </c>
      <c r="CQ163" s="63" t="s">
        <v>4135</v>
      </c>
      <c r="CR163" s="63" t="s">
        <v>4135</v>
      </c>
      <c r="CS163" s="63" t="s">
        <v>4135</v>
      </c>
      <c r="CU163">
        <f t="shared" si="12"/>
        <v>3</v>
      </c>
      <c r="CV163">
        <f t="shared" si="13"/>
        <v>9</v>
      </c>
      <c r="CW163" s="6" t="s">
        <v>1116</v>
      </c>
      <c r="DE163">
        <v>15</v>
      </c>
      <c r="DF163" s="6" t="s">
        <v>1401</v>
      </c>
      <c r="DI163" t="s">
        <v>3960</v>
      </c>
      <c r="DJ163">
        <v>56</v>
      </c>
      <c r="DK163">
        <v>8</v>
      </c>
      <c r="DL163">
        <v>4</v>
      </c>
      <c r="DM163">
        <v>4</v>
      </c>
      <c r="DP163">
        <f t="shared" si="14"/>
        <v>72</v>
      </c>
      <c r="DQ163">
        <v>15</v>
      </c>
      <c r="DR163">
        <v>56</v>
      </c>
      <c r="DT163" t="s">
        <v>1401</v>
      </c>
      <c r="DW163" t="s">
        <v>3884</v>
      </c>
      <c r="DX163" t="s">
        <v>3888</v>
      </c>
      <c r="EA163" t="s">
        <v>4464</v>
      </c>
      <c r="EB163" t="s">
        <v>1767</v>
      </c>
      <c r="EC163" t="s">
        <v>1</v>
      </c>
      <c r="EF163" t="s">
        <v>3961</v>
      </c>
      <c r="EK163">
        <v>4</v>
      </c>
      <c r="EL163">
        <v>2</v>
      </c>
      <c r="EM163">
        <v>2</v>
      </c>
      <c r="EN163">
        <v>7</v>
      </c>
      <c r="EP163" s="1">
        <f t="shared" si="10"/>
        <v>15</v>
      </c>
      <c r="EQ163">
        <v>16</v>
      </c>
      <c r="ER163" t="s">
        <v>4464</v>
      </c>
      <c r="ES163" t="s">
        <v>1767</v>
      </c>
      <c r="ET163" t="s">
        <v>2804</v>
      </c>
    </row>
    <row r="164" spans="55:165" x14ac:dyDescent="0.35">
      <c r="BO164" s="46" t="s">
        <v>799</v>
      </c>
      <c r="BP164" s="1" t="s">
        <v>2058</v>
      </c>
      <c r="BQ164" t="s">
        <v>836</v>
      </c>
      <c r="BR164" t="s">
        <v>837</v>
      </c>
      <c r="BS164" t="s">
        <v>921</v>
      </c>
      <c r="BT164" t="s">
        <v>2079</v>
      </c>
      <c r="BV164" t="s">
        <v>207</v>
      </c>
      <c r="BY164" s="46" t="s">
        <v>799</v>
      </c>
      <c r="BZ164" t="s">
        <v>1</v>
      </c>
      <c r="CA164" t="s">
        <v>1296</v>
      </c>
      <c r="CB164" t="s">
        <v>144</v>
      </c>
      <c r="CC164" t="s">
        <v>171</v>
      </c>
      <c r="CD164" t="s">
        <v>172</v>
      </c>
      <c r="CG164" t="s">
        <v>4137</v>
      </c>
      <c r="CH164" s="63" t="s">
        <v>4135</v>
      </c>
      <c r="CI164" s="63" t="s">
        <v>4135</v>
      </c>
      <c r="CJ164" s="63" t="s">
        <v>4135</v>
      </c>
      <c r="CK164" s="341" t="s">
        <v>2</v>
      </c>
      <c r="CL164" s="341" t="s">
        <v>4135</v>
      </c>
      <c r="CM164" s="341" t="s">
        <v>2</v>
      </c>
      <c r="CN164" s="341" t="s">
        <v>4135</v>
      </c>
      <c r="CO164" s="341" t="s">
        <v>2</v>
      </c>
      <c r="CP164" s="341" t="s">
        <v>4135</v>
      </c>
      <c r="CQ164" s="63" t="s">
        <v>4135</v>
      </c>
      <c r="CR164" s="63" t="s">
        <v>4135</v>
      </c>
      <c r="CS164" s="63" t="s">
        <v>4135</v>
      </c>
      <c r="CU164">
        <f t="shared" si="12"/>
        <v>3</v>
      </c>
      <c r="CV164">
        <f t="shared" si="13"/>
        <v>9</v>
      </c>
      <c r="CW164" s="6" t="s">
        <v>1401</v>
      </c>
      <c r="DA164" t="s">
        <v>4161</v>
      </c>
      <c r="DI164" t="s">
        <v>3961</v>
      </c>
      <c r="DK164">
        <v>4</v>
      </c>
      <c r="DL164">
        <v>2</v>
      </c>
      <c r="DM164">
        <v>2</v>
      </c>
      <c r="DN164">
        <v>7</v>
      </c>
      <c r="DP164">
        <f t="shared" si="14"/>
        <v>15</v>
      </c>
      <c r="DW164" t="s">
        <v>3887</v>
      </c>
      <c r="DX164" t="s">
        <v>3889</v>
      </c>
      <c r="DY164" t="s">
        <v>1074</v>
      </c>
      <c r="EA164" t="s">
        <v>4464</v>
      </c>
      <c r="EB164" t="s">
        <v>1767</v>
      </c>
      <c r="EC164" t="s">
        <v>1774</v>
      </c>
      <c r="EF164" t="s">
        <v>3962</v>
      </c>
      <c r="EK164">
        <v>4</v>
      </c>
      <c r="EL164">
        <v>2</v>
      </c>
      <c r="EM164">
        <v>2</v>
      </c>
      <c r="EO164">
        <v>7</v>
      </c>
      <c r="EP164" s="1">
        <f t="shared" si="10"/>
        <v>15</v>
      </c>
      <c r="EQ164">
        <v>17</v>
      </c>
      <c r="ER164" t="s">
        <v>4464</v>
      </c>
      <c r="ES164" t="s">
        <v>1767</v>
      </c>
      <c r="ET164" t="s">
        <v>4479</v>
      </c>
    </row>
    <row r="165" spans="55:165" x14ac:dyDescent="0.35">
      <c r="BE165" t="s">
        <v>396</v>
      </c>
      <c r="BF165" t="s">
        <v>837</v>
      </c>
      <c r="BG165" t="s">
        <v>921</v>
      </c>
      <c r="BH165" t="s">
        <v>1074</v>
      </c>
      <c r="BI165" t="s">
        <v>396</v>
      </c>
      <c r="BJ165" t="s">
        <v>921</v>
      </c>
      <c r="BK165" t="s">
        <v>396</v>
      </c>
      <c r="BL165" t="s">
        <v>2079</v>
      </c>
      <c r="DI165" t="s">
        <v>3962</v>
      </c>
      <c r="DJ165">
        <v>7</v>
      </c>
      <c r="DK165">
        <v>4</v>
      </c>
      <c r="DL165">
        <v>2</v>
      </c>
      <c r="DM165">
        <v>2</v>
      </c>
      <c r="DP165">
        <f t="shared" si="14"/>
        <v>15</v>
      </c>
      <c r="DW165" t="s">
        <v>3888</v>
      </c>
      <c r="DX165" t="s">
        <v>3890</v>
      </c>
      <c r="EA165" t="s">
        <v>4464</v>
      </c>
      <c r="EB165" t="s">
        <v>1767</v>
      </c>
      <c r="EC165" t="s">
        <v>4466</v>
      </c>
      <c r="EF165" t="s">
        <v>3963</v>
      </c>
      <c r="EK165" s="8">
        <v>4</v>
      </c>
      <c r="EL165">
        <v>2</v>
      </c>
      <c r="EM165">
        <v>2</v>
      </c>
      <c r="EP165" s="1">
        <f t="shared" si="10"/>
        <v>8</v>
      </c>
      <c r="EQ165">
        <v>18</v>
      </c>
      <c r="ER165" t="s">
        <v>4480</v>
      </c>
      <c r="ES165" t="s">
        <v>4481</v>
      </c>
      <c r="ET165" t="s">
        <v>4482</v>
      </c>
      <c r="EU165" t="s">
        <v>4486</v>
      </c>
    </row>
    <row r="166" spans="55:165" x14ac:dyDescent="0.35">
      <c r="BE166" t="s">
        <v>836</v>
      </c>
      <c r="BF166" t="s">
        <v>2079</v>
      </c>
      <c r="BG166" t="s">
        <v>2079</v>
      </c>
      <c r="BH166" t="s">
        <v>2058</v>
      </c>
      <c r="BI166" t="s">
        <v>836</v>
      </c>
      <c r="BJ166" t="s">
        <v>1074</v>
      </c>
      <c r="BK166" t="s">
        <v>836</v>
      </c>
      <c r="BL166" t="s">
        <v>2058</v>
      </c>
      <c r="CY166" s="1" t="s">
        <v>144</v>
      </c>
      <c r="CZ166" t="s">
        <v>4139</v>
      </c>
      <c r="DA166" t="s">
        <v>4135</v>
      </c>
      <c r="DB166" s="345" t="s">
        <v>172</v>
      </c>
      <c r="DC166" s="1" t="s">
        <v>4136</v>
      </c>
      <c r="DD166" s="347" t="s">
        <v>799</v>
      </c>
      <c r="DF166" t="s">
        <v>4222</v>
      </c>
      <c r="DI166" t="s">
        <v>3963</v>
      </c>
      <c r="DK166">
        <v>4</v>
      </c>
      <c r="DL166">
        <v>2</v>
      </c>
      <c r="DM166">
        <v>2</v>
      </c>
      <c r="DP166">
        <f t="shared" si="14"/>
        <v>8</v>
      </c>
      <c r="DR166" t="s">
        <v>4390</v>
      </c>
      <c r="DW166" t="s">
        <v>1057</v>
      </c>
      <c r="DX166" t="s">
        <v>1700</v>
      </c>
      <c r="EA166" t="s">
        <v>1767</v>
      </c>
      <c r="EB166" t="s">
        <v>1767</v>
      </c>
      <c r="EC166" t="s">
        <v>4464</v>
      </c>
      <c r="EF166" t="s">
        <v>3964</v>
      </c>
      <c r="EK166">
        <v>2</v>
      </c>
      <c r="EO166">
        <v>8</v>
      </c>
      <c r="EP166" s="1">
        <f t="shared" si="10"/>
        <v>10</v>
      </c>
      <c r="EQ166">
        <v>19</v>
      </c>
      <c r="ER166" t="s">
        <v>4482</v>
      </c>
      <c r="ES166" t="s">
        <v>4483</v>
      </c>
      <c r="ET166" t="s">
        <v>4484</v>
      </c>
    </row>
    <row r="167" spans="55:165" x14ac:dyDescent="0.35">
      <c r="BE167" t="s">
        <v>921</v>
      </c>
      <c r="BI167" t="s">
        <v>837</v>
      </c>
      <c r="BJ167" t="s">
        <v>2058</v>
      </c>
      <c r="BK167" t="s">
        <v>837</v>
      </c>
      <c r="BL167" t="s">
        <v>1074</v>
      </c>
      <c r="BN167" s="6">
        <v>1</v>
      </c>
      <c r="BO167" s="6" t="s">
        <v>1400</v>
      </c>
      <c r="CH167">
        <v>56</v>
      </c>
      <c r="CI167">
        <v>56</v>
      </c>
      <c r="CJ167">
        <v>56</v>
      </c>
      <c r="CK167">
        <v>56</v>
      </c>
      <c r="CL167">
        <v>56</v>
      </c>
      <c r="CM167">
        <v>56</v>
      </c>
      <c r="CN167">
        <v>56</v>
      </c>
      <c r="CO167">
        <v>56</v>
      </c>
      <c r="CP167">
        <v>56</v>
      </c>
      <c r="CQ167">
        <v>56</v>
      </c>
      <c r="CR167">
        <v>56</v>
      </c>
      <c r="CS167">
        <v>56</v>
      </c>
      <c r="CT167">
        <v>56</v>
      </c>
      <c r="CU167">
        <v>728</v>
      </c>
      <c r="CY167" s="1" t="s">
        <v>143</v>
      </c>
      <c r="CZ167" t="s">
        <v>4139</v>
      </c>
      <c r="DA167" s="348" t="s">
        <v>173</v>
      </c>
      <c r="DB167" s="346" t="s">
        <v>1296</v>
      </c>
      <c r="DC167" s="1" t="s">
        <v>4136</v>
      </c>
      <c r="DD167" t="s">
        <v>4135</v>
      </c>
      <c r="DF167" t="s">
        <v>1485</v>
      </c>
      <c r="DI167" t="s">
        <v>3964</v>
      </c>
      <c r="DJ167">
        <v>8</v>
      </c>
      <c r="DK167">
        <v>2</v>
      </c>
      <c r="DP167">
        <f t="shared" si="14"/>
        <v>10</v>
      </c>
      <c r="DR167" t="s">
        <v>4391</v>
      </c>
      <c r="DW167" t="s">
        <v>1700</v>
      </c>
      <c r="EA167" t="s">
        <v>4464</v>
      </c>
      <c r="EB167" t="s">
        <v>1767</v>
      </c>
      <c r="EC167" t="s">
        <v>1767</v>
      </c>
      <c r="EF167" t="s">
        <v>3965</v>
      </c>
      <c r="EO167">
        <v>8</v>
      </c>
      <c r="EP167" s="1">
        <f t="shared" si="10"/>
        <v>8</v>
      </c>
      <c r="EQ167">
        <v>20</v>
      </c>
      <c r="ES167" t="s">
        <v>3149</v>
      </c>
      <c r="ET167" t="s">
        <v>3149</v>
      </c>
    </row>
    <row r="168" spans="55:165" x14ac:dyDescent="0.35">
      <c r="BE168" t="s">
        <v>1074</v>
      </c>
      <c r="BF168" t="s">
        <v>2058</v>
      </c>
      <c r="BG168" t="s">
        <v>2199</v>
      </c>
      <c r="BI168" t="s">
        <v>2079</v>
      </c>
      <c r="BK168" t="s">
        <v>921</v>
      </c>
      <c r="BN168" s="6">
        <v>2</v>
      </c>
      <c r="BO168" s="6" t="s">
        <v>1484</v>
      </c>
      <c r="BQ168" t="s">
        <v>203</v>
      </c>
      <c r="BR168" t="s">
        <v>1377</v>
      </c>
      <c r="BT168" t="s">
        <v>1381</v>
      </c>
      <c r="BV168" t="s">
        <v>396</v>
      </c>
      <c r="BW168" t="s">
        <v>836</v>
      </c>
      <c r="CH168">
        <v>64</v>
      </c>
      <c r="CI168">
        <v>64</v>
      </c>
      <c r="CJ168">
        <v>64</v>
      </c>
      <c r="CK168">
        <v>64</v>
      </c>
      <c r="CL168">
        <v>64</v>
      </c>
      <c r="CM168">
        <v>64</v>
      </c>
      <c r="CN168">
        <v>64</v>
      </c>
      <c r="CO168">
        <v>64</v>
      </c>
      <c r="CP168">
        <v>64</v>
      </c>
      <c r="CQ168">
        <v>64</v>
      </c>
      <c r="CR168">
        <v>64</v>
      </c>
      <c r="CS168">
        <v>64</v>
      </c>
      <c r="CU168">
        <v>768</v>
      </c>
      <c r="CY168" s="1" t="s">
        <v>172</v>
      </c>
      <c r="CZ168" t="s">
        <v>799</v>
      </c>
      <c r="DA168" s="1" t="s">
        <v>4136</v>
      </c>
      <c r="DB168" s="345" t="s">
        <v>144</v>
      </c>
      <c r="DC168" t="s">
        <v>4135</v>
      </c>
      <c r="DD168" s="343" t="s">
        <v>171</v>
      </c>
      <c r="DF168" t="s">
        <v>1115</v>
      </c>
      <c r="DI168" t="s">
        <v>3965</v>
      </c>
      <c r="DJ168">
        <v>8</v>
      </c>
      <c r="DP168">
        <f t="shared" si="14"/>
        <v>8</v>
      </c>
      <c r="EB168" t="s">
        <v>1712</v>
      </c>
      <c r="EC168" t="s">
        <v>1712</v>
      </c>
      <c r="EF168" t="s">
        <v>3966</v>
      </c>
      <c r="EO168">
        <v>4</v>
      </c>
      <c r="EP168" s="1">
        <f t="shared" si="10"/>
        <v>4</v>
      </c>
      <c r="EQ168">
        <v>21</v>
      </c>
      <c r="ES168" t="s">
        <v>1711</v>
      </c>
      <c r="ET168" t="s">
        <v>1711</v>
      </c>
    </row>
    <row r="169" spans="55:165" x14ac:dyDescent="0.35">
      <c r="BN169" s="6">
        <v>3</v>
      </c>
      <c r="BO169" s="6" t="s">
        <v>1027</v>
      </c>
      <c r="BR169" t="s">
        <v>1380</v>
      </c>
      <c r="BT169" t="s">
        <v>1378</v>
      </c>
      <c r="BV169" t="s">
        <v>396</v>
      </c>
      <c r="BX169" t="s">
        <v>2058</v>
      </c>
      <c r="CH169">
        <v>72</v>
      </c>
      <c r="CI169">
        <v>72</v>
      </c>
      <c r="CJ169">
        <v>72</v>
      </c>
      <c r="CK169">
        <v>72</v>
      </c>
      <c r="CL169">
        <v>72</v>
      </c>
      <c r="CM169">
        <v>72</v>
      </c>
      <c r="CN169">
        <v>72</v>
      </c>
      <c r="CO169">
        <v>72</v>
      </c>
      <c r="CP169">
        <v>72</v>
      </c>
      <c r="CQ169">
        <v>72</v>
      </c>
      <c r="CR169">
        <v>72</v>
      </c>
      <c r="CS169">
        <v>72</v>
      </c>
      <c r="CU169">
        <f>72*12</f>
        <v>864</v>
      </c>
      <c r="CY169" s="1" t="s">
        <v>171</v>
      </c>
      <c r="CZ169" t="s">
        <v>4139</v>
      </c>
      <c r="DA169" t="s">
        <v>4135</v>
      </c>
      <c r="DB169" s="1" t="s">
        <v>4136</v>
      </c>
      <c r="DC169" s="247" t="s">
        <v>1296</v>
      </c>
      <c r="DD169" s="343" t="s">
        <v>172</v>
      </c>
      <c r="DF169" t="s">
        <v>1116</v>
      </c>
      <c r="DI169" t="s">
        <v>3966</v>
      </c>
      <c r="DJ169">
        <v>4</v>
      </c>
      <c r="DP169">
        <f t="shared" si="14"/>
        <v>4</v>
      </c>
      <c r="EB169" t="s">
        <v>1073</v>
      </c>
      <c r="EC169" t="s">
        <v>1073</v>
      </c>
      <c r="EF169" t="s">
        <v>3967</v>
      </c>
      <c r="EO169">
        <v>2.5</v>
      </c>
      <c r="EP169" s="1">
        <f t="shared" si="10"/>
        <v>2.5</v>
      </c>
      <c r="EQ169">
        <v>22</v>
      </c>
      <c r="ES169" t="s">
        <v>4485</v>
      </c>
      <c r="ET169" t="s">
        <v>4485</v>
      </c>
    </row>
    <row r="170" spans="55:165" x14ac:dyDescent="0.35">
      <c r="BC170">
        <f>COUNTIF(BE$165:BL$167, "a")</f>
        <v>3</v>
      </c>
      <c r="BD170" t="s">
        <v>396</v>
      </c>
      <c r="BE170">
        <v>6</v>
      </c>
      <c r="BF170">
        <v>1</v>
      </c>
      <c r="BG170">
        <v>7</v>
      </c>
      <c r="BH170">
        <v>1</v>
      </c>
      <c r="BI170">
        <v>8</v>
      </c>
      <c r="BJ170">
        <v>1</v>
      </c>
      <c r="BK170">
        <v>9</v>
      </c>
      <c r="BL170">
        <v>1</v>
      </c>
      <c r="BN170" s="6">
        <v>4</v>
      </c>
      <c r="BO170" s="6" t="s">
        <v>1113</v>
      </c>
      <c r="BQ170" t="s">
        <v>204</v>
      </c>
      <c r="BR170" t="s">
        <v>1376</v>
      </c>
      <c r="BT170" t="s">
        <v>1382</v>
      </c>
      <c r="BV170" t="s">
        <v>836</v>
      </c>
      <c r="BW170" t="s">
        <v>837</v>
      </c>
      <c r="CY170" s="1" t="s">
        <v>1296</v>
      </c>
      <c r="CZ170" t="s">
        <v>173</v>
      </c>
      <c r="DA170" s="1" t="s">
        <v>4136</v>
      </c>
      <c r="DB170" s="346" t="s">
        <v>143</v>
      </c>
      <c r="DC170" s="247" t="s">
        <v>171</v>
      </c>
      <c r="DD170" t="s">
        <v>4135</v>
      </c>
      <c r="DI170" t="s">
        <v>3967</v>
      </c>
      <c r="DJ170">
        <v>2.5</v>
      </c>
      <c r="DP170">
        <f t="shared" si="14"/>
        <v>2.5</v>
      </c>
      <c r="EB170" t="s">
        <v>1057</v>
      </c>
      <c r="EC170" t="s">
        <v>1057</v>
      </c>
      <c r="EF170" t="s">
        <v>3968</v>
      </c>
      <c r="EQ170">
        <v>23</v>
      </c>
      <c r="ES170" t="s">
        <v>1700</v>
      </c>
      <c r="ET170" t="s">
        <v>1700</v>
      </c>
    </row>
    <row r="171" spans="55:165" x14ac:dyDescent="0.35">
      <c r="BC171">
        <f>COUNTIF(BE$165:BL$167, "b")</f>
        <v>3</v>
      </c>
      <c r="BD171" t="s">
        <v>836</v>
      </c>
      <c r="BE171">
        <v>6</v>
      </c>
      <c r="BF171">
        <v>1</v>
      </c>
      <c r="BG171">
        <v>7</v>
      </c>
      <c r="BH171">
        <v>1</v>
      </c>
      <c r="BI171">
        <v>8</v>
      </c>
      <c r="BJ171">
        <v>1</v>
      </c>
      <c r="BK171">
        <v>9</v>
      </c>
      <c r="BL171">
        <v>1</v>
      </c>
      <c r="BN171" s="6">
        <v>5</v>
      </c>
      <c r="BO171" s="92" t="s">
        <v>1026</v>
      </c>
      <c r="BR171" t="s">
        <v>1381</v>
      </c>
      <c r="BT171" t="s">
        <v>1377</v>
      </c>
      <c r="BV171" t="s">
        <v>836</v>
      </c>
      <c r="BX171" t="s">
        <v>396</v>
      </c>
      <c r="CY171" s="1" t="s">
        <v>173</v>
      </c>
      <c r="CZ171" t="s">
        <v>1296</v>
      </c>
      <c r="DA171" s="348" t="s">
        <v>172</v>
      </c>
      <c r="DB171" s="1" t="s">
        <v>4136</v>
      </c>
      <c r="DC171" s="342" t="s">
        <v>799</v>
      </c>
      <c r="DD171" t="s">
        <v>4135</v>
      </c>
      <c r="EB171" t="s">
        <v>1074</v>
      </c>
      <c r="EC171" t="s">
        <v>1074</v>
      </c>
      <c r="EF171" t="s">
        <v>2675</v>
      </c>
      <c r="EQ171">
        <v>24</v>
      </c>
      <c r="ET171" t="s">
        <v>1700</v>
      </c>
    </row>
    <row r="172" spans="55:165" x14ac:dyDescent="0.35">
      <c r="BC172">
        <f>COUNTIF(BE$165:BL$167, "c")</f>
        <v>3</v>
      </c>
      <c r="BD172" t="s">
        <v>837</v>
      </c>
      <c r="BE172">
        <v>6</v>
      </c>
      <c r="BF172">
        <v>1</v>
      </c>
      <c r="BG172">
        <v>7</v>
      </c>
      <c r="BH172">
        <v>1</v>
      </c>
      <c r="BI172">
        <v>8</v>
      </c>
      <c r="BJ172">
        <v>1</v>
      </c>
      <c r="BK172">
        <v>9</v>
      </c>
      <c r="BL172">
        <v>1</v>
      </c>
      <c r="BN172" s="6">
        <v>6</v>
      </c>
      <c r="BO172" s="92" t="s">
        <v>1114</v>
      </c>
      <c r="BQ172" t="s">
        <v>230</v>
      </c>
      <c r="BR172" t="s">
        <v>1375</v>
      </c>
      <c r="BT172" t="s">
        <v>1383</v>
      </c>
      <c r="BV172" t="s">
        <v>837</v>
      </c>
      <c r="BW172" t="s">
        <v>921</v>
      </c>
      <c r="CK172" t="s">
        <v>2</v>
      </c>
      <c r="CL172" t="s">
        <v>4135</v>
      </c>
      <c r="CM172" t="s">
        <v>2</v>
      </c>
      <c r="CO172" t="s">
        <v>2</v>
      </c>
      <c r="CP172" t="s">
        <v>4138</v>
      </c>
      <c r="CQ172" t="s">
        <v>4136</v>
      </c>
      <c r="CR172" t="s">
        <v>4135</v>
      </c>
      <c r="CS172" t="s">
        <v>2</v>
      </c>
      <c r="CW172" s="6" t="s">
        <v>1484</v>
      </c>
      <c r="CY172" s="1" t="s">
        <v>799</v>
      </c>
      <c r="CZ172" t="s">
        <v>172</v>
      </c>
      <c r="DA172" t="s">
        <v>4135</v>
      </c>
      <c r="DB172" s="1" t="s">
        <v>4136</v>
      </c>
      <c r="DC172" s="342" t="s">
        <v>173</v>
      </c>
      <c r="DD172" s="347" t="s">
        <v>144</v>
      </c>
      <c r="EC172" t="s">
        <v>1074</v>
      </c>
      <c r="FD172">
        <f>SUM(FD174:FD199)</f>
        <v>1297</v>
      </c>
    </row>
    <row r="173" spans="55:165" x14ac:dyDescent="0.35">
      <c r="BC173">
        <f>COUNTIF(BE$165:BL$167, "d")</f>
        <v>3</v>
      </c>
      <c r="BD173" t="s">
        <v>921</v>
      </c>
      <c r="BE173">
        <v>6</v>
      </c>
      <c r="BF173">
        <v>1</v>
      </c>
      <c r="BG173">
        <v>7</v>
      </c>
      <c r="BH173">
        <v>1</v>
      </c>
      <c r="BI173">
        <v>8</v>
      </c>
      <c r="BJ173">
        <v>1</v>
      </c>
      <c r="BK173">
        <v>9</v>
      </c>
      <c r="BL173">
        <v>1</v>
      </c>
      <c r="BN173" s="6">
        <v>7</v>
      </c>
      <c r="BO173" s="6" t="s">
        <v>1025</v>
      </c>
      <c r="BR173" t="s">
        <v>1382</v>
      </c>
      <c r="BT173" t="s">
        <v>1376</v>
      </c>
      <c r="BV173" t="s">
        <v>837</v>
      </c>
      <c r="BX173" t="s">
        <v>836</v>
      </c>
      <c r="CK173" t="s">
        <v>2</v>
      </c>
      <c r="CL173" t="s">
        <v>2</v>
      </c>
      <c r="CM173" t="s">
        <v>4135</v>
      </c>
      <c r="CO173" t="s">
        <v>2</v>
      </c>
      <c r="CP173" t="s">
        <v>4138</v>
      </c>
      <c r="CQ173" t="s">
        <v>4136</v>
      </c>
      <c r="CR173" t="s">
        <v>4135</v>
      </c>
      <c r="CS173" t="s">
        <v>2</v>
      </c>
      <c r="CW173" s="6" t="s">
        <v>1400</v>
      </c>
      <c r="DY173" s="9"/>
      <c r="DZ173" s="9"/>
      <c r="EA173" s="9"/>
      <c r="EB173" s="9"/>
      <c r="EC173" s="9">
        <v>3</v>
      </c>
      <c r="ED173" t="s">
        <v>4474</v>
      </c>
      <c r="EF173">
        <v>1</v>
      </c>
      <c r="EG173" t="s">
        <v>4476</v>
      </c>
      <c r="EY173" t="s">
        <v>1767</v>
      </c>
      <c r="EZ173" t="s">
        <v>2117</v>
      </c>
      <c r="FA173" t="s">
        <v>2359</v>
      </c>
      <c r="FB173" t="s">
        <v>1774</v>
      </c>
      <c r="FC173" t="s">
        <v>4478</v>
      </c>
      <c r="FF173" t="s">
        <v>4461</v>
      </c>
      <c r="FG173" t="s">
        <v>4462</v>
      </c>
      <c r="FH173" t="s">
        <v>4607</v>
      </c>
      <c r="FI173" t="s">
        <v>4608</v>
      </c>
    </row>
    <row r="174" spans="55:165" x14ac:dyDescent="0.35">
      <c r="BC174">
        <f>COUNTIF(BE$165:BL$167, "e")</f>
        <v>3</v>
      </c>
      <c r="BD174" t="s">
        <v>2079</v>
      </c>
      <c r="BE174">
        <v>6</v>
      </c>
      <c r="BF174">
        <v>1</v>
      </c>
      <c r="BG174">
        <v>7</v>
      </c>
      <c r="BH174">
        <v>1</v>
      </c>
      <c r="BI174">
        <v>8</v>
      </c>
      <c r="BJ174">
        <v>1</v>
      </c>
      <c r="BK174">
        <v>9</v>
      </c>
      <c r="BL174">
        <v>1</v>
      </c>
      <c r="BN174" s="6">
        <v>8</v>
      </c>
      <c r="BO174" s="6" t="s">
        <v>1485</v>
      </c>
      <c r="BQ174" t="s">
        <v>257</v>
      </c>
      <c r="BR174" t="s">
        <v>1379</v>
      </c>
      <c r="BT174" t="s">
        <v>1384</v>
      </c>
      <c r="BV174" t="s">
        <v>921</v>
      </c>
      <c r="BW174" t="s">
        <v>2079</v>
      </c>
      <c r="CK174" t="s">
        <v>4135</v>
      </c>
      <c r="CL174" t="s">
        <v>2</v>
      </c>
      <c r="CM174" t="s">
        <v>2</v>
      </c>
      <c r="CO174" t="s">
        <v>2</v>
      </c>
      <c r="CP174" t="s">
        <v>4138</v>
      </c>
      <c r="CQ174" t="s">
        <v>4136</v>
      </c>
      <c r="CR174" t="s">
        <v>4135</v>
      </c>
      <c r="CS174" t="s">
        <v>2</v>
      </c>
      <c r="CW174" s="6" t="s">
        <v>1113</v>
      </c>
      <c r="CZ174">
        <v>56</v>
      </c>
      <c r="DA174">
        <v>40</v>
      </c>
      <c r="DB174">
        <v>32</v>
      </c>
      <c r="DC174">
        <v>40</v>
      </c>
      <c r="DD174">
        <v>56</v>
      </c>
      <c r="DY174" s="9"/>
      <c r="DZ174" s="9"/>
      <c r="EA174" s="9"/>
      <c r="EB174" s="9"/>
      <c r="EC174" s="9">
        <v>2</v>
      </c>
      <c r="ED174" t="s">
        <v>4470</v>
      </c>
      <c r="EF174">
        <v>2</v>
      </c>
      <c r="EG174" t="s">
        <v>4476</v>
      </c>
      <c r="EU174">
        <v>1</v>
      </c>
      <c r="EV174" t="s">
        <v>4476</v>
      </c>
      <c r="FC174">
        <v>56</v>
      </c>
      <c r="FD174" s="1">
        <f t="shared" ref="FD174:FD199" si="15">SUM(EY174:FC174)</f>
        <v>56</v>
      </c>
      <c r="FH174" t="s">
        <v>4609</v>
      </c>
      <c r="FI174" t="s">
        <v>4609</v>
      </c>
    </row>
    <row r="175" spans="55:165" x14ac:dyDescent="0.35">
      <c r="BC175">
        <f>COUNTIF(BE$165:BL$167, "f")</f>
        <v>3</v>
      </c>
      <c r="BD175" t="s">
        <v>1074</v>
      </c>
      <c r="BE175">
        <v>6</v>
      </c>
      <c r="BF175">
        <v>1</v>
      </c>
      <c r="BG175">
        <v>7</v>
      </c>
      <c r="BH175">
        <v>1</v>
      </c>
      <c r="BI175">
        <v>8</v>
      </c>
      <c r="BJ175">
        <v>1</v>
      </c>
      <c r="BK175">
        <v>9</v>
      </c>
      <c r="BL175">
        <v>1</v>
      </c>
      <c r="BN175" s="6">
        <v>9</v>
      </c>
      <c r="BO175" s="6" t="s">
        <v>2195</v>
      </c>
      <c r="BR175" t="s">
        <v>1383</v>
      </c>
      <c r="BT175" t="s">
        <v>1375</v>
      </c>
      <c r="BV175" t="s">
        <v>921</v>
      </c>
      <c r="BX175" t="s">
        <v>837</v>
      </c>
      <c r="CK175" t="s">
        <v>2</v>
      </c>
      <c r="CL175" t="s">
        <v>4135</v>
      </c>
      <c r="CM175" t="s">
        <v>2</v>
      </c>
      <c r="CO175" t="s">
        <v>4136</v>
      </c>
      <c r="CP175" t="s">
        <v>4138</v>
      </c>
      <c r="CQ175" t="s">
        <v>4135</v>
      </c>
      <c r="CR175" t="s">
        <v>2</v>
      </c>
      <c r="CS175" t="s">
        <v>2</v>
      </c>
      <c r="CW175" s="6" t="s">
        <v>1027</v>
      </c>
      <c r="DS175" s="6" t="s">
        <v>2671</v>
      </c>
      <c r="DT175" s="1" t="s">
        <v>4350</v>
      </c>
      <c r="DY175" s="9"/>
      <c r="DZ175" s="9"/>
      <c r="EA175" s="9"/>
      <c r="EB175" s="9"/>
      <c r="EC175" s="9">
        <v>2</v>
      </c>
      <c r="ED175" t="s">
        <v>4471</v>
      </c>
      <c r="EF175">
        <v>3</v>
      </c>
      <c r="EG175" t="s">
        <v>4476</v>
      </c>
      <c r="EU175">
        <v>2</v>
      </c>
      <c r="EV175" t="s">
        <v>4476</v>
      </c>
      <c r="FC175">
        <v>56</v>
      </c>
      <c r="FD175" s="1">
        <f t="shared" si="15"/>
        <v>56</v>
      </c>
      <c r="FH175" t="s">
        <v>4610</v>
      </c>
      <c r="FI175" t="s">
        <v>4610</v>
      </c>
    </row>
    <row r="176" spans="55:165" x14ac:dyDescent="0.35">
      <c r="BC176">
        <f>COUNTIF(BE$165:BL$167, "g")</f>
        <v>3</v>
      </c>
      <c r="BD176" t="s">
        <v>2058</v>
      </c>
      <c r="BE176">
        <v>6</v>
      </c>
      <c r="BF176">
        <v>1</v>
      </c>
      <c r="BG176">
        <v>7</v>
      </c>
      <c r="BH176">
        <v>1</v>
      </c>
      <c r="BI176">
        <v>8</v>
      </c>
      <c r="BJ176">
        <v>1</v>
      </c>
      <c r="BK176">
        <v>9</v>
      </c>
      <c r="BL176">
        <v>1</v>
      </c>
      <c r="BN176" s="6">
        <v>10</v>
      </c>
      <c r="BO176" s="6" t="s">
        <v>1115</v>
      </c>
      <c r="BQ176" t="s">
        <v>803</v>
      </c>
      <c r="BR176" t="s">
        <v>1374</v>
      </c>
      <c r="BT176" t="s">
        <v>1385</v>
      </c>
      <c r="BV176" t="s">
        <v>2079</v>
      </c>
      <c r="BW176" t="s">
        <v>1074</v>
      </c>
      <c r="CK176" t="s">
        <v>2</v>
      </c>
      <c r="CL176" t="s">
        <v>2</v>
      </c>
      <c r="CM176" t="s">
        <v>4135</v>
      </c>
      <c r="CO176" t="s">
        <v>4136</v>
      </c>
      <c r="CP176" t="s">
        <v>4138</v>
      </c>
      <c r="CQ176" t="s">
        <v>4135</v>
      </c>
      <c r="CR176" t="s">
        <v>2</v>
      </c>
      <c r="CS176" t="s">
        <v>2</v>
      </c>
      <c r="CW176" s="6" t="s">
        <v>1114</v>
      </c>
      <c r="DF176" s="6"/>
      <c r="DH176" s="1" t="s">
        <v>144</v>
      </c>
      <c r="DI176" t="s">
        <v>799</v>
      </c>
      <c r="DJ176" t="s">
        <v>4135</v>
      </c>
      <c r="DK176" s="354" t="s">
        <v>172</v>
      </c>
      <c r="DL176" s="1" t="s">
        <v>4136</v>
      </c>
      <c r="DM176" s="347" t="s">
        <v>171</v>
      </c>
      <c r="DS176" s="6" t="s">
        <v>2664</v>
      </c>
      <c r="DT176" s="1" t="s">
        <v>4351</v>
      </c>
      <c r="DY176" s="9"/>
      <c r="DZ176" s="9"/>
      <c r="EA176" s="9"/>
      <c r="EB176" s="9"/>
      <c r="EC176" s="9">
        <v>2</v>
      </c>
      <c r="ED176" t="s">
        <v>4472</v>
      </c>
      <c r="EF176">
        <v>4</v>
      </c>
      <c r="EG176" t="s">
        <v>1027</v>
      </c>
      <c r="EU176">
        <v>3</v>
      </c>
      <c r="EV176" t="s">
        <v>4476</v>
      </c>
      <c r="FC176">
        <v>56</v>
      </c>
      <c r="FD176" s="1">
        <f t="shared" si="15"/>
        <v>56</v>
      </c>
      <c r="FH176" t="s">
        <v>4611</v>
      </c>
      <c r="FI176" t="s">
        <v>4611</v>
      </c>
    </row>
    <row r="177" spans="56:165" x14ac:dyDescent="0.35">
      <c r="BN177" s="6">
        <v>11</v>
      </c>
      <c r="BO177" s="6" t="s">
        <v>2196</v>
      </c>
      <c r="BR177" t="s">
        <v>1384</v>
      </c>
      <c r="BT177" t="s">
        <v>1379</v>
      </c>
      <c r="BV177" t="s">
        <v>2079</v>
      </c>
      <c r="BX177" t="s">
        <v>921</v>
      </c>
      <c r="CK177" t="s">
        <v>4135</v>
      </c>
      <c r="CL177" t="s">
        <v>2</v>
      </c>
      <c r="CM177" t="s">
        <v>2</v>
      </c>
      <c r="CO177" t="s">
        <v>4135</v>
      </c>
      <c r="CP177" t="s">
        <v>4138</v>
      </c>
      <c r="CQ177" t="s">
        <v>2</v>
      </c>
      <c r="CR177" t="s">
        <v>4136</v>
      </c>
      <c r="CS177" t="s">
        <v>2</v>
      </c>
      <c r="CW177" s="6" t="s">
        <v>1026</v>
      </c>
      <c r="CZ177" t="s">
        <v>2</v>
      </c>
      <c r="DA177" t="s">
        <v>4135</v>
      </c>
      <c r="DB177" s="345" t="s">
        <v>2</v>
      </c>
      <c r="DC177" s="1" t="s">
        <v>4136</v>
      </c>
      <c r="DD177" s="347" t="s">
        <v>2</v>
      </c>
      <c r="DH177" s="1" t="s">
        <v>143</v>
      </c>
      <c r="DI177" t="s">
        <v>171</v>
      </c>
      <c r="DJ177" s="353" t="s">
        <v>173</v>
      </c>
      <c r="DK177" s="355" t="s">
        <v>1296</v>
      </c>
      <c r="DL177" s="1" t="s">
        <v>4136</v>
      </c>
      <c r="DM177" t="s">
        <v>4135</v>
      </c>
      <c r="DS177" s="6" t="s">
        <v>4348</v>
      </c>
      <c r="DT177" s="1" t="s">
        <v>4352</v>
      </c>
      <c r="DY177" s="9"/>
      <c r="DZ177" s="9"/>
      <c r="EA177" s="9"/>
      <c r="EB177" s="9"/>
      <c r="EC177" s="9">
        <v>3</v>
      </c>
      <c r="ED177" t="s">
        <v>4473</v>
      </c>
      <c r="EF177">
        <v>5</v>
      </c>
      <c r="EG177" t="s">
        <v>1400</v>
      </c>
      <c r="EK177">
        <v>8</v>
      </c>
      <c r="EL177">
        <f t="shared" ref="EL177:EL183" si="16">EK177*7</f>
        <v>56</v>
      </c>
      <c r="EN177" t="s">
        <v>4592</v>
      </c>
      <c r="EO177" t="s">
        <v>4591</v>
      </c>
      <c r="EP177" t="s">
        <v>4593</v>
      </c>
      <c r="EU177">
        <v>4</v>
      </c>
      <c r="EV177" t="s">
        <v>4603</v>
      </c>
      <c r="EY177" t="s">
        <v>4058</v>
      </c>
      <c r="FB177">
        <v>70</v>
      </c>
      <c r="FC177">
        <v>0</v>
      </c>
      <c r="FD177" s="15">
        <f t="shared" si="15"/>
        <v>70</v>
      </c>
      <c r="FF177" t="s">
        <v>4668</v>
      </c>
      <c r="FG177" t="s">
        <v>4622</v>
      </c>
      <c r="FH177" t="s">
        <v>4623</v>
      </c>
    </row>
    <row r="178" spans="56:165" x14ac:dyDescent="0.35">
      <c r="BN178" s="6">
        <v>12</v>
      </c>
      <c r="BO178" s="6" t="s">
        <v>1116</v>
      </c>
      <c r="BQ178" t="s">
        <v>2198</v>
      </c>
      <c r="BR178" t="s">
        <v>1373</v>
      </c>
      <c r="BT178" t="s">
        <v>1386</v>
      </c>
      <c r="BV178" t="s">
        <v>1074</v>
      </c>
      <c r="BW178" t="s">
        <v>2058</v>
      </c>
      <c r="CK178" t="s">
        <v>2</v>
      </c>
      <c r="CL178" t="s">
        <v>4135</v>
      </c>
      <c r="CM178" t="s">
        <v>2</v>
      </c>
      <c r="CO178" t="s">
        <v>2</v>
      </c>
      <c r="CP178" t="s">
        <v>4138</v>
      </c>
      <c r="CQ178" t="s">
        <v>2</v>
      </c>
      <c r="CR178" t="s">
        <v>4136</v>
      </c>
      <c r="CS178" t="s">
        <v>4135</v>
      </c>
      <c r="CW178" s="6" t="s">
        <v>1025</v>
      </c>
      <c r="CZ178" t="s">
        <v>2</v>
      </c>
      <c r="DA178" s="348" t="s">
        <v>2</v>
      </c>
      <c r="DB178" s="345" t="s">
        <v>2</v>
      </c>
      <c r="DC178" s="1" t="s">
        <v>4136</v>
      </c>
      <c r="DD178" t="s">
        <v>4135</v>
      </c>
      <c r="DH178" s="1" t="s">
        <v>172</v>
      </c>
      <c r="DI178" s="1" t="s">
        <v>4322</v>
      </c>
      <c r="DJ178" s="1" t="s">
        <v>4136</v>
      </c>
      <c r="DK178" s="345" t="s">
        <v>144</v>
      </c>
      <c r="DL178" t="s">
        <v>4135</v>
      </c>
      <c r="DM178" s="343" t="s">
        <v>799</v>
      </c>
      <c r="DS178" s="6" t="s">
        <v>4349</v>
      </c>
      <c r="DT178" s="1" t="s">
        <v>4353</v>
      </c>
      <c r="DY178" s="9"/>
      <c r="DZ178" s="9"/>
      <c r="EA178" s="9"/>
      <c r="EB178" s="9"/>
      <c r="EC178" s="9"/>
      <c r="ED178" t="s">
        <v>4475</v>
      </c>
      <c r="EF178">
        <v>6</v>
      </c>
      <c r="EG178" t="s">
        <v>4374</v>
      </c>
      <c r="EK178">
        <v>6</v>
      </c>
      <c r="EL178">
        <f t="shared" si="16"/>
        <v>42</v>
      </c>
      <c r="EM178" s="1" t="s">
        <v>4595</v>
      </c>
      <c r="EN178" t="s">
        <v>4594</v>
      </c>
      <c r="EP178" t="s">
        <v>4597</v>
      </c>
      <c r="EQ178" s="1" t="s">
        <v>4596</v>
      </c>
      <c r="EU178">
        <v>5</v>
      </c>
      <c r="EV178" t="s">
        <v>1027</v>
      </c>
      <c r="EZ178">
        <v>16</v>
      </c>
      <c r="FA178">
        <v>12</v>
      </c>
      <c r="FC178">
        <v>56</v>
      </c>
      <c r="FD178" s="1">
        <f t="shared" si="15"/>
        <v>84</v>
      </c>
      <c r="FF178" t="s">
        <v>4625</v>
      </c>
      <c r="FG178" t="s">
        <v>4624</v>
      </c>
      <c r="FH178" t="s">
        <v>4612</v>
      </c>
      <c r="FI178" t="s">
        <v>4612</v>
      </c>
    </row>
    <row r="179" spans="56:165" x14ac:dyDescent="0.35">
      <c r="BN179" s="6">
        <v>13</v>
      </c>
      <c r="BO179" s="6" t="s">
        <v>1401</v>
      </c>
      <c r="BR179" t="s">
        <v>1385</v>
      </c>
      <c r="BT179" t="s">
        <v>1374</v>
      </c>
      <c r="BV179" t="s">
        <v>1074</v>
      </c>
      <c r="BX179" t="s">
        <v>2079</v>
      </c>
      <c r="CK179" t="s">
        <v>2</v>
      </c>
      <c r="CL179" t="s">
        <v>2</v>
      </c>
      <c r="CM179" t="s">
        <v>4135</v>
      </c>
      <c r="CW179" s="6" t="s">
        <v>2195</v>
      </c>
      <c r="CZ179" t="s">
        <v>2</v>
      </c>
      <c r="DA179" s="1" t="s">
        <v>4136</v>
      </c>
      <c r="DB179" s="346" t="s">
        <v>2</v>
      </c>
      <c r="DC179" t="s">
        <v>4135</v>
      </c>
      <c r="DD179" s="343" t="s">
        <v>2</v>
      </c>
      <c r="DH179" s="1" t="s">
        <v>171</v>
      </c>
      <c r="DI179" t="s">
        <v>143</v>
      </c>
      <c r="DJ179" t="s">
        <v>4135</v>
      </c>
      <c r="DK179" s="1" t="s">
        <v>4136</v>
      </c>
      <c r="DL179" s="249" t="s">
        <v>1296</v>
      </c>
      <c r="DM179" s="347" t="s">
        <v>144</v>
      </c>
      <c r="DR179" s="6" t="s">
        <v>2663</v>
      </c>
      <c r="DS179" s="1" t="s">
        <v>4324</v>
      </c>
      <c r="DY179" s="9"/>
      <c r="DZ179" s="9"/>
      <c r="EA179" s="9"/>
      <c r="EB179" s="9"/>
      <c r="EC179" s="9"/>
      <c r="EF179">
        <v>7</v>
      </c>
      <c r="EG179" t="s">
        <v>1026</v>
      </c>
      <c r="EK179">
        <v>3</v>
      </c>
      <c r="EL179">
        <f t="shared" si="16"/>
        <v>21</v>
      </c>
      <c r="EM179" s="1" t="s">
        <v>4598</v>
      </c>
      <c r="EO179" t="s">
        <v>4600</v>
      </c>
      <c r="EQ179" s="1" t="s">
        <v>4599</v>
      </c>
      <c r="EU179">
        <v>6</v>
      </c>
      <c r="EV179" t="s">
        <v>1400</v>
      </c>
      <c r="EZ179">
        <v>16</v>
      </c>
      <c r="FA179">
        <v>12</v>
      </c>
      <c r="FC179">
        <v>56</v>
      </c>
      <c r="FD179" s="1">
        <f t="shared" si="15"/>
        <v>84</v>
      </c>
      <c r="FF179" t="s">
        <v>4626</v>
      </c>
      <c r="FG179" t="s">
        <v>4627</v>
      </c>
      <c r="FH179" t="s">
        <v>4613</v>
      </c>
      <c r="FI179" t="s">
        <v>4613</v>
      </c>
    </row>
    <row r="180" spans="56:165" x14ac:dyDescent="0.35">
      <c r="BQ180" t="s">
        <v>207</v>
      </c>
      <c r="BR180" t="s">
        <v>1378</v>
      </c>
      <c r="BT180" t="s">
        <v>1380</v>
      </c>
      <c r="BV180" t="s">
        <v>2058</v>
      </c>
      <c r="BW180" t="s">
        <v>396</v>
      </c>
      <c r="CK180" t="s">
        <v>4135</v>
      </c>
      <c r="CL180" t="s">
        <v>2</v>
      </c>
      <c r="CM180" t="s">
        <v>2</v>
      </c>
      <c r="CW180" s="6" t="s">
        <v>1485</v>
      </c>
      <c r="CZ180" t="s">
        <v>2</v>
      </c>
      <c r="DA180" t="s">
        <v>4135</v>
      </c>
      <c r="DB180" s="1" t="s">
        <v>4136</v>
      </c>
      <c r="DC180" s="247" t="s">
        <v>2</v>
      </c>
      <c r="DD180" s="343" t="s">
        <v>2</v>
      </c>
      <c r="DH180" s="1" t="s">
        <v>1296</v>
      </c>
      <c r="DI180" s="1" t="s">
        <v>4322</v>
      </c>
      <c r="DJ180" s="1" t="s">
        <v>4136</v>
      </c>
      <c r="DK180" s="346" t="s">
        <v>143</v>
      </c>
      <c r="DL180" s="247" t="s">
        <v>171</v>
      </c>
      <c r="DM180" t="s">
        <v>4135</v>
      </c>
      <c r="DR180" s="6" t="s">
        <v>2672</v>
      </c>
      <c r="DS180" s="1" t="s">
        <v>4328</v>
      </c>
      <c r="EF180">
        <v>8</v>
      </c>
      <c r="EG180" t="s">
        <v>1025</v>
      </c>
      <c r="EM180" s="1" t="s">
        <v>4601</v>
      </c>
      <c r="EQ180" s="1" t="s">
        <v>4602</v>
      </c>
      <c r="EU180">
        <v>7</v>
      </c>
      <c r="EV180" t="s">
        <v>4604</v>
      </c>
      <c r="EY180">
        <v>20</v>
      </c>
      <c r="EZ180">
        <v>32</v>
      </c>
      <c r="FA180">
        <v>24</v>
      </c>
      <c r="FC180">
        <v>0</v>
      </c>
      <c r="FD180" s="15">
        <f t="shared" si="15"/>
        <v>76</v>
      </c>
      <c r="FF180" t="s">
        <v>4630</v>
      </c>
      <c r="FG180" t="s">
        <v>4632</v>
      </c>
      <c r="FH180" t="s">
        <v>4629</v>
      </c>
    </row>
    <row r="181" spans="56:165" x14ac:dyDescent="0.35">
      <c r="BD181" t="s">
        <v>2117</v>
      </c>
      <c r="BG181" t="s">
        <v>2359</v>
      </c>
      <c r="BN181" s="6"/>
      <c r="BO181" s="6"/>
      <c r="BR181" t="s">
        <v>1386</v>
      </c>
      <c r="BT181" t="s">
        <v>1373</v>
      </c>
      <c r="BV181" t="s">
        <v>2058</v>
      </c>
      <c r="BX181" t="s">
        <v>1074</v>
      </c>
      <c r="CW181" s="6" t="s">
        <v>2196</v>
      </c>
      <c r="CZ181" t="s">
        <v>2</v>
      </c>
      <c r="DA181" s="1" t="s">
        <v>4136</v>
      </c>
      <c r="DB181" s="346" t="s">
        <v>2</v>
      </c>
      <c r="DC181" s="247" t="s">
        <v>2</v>
      </c>
      <c r="DD181" t="s">
        <v>4135</v>
      </c>
      <c r="DH181" s="1" t="s">
        <v>173</v>
      </c>
      <c r="DI181" s="1" t="s">
        <v>4322</v>
      </c>
      <c r="DJ181" s="348" t="s">
        <v>143</v>
      </c>
      <c r="DK181" s="1" t="s">
        <v>4136</v>
      </c>
      <c r="DL181" s="342" t="s">
        <v>799</v>
      </c>
      <c r="DM181" t="s">
        <v>4135</v>
      </c>
      <c r="DR181" s="6" t="s">
        <v>4325</v>
      </c>
      <c r="DS181" s="1" t="s">
        <v>4329</v>
      </c>
      <c r="EF181">
        <v>9</v>
      </c>
      <c r="EG181" t="s">
        <v>2195</v>
      </c>
      <c r="EK181">
        <v>4</v>
      </c>
      <c r="EL181">
        <f t="shared" si="16"/>
        <v>28</v>
      </c>
      <c r="EU181">
        <v>8</v>
      </c>
      <c r="EV181" t="s">
        <v>1026</v>
      </c>
      <c r="EY181">
        <v>20</v>
      </c>
      <c r="FB181">
        <v>28</v>
      </c>
      <c r="FC181">
        <v>40</v>
      </c>
      <c r="FD181" s="1">
        <f t="shared" si="15"/>
        <v>88</v>
      </c>
      <c r="FF181" t="s">
        <v>4628</v>
      </c>
      <c r="FG181" t="s">
        <v>4635</v>
      </c>
      <c r="FH181" t="s">
        <v>4614</v>
      </c>
      <c r="FI181" t="s">
        <v>4614</v>
      </c>
    </row>
    <row r="182" spans="56:165" x14ac:dyDescent="0.35">
      <c r="BD182" t="s">
        <v>2096</v>
      </c>
      <c r="BG182" t="s">
        <v>2663</v>
      </c>
      <c r="BN182" s="6"/>
      <c r="BO182" s="6"/>
      <c r="CF182" s="34"/>
      <c r="CW182" s="6" t="s">
        <v>1115</v>
      </c>
      <c r="CZ182" t="s">
        <v>2</v>
      </c>
      <c r="DA182" s="348" t="s">
        <v>2</v>
      </c>
      <c r="DB182" s="1" t="s">
        <v>4136</v>
      </c>
      <c r="DC182" s="342" t="s">
        <v>2</v>
      </c>
      <c r="DD182" t="s">
        <v>4135</v>
      </c>
      <c r="DH182" s="1" t="s">
        <v>799</v>
      </c>
      <c r="DI182" t="s">
        <v>144</v>
      </c>
      <c r="DJ182" t="s">
        <v>4135</v>
      </c>
      <c r="DK182" s="1" t="s">
        <v>4136</v>
      </c>
      <c r="DL182" s="356" t="s">
        <v>173</v>
      </c>
      <c r="DM182" s="357" t="s">
        <v>172</v>
      </c>
      <c r="DR182" s="6" t="s">
        <v>4326</v>
      </c>
      <c r="DS182" s="1" t="s">
        <v>4330</v>
      </c>
      <c r="EA182" s="9"/>
      <c r="EF182">
        <v>10</v>
      </c>
      <c r="EG182" t="s">
        <v>4374</v>
      </c>
      <c r="EK182">
        <v>2</v>
      </c>
      <c r="EL182">
        <f t="shared" si="16"/>
        <v>14</v>
      </c>
      <c r="EU182">
        <v>9</v>
      </c>
      <c r="EV182" t="s">
        <v>1025</v>
      </c>
      <c r="EY182">
        <v>20</v>
      </c>
      <c r="EZ182">
        <v>16</v>
      </c>
      <c r="FA182">
        <v>12</v>
      </c>
      <c r="FC182">
        <v>32</v>
      </c>
      <c r="FD182" s="1">
        <f t="shared" si="15"/>
        <v>80</v>
      </c>
      <c r="FF182" t="s">
        <v>4631</v>
      </c>
      <c r="FG182" t="s">
        <v>4633</v>
      </c>
      <c r="FH182" t="s">
        <v>4615</v>
      </c>
      <c r="FI182" t="s">
        <v>4615</v>
      </c>
    </row>
    <row r="183" spans="56:165" x14ac:dyDescent="0.35">
      <c r="BD183" t="s">
        <v>2316</v>
      </c>
      <c r="BG183" t="s">
        <v>2683</v>
      </c>
      <c r="BN183" s="6"/>
      <c r="BO183" s="6"/>
      <c r="CF183" s="34"/>
      <c r="CP183" t="s">
        <v>143</v>
      </c>
      <c r="CQ183" t="s">
        <v>2</v>
      </c>
      <c r="CR183" t="s">
        <v>2</v>
      </c>
      <c r="CS183" t="s">
        <v>4135</v>
      </c>
      <c r="CT183" t="s">
        <v>2</v>
      </c>
      <c r="CW183" s="6" t="s">
        <v>1116</v>
      </c>
      <c r="CZ183" t="s">
        <v>2</v>
      </c>
      <c r="DA183" t="s">
        <v>4135</v>
      </c>
      <c r="DB183" s="1" t="s">
        <v>4136</v>
      </c>
      <c r="DC183" s="342" t="s">
        <v>2</v>
      </c>
      <c r="DD183" s="347" t="s">
        <v>2</v>
      </c>
      <c r="DR183" s="1" t="s">
        <v>3976</v>
      </c>
      <c r="DT183" s="6" t="s">
        <v>4333</v>
      </c>
      <c r="EA183" s="9"/>
      <c r="EF183">
        <v>11</v>
      </c>
      <c r="EG183" t="s">
        <v>2196</v>
      </c>
      <c r="EK183">
        <v>1</v>
      </c>
      <c r="EL183">
        <f t="shared" si="16"/>
        <v>7</v>
      </c>
      <c r="EU183">
        <v>10</v>
      </c>
      <c r="EV183" t="s">
        <v>2195</v>
      </c>
      <c r="EZ183">
        <v>16</v>
      </c>
      <c r="FA183">
        <v>12</v>
      </c>
      <c r="FB183">
        <v>28</v>
      </c>
      <c r="FC183">
        <v>40</v>
      </c>
      <c r="FD183" s="20">
        <f t="shared" si="15"/>
        <v>96</v>
      </c>
      <c r="FF183" t="s">
        <v>4636</v>
      </c>
      <c r="FG183" t="s">
        <v>4634</v>
      </c>
      <c r="FH183" t="s">
        <v>4616</v>
      </c>
      <c r="FI183" t="s">
        <v>4616</v>
      </c>
    </row>
    <row r="184" spans="56:165" x14ac:dyDescent="0.35">
      <c r="BG184" t="s">
        <v>4187</v>
      </c>
      <c r="BN184" s="6"/>
      <c r="BO184" s="6"/>
      <c r="CF184" s="34"/>
      <c r="CP184" t="s">
        <v>144</v>
      </c>
      <c r="CQ184" t="s">
        <v>2</v>
      </c>
      <c r="CR184" t="s">
        <v>2</v>
      </c>
      <c r="CS184" t="s">
        <v>4135</v>
      </c>
      <c r="CT184" t="s">
        <v>2</v>
      </c>
      <c r="CW184" s="6" t="s">
        <v>1401</v>
      </c>
      <c r="DR184" s="1" t="s">
        <v>4327</v>
      </c>
      <c r="DT184" s="6" t="s">
        <v>4334</v>
      </c>
      <c r="EA184" s="9"/>
      <c r="EF184">
        <v>12</v>
      </c>
      <c r="EG184" t="s">
        <v>4477</v>
      </c>
      <c r="EU184">
        <v>11</v>
      </c>
      <c r="EV184" t="s">
        <v>4603</v>
      </c>
      <c r="FA184">
        <v>8</v>
      </c>
      <c r="FB184">
        <v>70</v>
      </c>
      <c r="FC184">
        <v>0</v>
      </c>
      <c r="FD184" s="15">
        <f t="shared" si="15"/>
        <v>78</v>
      </c>
      <c r="FF184" t="s">
        <v>4637</v>
      </c>
      <c r="FG184" t="s">
        <v>4640</v>
      </c>
      <c r="FH184" t="s">
        <v>4645</v>
      </c>
      <c r="FI184" t="s">
        <v>4638</v>
      </c>
    </row>
    <row r="185" spans="56:165" x14ac:dyDescent="0.35">
      <c r="BD185" t="s">
        <v>2097</v>
      </c>
      <c r="BG185" t="s">
        <v>3972</v>
      </c>
      <c r="BN185" s="6"/>
      <c r="BO185" s="6"/>
      <c r="BP185" s="1" t="s">
        <v>2374</v>
      </c>
      <c r="BQ185" s="1" t="s">
        <v>1767</v>
      </c>
      <c r="BR185" s="1" t="s">
        <v>2117</v>
      </c>
      <c r="BS185" s="1" t="s">
        <v>2359</v>
      </c>
      <c r="BT185" s="1" t="s">
        <v>1774</v>
      </c>
      <c r="BU185" s="1" t="s">
        <v>2372</v>
      </c>
      <c r="BV185" s="1" t="s">
        <v>1767</v>
      </c>
      <c r="BW185" s="1" t="s">
        <v>2117</v>
      </c>
      <c r="BX185" s="1" t="s">
        <v>2359</v>
      </c>
      <c r="BY185" s="1" t="s">
        <v>1774</v>
      </c>
      <c r="BZ185" s="1" t="s">
        <v>2373</v>
      </c>
      <c r="CA185" s="1" t="s">
        <v>2372</v>
      </c>
      <c r="CB185" s="1" t="s">
        <v>180</v>
      </c>
      <c r="CD185">
        <f>CE197-CD197</f>
        <v>0</v>
      </c>
      <c r="CE185" t="s">
        <v>4783</v>
      </c>
      <c r="CP185" t="s">
        <v>3579</v>
      </c>
      <c r="CQ185" t="s">
        <v>2</v>
      </c>
      <c r="CR185" t="s">
        <v>4135</v>
      </c>
      <c r="CS185" t="s">
        <v>2</v>
      </c>
      <c r="CT185" t="s">
        <v>2</v>
      </c>
      <c r="CZ185">
        <v>56</v>
      </c>
      <c r="DA185">
        <v>40</v>
      </c>
      <c r="DB185">
        <v>32</v>
      </c>
      <c r="DC185">
        <v>40</v>
      </c>
      <c r="DD185">
        <v>56</v>
      </c>
      <c r="DH185" s="1" t="s">
        <v>4323</v>
      </c>
      <c r="DM185" s="1" t="s">
        <v>4370</v>
      </c>
      <c r="DO185" s="1" t="s">
        <v>4322</v>
      </c>
      <c r="DR185" s="1" t="s">
        <v>4331</v>
      </c>
      <c r="DT185" s="6" t="s">
        <v>4335</v>
      </c>
      <c r="EA185" s="9"/>
      <c r="EF185">
        <v>13</v>
      </c>
      <c r="EG185" t="s">
        <v>4477</v>
      </c>
      <c r="EU185">
        <v>12</v>
      </c>
      <c r="EV185" t="s">
        <v>2196</v>
      </c>
      <c r="EY185">
        <v>20</v>
      </c>
      <c r="FB185">
        <v>7</v>
      </c>
      <c r="FC185">
        <v>56</v>
      </c>
      <c r="FD185" s="1">
        <f>SUM(EY185:FC185)</f>
        <v>83</v>
      </c>
      <c r="FF185" t="s">
        <v>4639</v>
      </c>
      <c r="FG185" t="s">
        <v>4646</v>
      </c>
      <c r="FH185" t="s">
        <v>4617</v>
      </c>
      <c r="FI185" t="s">
        <v>4617</v>
      </c>
    </row>
    <row r="186" spans="56:165" x14ac:dyDescent="0.35">
      <c r="BD186" t="s">
        <v>2103</v>
      </c>
      <c r="BG186" t="s">
        <v>2667</v>
      </c>
      <c r="BN186" s="6"/>
      <c r="BO186" s="6" t="s">
        <v>1400</v>
      </c>
      <c r="BP186" s="1">
        <v>0</v>
      </c>
      <c r="BQ186" s="1"/>
      <c r="BR186" s="1"/>
      <c r="BS186" s="1"/>
      <c r="BT186" s="1"/>
      <c r="BU186" s="1">
        <v>1</v>
      </c>
      <c r="BV186" s="1"/>
      <c r="BW186" s="1"/>
      <c r="BX186" s="1"/>
      <c r="BY186" s="1"/>
      <c r="BZ186" s="1">
        <f t="shared" ref="BZ186:BZ204" si="17">SUM(BV186:BY186)</f>
        <v>0</v>
      </c>
      <c r="CA186" s="1">
        <v>56</v>
      </c>
      <c r="CB186" s="1">
        <f>SUM(BZ186:CA186)</f>
        <v>56</v>
      </c>
      <c r="CD186" s="154">
        <f ca="1">DATE(2021,5,8)-TODAY()</f>
        <v>-430</v>
      </c>
      <c r="CE186" t="s">
        <v>4784</v>
      </c>
      <c r="CL186" s="6" t="s">
        <v>1484</v>
      </c>
      <c r="CP186" t="s">
        <v>172</v>
      </c>
      <c r="CQ186" t="s">
        <v>2</v>
      </c>
      <c r="CR186" t="s">
        <v>2</v>
      </c>
      <c r="CS186" t="s">
        <v>2</v>
      </c>
      <c r="CT186" t="s">
        <v>4135</v>
      </c>
      <c r="DH186" s="6" t="s">
        <v>824</v>
      </c>
      <c r="DI186" t="s">
        <v>144</v>
      </c>
      <c r="DJ186" t="s">
        <v>799</v>
      </c>
      <c r="DL186" t="s">
        <v>4362</v>
      </c>
      <c r="DM186" s="1" t="s">
        <v>4366</v>
      </c>
      <c r="DO186" t="s">
        <v>4371</v>
      </c>
      <c r="DP186" t="s">
        <v>172</v>
      </c>
      <c r="DR186" s="1" t="s">
        <v>4332</v>
      </c>
      <c r="DT186" s="6" t="s">
        <v>4336</v>
      </c>
      <c r="EA186" s="9"/>
      <c r="EF186">
        <v>14</v>
      </c>
      <c r="EG186" t="s">
        <v>4477</v>
      </c>
      <c r="EU186">
        <v>13</v>
      </c>
      <c r="EV186" t="s">
        <v>4604</v>
      </c>
      <c r="EY186">
        <v>16</v>
      </c>
      <c r="EZ186">
        <v>16</v>
      </c>
      <c r="FA186">
        <v>16</v>
      </c>
      <c r="FC186">
        <v>0</v>
      </c>
      <c r="FD186" s="15">
        <f t="shared" si="15"/>
        <v>48</v>
      </c>
      <c r="FF186" t="s">
        <v>4642</v>
      </c>
      <c r="FG186" t="s">
        <v>4641</v>
      </c>
      <c r="FH186" t="s">
        <v>4643</v>
      </c>
    </row>
    <row r="187" spans="56:165" x14ac:dyDescent="0.35">
      <c r="BG187" t="s">
        <v>4185</v>
      </c>
      <c r="BN187" s="6"/>
      <c r="BO187" s="6" t="s">
        <v>1484</v>
      </c>
      <c r="BP187" s="1">
        <v>1</v>
      </c>
      <c r="BQ187" s="1"/>
      <c r="BR187" s="1"/>
      <c r="BS187" s="1"/>
      <c r="BT187" s="1"/>
      <c r="BU187" s="1">
        <v>2</v>
      </c>
      <c r="BV187" s="1"/>
      <c r="BW187" s="1"/>
      <c r="BX187" s="1"/>
      <c r="BY187" s="1"/>
      <c r="BZ187" s="1">
        <f t="shared" si="17"/>
        <v>0</v>
      </c>
      <c r="CA187" s="1">
        <v>56</v>
      </c>
      <c r="CB187" s="1">
        <f t="shared" ref="CB187:CB201" si="18">SUM(BZ187:CA187)</f>
        <v>56</v>
      </c>
      <c r="CD187">
        <f ca="1">CD185/CD186</f>
        <v>0</v>
      </c>
      <c r="CE187" t="s">
        <v>4785</v>
      </c>
      <c r="CL187" s="6" t="s">
        <v>1400</v>
      </c>
      <c r="CP187" t="s">
        <v>799</v>
      </c>
      <c r="CQ187" t="s">
        <v>2</v>
      </c>
      <c r="CR187" t="s">
        <v>2</v>
      </c>
      <c r="CS187" t="s">
        <v>4135</v>
      </c>
      <c r="CT187" t="s">
        <v>2</v>
      </c>
      <c r="DH187" s="6" t="s">
        <v>821</v>
      </c>
      <c r="DI187" t="s">
        <v>143</v>
      </c>
      <c r="DJ187" t="s">
        <v>171</v>
      </c>
      <c r="DL187" t="s">
        <v>4367</v>
      </c>
      <c r="DM187" s="1" t="s">
        <v>4363</v>
      </c>
      <c r="DO187" t="s">
        <v>4372</v>
      </c>
      <c r="DP187" t="s">
        <v>1296</v>
      </c>
      <c r="DR187" s="1" t="s">
        <v>3993</v>
      </c>
      <c r="DT187" s="6" t="s">
        <v>2665</v>
      </c>
      <c r="EA187" s="9"/>
      <c r="EF187">
        <v>15</v>
      </c>
      <c r="EG187" t="s">
        <v>1401</v>
      </c>
      <c r="EU187">
        <v>14</v>
      </c>
      <c r="EV187" t="s">
        <v>4477</v>
      </c>
      <c r="EY187">
        <v>16</v>
      </c>
      <c r="FC187">
        <v>56</v>
      </c>
      <c r="FD187" s="1">
        <f t="shared" si="15"/>
        <v>72</v>
      </c>
      <c r="FF187" t="s">
        <v>4644</v>
      </c>
      <c r="FH187" t="s">
        <v>4618</v>
      </c>
      <c r="FI187" t="s">
        <v>4618</v>
      </c>
    </row>
    <row r="188" spans="56:165" x14ac:dyDescent="0.35">
      <c r="BD188" t="s">
        <v>2098</v>
      </c>
      <c r="BG188" t="s">
        <v>4185</v>
      </c>
      <c r="BN188" s="6"/>
      <c r="BO188" s="6" t="s">
        <v>1027</v>
      </c>
      <c r="BP188" s="1">
        <v>2</v>
      </c>
      <c r="BQ188" s="1"/>
      <c r="BR188" s="1"/>
      <c r="BS188" s="1"/>
      <c r="BT188" s="1"/>
      <c r="BU188" s="1">
        <v>3</v>
      </c>
      <c r="BV188" s="1"/>
      <c r="BW188" s="1"/>
      <c r="BX188" s="1"/>
      <c r="BY188" s="1"/>
      <c r="BZ188" s="1">
        <f t="shared" si="17"/>
        <v>0</v>
      </c>
      <c r="CA188" s="1">
        <v>56</v>
      </c>
      <c r="CB188" s="1">
        <f t="shared" si="18"/>
        <v>56</v>
      </c>
      <c r="CD188">
        <f ca="1">CD185/(CD186/7)</f>
        <v>0</v>
      </c>
      <c r="CE188" s="6" t="s">
        <v>4786</v>
      </c>
      <c r="CL188" s="6" t="s">
        <v>1113</v>
      </c>
      <c r="CP188" t="s">
        <v>173</v>
      </c>
      <c r="CQ188" t="s">
        <v>2</v>
      </c>
      <c r="CR188" t="s">
        <v>2</v>
      </c>
      <c r="CS188" t="s">
        <v>4135</v>
      </c>
      <c r="CT188" t="s">
        <v>2</v>
      </c>
      <c r="DL188" s="6" t="s">
        <v>4369</v>
      </c>
      <c r="DM188" s="1" t="s">
        <v>4364</v>
      </c>
      <c r="DO188" t="s">
        <v>4373</v>
      </c>
      <c r="DP188" t="s">
        <v>173</v>
      </c>
      <c r="DR188" s="1" t="s">
        <v>4337</v>
      </c>
      <c r="DT188" s="6" t="s">
        <v>2674</v>
      </c>
      <c r="EA188" s="9"/>
      <c r="EU188">
        <v>15</v>
      </c>
      <c r="EV188" t="s">
        <v>4603</v>
      </c>
      <c r="EY188">
        <v>8</v>
      </c>
      <c r="EZ188">
        <v>4</v>
      </c>
      <c r="FA188">
        <v>4</v>
      </c>
      <c r="FB188">
        <v>14</v>
      </c>
      <c r="FC188">
        <v>0</v>
      </c>
      <c r="FD188" s="15">
        <f t="shared" si="15"/>
        <v>30</v>
      </c>
      <c r="FF188" t="s">
        <v>4647</v>
      </c>
      <c r="FG188" t="s">
        <v>4648</v>
      </c>
      <c r="FH188" t="s">
        <v>4649</v>
      </c>
      <c r="FI188" t="s">
        <v>4659</v>
      </c>
    </row>
    <row r="189" spans="56:165" x14ac:dyDescent="0.35">
      <c r="BD189" t="s">
        <v>2315</v>
      </c>
      <c r="BG189" t="s">
        <v>2673</v>
      </c>
      <c r="BO189" s="6" t="s">
        <v>1113</v>
      </c>
      <c r="BP189" s="1">
        <v>3</v>
      </c>
      <c r="BQ189" s="1">
        <v>1</v>
      </c>
      <c r="BR189" s="1"/>
      <c r="BS189" s="1"/>
      <c r="BT189" s="1"/>
      <c r="BU189" s="1">
        <v>4</v>
      </c>
      <c r="BV189" s="1">
        <v>20</v>
      </c>
      <c r="BW189" s="1"/>
      <c r="BX189" s="1"/>
      <c r="BY189" s="1"/>
      <c r="BZ189" s="1">
        <f t="shared" si="17"/>
        <v>20</v>
      </c>
      <c r="CA189" s="1">
        <v>56</v>
      </c>
      <c r="CB189" s="1">
        <f t="shared" si="18"/>
        <v>76</v>
      </c>
      <c r="CL189" s="6" t="s">
        <v>1027</v>
      </c>
      <c r="CP189" t="s">
        <v>1296</v>
      </c>
      <c r="CQ189" t="s">
        <v>2</v>
      </c>
      <c r="CR189" t="s">
        <v>2</v>
      </c>
      <c r="CS189" t="s">
        <v>4135</v>
      </c>
      <c r="CT189" t="s">
        <v>2</v>
      </c>
      <c r="DL189" s="6" t="s">
        <v>4365</v>
      </c>
      <c r="DM189" s="1" t="s">
        <v>4368</v>
      </c>
      <c r="DR189" s="1" t="s">
        <v>4338</v>
      </c>
      <c r="DT189" s="6" t="s">
        <v>4339</v>
      </c>
      <c r="EU189">
        <v>16</v>
      </c>
      <c r="EV189" t="s">
        <v>4477</v>
      </c>
      <c r="EY189">
        <v>8</v>
      </c>
      <c r="EZ189">
        <v>4</v>
      </c>
      <c r="FA189">
        <v>4</v>
      </c>
      <c r="FC189">
        <v>56</v>
      </c>
      <c r="FD189" s="1">
        <f t="shared" si="15"/>
        <v>72</v>
      </c>
      <c r="FF189" t="s">
        <v>4650</v>
      </c>
      <c r="FG189" t="s">
        <v>4651</v>
      </c>
      <c r="FH189" t="s">
        <v>4619</v>
      </c>
      <c r="FI189" t="s">
        <v>4619</v>
      </c>
    </row>
    <row r="190" spans="56:165" x14ac:dyDescent="0.35">
      <c r="BG190" t="s">
        <v>2685</v>
      </c>
      <c r="BO190" s="92" t="s">
        <v>1026</v>
      </c>
      <c r="BP190" s="1">
        <v>4</v>
      </c>
      <c r="BQ190" s="1">
        <v>2</v>
      </c>
      <c r="BR190" s="1"/>
      <c r="BS190" s="1"/>
      <c r="BT190" s="1">
        <v>1</v>
      </c>
      <c r="BU190" s="1">
        <v>5</v>
      </c>
      <c r="BV190" s="1">
        <v>20</v>
      </c>
      <c r="BW190" s="1"/>
      <c r="BX190" s="1"/>
      <c r="BY190" s="1">
        <v>28</v>
      </c>
      <c r="BZ190" s="1">
        <f t="shared" si="17"/>
        <v>48</v>
      </c>
      <c r="CA190" s="1">
        <v>56</v>
      </c>
      <c r="CB190" s="1">
        <f t="shared" si="18"/>
        <v>104</v>
      </c>
      <c r="CD190" s="1" t="s">
        <v>2228</v>
      </c>
      <c r="CE190" s="1" t="s">
        <v>2229</v>
      </c>
      <c r="CF190" s="1"/>
      <c r="CL190" s="6" t="s">
        <v>1114</v>
      </c>
      <c r="DA190" s="72" t="s">
        <v>1484</v>
      </c>
      <c r="DB190">
        <v>1</v>
      </c>
      <c r="DC190" t="s">
        <v>2687</v>
      </c>
      <c r="DD190" t="s">
        <v>3972</v>
      </c>
      <c r="DR190" s="1" t="s">
        <v>3977</v>
      </c>
      <c r="DT190" s="6" t="s">
        <v>4340</v>
      </c>
      <c r="EH190">
        <v>4</v>
      </c>
      <c r="EJ190">
        <v>6</v>
      </c>
      <c r="EL190">
        <v>6</v>
      </c>
      <c r="EM190">
        <v>2</v>
      </c>
      <c r="EN190">
        <v>4</v>
      </c>
      <c r="EO190">
        <v>2</v>
      </c>
      <c r="EP190">
        <v>3</v>
      </c>
      <c r="EQ190">
        <v>1</v>
      </c>
      <c r="ER190">
        <v>1</v>
      </c>
      <c r="ES190">
        <v>1</v>
      </c>
      <c r="ET190">
        <v>1</v>
      </c>
      <c r="EU190">
        <v>17</v>
      </c>
      <c r="EV190" t="s">
        <v>4477</v>
      </c>
      <c r="EY190">
        <v>4</v>
      </c>
      <c r="EZ190">
        <v>2</v>
      </c>
      <c r="FA190">
        <v>2</v>
      </c>
      <c r="FC190">
        <v>56</v>
      </c>
      <c r="FD190" s="1">
        <f t="shared" si="15"/>
        <v>64</v>
      </c>
      <c r="FF190" t="s">
        <v>4652</v>
      </c>
      <c r="FG190" t="s">
        <v>4653</v>
      </c>
      <c r="FH190" t="s">
        <v>4620</v>
      </c>
      <c r="FI190" t="s">
        <v>4620</v>
      </c>
    </row>
    <row r="191" spans="56:165" x14ac:dyDescent="0.35">
      <c r="BD191" t="s">
        <v>2099</v>
      </c>
      <c r="BO191" s="92" t="s">
        <v>1114</v>
      </c>
      <c r="BP191" s="1">
        <v>5</v>
      </c>
      <c r="BQ191" s="1"/>
      <c r="BR191" s="1" t="s">
        <v>2085</v>
      </c>
      <c r="BS191" s="1"/>
      <c r="BT191" s="1">
        <v>2</v>
      </c>
      <c r="BU191" s="1">
        <v>6</v>
      </c>
      <c r="BV191" s="1"/>
      <c r="BW191" s="1">
        <v>32</v>
      </c>
      <c r="BX191" s="1"/>
      <c r="BY191" s="1">
        <v>28</v>
      </c>
      <c r="BZ191" s="1">
        <f t="shared" si="17"/>
        <v>60</v>
      </c>
      <c r="CA191" s="1">
        <v>56</v>
      </c>
      <c r="CB191" s="1">
        <f t="shared" si="18"/>
        <v>116</v>
      </c>
      <c r="CD191" s="1">
        <f>56*13+7</f>
        <v>735</v>
      </c>
      <c r="CE191" s="1">
        <f>56*13+7</f>
        <v>735</v>
      </c>
      <c r="CF191" s="1" t="s">
        <v>2370</v>
      </c>
      <c r="CL191" s="6" t="s">
        <v>1026</v>
      </c>
      <c r="CR191">
        <v>124567</v>
      </c>
      <c r="CS191">
        <v>34</v>
      </c>
      <c r="CT191">
        <v>172635</v>
      </c>
      <c r="DA191" s="72" t="s">
        <v>1400</v>
      </c>
      <c r="DB191">
        <v>2</v>
      </c>
      <c r="DC191" t="s">
        <v>3948</v>
      </c>
      <c r="DD191" t="s">
        <v>3973</v>
      </c>
      <c r="DR191" s="6" t="s">
        <v>4341</v>
      </c>
      <c r="DS191" s="1" t="s">
        <v>4344</v>
      </c>
      <c r="EU191">
        <v>18</v>
      </c>
      <c r="EV191" t="s">
        <v>1401</v>
      </c>
      <c r="EY191">
        <v>4</v>
      </c>
      <c r="EZ191">
        <v>2</v>
      </c>
      <c r="FA191">
        <v>2</v>
      </c>
      <c r="FC191">
        <v>56</v>
      </c>
      <c r="FD191" s="20">
        <f t="shared" si="15"/>
        <v>64</v>
      </c>
      <c r="FF191" t="s">
        <v>4654</v>
      </c>
      <c r="FG191" t="s">
        <v>4655</v>
      </c>
      <c r="FH191" t="s">
        <v>4621</v>
      </c>
      <c r="FI191" t="s">
        <v>4621</v>
      </c>
    </row>
    <row r="192" spans="56:165" x14ac:dyDescent="0.35">
      <c r="BD192" t="s">
        <v>2103</v>
      </c>
      <c r="BG192" t="s">
        <v>2665</v>
      </c>
      <c r="BO192" s="6" t="s">
        <v>1025</v>
      </c>
      <c r="BP192" s="1">
        <v>6</v>
      </c>
      <c r="BQ192" s="1">
        <v>3</v>
      </c>
      <c r="BR192" s="1"/>
      <c r="BS192" s="1" t="s">
        <v>2086</v>
      </c>
      <c r="BT192" s="1"/>
      <c r="BU192" s="1">
        <v>7</v>
      </c>
      <c r="BV192" s="1">
        <v>40</v>
      </c>
      <c r="BW192" s="1"/>
      <c r="BX192" s="1">
        <v>24</v>
      </c>
      <c r="BY192" s="1"/>
      <c r="BZ192" s="1">
        <f t="shared" si="17"/>
        <v>64</v>
      </c>
      <c r="CA192" s="1">
        <v>56</v>
      </c>
      <c r="CB192" s="1">
        <f t="shared" si="18"/>
        <v>120</v>
      </c>
      <c r="CD192" s="1">
        <v>182</v>
      </c>
      <c r="CE192" s="1">
        <v>182</v>
      </c>
      <c r="CF192" s="1" t="s">
        <v>2369</v>
      </c>
      <c r="CL192" s="6" t="s">
        <v>1025</v>
      </c>
      <c r="DA192" s="72" t="s">
        <v>1113</v>
      </c>
      <c r="DB192">
        <v>3</v>
      </c>
      <c r="DC192" t="s">
        <v>3949</v>
      </c>
      <c r="DD192" t="s">
        <v>3974</v>
      </c>
      <c r="DR192" s="6" t="s">
        <v>4342</v>
      </c>
      <c r="DS192" s="1" t="s">
        <v>4345</v>
      </c>
      <c r="EH192">
        <v>9</v>
      </c>
      <c r="EJ192">
        <v>5</v>
      </c>
      <c r="EL192">
        <v>1</v>
      </c>
      <c r="EN192">
        <v>1</v>
      </c>
      <c r="EP192">
        <v>1</v>
      </c>
      <c r="ES192">
        <v>1</v>
      </c>
      <c r="EU192">
        <v>19</v>
      </c>
      <c r="EV192" t="s">
        <v>4605</v>
      </c>
      <c r="EY192">
        <v>2</v>
      </c>
      <c r="EZ192">
        <v>1</v>
      </c>
      <c r="FA192">
        <v>1</v>
      </c>
      <c r="FC192">
        <v>7</v>
      </c>
      <c r="FD192" s="1">
        <f t="shared" si="15"/>
        <v>11</v>
      </c>
      <c r="FF192" t="s">
        <v>4480</v>
      </c>
      <c r="FG192" t="s">
        <v>4656</v>
      </c>
      <c r="FH192" t="s">
        <v>4658</v>
      </c>
    </row>
    <row r="193" spans="56:165" x14ac:dyDescent="0.35">
      <c r="BG193" t="s">
        <v>2686</v>
      </c>
      <c r="BO193" s="6" t="s">
        <v>1485</v>
      </c>
      <c r="BP193" s="1">
        <v>7</v>
      </c>
      <c r="BQ193" s="1"/>
      <c r="BR193" s="1" t="s">
        <v>2087</v>
      </c>
      <c r="BS193" s="1"/>
      <c r="BT193" s="1" t="s">
        <v>1711</v>
      </c>
      <c r="BU193" s="1">
        <v>8</v>
      </c>
      <c r="BV193" s="1"/>
      <c r="BW193" s="1">
        <v>32</v>
      </c>
      <c r="BX193" s="1"/>
      <c r="BY193" s="1">
        <v>28</v>
      </c>
      <c r="BZ193" s="1">
        <f t="shared" si="17"/>
        <v>60</v>
      </c>
      <c r="CA193" s="1">
        <v>56</v>
      </c>
      <c r="CB193" s="1">
        <f t="shared" si="18"/>
        <v>116</v>
      </c>
      <c r="CD193" s="1">
        <v>126</v>
      </c>
      <c r="CE193" s="1">
        <v>126</v>
      </c>
      <c r="CF193" s="1" t="s">
        <v>2368</v>
      </c>
      <c r="CL193" s="6" t="s">
        <v>1485</v>
      </c>
      <c r="CP193" t="s">
        <v>173</v>
      </c>
      <c r="CQ193" t="s">
        <v>837</v>
      </c>
      <c r="CR193" t="s">
        <v>396</v>
      </c>
      <c r="CT193" t="s">
        <v>396</v>
      </c>
      <c r="CV193" t="s">
        <v>1296</v>
      </c>
      <c r="CW193" t="s">
        <v>172</v>
      </c>
      <c r="CX193" t="s">
        <v>144</v>
      </c>
      <c r="DA193" s="72" t="s">
        <v>1027</v>
      </c>
      <c r="DB193">
        <v>4</v>
      </c>
      <c r="DC193" t="s">
        <v>3950</v>
      </c>
      <c r="DD193" t="s">
        <v>3975</v>
      </c>
      <c r="DR193" s="6" t="s">
        <v>4343</v>
      </c>
      <c r="DS193" s="1" t="s">
        <v>4346</v>
      </c>
      <c r="EH193">
        <v>16</v>
      </c>
      <c r="EJ193">
        <v>12</v>
      </c>
      <c r="EL193">
        <v>8</v>
      </c>
      <c r="EN193">
        <v>4</v>
      </c>
      <c r="EP193">
        <v>2</v>
      </c>
      <c r="ES193">
        <v>2</v>
      </c>
      <c r="EU193">
        <v>20</v>
      </c>
      <c r="EV193" t="s">
        <v>4605</v>
      </c>
      <c r="EY193">
        <v>2</v>
      </c>
      <c r="EZ193">
        <v>1</v>
      </c>
      <c r="FA193">
        <v>1</v>
      </c>
      <c r="FD193" s="1">
        <f t="shared" si="15"/>
        <v>4</v>
      </c>
      <c r="FF193" t="s">
        <v>4481</v>
      </c>
      <c r="FG193" t="s">
        <v>4656</v>
      </c>
    </row>
    <row r="194" spans="56:165" x14ac:dyDescent="0.35">
      <c r="BG194" t="s">
        <v>2675</v>
      </c>
      <c r="BO194" s="6" t="s">
        <v>2195</v>
      </c>
      <c r="BP194" s="1">
        <v>8</v>
      </c>
      <c r="BQ194" s="1">
        <v>4</v>
      </c>
      <c r="BR194" s="1"/>
      <c r="BS194" s="1" t="s">
        <v>2088</v>
      </c>
      <c r="BT194" s="1"/>
      <c r="BU194" s="1">
        <v>9</v>
      </c>
      <c r="BV194" s="1">
        <v>40</v>
      </c>
      <c r="BW194" s="1"/>
      <c r="BX194" s="1">
        <v>24</v>
      </c>
      <c r="BY194" s="1"/>
      <c r="BZ194" s="1">
        <f t="shared" si="17"/>
        <v>64</v>
      </c>
      <c r="CA194" s="1">
        <v>56</v>
      </c>
      <c r="CB194" s="1">
        <f t="shared" si="18"/>
        <v>120</v>
      </c>
      <c r="CD194" s="1">
        <v>126</v>
      </c>
      <c r="CE194" s="1">
        <v>126</v>
      </c>
      <c r="CF194" s="1" t="s">
        <v>2112</v>
      </c>
      <c r="CL194" s="6" t="s">
        <v>2195</v>
      </c>
      <c r="CP194" t="s">
        <v>172</v>
      </c>
      <c r="CQ194" t="s">
        <v>836</v>
      </c>
      <c r="CR194" t="s">
        <v>396</v>
      </c>
      <c r="CT194" t="s">
        <v>836</v>
      </c>
      <c r="CV194" t="s">
        <v>799</v>
      </c>
      <c r="CW194" t="s">
        <v>173</v>
      </c>
      <c r="CX194" t="s">
        <v>143</v>
      </c>
      <c r="DA194" s="72" t="s">
        <v>1114</v>
      </c>
      <c r="DB194">
        <v>5</v>
      </c>
      <c r="DC194" t="s">
        <v>3951</v>
      </c>
      <c r="DD194" t="s">
        <v>3976</v>
      </c>
      <c r="DR194" s="6" t="s">
        <v>3994</v>
      </c>
      <c r="DS194" s="1" t="s">
        <v>4347</v>
      </c>
      <c r="EU194">
        <v>21</v>
      </c>
      <c r="EV194" t="s">
        <v>4605</v>
      </c>
      <c r="EY194">
        <v>2</v>
      </c>
      <c r="FD194" s="1">
        <f t="shared" si="15"/>
        <v>2</v>
      </c>
      <c r="FF194" t="s">
        <v>4657</v>
      </c>
      <c r="FG194" t="s">
        <v>4657</v>
      </c>
    </row>
    <row r="195" spans="56:165" x14ac:dyDescent="0.35">
      <c r="BG195" t="s">
        <v>3980</v>
      </c>
      <c r="BO195" s="6" t="s">
        <v>1115</v>
      </c>
      <c r="BP195" s="1">
        <v>9</v>
      </c>
      <c r="BQ195" s="1"/>
      <c r="BR195" s="1" t="s">
        <v>2215</v>
      </c>
      <c r="BS195" s="1"/>
      <c r="BT195" s="1" t="s">
        <v>1696</v>
      </c>
      <c r="BU195" s="1">
        <v>10</v>
      </c>
      <c r="BV195" s="1"/>
      <c r="BW195" s="1">
        <v>32</v>
      </c>
      <c r="BX195" s="1"/>
      <c r="BY195" s="1">
        <v>28</v>
      </c>
      <c r="BZ195" s="1">
        <f t="shared" si="17"/>
        <v>60</v>
      </c>
      <c r="CA195" s="1">
        <v>56</v>
      </c>
      <c r="CB195" s="1">
        <f t="shared" si="18"/>
        <v>116</v>
      </c>
      <c r="CD195" s="1">
        <v>110</v>
      </c>
      <c r="CE195" s="1">
        <v>110</v>
      </c>
      <c r="CF195" s="1" t="s">
        <v>2371</v>
      </c>
      <c r="CL195" s="6" t="s">
        <v>1115</v>
      </c>
      <c r="CP195" t="s">
        <v>171</v>
      </c>
      <c r="CQ195" t="s">
        <v>396</v>
      </c>
      <c r="CS195" t="s">
        <v>396</v>
      </c>
      <c r="CT195" t="s">
        <v>837</v>
      </c>
      <c r="CV195" t="s">
        <v>4139</v>
      </c>
      <c r="CW195" s="1" t="s">
        <v>1296</v>
      </c>
      <c r="CX195" t="s">
        <v>799</v>
      </c>
      <c r="DA195" s="72" t="s">
        <v>1026</v>
      </c>
      <c r="DB195">
        <v>6</v>
      </c>
      <c r="DC195" t="s">
        <v>3952</v>
      </c>
      <c r="DD195" t="s">
        <v>3977</v>
      </c>
      <c r="DS195" s="6" t="s">
        <v>4354</v>
      </c>
      <c r="DT195" s="1" t="s">
        <v>4358</v>
      </c>
      <c r="EH195">
        <v>12</v>
      </c>
      <c r="EJ195">
        <v>8</v>
      </c>
      <c r="EL195">
        <v>4</v>
      </c>
      <c r="EN195">
        <v>2</v>
      </c>
      <c r="EU195">
        <v>22</v>
      </c>
      <c r="EV195" t="s">
        <v>4606</v>
      </c>
      <c r="FC195">
        <v>8</v>
      </c>
      <c r="FD195" s="1">
        <f t="shared" si="15"/>
        <v>8</v>
      </c>
      <c r="FG195" t="s">
        <v>4662</v>
      </c>
      <c r="FI195" t="s">
        <v>4663</v>
      </c>
    </row>
    <row r="196" spans="56:165" x14ac:dyDescent="0.35">
      <c r="BG196" t="s">
        <v>4188</v>
      </c>
      <c r="BO196" s="6" t="s">
        <v>2196</v>
      </c>
      <c r="BP196" s="1">
        <v>10</v>
      </c>
      <c r="BQ196" s="1">
        <v>5</v>
      </c>
      <c r="BR196" s="1"/>
      <c r="BS196" s="1" t="s">
        <v>2214</v>
      </c>
      <c r="BU196" s="1">
        <v>11</v>
      </c>
      <c r="BV196" s="1">
        <v>32</v>
      </c>
      <c r="BW196" s="1"/>
      <c r="BX196" s="1">
        <v>24</v>
      </c>
      <c r="BY196" s="1"/>
      <c r="BZ196" s="1">
        <f t="shared" si="17"/>
        <v>56</v>
      </c>
      <c r="CA196" s="1">
        <v>56</v>
      </c>
      <c r="CB196" s="1">
        <f t="shared" si="18"/>
        <v>112</v>
      </c>
      <c r="CD196" s="1">
        <v>53</v>
      </c>
      <c r="CE196" s="1">
        <v>53</v>
      </c>
      <c r="CF196" s="1" t="s">
        <v>4782</v>
      </c>
      <c r="CG196" s="1"/>
      <c r="CH196" s="1"/>
      <c r="CL196" s="6" t="s">
        <v>1116</v>
      </c>
      <c r="CP196" t="s">
        <v>1296</v>
      </c>
      <c r="CQ196" t="s">
        <v>837</v>
      </c>
      <c r="CR196" t="s">
        <v>836</v>
      </c>
      <c r="CS196" t="s">
        <v>396</v>
      </c>
      <c r="CV196" t="s">
        <v>173</v>
      </c>
      <c r="CW196" t="s">
        <v>144</v>
      </c>
      <c r="CX196" s="1" t="s">
        <v>171</v>
      </c>
      <c r="DA196" s="72" t="s">
        <v>1025</v>
      </c>
      <c r="DB196">
        <v>7</v>
      </c>
      <c r="DC196" t="s">
        <v>3953</v>
      </c>
      <c r="DD196" t="s">
        <v>3978</v>
      </c>
      <c r="DS196" s="6" t="s">
        <v>4355</v>
      </c>
      <c r="DT196" s="1" t="s">
        <v>4359</v>
      </c>
      <c r="EH196">
        <v>13</v>
      </c>
      <c r="EJ196">
        <v>9</v>
      </c>
      <c r="EL196">
        <v>5</v>
      </c>
      <c r="EN196">
        <v>3</v>
      </c>
      <c r="EU196">
        <v>23</v>
      </c>
      <c r="EV196" t="s">
        <v>4606</v>
      </c>
      <c r="FC196">
        <v>8</v>
      </c>
      <c r="FD196" s="1">
        <f t="shared" si="15"/>
        <v>8</v>
      </c>
      <c r="FG196" t="s">
        <v>4660</v>
      </c>
      <c r="FI196" t="s">
        <v>4661</v>
      </c>
    </row>
    <row r="197" spans="56:165" x14ac:dyDescent="0.35">
      <c r="BD197" t="s">
        <v>2314</v>
      </c>
      <c r="BG197" t="s">
        <v>4097</v>
      </c>
      <c r="BO197" s="6" t="s">
        <v>1116</v>
      </c>
      <c r="BP197" s="1">
        <v>11</v>
      </c>
      <c r="BR197" s="1" t="s">
        <v>2216</v>
      </c>
      <c r="BS197" s="1" t="s">
        <v>2366</v>
      </c>
      <c r="BT197" s="1" t="s">
        <v>1700</v>
      </c>
      <c r="BU197" s="1">
        <v>12</v>
      </c>
      <c r="BV197" s="1"/>
      <c r="BW197" s="1">
        <v>16</v>
      </c>
      <c r="BX197" s="1">
        <v>8</v>
      </c>
      <c r="BY197" s="1">
        <v>14</v>
      </c>
      <c r="BZ197" s="1">
        <f t="shared" si="17"/>
        <v>38</v>
      </c>
      <c r="CA197" s="1">
        <v>56</v>
      </c>
      <c r="CB197" s="1">
        <f t="shared" si="18"/>
        <v>94</v>
      </c>
      <c r="CD197" s="1">
        <f>SUM(CD191:CD196)</f>
        <v>1332</v>
      </c>
      <c r="CE197" s="1">
        <f>SUM(CE191:CE196)</f>
        <v>1332</v>
      </c>
      <c r="CF197" s="1"/>
      <c r="CL197" s="6" t="s">
        <v>1401</v>
      </c>
      <c r="CP197" t="s">
        <v>144</v>
      </c>
      <c r="CQ197" t="s">
        <v>396</v>
      </c>
      <c r="CR197" t="s">
        <v>836</v>
      </c>
      <c r="CT197" t="s">
        <v>396</v>
      </c>
      <c r="CV197" t="s">
        <v>4139</v>
      </c>
      <c r="CW197" t="s">
        <v>1296</v>
      </c>
      <c r="CX197" t="s">
        <v>173</v>
      </c>
      <c r="DA197" s="72" t="s">
        <v>2195</v>
      </c>
      <c r="DB197">
        <v>8</v>
      </c>
      <c r="DC197" t="s">
        <v>3954</v>
      </c>
      <c r="DD197" t="s">
        <v>3979</v>
      </c>
      <c r="DS197" s="6" t="s">
        <v>4356</v>
      </c>
      <c r="DT197" s="1" t="s">
        <v>4360</v>
      </c>
      <c r="EU197">
        <v>24</v>
      </c>
      <c r="EV197" t="s">
        <v>4606</v>
      </c>
      <c r="FC197">
        <v>4</v>
      </c>
      <c r="FD197" s="1">
        <f t="shared" si="15"/>
        <v>4</v>
      </c>
      <c r="FG197" t="s">
        <v>4664</v>
      </c>
      <c r="FI197" t="s">
        <v>3890</v>
      </c>
    </row>
    <row r="198" spans="56:165" x14ac:dyDescent="0.35">
      <c r="BD198" t="s">
        <v>2317</v>
      </c>
      <c r="BG198" t="s">
        <v>2671</v>
      </c>
      <c r="BO198" s="6" t="s">
        <v>1401</v>
      </c>
      <c r="BP198" s="1">
        <v>12</v>
      </c>
      <c r="BQ198" s="1">
        <v>6</v>
      </c>
      <c r="BS198" s="1" t="s">
        <v>2216</v>
      </c>
      <c r="BT198" s="1"/>
      <c r="BU198" s="1">
        <v>13</v>
      </c>
      <c r="BV198" s="1">
        <v>16</v>
      </c>
      <c r="BW198" s="1"/>
      <c r="BX198" s="1">
        <v>16</v>
      </c>
      <c r="BY198" s="1"/>
      <c r="BZ198" s="1">
        <f t="shared" si="17"/>
        <v>32</v>
      </c>
      <c r="CA198" s="1">
        <v>56</v>
      </c>
      <c r="CB198" s="1">
        <f t="shared" si="18"/>
        <v>88</v>
      </c>
      <c r="CD198" s="1"/>
      <c r="CE198" s="234">
        <f>CD197/CE197*100</f>
        <v>100</v>
      </c>
      <c r="CF198" s="1"/>
      <c r="CP198" t="s">
        <v>143</v>
      </c>
      <c r="CQ198" t="s">
        <v>396</v>
      </c>
      <c r="CR198" t="s">
        <v>837</v>
      </c>
      <c r="CT198" t="s">
        <v>836</v>
      </c>
      <c r="CV198" t="s">
        <v>4139</v>
      </c>
      <c r="CW198" t="s">
        <v>799</v>
      </c>
      <c r="CX198" t="s">
        <v>172</v>
      </c>
      <c r="DA198" s="72" t="s">
        <v>1485</v>
      </c>
      <c r="DB198">
        <v>9</v>
      </c>
      <c r="DC198" t="s">
        <v>3955</v>
      </c>
      <c r="DD198" t="s">
        <v>3980</v>
      </c>
      <c r="DS198" s="6" t="s">
        <v>4357</v>
      </c>
      <c r="DT198" s="1" t="s">
        <v>4361</v>
      </c>
      <c r="EH198">
        <v>11</v>
      </c>
      <c r="EJ198">
        <v>7</v>
      </c>
      <c r="EL198">
        <v>3</v>
      </c>
      <c r="EU198">
        <v>25</v>
      </c>
      <c r="EV198" t="s">
        <v>4606</v>
      </c>
      <c r="FC198">
        <v>2</v>
      </c>
      <c r="FD198" s="1">
        <f t="shared" si="15"/>
        <v>2</v>
      </c>
      <c r="FG198" t="s">
        <v>4665</v>
      </c>
      <c r="FI198" t="s">
        <v>4666</v>
      </c>
    </row>
    <row r="199" spans="56:165" x14ac:dyDescent="0.35">
      <c r="BG199" t="s">
        <v>2688</v>
      </c>
      <c r="BP199" s="1">
        <v>13</v>
      </c>
      <c r="BQ199" s="1" t="s">
        <v>1711</v>
      </c>
      <c r="BR199" s="1" t="s">
        <v>1711</v>
      </c>
      <c r="BS199" s="1" t="s">
        <v>1711</v>
      </c>
      <c r="BT199" s="1"/>
      <c r="BU199" s="1" t="s">
        <v>2375</v>
      </c>
      <c r="BV199" s="1">
        <v>8</v>
      </c>
      <c r="BW199" s="1">
        <v>8</v>
      </c>
      <c r="BX199" s="1">
        <v>8</v>
      </c>
      <c r="BY199" s="1"/>
      <c r="BZ199" s="1">
        <f t="shared" si="17"/>
        <v>24</v>
      </c>
      <c r="CA199" s="1">
        <v>0</v>
      </c>
      <c r="CB199" s="1">
        <f t="shared" si="18"/>
        <v>24</v>
      </c>
      <c r="CP199" t="s">
        <v>799</v>
      </c>
      <c r="CQ199" t="s">
        <v>836</v>
      </c>
      <c r="CR199" t="s">
        <v>837</v>
      </c>
      <c r="CT199" t="s">
        <v>837</v>
      </c>
      <c r="CV199" t="s">
        <v>172</v>
      </c>
      <c r="CW199" t="s">
        <v>143</v>
      </c>
      <c r="CX199" t="s">
        <v>171</v>
      </c>
      <c r="DA199" s="72" t="s">
        <v>2196</v>
      </c>
      <c r="DB199">
        <v>10</v>
      </c>
      <c r="DC199" t="s">
        <v>3956</v>
      </c>
      <c r="DD199" t="s">
        <v>3981</v>
      </c>
      <c r="EH199">
        <v>14</v>
      </c>
      <c r="EJ199">
        <v>10</v>
      </c>
      <c r="EL199">
        <v>6</v>
      </c>
      <c r="EU199">
        <v>26</v>
      </c>
      <c r="EV199" t="s">
        <v>4606</v>
      </c>
      <c r="FC199">
        <v>1</v>
      </c>
      <c r="FD199" s="1">
        <f t="shared" si="15"/>
        <v>1</v>
      </c>
      <c r="FI199" t="s">
        <v>4667</v>
      </c>
    </row>
    <row r="200" spans="56:165" x14ac:dyDescent="0.35">
      <c r="BD200" t="s">
        <v>2100</v>
      </c>
      <c r="BM200" s="1" t="s">
        <v>2492</v>
      </c>
      <c r="BP200" s="1" t="s">
        <v>2375</v>
      </c>
      <c r="BQ200" s="1" t="s">
        <v>1696</v>
      </c>
      <c r="BR200" s="1" t="s">
        <v>1696</v>
      </c>
      <c r="BS200" s="1" t="s">
        <v>1696</v>
      </c>
      <c r="BT200" s="1"/>
      <c r="BU200" s="1" t="s">
        <v>1785</v>
      </c>
      <c r="BV200" s="1">
        <v>4</v>
      </c>
      <c r="BW200" s="1">
        <v>4</v>
      </c>
      <c r="BX200" s="1">
        <v>4</v>
      </c>
      <c r="BY200" s="1"/>
      <c r="BZ200" s="1">
        <f t="shared" si="17"/>
        <v>12</v>
      </c>
      <c r="CA200" s="1">
        <v>7</v>
      </c>
      <c r="CB200" s="1">
        <f t="shared" si="18"/>
        <v>19</v>
      </c>
      <c r="DA200" s="72" t="s">
        <v>1115</v>
      </c>
      <c r="DB200">
        <v>11</v>
      </c>
      <c r="DC200" t="s">
        <v>3957</v>
      </c>
      <c r="DD200" t="s">
        <v>3982</v>
      </c>
    </row>
    <row r="201" spans="56:165" x14ac:dyDescent="0.35">
      <c r="BD201" t="s">
        <v>2313</v>
      </c>
      <c r="BP201" s="1" t="s">
        <v>1785</v>
      </c>
      <c r="BQ201" s="1" t="s">
        <v>1700</v>
      </c>
      <c r="BR201" s="1" t="s">
        <v>1700</v>
      </c>
      <c r="BS201" s="1" t="s">
        <v>1700</v>
      </c>
      <c r="BT201" s="1"/>
      <c r="BU201" s="1" t="s">
        <v>2375</v>
      </c>
      <c r="BV201" s="1">
        <v>2</v>
      </c>
      <c r="BW201" s="1">
        <v>2</v>
      </c>
      <c r="BX201" s="1">
        <v>2</v>
      </c>
      <c r="BY201" s="1"/>
      <c r="BZ201" s="1">
        <f t="shared" si="17"/>
        <v>6</v>
      </c>
      <c r="CA201" s="1">
        <v>0</v>
      </c>
      <c r="CB201" s="1">
        <f t="shared" si="18"/>
        <v>6</v>
      </c>
      <c r="CP201" t="s">
        <v>144</v>
      </c>
      <c r="CQ201" t="s">
        <v>396</v>
      </c>
      <c r="CR201" t="s">
        <v>396</v>
      </c>
      <c r="CS201" t="s">
        <v>4140</v>
      </c>
      <c r="CT201" t="s">
        <v>396</v>
      </c>
      <c r="CV201" t="s">
        <v>4139</v>
      </c>
      <c r="CW201" t="s">
        <v>1296</v>
      </c>
      <c r="CX201" t="s">
        <v>799</v>
      </c>
      <c r="DA201" s="72" t="s">
        <v>1116</v>
      </c>
      <c r="DB201">
        <v>12</v>
      </c>
      <c r="DC201" t="s">
        <v>3958</v>
      </c>
      <c r="DD201" t="s">
        <v>3983</v>
      </c>
      <c r="EH201">
        <v>10</v>
      </c>
      <c r="EJ201">
        <v>6</v>
      </c>
      <c r="EL201">
        <v>2</v>
      </c>
    </row>
    <row r="202" spans="56:165" x14ac:dyDescent="0.35">
      <c r="BJ202" s="6"/>
      <c r="BK202" s="6"/>
      <c r="BL202" s="6"/>
      <c r="BM202" s="6"/>
      <c r="BP202" s="1" t="s">
        <v>2375</v>
      </c>
      <c r="BU202" s="1" t="s">
        <v>1904</v>
      </c>
      <c r="BV202" s="1"/>
      <c r="BW202" s="1"/>
      <c r="BX202" s="1"/>
      <c r="BY202" s="1"/>
      <c r="BZ202" s="1">
        <f t="shared" si="17"/>
        <v>0</v>
      </c>
      <c r="CA202" s="1">
        <v>8</v>
      </c>
      <c r="CB202" s="1">
        <f t="shared" ref="CB202:CB204" si="19">SUM(BZ202:CA202)</f>
        <v>8</v>
      </c>
      <c r="CP202" t="s">
        <v>143</v>
      </c>
      <c r="CQ202" t="s">
        <v>396</v>
      </c>
      <c r="CR202" t="s">
        <v>836</v>
      </c>
      <c r="CS202" t="s">
        <v>4140</v>
      </c>
      <c r="CT202" t="s">
        <v>836</v>
      </c>
      <c r="CV202" t="s">
        <v>4139</v>
      </c>
      <c r="CW202" t="s">
        <v>173</v>
      </c>
      <c r="CX202" t="s">
        <v>1296</v>
      </c>
      <c r="DA202" s="72" t="s">
        <v>1401</v>
      </c>
      <c r="DB202">
        <v>13</v>
      </c>
      <c r="DC202" t="s">
        <v>3959</v>
      </c>
      <c r="DD202" t="s">
        <v>3984</v>
      </c>
      <c r="EH202">
        <v>15</v>
      </c>
      <c r="EJ202">
        <v>11</v>
      </c>
      <c r="EL202">
        <v>7</v>
      </c>
    </row>
    <row r="203" spans="56:165" x14ac:dyDescent="0.35">
      <c r="BD203" t="s">
        <v>2314</v>
      </c>
      <c r="BE203" t="s">
        <v>2357</v>
      </c>
      <c r="BJ203" s="6"/>
      <c r="BK203" s="72"/>
      <c r="BL203" s="6"/>
      <c r="BM203" s="6"/>
      <c r="BP203" s="1" t="s">
        <v>1904</v>
      </c>
      <c r="BQ203" s="1"/>
      <c r="BR203" s="1"/>
      <c r="BS203" s="1"/>
      <c r="BT203" s="1"/>
      <c r="BU203" s="1" t="s">
        <v>1711</v>
      </c>
      <c r="BV203" s="1"/>
      <c r="BW203" s="1"/>
      <c r="BX203" s="1"/>
      <c r="BY203" s="1"/>
      <c r="BZ203" s="1">
        <f t="shared" si="17"/>
        <v>0</v>
      </c>
      <c r="CA203" s="1">
        <v>8</v>
      </c>
      <c r="CB203" s="1">
        <f t="shared" si="19"/>
        <v>8</v>
      </c>
      <c r="CE203" t="s">
        <v>2817</v>
      </c>
      <c r="CJ203" t="s">
        <v>3107</v>
      </c>
      <c r="CP203" t="s">
        <v>172</v>
      </c>
      <c r="CQ203" t="s">
        <v>836</v>
      </c>
      <c r="CR203" t="s">
        <v>4140</v>
      </c>
      <c r="CS203" t="s">
        <v>396</v>
      </c>
      <c r="CT203" t="s">
        <v>837</v>
      </c>
      <c r="CV203" t="s">
        <v>799</v>
      </c>
      <c r="CW203" s="1" t="s">
        <v>171</v>
      </c>
      <c r="CX203" t="s">
        <v>173</v>
      </c>
      <c r="DB203">
        <v>14</v>
      </c>
      <c r="DC203" t="s">
        <v>3960</v>
      </c>
      <c r="DD203" t="s">
        <v>3985</v>
      </c>
      <c r="EV203">
        <v>4</v>
      </c>
      <c r="EZ203">
        <v>28</v>
      </c>
    </row>
    <row r="204" spans="56:165" x14ac:dyDescent="0.35">
      <c r="BD204" t="s">
        <v>2318</v>
      </c>
      <c r="BE204" t="s">
        <v>2355</v>
      </c>
      <c r="BJ204" s="6"/>
      <c r="BK204" s="72"/>
      <c r="BL204" s="6"/>
      <c r="BM204" s="6"/>
      <c r="BP204" s="1" t="s">
        <v>1711</v>
      </c>
      <c r="BQ204" s="1"/>
      <c r="BR204" s="1"/>
      <c r="BS204" s="1"/>
      <c r="BT204" s="1"/>
      <c r="BU204" s="1" t="s">
        <v>1696</v>
      </c>
      <c r="BV204" s="1"/>
      <c r="BW204" s="1"/>
      <c r="BX204" s="1"/>
      <c r="BY204" s="1"/>
      <c r="BZ204" s="1">
        <f t="shared" si="17"/>
        <v>0</v>
      </c>
      <c r="CA204" s="1">
        <v>4</v>
      </c>
      <c r="CB204" s="1">
        <f t="shared" si="19"/>
        <v>4</v>
      </c>
      <c r="CE204" t="s">
        <v>2816</v>
      </c>
      <c r="CJ204" t="s">
        <v>3108</v>
      </c>
      <c r="CP204" t="s">
        <v>171</v>
      </c>
      <c r="CQ204" t="s">
        <v>396</v>
      </c>
      <c r="CR204" t="s">
        <v>837</v>
      </c>
      <c r="CS204" t="s">
        <v>396</v>
      </c>
      <c r="CT204" t="s">
        <v>4140</v>
      </c>
      <c r="CV204" t="s">
        <v>4139</v>
      </c>
      <c r="CW204" t="s">
        <v>799</v>
      </c>
      <c r="CX204" s="1" t="s">
        <v>172</v>
      </c>
      <c r="DB204">
        <v>15</v>
      </c>
      <c r="DC204" t="s">
        <v>3961</v>
      </c>
      <c r="DD204" t="s">
        <v>3986</v>
      </c>
      <c r="EJ204">
        <v>13</v>
      </c>
      <c r="EL204">
        <v>11</v>
      </c>
      <c r="EM204">
        <v>9</v>
      </c>
      <c r="EN204">
        <v>7</v>
      </c>
      <c r="EO204">
        <v>5</v>
      </c>
      <c r="EP204">
        <v>3</v>
      </c>
      <c r="EQ204">
        <v>3</v>
      </c>
      <c r="ER204">
        <v>2</v>
      </c>
      <c r="ET204">
        <v>1</v>
      </c>
      <c r="EV204">
        <v>6</v>
      </c>
      <c r="EZ204">
        <v>42</v>
      </c>
    </row>
    <row r="205" spans="56:165" x14ac:dyDescent="0.35">
      <c r="BJ205" s="6"/>
      <c r="BK205" s="72"/>
      <c r="BL205" s="6"/>
      <c r="BM205" s="6"/>
      <c r="BP205" s="1" t="s">
        <v>1696</v>
      </c>
      <c r="BQ205" s="1"/>
      <c r="BR205" s="1"/>
      <c r="BS205" s="1"/>
      <c r="BT205" s="1"/>
      <c r="BU205" s="1" t="s">
        <v>1700</v>
      </c>
      <c r="BZ205" s="1">
        <f t="shared" ref="BZ205" si="20">SUM(BV205:BY205)</f>
        <v>0</v>
      </c>
      <c r="CA205" s="1">
        <v>2.5</v>
      </c>
      <c r="CB205" s="1">
        <f t="shared" ref="CB205" si="21">SUM(BZ205:CA205)</f>
        <v>2.5</v>
      </c>
      <c r="CK205" t="s">
        <v>3109</v>
      </c>
      <c r="CP205" t="s">
        <v>1296</v>
      </c>
      <c r="CQ205" t="s">
        <v>837</v>
      </c>
      <c r="CR205" t="s">
        <v>396</v>
      </c>
      <c r="CS205" t="s">
        <v>4140</v>
      </c>
      <c r="CT205" t="s">
        <v>836</v>
      </c>
      <c r="CV205" t="s">
        <v>173</v>
      </c>
      <c r="CW205" t="s">
        <v>144</v>
      </c>
      <c r="CX205" t="s">
        <v>143</v>
      </c>
      <c r="DB205">
        <v>16</v>
      </c>
      <c r="DC205" t="s">
        <v>3962</v>
      </c>
      <c r="DD205" t="s">
        <v>3987</v>
      </c>
      <c r="EJ205">
        <v>16</v>
      </c>
      <c r="EL205">
        <v>13</v>
      </c>
      <c r="EM205">
        <v>12</v>
      </c>
      <c r="EN205">
        <v>10</v>
      </c>
      <c r="EO205">
        <v>8</v>
      </c>
      <c r="EP205">
        <v>5</v>
      </c>
      <c r="EQ205">
        <v>4</v>
      </c>
      <c r="ER205">
        <v>3</v>
      </c>
      <c r="ET205">
        <v>2</v>
      </c>
      <c r="EV205">
        <v>6</v>
      </c>
      <c r="EW205">
        <v>2</v>
      </c>
      <c r="EZ205">
        <v>56</v>
      </c>
    </row>
    <row r="206" spans="56:165" x14ac:dyDescent="0.35">
      <c r="BD206" t="s">
        <v>2102</v>
      </c>
      <c r="BE206" t="s">
        <v>2317</v>
      </c>
      <c r="BJ206" s="6"/>
      <c r="BK206" s="72"/>
      <c r="BL206" s="6"/>
      <c r="BM206" s="6"/>
      <c r="CE206" t="s">
        <v>2811</v>
      </c>
      <c r="CK206" t="s">
        <v>3110</v>
      </c>
      <c r="CP206" t="s">
        <v>173</v>
      </c>
      <c r="CQ206" t="s">
        <v>837</v>
      </c>
      <c r="CR206" t="s">
        <v>836</v>
      </c>
      <c r="CS206" t="s">
        <v>4140</v>
      </c>
      <c r="CT206" t="s">
        <v>837</v>
      </c>
      <c r="CV206" t="s">
        <v>1296</v>
      </c>
      <c r="CW206" t="s">
        <v>143</v>
      </c>
      <c r="CX206" t="s">
        <v>172</v>
      </c>
      <c r="DB206">
        <v>17</v>
      </c>
      <c r="DC206" t="s">
        <v>3963</v>
      </c>
      <c r="DD206" t="s">
        <v>3988</v>
      </c>
      <c r="EV206">
        <v>4</v>
      </c>
      <c r="EW206">
        <v>2</v>
      </c>
      <c r="EZ206">
        <v>42</v>
      </c>
    </row>
    <row r="207" spans="56:165" x14ac:dyDescent="0.35">
      <c r="BD207" t="s">
        <v>2101</v>
      </c>
      <c r="BE207" t="s">
        <v>2418</v>
      </c>
      <c r="BJ207" s="281"/>
      <c r="BK207" s="72"/>
      <c r="BL207" s="6"/>
      <c r="BM207" s="6"/>
      <c r="CE207" t="s">
        <v>2812</v>
      </c>
      <c r="CK207" t="s">
        <v>3111</v>
      </c>
      <c r="CP207" t="s">
        <v>799</v>
      </c>
      <c r="CQ207" t="s">
        <v>836</v>
      </c>
      <c r="CR207" t="s">
        <v>837</v>
      </c>
      <c r="CS207" t="s">
        <v>4140</v>
      </c>
      <c r="CT207" t="s">
        <v>396</v>
      </c>
      <c r="CV207" t="s">
        <v>172</v>
      </c>
      <c r="CW207" t="s">
        <v>171</v>
      </c>
      <c r="CX207" t="s">
        <v>144</v>
      </c>
      <c r="DB207">
        <v>18</v>
      </c>
      <c r="DC207" t="s">
        <v>3964</v>
      </c>
      <c r="DD207" t="s">
        <v>3989</v>
      </c>
      <c r="EJ207">
        <v>14</v>
      </c>
      <c r="EL207">
        <v>12</v>
      </c>
      <c r="EM207">
        <v>10</v>
      </c>
      <c r="EN207">
        <v>8</v>
      </c>
      <c r="EO207">
        <v>6</v>
      </c>
      <c r="EP207">
        <v>4</v>
      </c>
      <c r="EV207">
        <v>3</v>
      </c>
      <c r="EW207">
        <v>1</v>
      </c>
      <c r="EZ207">
        <v>28</v>
      </c>
    </row>
    <row r="208" spans="56:165" x14ac:dyDescent="0.35">
      <c r="BJ208" s="6"/>
      <c r="BK208" s="72"/>
      <c r="BL208" s="6"/>
      <c r="BM208" s="6"/>
      <c r="DB208">
        <v>19</v>
      </c>
      <c r="DC208" t="s">
        <v>3965</v>
      </c>
      <c r="DD208" t="s">
        <v>3990</v>
      </c>
      <c r="EJ208">
        <v>15</v>
      </c>
      <c r="EL208">
        <v>14</v>
      </c>
      <c r="EM208">
        <v>11</v>
      </c>
      <c r="EN208">
        <v>9</v>
      </c>
      <c r="EO208">
        <v>7</v>
      </c>
      <c r="EP208">
        <v>6</v>
      </c>
      <c r="EV208">
        <v>1</v>
      </c>
      <c r="EW208">
        <v>1</v>
      </c>
      <c r="EX208">
        <v>1</v>
      </c>
      <c r="EZ208">
        <v>21</v>
      </c>
    </row>
    <row r="209" spans="46:114" x14ac:dyDescent="0.35">
      <c r="BJ209" s="6"/>
      <c r="BK209" s="72"/>
      <c r="BL209" s="6"/>
      <c r="BM209" s="6"/>
      <c r="BO209" s="1" t="s">
        <v>2710</v>
      </c>
      <c r="CE209" t="s">
        <v>2813</v>
      </c>
      <c r="CU209">
        <v>1</v>
      </c>
      <c r="DB209">
        <v>20</v>
      </c>
      <c r="DC209" t="s">
        <v>3966</v>
      </c>
      <c r="DD209" t="s">
        <v>3991</v>
      </c>
    </row>
    <row r="210" spans="46:114" x14ac:dyDescent="0.35">
      <c r="BJ210" s="6"/>
      <c r="BK210" s="72"/>
      <c r="BL210" s="6"/>
      <c r="BM210" s="6"/>
      <c r="BO210" s="6"/>
      <c r="BP210" s="1" t="s">
        <v>2374</v>
      </c>
      <c r="BQ210" s="1" t="s">
        <v>1767</v>
      </c>
      <c r="BR210" s="1" t="s">
        <v>2117</v>
      </c>
      <c r="BS210" s="1" t="s">
        <v>2359</v>
      </c>
      <c r="BT210" s="1" t="s">
        <v>1774</v>
      </c>
      <c r="BU210" s="1" t="s">
        <v>2372</v>
      </c>
      <c r="BV210" s="1" t="s">
        <v>1767</v>
      </c>
      <c r="BW210" s="1" t="s">
        <v>2117</v>
      </c>
      <c r="BX210" s="1" t="s">
        <v>2359</v>
      </c>
      <c r="BY210" s="1" t="s">
        <v>1774</v>
      </c>
      <c r="BZ210" s="1" t="s">
        <v>2373</v>
      </c>
      <c r="CA210" s="1" t="s">
        <v>2372</v>
      </c>
      <c r="CB210" s="1" t="s">
        <v>180</v>
      </c>
      <c r="CF210" t="s">
        <v>2827</v>
      </c>
      <c r="CK210" t="s">
        <v>3114</v>
      </c>
      <c r="CU210">
        <v>2</v>
      </c>
      <c r="CW210" s="6" t="s">
        <v>1484</v>
      </c>
      <c r="DB210">
        <v>21</v>
      </c>
      <c r="DC210" t="s">
        <v>3967</v>
      </c>
      <c r="DD210" t="s">
        <v>3992</v>
      </c>
    </row>
    <row r="211" spans="46:114" x14ac:dyDescent="0.35">
      <c r="AV211">
        <f t="shared" ref="AV211:BD215" si="22">$BF211*AV$217</f>
        <v>15</v>
      </c>
      <c r="AX211">
        <f t="shared" si="22"/>
        <v>12</v>
      </c>
      <c r="AZ211">
        <f t="shared" si="22"/>
        <v>10.5</v>
      </c>
      <c r="BB211">
        <f t="shared" si="22"/>
        <v>9</v>
      </c>
      <c r="BD211">
        <f t="shared" si="22"/>
        <v>7.5</v>
      </c>
      <c r="BF211">
        <v>6</v>
      </c>
      <c r="BJ211" s="6"/>
      <c r="BK211" s="72"/>
      <c r="BL211" s="6"/>
      <c r="BM211" s="6"/>
      <c r="BO211" s="6"/>
      <c r="BP211" s="1">
        <v>0</v>
      </c>
      <c r="BQ211" s="1"/>
      <c r="BR211" s="1"/>
      <c r="BS211" s="1"/>
      <c r="BT211" s="1"/>
      <c r="BU211" s="1">
        <v>1</v>
      </c>
      <c r="BV211" s="1"/>
      <c r="BW211" s="1"/>
      <c r="BX211" s="1"/>
      <c r="BY211" s="1"/>
      <c r="BZ211" s="1">
        <f t="shared" ref="BZ211:BZ229" si="23">SUM(BV211:BY211)</f>
        <v>0</v>
      </c>
      <c r="CA211" s="1">
        <v>56</v>
      </c>
      <c r="CB211" s="1">
        <f>SUM(BZ211:CA211)</f>
        <v>56</v>
      </c>
      <c r="CK211" t="s">
        <v>3112</v>
      </c>
      <c r="CU211">
        <v>3</v>
      </c>
      <c r="CW211" s="6" t="s">
        <v>1400</v>
      </c>
    </row>
    <row r="212" spans="46:114" x14ac:dyDescent="0.35">
      <c r="AV212">
        <f t="shared" si="22"/>
        <v>12.5</v>
      </c>
      <c r="AX212">
        <f t="shared" si="22"/>
        <v>10</v>
      </c>
      <c r="AZ212">
        <f t="shared" si="22"/>
        <v>8.75</v>
      </c>
      <c r="BB212">
        <f t="shared" si="22"/>
        <v>7.5</v>
      </c>
      <c r="BD212">
        <f t="shared" si="22"/>
        <v>6.25</v>
      </c>
      <c r="BF212">
        <v>5</v>
      </c>
      <c r="BJ212" s="6"/>
      <c r="BK212" s="72"/>
      <c r="BL212" s="6"/>
      <c r="BM212" s="6"/>
      <c r="BO212" s="6" t="s">
        <v>1400</v>
      </c>
      <c r="BP212" s="1">
        <v>1</v>
      </c>
      <c r="BQ212" s="1"/>
      <c r="BR212" s="1"/>
      <c r="BS212" s="1"/>
      <c r="BT212" s="1"/>
      <c r="BU212" s="1">
        <v>2</v>
      </c>
      <c r="BV212" s="1"/>
      <c r="BW212" s="1"/>
      <c r="BX212" s="1"/>
      <c r="BY212" s="1"/>
      <c r="BZ212" s="1">
        <f t="shared" si="23"/>
        <v>0</v>
      </c>
      <c r="CA212" s="1">
        <v>56</v>
      </c>
      <c r="CB212" s="1">
        <f t="shared" ref="CB212:CB226" si="24">SUM(BZ212:CA212)</f>
        <v>56</v>
      </c>
      <c r="CE212" t="s">
        <v>2815</v>
      </c>
      <c r="CL212" t="s">
        <v>3113</v>
      </c>
      <c r="CU212">
        <v>4</v>
      </c>
      <c r="CV212" t="s">
        <v>3944</v>
      </c>
      <c r="CW212" s="6" t="s">
        <v>1027</v>
      </c>
      <c r="DB212">
        <v>22</v>
      </c>
      <c r="DC212" t="s">
        <v>3968</v>
      </c>
      <c r="DD212" t="s">
        <v>2672</v>
      </c>
    </row>
    <row r="213" spans="46:114" x14ac:dyDescent="0.35">
      <c r="AV213">
        <f t="shared" si="22"/>
        <v>10</v>
      </c>
      <c r="AX213">
        <f t="shared" si="22"/>
        <v>8</v>
      </c>
      <c r="AZ213">
        <f t="shared" si="22"/>
        <v>7</v>
      </c>
      <c r="BB213">
        <f t="shared" si="22"/>
        <v>6</v>
      </c>
      <c r="BD213">
        <f t="shared" si="22"/>
        <v>5</v>
      </c>
      <c r="BF213">
        <v>4</v>
      </c>
      <c r="BO213" s="6" t="s">
        <v>1484</v>
      </c>
      <c r="BP213" s="1">
        <v>2</v>
      </c>
      <c r="BQ213" s="1"/>
      <c r="BR213" s="1"/>
      <c r="BS213" s="1"/>
      <c r="BT213" s="1"/>
      <c r="BU213" s="1">
        <v>3</v>
      </c>
      <c r="BV213" s="1"/>
      <c r="BW213" s="1"/>
      <c r="BX213" s="1"/>
      <c r="BY213" s="1"/>
      <c r="BZ213" s="1">
        <f t="shared" si="23"/>
        <v>0</v>
      </c>
      <c r="CA213" s="1">
        <v>56</v>
      </c>
      <c r="CB213" s="1">
        <f t="shared" si="24"/>
        <v>56</v>
      </c>
      <c r="CF213" t="s">
        <v>2814</v>
      </c>
      <c r="CL213" t="s">
        <v>3115</v>
      </c>
      <c r="CU213">
        <v>5</v>
      </c>
      <c r="CV213" t="s">
        <v>3944</v>
      </c>
      <c r="CW213" s="6" t="s">
        <v>1113</v>
      </c>
      <c r="DB213">
        <v>23</v>
      </c>
      <c r="DC213" t="s">
        <v>2675</v>
      </c>
      <c r="DD213" t="s">
        <v>3993</v>
      </c>
    </row>
    <row r="214" spans="46:114" x14ac:dyDescent="0.35">
      <c r="AV214">
        <f t="shared" si="22"/>
        <v>7.5</v>
      </c>
      <c r="AX214">
        <f t="shared" si="22"/>
        <v>6</v>
      </c>
      <c r="AZ214">
        <f t="shared" si="22"/>
        <v>5.25</v>
      </c>
      <c r="BB214">
        <f t="shared" si="22"/>
        <v>4.5</v>
      </c>
      <c r="BD214">
        <f t="shared" si="22"/>
        <v>3.75</v>
      </c>
      <c r="BF214">
        <v>3</v>
      </c>
      <c r="BO214" s="6" t="s">
        <v>1027</v>
      </c>
      <c r="BP214" s="1">
        <v>3</v>
      </c>
      <c r="BQ214" s="1">
        <v>1</v>
      </c>
      <c r="BR214" s="1"/>
      <c r="BS214" s="1"/>
      <c r="BT214" s="1"/>
      <c r="BU214" s="1">
        <v>4</v>
      </c>
      <c r="BV214" s="1">
        <v>20</v>
      </c>
      <c r="BW214" s="1"/>
      <c r="BX214" s="1"/>
      <c r="BY214" s="1"/>
      <c r="BZ214" s="1">
        <f t="shared" si="23"/>
        <v>20</v>
      </c>
      <c r="CA214" s="1">
        <v>56</v>
      </c>
      <c r="CB214" s="1">
        <f t="shared" si="24"/>
        <v>76</v>
      </c>
      <c r="CK214" t="s">
        <v>3581</v>
      </c>
      <c r="CU214">
        <v>6</v>
      </c>
      <c r="CV214" t="s">
        <v>3945</v>
      </c>
      <c r="CW214" s="6" t="s">
        <v>1026</v>
      </c>
      <c r="DB214">
        <v>24</v>
      </c>
      <c r="DC214" t="s">
        <v>3969</v>
      </c>
      <c r="DD214" t="s">
        <v>3994</v>
      </c>
    </row>
    <row r="215" spans="46:114" x14ac:dyDescent="0.35">
      <c r="AV215">
        <f t="shared" si="22"/>
        <v>5</v>
      </c>
      <c r="AX215">
        <f t="shared" si="22"/>
        <v>4</v>
      </c>
      <c r="AZ215">
        <f t="shared" si="22"/>
        <v>3.5</v>
      </c>
      <c r="BB215">
        <f t="shared" si="22"/>
        <v>3</v>
      </c>
      <c r="BD215">
        <f>$BF215*BD$217</f>
        <v>2.5</v>
      </c>
      <c r="BF215">
        <v>2</v>
      </c>
      <c r="BJ215" s="1" t="s">
        <v>3858</v>
      </c>
      <c r="BO215" s="6" t="s">
        <v>1113</v>
      </c>
      <c r="BP215" s="1">
        <v>4</v>
      </c>
      <c r="BQ215" s="1">
        <v>2</v>
      </c>
      <c r="BU215" s="1">
        <v>5</v>
      </c>
      <c r="BV215" s="1">
        <v>20</v>
      </c>
      <c r="BW215" s="1"/>
      <c r="BX215" s="1"/>
      <c r="BY215" s="1"/>
      <c r="BZ215" s="1">
        <f t="shared" si="23"/>
        <v>20</v>
      </c>
      <c r="CA215" s="1">
        <v>56</v>
      </c>
      <c r="CB215" s="1">
        <f t="shared" si="24"/>
        <v>76</v>
      </c>
      <c r="CK215" t="s">
        <v>3893</v>
      </c>
      <c r="CU215">
        <v>7</v>
      </c>
      <c r="CV215" t="s">
        <v>3944</v>
      </c>
      <c r="CW215" s="6" t="s">
        <v>1025</v>
      </c>
      <c r="DB215">
        <v>25</v>
      </c>
      <c r="DC215" t="s">
        <v>3970</v>
      </c>
      <c r="DD215" t="s">
        <v>3995</v>
      </c>
    </row>
    <row r="216" spans="46:114" x14ac:dyDescent="0.35">
      <c r="BJ216" t="s">
        <v>2117</v>
      </c>
      <c r="BM216" t="s">
        <v>2359</v>
      </c>
      <c r="BO216" s="92" t="s">
        <v>1026</v>
      </c>
      <c r="BP216" s="1">
        <v>5</v>
      </c>
      <c r="BQ216" s="1"/>
      <c r="BR216" s="1" t="s">
        <v>1727</v>
      </c>
      <c r="BS216" s="1"/>
      <c r="BT216" s="1">
        <v>1</v>
      </c>
      <c r="BU216" s="1">
        <v>6</v>
      </c>
      <c r="BV216" s="1"/>
      <c r="BW216" s="1">
        <v>32</v>
      </c>
      <c r="BX216" s="1"/>
      <c r="BY216" s="1">
        <v>28</v>
      </c>
      <c r="BZ216" s="1">
        <f t="shared" si="23"/>
        <v>60</v>
      </c>
      <c r="CA216" s="1">
        <v>56</v>
      </c>
      <c r="CB216" s="1">
        <f t="shared" si="24"/>
        <v>116</v>
      </c>
      <c r="CU216">
        <v>8</v>
      </c>
      <c r="CV216" t="s">
        <v>3945</v>
      </c>
      <c r="CW216" s="6" t="s">
        <v>1114</v>
      </c>
      <c r="DB216">
        <v>26</v>
      </c>
      <c r="DC216" t="s">
        <v>3971</v>
      </c>
      <c r="DD216" s="1" t="s">
        <v>3996</v>
      </c>
    </row>
    <row r="217" spans="46:114" x14ac:dyDescent="0.35">
      <c r="AV217">
        <v>2.5</v>
      </c>
      <c r="AX217">
        <v>2</v>
      </c>
      <c r="AZ217">
        <v>1.75</v>
      </c>
      <c r="BB217">
        <v>1.5</v>
      </c>
      <c r="BD217">
        <v>1.25</v>
      </c>
      <c r="BF217">
        <v>1</v>
      </c>
      <c r="BJ217" t="s">
        <v>1267</v>
      </c>
      <c r="BK217" s="235">
        <v>50</v>
      </c>
      <c r="BL217">
        <v>40</v>
      </c>
      <c r="BM217" t="s">
        <v>1267</v>
      </c>
      <c r="BO217" s="92" t="s">
        <v>1114</v>
      </c>
      <c r="BP217" s="1">
        <v>6</v>
      </c>
      <c r="BQ217" s="1">
        <v>3</v>
      </c>
      <c r="BR217" s="1"/>
      <c r="BS217" s="1" t="s">
        <v>1727</v>
      </c>
      <c r="BT217" s="1"/>
      <c r="BU217" s="1">
        <v>7</v>
      </c>
      <c r="BV217" s="1">
        <v>20</v>
      </c>
      <c r="BW217" s="1"/>
      <c r="BX217" s="1">
        <v>24</v>
      </c>
      <c r="BY217" s="1"/>
      <c r="BZ217" s="1">
        <f t="shared" si="23"/>
        <v>44</v>
      </c>
      <c r="CA217" s="1">
        <v>56</v>
      </c>
      <c r="CB217" s="1">
        <f t="shared" si="24"/>
        <v>100</v>
      </c>
      <c r="CU217">
        <v>9</v>
      </c>
      <c r="CV217" t="s">
        <v>3944</v>
      </c>
      <c r="CW217" s="6" t="s">
        <v>2195</v>
      </c>
    </row>
    <row r="218" spans="46:114" x14ac:dyDescent="0.35">
      <c r="AV218" t="s">
        <v>2735</v>
      </c>
      <c r="AX218" t="s">
        <v>1296</v>
      </c>
      <c r="AZ218" t="s">
        <v>2734</v>
      </c>
      <c r="BB218" t="s">
        <v>2733</v>
      </c>
      <c r="BD218" t="s">
        <v>2732</v>
      </c>
      <c r="BF218" t="s">
        <v>2731</v>
      </c>
      <c r="BJ218" t="s">
        <v>922</v>
      </c>
      <c r="BK218" s="235">
        <v>44</v>
      </c>
      <c r="BL218">
        <v>35</v>
      </c>
      <c r="BM218" t="s">
        <v>922</v>
      </c>
      <c r="BO218" s="6" t="s">
        <v>1025</v>
      </c>
      <c r="BP218" s="1">
        <v>7</v>
      </c>
      <c r="BQ218" s="1"/>
      <c r="BR218" s="1" t="s">
        <v>1728</v>
      </c>
      <c r="BS218" s="1"/>
      <c r="BT218" s="1">
        <v>2</v>
      </c>
      <c r="BU218" s="1">
        <v>8</v>
      </c>
      <c r="BV218" s="1"/>
      <c r="BW218" s="1">
        <v>32</v>
      </c>
      <c r="BX218" s="1"/>
      <c r="BY218" s="1">
        <v>28</v>
      </c>
      <c r="BZ218" s="1">
        <f t="shared" si="23"/>
        <v>60</v>
      </c>
      <c r="CA218" s="1">
        <v>56</v>
      </c>
      <c r="CB218" s="1">
        <f t="shared" si="24"/>
        <v>116</v>
      </c>
      <c r="CU218">
        <v>10</v>
      </c>
      <c r="CV218" t="s">
        <v>3946</v>
      </c>
      <c r="CW218" s="6" t="s">
        <v>1485</v>
      </c>
    </row>
    <row r="219" spans="46:114" x14ac:dyDescent="0.35">
      <c r="BJ219" t="s">
        <v>1696</v>
      </c>
      <c r="BK219" s="235">
        <v>38</v>
      </c>
      <c r="BL219">
        <v>30</v>
      </c>
      <c r="BM219" t="s">
        <v>1696</v>
      </c>
      <c r="BO219" s="6" t="s">
        <v>1485</v>
      </c>
      <c r="BP219" s="1">
        <v>8</v>
      </c>
      <c r="BQ219" s="1">
        <v>4</v>
      </c>
      <c r="BR219" s="1"/>
      <c r="BS219" s="1" t="s">
        <v>1728</v>
      </c>
      <c r="BT219" s="1"/>
      <c r="BU219" s="1">
        <v>9</v>
      </c>
      <c r="BV219" s="1">
        <v>20</v>
      </c>
      <c r="BW219" s="1"/>
      <c r="BX219" s="1">
        <v>24</v>
      </c>
      <c r="BY219" s="1"/>
      <c r="BZ219" s="1">
        <f t="shared" si="23"/>
        <v>44</v>
      </c>
      <c r="CA219" s="1">
        <v>56</v>
      </c>
      <c r="CB219" s="1">
        <f t="shared" si="24"/>
        <v>100</v>
      </c>
      <c r="CU219">
        <v>11</v>
      </c>
      <c r="CV219" t="s">
        <v>3947</v>
      </c>
      <c r="CW219" s="6" t="s">
        <v>2196</v>
      </c>
    </row>
    <row r="220" spans="46:114" x14ac:dyDescent="0.35">
      <c r="BD220" t="s">
        <v>2743</v>
      </c>
      <c r="BF220" t="s">
        <v>2739</v>
      </c>
      <c r="BJ220" t="s">
        <v>1711</v>
      </c>
      <c r="BK220" s="72">
        <v>32</v>
      </c>
      <c r="BL220" s="6">
        <v>25</v>
      </c>
      <c r="BM220" t="s">
        <v>1711</v>
      </c>
      <c r="BO220" s="6" t="s">
        <v>2195</v>
      </c>
      <c r="BP220" s="1">
        <v>9</v>
      </c>
      <c r="BQ220" s="1"/>
      <c r="BR220" s="1" t="s">
        <v>1729</v>
      </c>
      <c r="BS220" s="1"/>
      <c r="BT220" s="1" t="s">
        <v>1711</v>
      </c>
      <c r="BU220" s="1">
        <v>10</v>
      </c>
      <c r="BV220" s="1"/>
      <c r="BW220" s="1">
        <v>32</v>
      </c>
      <c r="BX220" s="1"/>
      <c r="BY220" s="1">
        <v>28</v>
      </c>
      <c r="BZ220" s="1">
        <f t="shared" si="23"/>
        <v>60</v>
      </c>
      <c r="CA220" s="1">
        <v>56</v>
      </c>
      <c r="CB220" s="1">
        <f t="shared" si="24"/>
        <v>116</v>
      </c>
      <c r="CC220">
        <v>12</v>
      </c>
      <c r="CD220" t="s">
        <v>3387</v>
      </c>
      <c r="CE220" t="s">
        <v>3389</v>
      </c>
      <c r="CF220" t="s">
        <v>3388</v>
      </c>
      <c r="CH220" t="s">
        <v>3390</v>
      </c>
      <c r="CJ220">
        <v>1</v>
      </c>
      <c r="CK220">
        <v>1</v>
      </c>
      <c r="CM220">
        <v>7</v>
      </c>
      <c r="CN220">
        <v>9</v>
      </c>
      <c r="CU220">
        <v>12</v>
      </c>
      <c r="CV220" t="s">
        <v>3947</v>
      </c>
      <c r="CW220" s="6" t="s">
        <v>1115</v>
      </c>
      <c r="CZ220">
        <v>1</v>
      </c>
      <c r="DA220">
        <v>1</v>
      </c>
      <c r="DC220">
        <v>7</v>
      </c>
      <c r="DD220">
        <v>9</v>
      </c>
    </row>
    <row r="221" spans="46:114" x14ac:dyDescent="0.35">
      <c r="AT221" t="s">
        <v>2755</v>
      </c>
      <c r="AV221" t="s">
        <v>2736</v>
      </c>
      <c r="AX221" t="s">
        <v>2737</v>
      </c>
      <c r="AZ221" t="s">
        <v>2738</v>
      </c>
      <c r="BB221" t="s">
        <v>2753</v>
      </c>
      <c r="BJ221" s="35" t="s">
        <v>2323</v>
      </c>
      <c r="BK221" s="72">
        <v>26</v>
      </c>
      <c r="BL221" s="1">
        <v>20</v>
      </c>
      <c r="BM221" t="s">
        <v>2323</v>
      </c>
      <c r="BO221" s="6" t="s">
        <v>1115</v>
      </c>
      <c r="BP221" s="1">
        <v>10</v>
      </c>
      <c r="BQ221" s="1">
        <v>5</v>
      </c>
      <c r="BR221" s="1"/>
      <c r="BS221" s="1" t="s">
        <v>1729</v>
      </c>
      <c r="BT221" s="1"/>
      <c r="BU221" s="1">
        <v>11</v>
      </c>
      <c r="BV221" s="1">
        <v>32</v>
      </c>
      <c r="BW221" s="1"/>
      <c r="BX221" s="1">
        <v>24</v>
      </c>
      <c r="BY221" s="1"/>
      <c r="BZ221" s="1">
        <f t="shared" si="23"/>
        <v>56</v>
      </c>
      <c r="CA221" s="1">
        <v>56</v>
      </c>
      <c r="CB221" s="1">
        <f t="shared" si="24"/>
        <v>112</v>
      </c>
      <c r="CC221" s="6">
        <v>12</v>
      </c>
      <c r="CD221" t="s">
        <v>3119</v>
      </c>
      <c r="CI221" t="s">
        <v>3129</v>
      </c>
      <c r="CO221">
        <v>56</v>
      </c>
      <c r="CU221">
        <v>13</v>
      </c>
      <c r="CV221" t="s">
        <v>3947</v>
      </c>
      <c r="CW221" s="6" t="s">
        <v>1116</v>
      </c>
      <c r="CY221">
        <v>1</v>
      </c>
      <c r="DE221">
        <v>56</v>
      </c>
      <c r="DF221">
        <f t="shared" ref="DF221:DF241" si="25">DD221+DE221</f>
        <v>56</v>
      </c>
    </row>
    <row r="222" spans="46:114" x14ac:dyDescent="0.35">
      <c r="AT222" t="s">
        <v>1767</v>
      </c>
      <c r="AX222" t="s">
        <v>2742</v>
      </c>
      <c r="AZ222" t="s">
        <v>2741</v>
      </c>
      <c r="BB222" t="s">
        <v>2740</v>
      </c>
      <c r="BD222" t="s">
        <v>2744</v>
      </c>
      <c r="BJ222" s="6" t="s">
        <v>2324</v>
      </c>
      <c r="BK222" s="72">
        <v>23</v>
      </c>
      <c r="BL222" s="1">
        <v>17</v>
      </c>
      <c r="BM222" t="s">
        <v>2405</v>
      </c>
      <c r="BO222" s="6" t="s">
        <v>2196</v>
      </c>
      <c r="BP222" s="1">
        <v>11</v>
      </c>
      <c r="BQ222" s="1"/>
      <c r="BR222" s="1" t="s">
        <v>2216</v>
      </c>
      <c r="BS222" s="1" t="s">
        <v>2366</v>
      </c>
      <c r="BT222" s="1" t="s">
        <v>1696</v>
      </c>
      <c r="BU222" s="1">
        <v>12</v>
      </c>
      <c r="BV222" s="1"/>
      <c r="BW222" s="1">
        <v>16</v>
      </c>
      <c r="BX222" s="1">
        <v>8</v>
      </c>
      <c r="BY222" s="1">
        <v>28</v>
      </c>
      <c r="BZ222" s="1">
        <f t="shared" si="23"/>
        <v>52</v>
      </c>
      <c r="CA222" s="1">
        <v>56</v>
      </c>
      <c r="CB222" s="1">
        <f t="shared" si="24"/>
        <v>108</v>
      </c>
      <c r="CC222" s="6">
        <v>11</v>
      </c>
      <c r="CD222" t="s">
        <v>3120</v>
      </c>
      <c r="CI222" t="s">
        <v>3130</v>
      </c>
      <c r="CO222">
        <v>56</v>
      </c>
      <c r="CW222" s="6" t="s">
        <v>1401</v>
      </c>
      <c r="CY222">
        <v>2</v>
      </c>
      <c r="DE222">
        <v>56</v>
      </c>
      <c r="DF222">
        <f t="shared" si="25"/>
        <v>56</v>
      </c>
    </row>
    <row r="223" spans="46:114" x14ac:dyDescent="0.35">
      <c r="AT223" t="s">
        <v>2117</v>
      </c>
      <c r="AX223" t="s">
        <v>2745</v>
      </c>
      <c r="AZ223" t="s">
        <v>2746</v>
      </c>
      <c r="BB223" t="s">
        <v>2747</v>
      </c>
      <c r="BD223" t="s">
        <v>2748</v>
      </c>
      <c r="BJ223" t="s">
        <v>2325</v>
      </c>
      <c r="BK223" s="237">
        <v>20</v>
      </c>
      <c r="BL223" s="6">
        <v>14</v>
      </c>
      <c r="BM223" t="s">
        <v>2325</v>
      </c>
      <c r="BO223" s="6" t="s">
        <v>1116</v>
      </c>
      <c r="BP223" s="1">
        <v>12</v>
      </c>
      <c r="BQ223" s="1">
        <v>6</v>
      </c>
      <c r="BR223" s="1"/>
      <c r="BS223" s="1" t="s">
        <v>2216</v>
      </c>
      <c r="BT223" s="1" t="s">
        <v>1902</v>
      </c>
      <c r="BU223" s="1">
        <v>13</v>
      </c>
      <c r="BV223" s="1">
        <v>16</v>
      </c>
      <c r="BW223" s="1"/>
      <c r="BX223" s="1">
        <v>16</v>
      </c>
      <c r="BY223" s="1">
        <v>6</v>
      </c>
      <c r="BZ223" s="1">
        <f t="shared" si="23"/>
        <v>38</v>
      </c>
      <c r="CA223" s="1">
        <v>56</v>
      </c>
      <c r="CB223" s="1">
        <f t="shared" si="24"/>
        <v>94</v>
      </c>
      <c r="CC223" s="6">
        <v>10</v>
      </c>
      <c r="CD223" t="s">
        <v>3121</v>
      </c>
      <c r="CI223" t="s">
        <v>3131</v>
      </c>
      <c r="CO223">
        <v>56</v>
      </c>
      <c r="CY223">
        <v>3</v>
      </c>
      <c r="DE223">
        <v>56</v>
      </c>
      <c r="DF223">
        <f t="shared" si="25"/>
        <v>56</v>
      </c>
    </row>
    <row r="224" spans="46:114" x14ac:dyDescent="0.35">
      <c r="AT224" t="s">
        <v>2359</v>
      </c>
      <c r="AX224" t="s">
        <v>2749</v>
      </c>
      <c r="AZ224" t="s">
        <v>2750</v>
      </c>
      <c r="BB224" t="s">
        <v>2751</v>
      </c>
      <c r="BD224" t="s">
        <v>2752</v>
      </c>
      <c r="BJ224" t="s">
        <v>2326</v>
      </c>
      <c r="BK224" s="237">
        <v>17</v>
      </c>
      <c r="BL224">
        <v>11</v>
      </c>
      <c r="BM224" t="s">
        <v>2326</v>
      </c>
      <c r="BO224" s="6" t="s">
        <v>1401</v>
      </c>
      <c r="BP224" s="1">
        <v>13</v>
      </c>
      <c r="BQ224" s="1" t="s">
        <v>1711</v>
      </c>
      <c r="BR224" s="1" t="s">
        <v>1711</v>
      </c>
      <c r="BS224" s="1" t="s">
        <v>1711</v>
      </c>
      <c r="BT224" s="1" t="s">
        <v>1902</v>
      </c>
      <c r="BU224" s="1" t="s">
        <v>1785</v>
      </c>
      <c r="BV224" s="1">
        <v>8</v>
      </c>
      <c r="BW224" s="1">
        <v>8</v>
      </c>
      <c r="BX224" s="1">
        <v>8</v>
      </c>
      <c r="BY224" s="1">
        <v>8</v>
      </c>
      <c r="BZ224" s="1">
        <f t="shared" si="23"/>
        <v>32</v>
      </c>
      <c r="CA224" s="1">
        <v>7</v>
      </c>
      <c r="CB224" s="1">
        <f t="shared" si="24"/>
        <v>39</v>
      </c>
      <c r="CC224" s="6">
        <v>9</v>
      </c>
      <c r="CD224" t="s">
        <v>3122</v>
      </c>
      <c r="CE224">
        <v>1</v>
      </c>
      <c r="CH224">
        <v>1</v>
      </c>
      <c r="CI224" t="s">
        <v>3132</v>
      </c>
      <c r="CJ224">
        <v>20</v>
      </c>
      <c r="CM224">
        <v>28</v>
      </c>
      <c r="CN224">
        <f>SUM(CJ224:CM224)</f>
        <v>48</v>
      </c>
      <c r="CO224">
        <v>56</v>
      </c>
      <c r="CQ224">
        <v>4</v>
      </c>
      <c r="CR224">
        <v>1</v>
      </c>
      <c r="CV224">
        <v>20</v>
      </c>
      <c r="CY224">
        <v>4</v>
      </c>
      <c r="CZ224" t="s">
        <v>1727</v>
      </c>
      <c r="DA224" t="s">
        <v>3129</v>
      </c>
      <c r="DB224" s="1" t="s">
        <v>3129</v>
      </c>
      <c r="DD224">
        <v>48</v>
      </c>
      <c r="DE224">
        <v>56</v>
      </c>
      <c r="DF224">
        <f t="shared" si="25"/>
        <v>104</v>
      </c>
      <c r="DH224">
        <v>20</v>
      </c>
      <c r="DI224">
        <v>16</v>
      </c>
      <c r="DJ224">
        <v>12</v>
      </c>
    </row>
    <row r="225" spans="46:116" x14ac:dyDescent="0.35">
      <c r="AT225" t="s">
        <v>1774</v>
      </c>
      <c r="BB225" t="s">
        <v>2804</v>
      </c>
      <c r="BD225" t="s">
        <v>2805</v>
      </c>
      <c r="BJ225" t="s">
        <v>2327</v>
      </c>
      <c r="BK225" s="235">
        <v>14</v>
      </c>
      <c r="BL225">
        <v>8</v>
      </c>
      <c r="BM225" t="s">
        <v>2327</v>
      </c>
      <c r="BP225" s="1" t="s">
        <v>1785</v>
      </c>
      <c r="BQ225" s="1" t="s">
        <v>1696</v>
      </c>
      <c r="BR225" s="1" t="s">
        <v>1696</v>
      </c>
      <c r="BS225" s="1" t="s">
        <v>1696</v>
      </c>
      <c r="BT225" s="1"/>
      <c r="BU225" s="1" t="s">
        <v>2375</v>
      </c>
      <c r="BV225" s="1">
        <v>4</v>
      </c>
      <c r="BW225" s="1">
        <v>4</v>
      </c>
      <c r="BX225" s="1">
        <v>4</v>
      </c>
      <c r="BY225" s="1"/>
      <c r="BZ225" s="1">
        <f t="shared" si="23"/>
        <v>12</v>
      </c>
      <c r="CA225" s="1">
        <v>0</v>
      </c>
      <c r="CB225" s="1">
        <f t="shared" si="24"/>
        <v>12</v>
      </c>
      <c r="CC225">
        <v>8</v>
      </c>
      <c r="CD225" t="s">
        <v>3123</v>
      </c>
      <c r="CE225">
        <v>2</v>
      </c>
      <c r="CG225" t="s">
        <v>1727</v>
      </c>
      <c r="CI225" t="s">
        <v>3133</v>
      </c>
      <c r="CJ225">
        <v>20</v>
      </c>
      <c r="CL225">
        <v>24</v>
      </c>
      <c r="CN225">
        <f t="shared" ref="CN225:CN236" si="26">SUM(CJ225:CM225)</f>
        <v>44</v>
      </c>
      <c r="CO225">
        <v>56</v>
      </c>
      <c r="CQ225">
        <v>5</v>
      </c>
      <c r="CT225" t="s">
        <v>1727</v>
      </c>
      <c r="CU225">
        <v>1</v>
      </c>
      <c r="CV225">
        <v>52</v>
      </c>
      <c r="CW225">
        <v>56</v>
      </c>
      <c r="CY225">
        <v>5</v>
      </c>
      <c r="CZ225" t="s">
        <v>1728</v>
      </c>
      <c r="DA225" s="1" t="s">
        <v>3130</v>
      </c>
      <c r="DB225" t="s">
        <v>3130</v>
      </c>
      <c r="DD225">
        <v>48</v>
      </c>
      <c r="DE225">
        <v>56</v>
      </c>
      <c r="DF225">
        <f t="shared" si="25"/>
        <v>104</v>
      </c>
      <c r="DH225">
        <v>20</v>
      </c>
      <c r="DI225">
        <v>16</v>
      </c>
      <c r="DJ225">
        <v>12</v>
      </c>
    </row>
    <row r="226" spans="46:116" x14ac:dyDescent="0.35">
      <c r="BJ226" t="s">
        <v>2328</v>
      </c>
      <c r="BK226" s="235">
        <v>11</v>
      </c>
      <c r="BL226">
        <v>5</v>
      </c>
      <c r="BM226" t="s">
        <v>2328</v>
      </c>
      <c r="BP226" s="1" t="s">
        <v>2375</v>
      </c>
      <c r="BQ226" s="1" t="s">
        <v>1700</v>
      </c>
      <c r="BR226" s="1" t="s">
        <v>1700</v>
      </c>
      <c r="BS226" s="1" t="s">
        <v>1700</v>
      </c>
      <c r="BT226" s="1"/>
      <c r="BU226" s="1" t="s">
        <v>1904</v>
      </c>
      <c r="BV226" s="1">
        <v>2</v>
      </c>
      <c r="BW226" s="1">
        <v>2</v>
      </c>
      <c r="BX226" s="1">
        <v>2</v>
      </c>
      <c r="BY226" s="1"/>
      <c r="BZ226" s="1">
        <f t="shared" si="23"/>
        <v>6</v>
      </c>
      <c r="CA226" s="1">
        <v>8</v>
      </c>
      <c r="CB226" s="1">
        <f t="shared" si="24"/>
        <v>14</v>
      </c>
      <c r="CC226">
        <v>7</v>
      </c>
      <c r="CD226" t="s">
        <v>3124</v>
      </c>
      <c r="CF226" t="s">
        <v>1727</v>
      </c>
      <c r="CH226">
        <v>2</v>
      </c>
      <c r="CI226" t="s">
        <v>3134</v>
      </c>
      <c r="CK226">
        <v>32</v>
      </c>
      <c r="CM226">
        <v>28</v>
      </c>
      <c r="CN226">
        <f t="shared" si="26"/>
        <v>60</v>
      </c>
      <c r="CO226">
        <v>56</v>
      </c>
      <c r="CQ226">
        <v>6</v>
      </c>
      <c r="CR226">
        <v>2</v>
      </c>
      <c r="CS226" t="s">
        <v>1727</v>
      </c>
      <c r="CV226">
        <v>52</v>
      </c>
      <c r="CW226">
        <v>56</v>
      </c>
      <c r="CY226">
        <v>6</v>
      </c>
      <c r="DA226" t="s">
        <v>3131</v>
      </c>
      <c r="DB226" s="1" t="s">
        <v>3131</v>
      </c>
      <c r="DC226">
        <v>1</v>
      </c>
      <c r="DD226">
        <v>56</v>
      </c>
      <c r="DE226">
        <v>56</v>
      </c>
      <c r="DF226">
        <f t="shared" si="25"/>
        <v>112</v>
      </c>
      <c r="DI226">
        <v>16</v>
      </c>
      <c r="DJ226">
        <v>12</v>
      </c>
      <c r="DK226">
        <v>28</v>
      </c>
    </row>
    <row r="227" spans="46:116" x14ac:dyDescent="0.35">
      <c r="AU227" t="s">
        <v>2754</v>
      </c>
      <c r="BP227" s="1" t="s">
        <v>1904</v>
      </c>
      <c r="BQ227" s="1"/>
      <c r="BR227" s="1"/>
      <c r="BS227" s="1"/>
      <c r="BT227" s="1"/>
      <c r="BU227" s="1" t="s">
        <v>1711</v>
      </c>
      <c r="BV227" s="1"/>
      <c r="BW227" s="1"/>
      <c r="BX227" s="1"/>
      <c r="BY227" s="1"/>
      <c r="BZ227" s="1">
        <f t="shared" si="23"/>
        <v>0</v>
      </c>
      <c r="CA227" s="1">
        <v>8</v>
      </c>
      <c r="CB227" s="1">
        <f t="shared" ref="CB227:CB229" si="27">SUM(BZ227:CA227)</f>
        <v>8</v>
      </c>
      <c r="CC227">
        <v>6</v>
      </c>
      <c r="CD227" t="s">
        <v>3125</v>
      </c>
      <c r="CE227">
        <v>3</v>
      </c>
      <c r="CG227" t="s">
        <v>1727</v>
      </c>
      <c r="CI227" t="s">
        <v>3135</v>
      </c>
      <c r="CJ227">
        <v>20</v>
      </c>
      <c r="CL227">
        <v>24</v>
      </c>
      <c r="CN227">
        <f t="shared" si="26"/>
        <v>44</v>
      </c>
      <c r="CO227">
        <v>56</v>
      </c>
      <c r="CQ227">
        <v>7</v>
      </c>
      <c r="CT227" t="s">
        <v>1728</v>
      </c>
      <c r="CU227">
        <v>2</v>
      </c>
      <c r="CV227">
        <v>52</v>
      </c>
      <c r="CW227">
        <v>56</v>
      </c>
      <c r="CY227">
        <v>7</v>
      </c>
      <c r="CZ227" t="s">
        <v>1729</v>
      </c>
      <c r="DA227" s="1" t="s">
        <v>3132</v>
      </c>
      <c r="DB227" t="s">
        <v>3132</v>
      </c>
      <c r="DD227">
        <v>48</v>
      </c>
      <c r="DE227">
        <v>56</v>
      </c>
      <c r="DF227">
        <f t="shared" si="25"/>
        <v>104</v>
      </c>
      <c r="DH227">
        <v>20</v>
      </c>
      <c r="DI227">
        <v>16</v>
      </c>
      <c r="DJ227">
        <v>12</v>
      </c>
    </row>
    <row r="228" spans="46:116" x14ac:dyDescent="0.35">
      <c r="AU228" t="s">
        <v>2756</v>
      </c>
      <c r="BP228" s="1" t="s">
        <v>1711</v>
      </c>
      <c r="BQ228" s="1"/>
      <c r="BR228" s="1"/>
      <c r="BS228" s="1"/>
      <c r="BT228" s="1"/>
      <c r="BU228" s="1" t="s">
        <v>1696</v>
      </c>
      <c r="BV228" s="1"/>
      <c r="BW228" s="1"/>
      <c r="BX228" s="1"/>
      <c r="BY228" s="1"/>
      <c r="BZ228" s="1">
        <f t="shared" si="23"/>
        <v>0</v>
      </c>
      <c r="CA228" s="1">
        <v>4</v>
      </c>
      <c r="CB228" s="1">
        <f t="shared" si="27"/>
        <v>4</v>
      </c>
      <c r="CC228">
        <v>5</v>
      </c>
      <c r="CD228" t="s">
        <v>3126</v>
      </c>
      <c r="CF228" t="s">
        <v>1727</v>
      </c>
      <c r="CH228" t="s">
        <v>1711</v>
      </c>
      <c r="CI228" t="s">
        <v>3136</v>
      </c>
      <c r="CK228">
        <v>32</v>
      </c>
      <c r="CM228">
        <v>28</v>
      </c>
      <c r="CN228">
        <f t="shared" si="26"/>
        <v>60</v>
      </c>
      <c r="CO228">
        <v>56</v>
      </c>
      <c r="CQ228">
        <v>8</v>
      </c>
      <c r="CR228">
        <v>3</v>
      </c>
      <c r="CS228" t="s">
        <v>1728</v>
      </c>
      <c r="CV228">
        <v>52</v>
      </c>
      <c r="CW228">
        <v>56</v>
      </c>
      <c r="CY228">
        <v>8</v>
      </c>
      <c r="DA228" t="s">
        <v>3133</v>
      </c>
      <c r="DB228" s="1" t="s">
        <v>3133</v>
      </c>
      <c r="DC228">
        <v>2</v>
      </c>
      <c r="DD228">
        <v>56</v>
      </c>
      <c r="DE228">
        <v>56</v>
      </c>
      <c r="DF228">
        <f t="shared" si="25"/>
        <v>112</v>
      </c>
      <c r="DI228">
        <v>16</v>
      </c>
      <c r="DJ228">
        <v>12</v>
      </c>
      <c r="DK228">
        <v>28</v>
      </c>
    </row>
    <row r="229" spans="46:116" x14ac:dyDescent="0.35">
      <c r="AU229" t="s">
        <v>2757</v>
      </c>
      <c r="BI229" t="s">
        <v>5</v>
      </c>
      <c r="BJ229">
        <v>50</v>
      </c>
      <c r="BK229" s="1">
        <v>50</v>
      </c>
      <c r="BL229">
        <v>50</v>
      </c>
      <c r="BM229">
        <v>50</v>
      </c>
      <c r="BN229">
        <v>50</v>
      </c>
      <c r="BP229" s="1" t="s">
        <v>1696</v>
      </c>
      <c r="BQ229" s="1"/>
      <c r="BR229" s="1"/>
      <c r="BS229" s="1"/>
      <c r="BT229" s="1"/>
      <c r="BU229" s="1" t="s">
        <v>1700</v>
      </c>
      <c r="BV229" s="1"/>
      <c r="BW229" s="1"/>
      <c r="BX229" s="1"/>
      <c r="BY229" s="1"/>
      <c r="BZ229" s="1">
        <f t="shared" si="23"/>
        <v>0</v>
      </c>
      <c r="CA229" s="1">
        <v>2.5</v>
      </c>
      <c r="CB229" s="1">
        <f t="shared" si="27"/>
        <v>2.5</v>
      </c>
      <c r="CC229">
        <v>4</v>
      </c>
      <c r="CD229" t="s">
        <v>3127</v>
      </c>
      <c r="CE229">
        <v>4</v>
      </c>
      <c r="CG229" t="s">
        <v>1727</v>
      </c>
      <c r="CI229" t="s">
        <v>3137</v>
      </c>
      <c r="CJ229">
        <v>20</v>
      </c>
      <c r="CL229">
        <v>24</v>
      </c>
      <c r="CN229">
        <f t="shared" si="26"/>
        <v>44</v>
      </c>
      <c r="CO229">
        <v>56</v>
      </c>
      <c r="CQ229">
        <v>9</v>
      </c>
      <c r="CT229" t="s">
        <v>1729</v>
      </c>
      <c r="CU229" t="s">
        <v>1073</v>
      </c>
      <c r="CV229">
        <v>52</v>
      </c>
      <c r="CW229">
        <v>56</v>
      </c>
      <c r="CY229">
        <v>9</v>
      </c>
      <c r="CZ229" t="s">
        <v>1730</v>
      </c>
      <c r="DA229" s="1" t="s">
        <v>3134</v>
      </c>
      <c r="DB229" t="s">
        <v>3134</v>
      </c>
      <c r="DD229">
        <v>48</v>
      </c>
      <c r="DE229">
        <v>56</v>
      </c>
      <c r="DF229">
        <f t="shared" si="25"/>
        <v>104</v>
      </c>
      <c r="DH229">
        <v>20</v>
      </c>
      <c r="DI229">
        <v>16</v>
      </c>
      <c r="DJ229">
        <v>12</v>
      </c>
    </row>
    <row r="230" spans="46:116" x14ac:dyDescent="0.35">
      <c r="AU230" t="s">
        <v>2758</v>
      </c>
      <c r="BI230" t="s">
        <v>1074</v>
      </c>
      <c r="BJ230">
        <v>46</v>
      </c>
      <c r="BK230" s="1">
        <v>44</v>
      </c>
      <c r="BL230">
        <v>42</v>
      </c>
      <c r="BM230">
        <v>42</v>
      </c>
      <c r="BN230">
        <v>40</v>
      </c>
      <c r="BQ230" s="1">
        <v>1</v>
      </c>
      <c r="CC230">
        <v>3</v>
      </c>
      <c r="CD230" t="s">
        <v>3128</v>
      </c>
      <c r="CF230" t="s">
        <v>1727</v>
      </c>
      <c r="CH230" t="s">
        <v>1696</v>
      </c>
      <c r="CI230" t="s">
        <v>3138</v>
      </c>
      <c r="CK230">
        <v>32</v>
      </c>
      <c r="CM230">
        <v>28</v>
      </c>
      <c r="CN230">
        <f t="shared" si="26"/>
        <v>60</v>
      </c>
      <c r="CO230">
        <v>56</v>
      </c>
      <c r="CQ230">
        <v>10</v>
      </c>
      <c r="CR230">
        <v>4</v>
      </c>
      <c r="CS230" t="s">
        <v>1729</v>
      </c>
      <c r="CV230">
        <v>52</v>
      </c>
      <c r="CW230">
        <v>56</v>
      </c>
      <c r="CY230">
        <v>10</v>
      </c>
      <c r="CZ230" t="s">
        <v>4058</v>
      </c>
      <c r="DB230" t="s">
        <v>2376</v>
      </c>
      <c r="DC230" t="s">
        <v>1073</v>
      </c>
      <c r="DD230">
        <v>36</v>
      </c>
      <c r="DE230">
        <v>56</v>
      </c>
      <c r="DF230">
        <f t="shared" si="25"/>
        <v>92</v>
      </c>
      <c r="DJ230">
        <v>8</v>
      </c>
      <c r="DK230">
        <v>28</v>
      </c>
    </row>
    <row r="231" spans="46:116" x14ac:dyDescent="0.35">
      <c r="AU231" t="s">
        <v>2759</v>
      </c>
      <c r="BI231" t="s">
        <v>1057</v>
      </c>
      <c r="BJ231">
        <v>41</v>
      </c>
      <c r="BK231" s="1">
        <v>38</v>
      </c>
      <c r="BL231">
        <v>36</v>
      </c>
      <c r="BM231">
        <v>36</v>
      </c>
      <c r="BN231">
        <v>33</v>
      </c>
      <c r="BR231" s="1" t="s">
        <v>2085</v>
      </c>
      <c r="BT231" s="1">
        <v>1</v>
      </c>
      <c r="CC231">
        <v>2</v>
      </c>
      <c r="CD231" t="s">
        <v>3118</v>
      </c>
      <c r="CE231">
        <v>5</v>
      </c>
      <c r="CG231" t="s">
        <v>2376</v>
      </c>
      <c r="CI231" t="s">
        <v>3139</v>
      </c>
      <c r="CJ231">
        <v>32</v>
      </c>
      <c r="CL231">
        <v>8</v>
      </c>
      <c r="CN231">
        <f t="shared" si="26"/>
        <v>40</v>
      </c>
      <c r="CO231">
        <v>56</v>
      </c>
      <c r="CQ231">
        <v>11</v>
      </c>
      <c r="CT231" t="s">
        <v>2376</v>
      </c>
      <c r="CU231" t="s">
        <v>1057</v>
      </c>
      <c r="CV231">
        <v>52</v>
      </c>
      <c r="CW231">
        <v>56</v>
      </c>
      <c r="CY231">
        <v>11</v>
      </c>
      <c r="CZ231" t="s">
        <v>3881</v>
      </c>
      <c r="DA231" t="s">
        <v>3885</v>
      </c>
      <c r="DB231" t="s">
        <v>3885</v>
      </c>
      <c r="DC231" t="s">
        <v>3889</v>
      </c>
      <c r="DD231">
        <v>46</v>
      </c>
      <c r="DE231">
        <v>56</v>
      </c>
      <c r="DF231">
        <f t="shared" si="25"/>
        <v>102</v>
      </c>
      <c r="DH231">
        <v>16</v>
      </c>
      <c r="DI231">
        <v>8</v>
      </c>
      <c r="DJ231">
        <v>8</v>
      </c>
      <c r="DK231">
        <v>14</v>
      </c>
    </row>
    <row r="232" spans="46:116" x14ac:dyDescent="0.35">
      <c r="BI232" t="s">
        <v>1073</v>
      </c>
      <c r="BJ232">
        <v>35</v>
      </c>
      <c r="BK232" s="1">
        <v>32</v>
      </c>
      <c r="BL232">
        <v>30</v>
      </c>
      <c r="BM232">
        <v>28</v>
      </c>
      <c r="BN232">
        <v>25</v>
      </c>
      <c r="BQ232" s="1">
        <v>2</v>
      </c>
      <c r="BR232" s="1"/>
      <c r="BS232" s="1" t="s">
        <v>2086</v>
      </c>
      <c r="CC232">
        <v>1</v>
      </c>
      <c r="CD232" t="s">
        <v>3117</v>
      </c>
      <c r="CF232" t="s">
        <v>1712</v>
      </c>
      <c r="CG232" t="s">
        <v>1712</v>
      </c>
      <c r="CH232" t="s">
        <v>1700</v>
      </c>
      <c r="CI232" t="s">
        <v>3140</v>
      </c>
      <c r="CK232">
        <v>16</v>
      </c>
      <c r="CL232">
        <v>16</v>
      </c>
      <c r="CM232">
        <v>14</v>
      </c>
      <c r="CN232">
        <f>SUM(CJ232:CM232)</f>
        <v>46</v>
      </c>
      <c r="CO232">
        <v>56</v>
      </c>
      <c r="CQ232">
        <v>12</v>
      </c>
      <c r="CR232">
        <v>5</v>
      </c>
      <c r="CS232" t="s">
        <v>1712</v>
      </c>
      <c r="CT232" t="s">
        <v>1712</v>
      </c>
      <c r="CV232">
        <f>16+16+32</f>
        <v>64</v>
      </c>
      <c r="CW232">
        <v>56</v>
      </c>
      <c r="CY232">
        <v>12</v>
      </c>
      <c r="CZ232" t="s">
        <v>3882</v>
      </c>
      <c r="DA232" t="s">
        <v>3886</v>
      </c>
      <c r="DB232" t="s">
        <v>3886</v>
      </c>
      <c r="DC232" t="s">
        <v>3890</v>
      </c>
      <c r="DD232">
        <v>46</v>
      </c>
      <c r="DE232">
        <v>56</v>
      </c>
      <c r="DF232">
        <f t="shared" si="25"/>
        <v>102</v>
      </c>
      <c r="DH232">
        <v>16</v>
      </c>
      <c r="DI232">
        <v>8</v>
      </c>
      <c r="DJ232">
        <v>8</v>
      </c>
      <c r="DK232">
        <v>14</v>
      </c>
    </row>
    <row r="233" spans="46:116" x14ac:dyDescent="0.35">
      <c r="AV233">
        <v>2.25</v>
      </c>
      <c r="AW233" t="s">
        <v>5006</v>
      </c>
      <c r="AX233" t="s">
        <v>5005</v>
      </c>
      <c r="AZ233" t="s">
        <v>5004</v>
      </c>
      <c r="BB233" t="s">
        <v>5003</v>
      </c>
      <c r="BD233" t="s">
        <v>5093</v>
      </c>
      <c r="BI233" t="s">
        <v>4265</v>
      </c>
      <c r="BJ233">
        <v>29</v>
      </c>
      <c r="BK233" s="1">
        <v>26</v>
      </c>
      <c r="BL233">
        <v>23</v>
      </c>
      <c r="BM233">
        <v>20</v>
      </c>
      <c r="BN233">
        <v>17</v>
      </c>
      <c r="BR233" s="1" t="s">
        <v>2087</v>
      </c>
      <c r="BS233" s="1"/>
      <c r="BT233" s="1">
        <v>2</v>
      </c>
      <c r="BY233">
        <v>10</v>
      </c>
      <c r="CC233">
        <v>0</v>
      </c>
      <c r="CD233" t="s">
        <v>3116</v>
      </c>
      <c r="CE233">
        <v>6</v>
      </c>
      <c r="CG233" t="s">
        <v>1711</v>
      </c>
      <c r="CH233" t="s">
        <v>1700</v>
      </c>
      <c r="CI233" t="s">
        <v>3141</v>
      </c>
      <c r="CJ233">
        <v>16</v>
      </c>
      <c r="CL233">
        <v>8</v>
      </c>
      <c r="CN233">
        <f t="shared" si="26"/>
        <v>24</v>
      </c>
      <c r="CO233">
        <v>56</v>
      </c>
      <c r="CQ233">
        <v>13</v>
      </c>
      <c r="CR233">
        <v>6</v>
      </c>
      <c r="CT233" t="s">
        <v>1073</v>
      </c>
      <c r="CU233" t="s">
        <v>1700</v>
      </c>
      <c r="CV233">
        <v>38</v>
      </c>
      <c r="CW233">
        <v>56</v>
      </c>
      <c r="CY233">
        <v>13</v>
      </c>
      <c r="CZ233" t="s">
        <v>3883</v>
      </c>
      <c r="DA233" t="s">
        <v>3887</v>
      </c>
      <c r="DB233" t="s">
        <v>3887</v>
      </c>
      <c r="DC233" t="s">
        <v>3891</v>
      </c>
      <c r="DD233">
        <v>23</v>
      </c>
      <c r="DE233">
        <v>56</v>
      </c>
      <c r="DF233">
        <f t="shared" si="25"/>
        <v>79</v>
      </c>
      <c r="DH233">
        <v>8</v>
      </c>
      <c r="DI233">
        <v>4</v>
      </c>
      <c r="DJ233">
        <v>4</v>
      </c>
      <c r="DK233">
        <v>7</v>
      </c>
    </row>
    <row r="234" spans="46:116" x14ac:dyDescent="0.35">
      <c r="AX234" t="s">
        <v>5007</v>
      </c>
      <c r="AZ234" t="s">
        <v>5009</v>
      </c>
      <c r="BB234" t="s">
        <v>5010</v>
      </c>
      <c r="BD234" t="s">
        <v>5002</v>
      </c>
      <c r="BI234" s="1" t="s">
        <v>2117</v>
      </c>
      <c r="BJ234" t="s">
        <v>3491</v>
      </c>
      <c r="BK234" t="s">
        <v>3492</v>
      </c>
      <c r="BL234" t="s">
        <v>2324</v>
      </c>
      <c r="BM234" t="s">
        <v>2325</v>
      </c>
      <c r="BN234" t="s">
        <v>2326</v>
      </c>
      <c r="BQ234" s="1">
        <v>3</v>
      </c>
      <c r="BR234" s="1"/>
      <c r="BS234" s="1" t="s">
        <v>2088</v>
      </c>
      <c r="BT234" s="1"/>
      <c r="BU234" s="288">
        <f>BV234-BZ234</f>
        <v>-3.7878787878787845E-3</v>
      </c>
      <c r="BV234" s="287">
        <f>BW234*10/11</f>
        <v>0.20454545454545456</v>
      </c>
      <c r="BW234" s="287">
        <f>BX234/BY233</f>
        <v>0.22500000000000001</v>
      </c>
      <c r="BX234">
        <v>2.25</v>
      </c>
      <c r="BY234" t="s">
        <v>168</v>
      </c>
      <c r="BZ234" s="287">
        <f>CA234/6</f>
        <v>0.20833333333333334</v>
      </c>
      <c r="CA234">
        <v>1.25</v>
      </c>
      <c r="CB234" s="288">
        <f>BW234-BZ234</f>
        <v>1.6666666666666663E-2</v>
      </c>
      <c r="CC234">
        <v>3</v>
      </c>
      <c r="CD234" t="s">
        <v>3142</v>
      </c>
      <c r="CE234" t="s">
        <v>1711</v>
      </c>
      <c r="CF234" t="s">
        <v>1711</v>
      </c>
      <c r="CG234" s="6" t="s">
        <v>1696</v>
      </c>
      <c r="CJ234">
        <v>8</v>
      </c>
      <c r="CK234">
        <v>8</v>
      </c>
      <c r="CL234">
        <v>4</v>
      </c>
      <c r="CN234">
        <f t="shared" si="26"/>
        <v>20</v>
      </c>
      <c r="CQ234">
        <v>14</v>
      </c>
      <c r="CR234" t="s">
        <v>1073</v>
      </c>
      <c r="CS234" t="s">
        <v>1073</v>
      </c>
      <c r="CT234" t="s">
        <v>1057</v>
      </c>
      <c r="CV234">
        <v>20</v>
      </c>
      <c r="CW234">
        <v>56</v>
      </c>
      <c r="CY234">
        <v>14</v>
      </c>
      <c r="CZ234" t="s">
        <v>3884</v>
      </c>
      <c r="DA234" t="s">
        <v>3888</v>
      </c>
      <c r="DB234" t="s">
        <v>3888</v>
      </c>
      <c r="DC234" t="s">
        <v>3892</v>
      </c>
      <c r="DD234">
        <v>23</v>
      </c>
      <c r="DF234">
        <f t="shared" si="25"/>
        <v>23</v>
      </c>
      <c r="DH234">
        <v>8</v>
      </c>
      <c r="DI234">
        <v>4</v>
      </c>
      <c r="DJ234">
        <v>4</v>
      </c>
      <c r="DK234">
        <v>7</v>
      </c>
    </row>
    <row r="235" spans="46:116" x14ac:dyDescent="0.35">
      <c r="AZ235" t="s">
        <v>5008</v>
      </c>
      <c r="BB235" t="s">
        <v>5011</v>
      </c>
      <c r="BR235" s="1" t="s">
        <v>2215</v>
      </c>
      <c r="BS235" s="1"/>
      <c r="BT235" s="1" t="s">
        <v>1711</v>
      </c>
      <c r="BU235" s="288">
        <f t="shared" ref="BU235:BU243" si="28">BV235-BZ235</f>
        <v>1.1363636363636354E-2</v>
      </c>
      <c r="BV235" s="287">
        <f t="shared" ref="BV235:BV243" si="29">BW235*10/11</f>
        <v>0.13636363636363635</v>
      </c>
      <c r="BW235" s="287">
        <f>BX235/BY233</f>
        <v>0.15</v>
      </c>
      <c r="BX235">
        <v>1.5</v>
      </c>
      <c r="BY235" t="s">
        <v>3169</v>
      </c>
      <c r="BZ235" s="287">
        <f t="shared" ref="BZ235:BZ243" si="30">CA235/6</f>
        <v>0.125</v>
      </c>
      <c r="CA235">
        <v>0.75</v>
      </c>
      <c r="CB235" s="288">
        <f t="shared" ref="CB235:CB243" si="31">BW235-BZ235</f>
        <v>2.4999999999999994E-2</v>
      </c>
      <c r="CC235">
        <v>3</v>
      </c>
      <c r="CD235" t="s">
        <v>3143</v>
      </c>
      <c r="CE235" s="6" t="s">
        <v>1696</v>
      </c>
      <c r="CF235" s="6" t="s">
        <v>1696</v>
      </c>
      <c r="CG235" s="6" t="s">
        <v>1700</v>
      </c>
      <c r="CI235" t="s">
        <v>2759</v>
      </c>
      <c r="CJ235">
        <v>4</v>
      </c>
      <c r="CK235">
        <v>4</v>
      </c>
      <c r="CL235">
        <v>2</v>
      </c>
      <c r="CN235">
        <f t="shared" si="26"/>
        <v>10</v>
      </c>
      <c r="CO235">
        <v>7</v>
      </c>
      <c r="CQ235">
        <v>15</v>
      </c>
      <c r="CR235" t="s">
        <v>1057</v>
      </c>
      <c r="CS235" t="s">
        <v>1057</v>
      </c>
      <c r="CT235" t="s">
        <v>1074</v>
      </c>
      <c r="CV235">
        <v>10</v>
      </c>
      <c r="CW235">
        <v>7</v>
      </c>
      <c r="CY235">
        <v>15</v>
      </c>
      <c r="CZ235" t="s">
        <v>3887</v>
      </c>
      <c r="DA235" t="s">
        <v>3889</v>
      </c>
      <c r="DB235" t="s">
        <v>3889</v>
      </c>
      <c r="DD235">
        <v>8</v>
      </c>
      <c r="DE235">
        <v>7</v>
      </c>
      <c r="DF235">
        <f t="shared" si="25"/>
        <v>15</v>
      </c>
      <c r="DH235">
        <v>4</v>
      </c>
      <c r="DI235">
        <v>2</v>
      </c>
      <c r="DJ235">
        <v>2</v>
      </c>
      <c r="DL235">
        <v>7</v>
      </c>
    </row>
    <row r="236" spans="46:116" x14ac:dyDescent="0.35">
      <c r="BI236" t="s">
        <v>5</v>
      </c>
      <c r="BJ236">
        <v>40</v>
      </c>
      <c r="BK236">
        <v>40</v>
      </c>
      <c r="BL236" s="1">
        <v>40</v>
      </c>
      <c r="BM236">
        <v>40</v>
      </c>
      <c r="BQ236" s="1">
        <v>4</v>
      </c>
      <c r="BR236" s="1"/>
      <c r="BS236" s="1" t="s">
        <v>2214</v>
      </c>
      <c r="BT236" s="1"/>
      <c r="BU236" s="288">
        <f t="shared" si="28"/>
        <v>-7.5757575757576245E-4</v>
      </c>
      <c r="BV236" s="287">
        <f t="shared" si="29"/>
        <v>9.0909090909090912E-2</v>
      </c>
      <c r="BW236" s="287">
        <f>BX236/BY233</f>
        <v>0.1</v>
      </c>
      <c r="BX236">
        <v>1</v>
      </c>
      <c r="BY236" t="s">
        <v>3165</v>
      </c>
      <c r="BZ236" s="287">
        <f t="shared" si="30"/>
        <v>9.1666666666666674E-2</v>
      </c>
      <c r="CA236">
        <v>0.55000000000000004</v>
      </c>
      <c r="CB236" s="288">
        <f t="shared" si="31"/>
        <v>8.3333333333333315E-3</v>
      </c>
      <c r="CC236">
        <v>3</v>
      </c>
      <c r="CD236" t="s">
        <v>3144</v>
      </c>
      <c r="CE236" s="6" t="s">
        <v>1700</v>
      </c>
      <c r="CF236" s="6" t="s">
        <v>1700</v>
      </c>
      <c r="CJ236">
        <v>2</v>
      </c>
      <c r="CK236">
        <v>2</v>
      </c>
      <c r="CN236">
        <f t="shared" si="26"/>
        <v>4</v>
      </c>
      <c r="CQ236">
        <v>16</v>
      </c>
      <c r="CR236" t="s">
        <v>1074</v>
      </c>
      <c r="CS236" t="s">
        <v>1074</v>
      </c>
      <c r="CV236">
        <v>4</v>
      </c>
      <c r="CY236">
        <v>16</v>
      </c>
      <c r="CZ236" t="s">
        <v>3888</v>
      </c>
      <c r="DA236" t="s">
        <v>3890</v>
      </c>
      <c r="DB236" t="s">
        <v>3890</v>
      </c>
      <c r="DD236">
        <v>8</v>
      </c>
      <c r="DF236">
        <f t="shared" si="25"/>
        <v>8</v>
      </c>
      <c r="DH236">
        <v>4</v>
      </c>
      <c r="DI236">
        <v>2</v>
      </c>
      <c r="DJ236">
        <v>2</v>
      </c>
    </row>
    <row r="237" spans="46:116" x14ac:dyDescent="0.35">
      <c r="BI237" t="s">
        <v>1074</v>
      </c>
      <c r="BJ237">
        <v>36</v>
      </c>
      <c r="BK237">
        <v>35</v>
      </c>
      <c r="BL237" s="1">
        <v>35</v>
      </c>
      <c r="BM237">
        <v>35</v>
      </c>
      <c r="BR237" s="1" t="s">
        <v>2216</v>
      </c>
      <c r="BS237" s="1" t="s">
        <v>2366</v>
      </c>
      <c r="BT237" s="1" t="s">
        <v>1696</v>
      </c>
      <c r="BU237" s="288">
        <f t="shared" si="28"/>
        <v>-7.5757575757576245E-4</v>
      </c>
      <c r="BV237" s="287">
        <f t="shared" si="29"/>
        <v>9.0909090909090912E-2</v>
      </c>
      <c r="BW237" s="287">
        <f>BX237/BY233</f>
        <v>0.1</v>
      </c>
      <c r="BX237">
        <v>1</v>
      </c>
      <c r="BY237" t="s">
        <v>3166</v>
      </c>
      <c r="BZ237" s="287">
        <f t="shared" si="30"/>
        <v>9.1666666666666674E-2</v>
      </c>
      <c r="CA237">
        <v>0.55000000000000004</v>
      </c>
      <c r="CB237" s="288">
        <f t="shared" si="31"/>
        <v>8.3333333333333315E-3</v>
      </c>
      <c r="CC237">
        <v>3</v>
      </c>
      <c r="CD237" t="s">
        <v>3145</v>
      </c>
      <c r="CI237" s="6" t="s">
        <v>3149</v>
      </c>
      <c r="CO237">
        <v>8</v>
      </c>
      <c r="CY237">
        <v>17</v>
      </c>
      <c r="CZ237" t="s">
        <v>1057</v>
      </c>
      <c r="DA237" t="s">
        <v>1700</v>
      </c>
      <c r="DB237" t="s">
        <v>1700</v>
      </c>
      <c r="DD237">
        <v>8</v>
      </c>
      <c r="DF237">
        <f t="shared" si="25"/>
        <v>8</v>
      </c>
      <c r="DH237">
        <v>4</v>
      </c>
      <c r="DI237">
        <v>2</v>
      </c>
      <c r="DJ237">
        <v>2</v>
      </c>
    </row>
    <row r="238" spans="46:116" x14ac:dyDescent="0.35">
      <c r="BI238" t="s">
        <v>1057</v>
      </c>
      <c r="BJ238">
        <v>32</v>
      </c>
      <c r="BK238">
        <v>31</v>
      </c>
      <c r="BL238" s="1">
        <v>30</v>
      </c>
      <c r="BM238">
        <v>30</v>
      </c>
      <c r="BQ238" s="1">
        <v>5</v>
      </c>
      <c r="BS238" s="1" t="s">
        <v>2216</v>
      </c>
      <c r="BU238" s="288">
        <f t="shared" si="28"/>
        <v>-6.8181818181818205E-3</v>
      </c>
      <c r="BV238" s="287">
        <f t="shared" si="29"/>
        <v>6.8181818181818177E-2</v>
      </c>
      <c r="BW238" s="287">
        <f>BX238/BY233</f>
        <v>7.4999999999999997E-2</v>
      </c>
      <c r="BX238">
        <v>0.75</v>
      </c>
      <c r="BY238" t="s">
        <v>3167</v>
      </c>
      <c r="BZ238" s="287">
        <f t="shared" si="30"/>
        <v>7.4999999999999997E-2</v>
      </c>
      <c r="CA238">
        <v>0.45</v>
      </c>
      <c r="CB238" s="288">
        <f t="shared" si="31"/>
        <v>0</v>
      </c>
      <c r="CC238">
        <v>3</v>
      </c>
      <c r="CD238" s="6" t="s">
        <v>3146</v>
      </c>
      <c r="CI238" s="6" t="s">
        <v>1711</v>
      </c>
      <c r="CO238">
        <v>8</v>
      </c>
      <c r="CY238">
        <v>18</v>
      </c>
      <c r="CZ238" t="s">
        <v>1700</v>
      </c>
      <c r="DD238">
        <v>2</v>
      </c>
      <c r="DE238">
        <v>8</v>
      </c>
      <c r="DF238">
        <f t="shared" si="25"/>
        <v>10</v>
      </c>
      <c r="DH238">
        <v>2</v>
      </c>
      <c r="DL238">
        <v>8</v>
      </c>
    </row>
    <row r="239" spans="46:116" x14ac:dyDescent="0.35">
      <c r="BI239" t="s">
        <v>1073</v>
      </c>
      <c r="BJ239">
        <v>29</v>
      </c>
      <c r="BK239">
        <v>27</v>
      </c>
      <c r="BL239" s="1">
        <v>25</v>
      </c>
      <c r="BM239">
        <v>23</v>
      </c>
      <c r="BR239" s="1" t="s">
        <v>1711</v>
      </c>
      <c r="BS239" s="1" t="s">
        <v>1711</v>
      </c>
      <c r="BT239" s="1"/>
      <c r="BU239" s="288">
        <f t="shared" si="28"/>
        <v>7.5757575757575829E-3</v>
      </c>
      <c r="BV239" s="287">
        <f t="shared" si="29"/>
        <v>9.0909090909090912E-2</v>
      </c>
      <c r="BW239" s="287">
        <f>BX239/BY233</f>
        <v>0.1</v>
      </c>
      <c r="BX239">
        <v>1</v>
      </c>
      <c r="BY239" t="s">
        <v>410</v>
      </c>
      <c r="BZ239" s="287">
        <f t="shared" si="30"/>
        <v>8.3333333333333329E-2</v>
      </c>
      <c r="CA239">
        <v>0.5</v>
      </c>
      <c r="CB239" s="288">
        <f t="shared" si="31"/>
        <v>1.6666666666666677E-2</v>
      </c>
      <c r="CC239">
        <v>3</v>
      </c>
      <c r="CD239" s="6" t="s">
        <v>3147</v>
      </c>
      <c r="CI239" s="6" t="s">
        <v>1696</v>
      </c>
      <c r="CO239">
        <v>4</v>
      </c>
      <c r="CY239">
        <v>19</v>
      </c>
      <c r="DE239">
        <v>8</v>
      </c>
      <c r="DF239">
        <f t="shared" si="25"/>
        <v>8</v>
      </c>
      <c r="DL239">
        <v>8</v>
      </c>
    </row>
    <row r="240" spans="46:116" x14ac:dyDescent="0.35">
      <c r="BI240" t="s">
        <v>4267</v>
      </c>
      <c r="BJ240">
        <v>26</v>
      </c>
      <c r="BK240">
        <v>23</v>
      </c>
      <c r="BL240" s="1">
        <v>20</v>
      </c>
      <c r="BM240">
        <v>17</v>
      </c>
      <c r="BQ240" s="1">
        <v>6</v>
      </c>
      <c r="BS240" s="1" t="s">
        <v>1696</v>
      </c>
      <c r="BT240" s="1" t="s">
        <v>1902</v>
      </c>
      <c r="BU240" s="288">
        <f t="shared" si="28"/>
        <v>7.5757575757575829E-3</v>
      </c>
      <c r="BV240" s="287">
        <f t="shared" si="29"/>
        <v>9.0909090909090912E-2</v>
      </c>
      <c r="BW240" s="287">
        <f>BX240/BY233</f>
        <v>0.1</v>
      </c>
      <c r="BX240">
        <v>1</v>
      </c>
      <c r="BY240" t="s">
        <v>731</v>
      </c>
      <c r="BZ240" s="287">
        <f t="shared" si="30"/>
        <v>8.3333333333333329E-2</v>
      </c>
      <c r="CA240">
        <v>0.5</v>
      </c>
      <c r="CB240" s="288">
        <f t="shared" si="31"/>
        <v>1.6666666666666677E-2</v>
      </c>
      <c r="CC240">
        <v>3</v>
      </c>
      <c r="CD240" s="6" t="s">
        <v>3148</v>
      </c>
      <c r="CE240" s="6"/>
      <c r="CI240" s="6" t="s">
        <v>1700</v>
      </c>
      <c r="CO240">
        <v>2.5</v>
      </c>
      <c r="CY240">
        <v>20</v>
      </c>
      <c r="DE240">
        <v>4</v>
      </c>
      <c r="DF240">
        <f t="shared" si="25"/>
        <v>4</v>
      </c>
      <c r="DL240">
        <v>4</v>
      </c>
    </row>
    <row r="241" spans="61:116" x14ac:dyDescent="0.35">
      <c r="BI241" t="s">
        <v>4266</v>
      </c>
      <c r="BJ241">
        <v>23</v>
      </c>
      <c r="BK241">
        <v>20</v>
      </c>
      <c r="BL241" s="1">
        <v>17</v>
      </c>
      <c r="BM241">
        <v>14</v>
      </c>
      <c r="BQ241" s="1" t="s">
        <v>1711</v>
      </c>
      <c r="BR241" s="1" t="s">
        <v>1696</v>
      </c>
      <c r="BS241" s="1" t="s">
        <v>1700</v>
      </c>
      <c r="BU241" s="288">
        <f t="shared" si="28"/>
        <v>-6.8181818181818205E-3</v>
      </c>
      <c r="BV241" s="287">
        <f t="shared" si="29"/>
        <v>6.8181818181818177E-2</v>
      </c>
      <c r="BW241" s="287">
        <f>BX241/BY233</f>
        <v>7.4999999999999997E-2</v>
      </c>
      <c r="BX241">
        <v>0.75</v>
      </c>
      <c r="BY241" t="s">
        <v>3168</v>
      </c>
      <c r="BZ241" s="287">
        <f t="shared" si="30"/>
        <v>7.4999999999999997E-2</v>
      </c>
      <c r="CA241">
        <v>0.45</v>
      </c>
      <c r="CB241" s="288">
        <f t="shared" si="31"/>
        <v>0</v>
      </c>
      <c r="CD241" s="6"/>
      <c r="CE241" s="6"/>
      <c r="CY241">
        <v>21</v>
      </c>
      <c r="DE241">
        <v>2.5</v>
      </c>
      <c r="DF241">
        <f t="shared" si="25"/>
        <v>2.5</v>
      </c>
      <c r="DL241">
        <v>2.5</v>
      </c>
    </row>
    <row r="242" spans="61:116" x14ac:dyDescent="0.35">
      <c r="BI242" s="1" t="s">
        <v>3490</v>
      </c>
      <c r="BJ242" t="s">
        <v>2324</v>
      </c>
      <c r="BK242" t="s">
        <v>2325</v>
      </c>
      <c r="BL242" t="s">
        <v>2326</v>
      </c>
      <c r="BM242" t="s">
        <v>2327</v>
      </c>
      <c r="BQ242" s="1" t="s">
        <v>1696</v>
      </c>
      <c r="BR242" s="1" t="s">
        <v>1700</v>
      </c>
      <c r="BU242" s="288">
        <f t="shared" si="28"/>
        <v>-7.5757575757576245E-4</v>
      </c>
      <c r="BV242" s="287">
        <f t="shared" si="29"/>
        <v>9.0909090909090912E-2</v>
      </c>
      <c r="BW242" s="287">
        <f>BX242/BY233</f>
        <v>0.1</v>
      </c>
      <c r="BX242">
        <v>1</v>
      </c>
      <c r="BY242" t="s">
        <v>1289</v>
      </c>
      <c r="BZ242" s="287">
        <f t="shared" si="30"/>
        <v>9.1666666666666674E-2</v>
      </c>
      <c r="CA242">
        <v>0.55000000000000004</v>
      </c>
      <c r="CB242" s="288">
        <f t="shared" si="31"/>
        <v>8.3333333333333315E-3</v>
      </c>
      <c r="CD242" s="6"/>
      <c r="CE242" s="6"/>
      <c r="CZ242" t="s">
        <v>4059</v>
      </c>
    </row>
    <row r="243" spans="61:116" x14ac:dyDescent="0.35">
      <c r="BI243" s="1" t="s">
        <v>2359</v>
      </c>
      <c r="BJ243" t="s">
        <v>3491</v>
      </c>
      <c r="BK243" t="s">
        <v>3492</v>
      </c>
      <c r="BL243" t="s">
        <v>2324</v>
      </c>
      <c r="BM243" t="s">
        <v>2325</v>
      </c>
      <c r="BQ243" s="1" t="s">
        <v>1700</v>
      </c>
      <c r="BU243" s="288">
        <f t="shared" si="28"/>
        <v>-6.8181818181818205E-3</v>
      </c>
      <c r="BV243" s="287">
        <f t="shared" si="29"/>
        <v>6.8181818181818177E-2</v>
      </c>
      <c r="BW243" s="287">
        <f>BX243/BY233</f>
        <v>7.4999999999999997E-2</v>
      </c>
      <c r="BX243">
        <v>0.75</v>
      </c>
      <c r="BY243" t="s">
        <v>1782</v>
      </c>
      <c r="BZ243" s="287">
        <f t="shared" si="30"/>
        <v>7.4999999999999997E-2</v>
      </c>
      <c r="CA243">
        <v>0.45</v>
      </c>
      <c r="CB243" s="288">
        <f t="shared" si="31"/>
        <v>0</v>
      </c>
      <c r="CD243" s="6"/>
      <c r="CE243" s="6"/>
    </row>
    <row r="244" spans="61:116" x14ac:dyDescent="0.35">
      <c r="CD244" s="6"/>
      <c r="CE244" s="6"/>
    </row>
    <row r="245" spans="61:116" x14ac:dyDescent="0.35">
      <c r="BJ245">
        <v>32</v>
      </c>
      <c r="BK245">
        <v>29</v>
      </c>
      <c r="BL245">
        <v>26</v>
      </c>
      <c r="BM245">
        <v>23</v>
      </c>
      <c r="BN245">
        <v>20</v>
      </c>
      <c r="CD245" s="34">
        <v>0.20265548567435349</v>
      </c>
      <c r="CE245" s="34">
        <v>0.76979472140762462</v>
      </c>
      <c r="CF245" s="34"/>
      <c r="CG245" s="34">
        <f>CD245-CE246</f>
        <v>-0.22745204120736678</v>
      </c>
      <c r="CH245">
        <f>IF(CG245&gt;(2/3), 1, IF(CG245&gt;(1/3), 2, IF(CG245&gt;0, 3, IF(CG245&gt;=-0.25, 4, IF(CG245&gt;=-0.5, 5, IF(CG245&gt;=-0.75, 6, 7))))))</f>
        <v>4</v>
      </c>
    </row>
    <row r="246" spans="61:116" x14ac:dyDescent="0.35">
      <c r="CD246" s="34">
        <v>0.22361984626135561</v>
      </c>
      <c r="CE246" s="34">
        <v>0.43010752688172027</v>
      </c>
      <c r="CF246" s="34"/>
      <c r="CG246" s="34">
        <f>CD246-CE245</f>
        <v>-0.54617487514626895</v>
      </c>
      <c r="CH246">
        <f>IF(CG246&gt;(2/3), 1, IF(CG246&gt;(1/3), 2, IF(CG246&gt;0, 3, IF(CG246&gt;=-0.25, 4, IF(CG246&gt;=-0.5, 5, IF(CG246&gt;=-0.75, 6, 7))))))</f>
        <v>6</v>
      </c>
    </row>
    <row r="247" spans="61:116" x14ac:dyDescent="0.35">
      <c r="CD247" s="6"/>
      <c r="CE247" s="6"/>
    </row>
    <row r="248" spans="61:116" x14ac:dyDescent="0.35">
      <c r="CD248" s="6"/>
      <c r="CE248" s="6"/>
    </row>
    <row r="249" spans="61:116" x14ac:dyDescent="0.35">
      <c r="BI249" t="s">
        <v>3537</v>
      </c>
      <c r="CD249" s="6"/>
      <c r="CE249" s="6"/>
      <c r="CF249" s="1">
        <v>2</v>
      </c>
    </row>
    <row r="250" spans="61:116" x14ac:dyDescent="0.35">
      <c r="BI250" t="s">
        <v>3129</v>
      </c>
      <c r="BJ250" t="s">
        <v>3525</v>
      </c>
      <c r="BK250" t="s">
        <v>3535</v>
      </c>
      <c r="BL250" t="s">
        <v>3530</v>
      </c>
      <c r="BM250" t="s">
        <v>3536</v>
      </c>
      <c r="BQ250">
        <v>1</v>
      </c>
      <c r="BR250">
        <v>1</v>
      </c>
      <c r="BS250" t="s">
        <v>3000</v>
      </c>
      <c r="CD250" s="6"/>
      <c r="CE250" s="6"/>
      <c r="CR250">
        <v>0</v>
      </c>
      <c r="CS250">
        <v>1</v>
      </c>
      <c r="CT250">
        <v>2</v>
      </c>
      <c r="CU250">
        <v>3</v>
      </c>
      <c r="CV250">
        <v>4</v>
      </c>
      <c r="CX250">
        <v>6</v>
      </c>
      <c r="CY250">
        <v>7</v>
      </c>
      <c r="CZ250">
        <v>8</v>
      </c>
      <c r="DA250">
        <v>9</v>
      </c>
      <c r="DB250">
        <v>8</v>
      </c>
      <c r="DC250">
        <v>7</v>
      </c>
      <c r="DD250">
        <v>6</v>
      </c>
      <c r="DE250">
        <v>5</v>
      </c>
      <c r="DF250">
        <v>4</v>
      </c>
      <c r="DG250">
        <v>3</v>
      </c>
      <c r="DH250">
        <v>2</v>
      </c>
      <c r="DI250">
        <v>1</v>
      </c>
      <c r="DJ250">
        <v>0</v>
      </c>
    </row>
    <row r="251" spans="61:116" x14ac:dyDescent="0.35">
      <c r="BI251" t="s">
        <v>3130</v>
      </c>
      <c r="BJ251" t="s">
        <v>3527</v>
      </c>
      <c r="BK251" t="s">
        <v>3533</v>
      </c>
      <c r="BL251" t="s">
        <v>3528</v>
      </c>
      <c r="BM251" t="s">
        <v>3531</v>
      </c>
      <c r="BQ251">
        <v>2</v>
      </c>
      <c r="BR251">
        <v>2</v>
      </c>
      <c r="BS251" t="s">
        <v>3000</v>
      </c>
      <c r="BT251" t="s">
        <v>3001</v>
      </c>
      <c r="CD251" s="6"/>
      <c r="CE251" s="6"/>
      <c r="CO251" t="s">
        <v>3577</v>
      </c>
      <c r="CR251" t="s">
        <v>1848</v>
      </c>
      <c r="CU251" t="s">
        <v>1864</v>
      </c>
      <c r="CW251">
        <v>5</v>
      </c>
      <c r="CX251" t="s">
        <v>1849</v>
      </c>
      <c r="CY251" t="s">
        <v>1865</v>
      </c>
      <c r="DB251" t="s">
        <v>1862</v>
      </c>
      <c r="DD251" t="s">
        <v>142</v>
      </c>
      <c r="DE251" t="s">
        <v>159</v>
      </c>
      <c r="DG251" t="s">
        <v>1863</v>
      </c>
      <c r="DJ251" t="s">
        <v>3578</v>
      </c>
    </row>
    <row r="252" spans="61:116" x14ac:dyDescent="0.35">
      <c r="BI252" t="s">
        <v>3131</v>
      </c>
      <c r="BJ252" t="s">
        <v>3526</v>
      </c>
      <c r="BK252" t="s">
        <v>3532</v>
      </c>
      <c r="BL252" t="s">
        <v>3529</v>
      </c>
      <c r="BM252" t="s">
        <v>3534</v>
      </c>
      <c r="BQ252">
        <v>2</v>
      </c>
      <c r="BR252">
        <v>3</v>
      </c>
      <c r="BS252" t="s">
        <v>3000</v>
      </c>
      <c r="BU252" t="s">
        <v>3002</v>
      </c>
      <c r="CC252">
        <f>IF($CF$249=1, 1, 0)</f>
        <v>0</v>
      </c>
      <c r="CD252">
        <f>IF($CF$249=1, 1, 0)</f>
        <v>0</v>
      </c>
      <c r="CE252">
        <f>IF(OR($CF$249=1, $CF$249=7), 1, 0)</f>
        <v>0</v>
      </c>
      <c r="CF252">
        <f>IF($CF$249=1, 1, 0)</f>
        <v>0</v>
      </c>
    </row>
    <row r="253" spans="61:116" x14ac:dyDescent="0.35">
      <c r="BQ253">
        <v>3</v>
      </c>
      <c r="BR253">
        <v>4</v>
      </c>
      <c r="BS253" t="s">
        <v>3000</v>
      </c>
      <c r="BT253" t="s">
        <v>3001</v>
      </c>
      <c r="BV253" t="s">
        <v>3003</v>
      </c>
      <c r="CC253">
        <f>IF(OR($CF$249=1, $CF$249=2, $CF$249=4, $CF$249=5), 1, 0)</f>
        <v>1</v>
      </c>
      <c r="CD253">
        <f>IF(OR($CF$249=1, $CF$249=2, $CF$249=7), 1, 0)</f>
        <v>1</v>
      </c>
      <c r="CE253">
        <f>IF(OR($CF$249=1, $CF$249=2, $CF$249=4), 1, 0)</f>
        <v>1</v>
      </c>
      <c r="CF253">
        <f>IF(OR($CF$249=1, $CF$249=2), 1, 0)</f>
        <v>1</v>
      </c>
      <c r="CJ253" t="s">
        <v>2999</v>
      </c>
      <c r="CK253">
        <v>1</v>
      </c>
    </row>
    <row r="254" spans="61:116" x14ac:dyDescent="0.35">
      <c r="BQ254">
        <v>2</v>
      </c>
      <c r="BR254">
        <v>5</v>
      </c>
      <c r="BS254" t="s">
        <v>3000</v>
      </c>
      <c r="BW254" t="s">
        <v>3004</v>
      </c>
      <c r="CC254">
        <f>IF(OR($CF$249=1, $CF$249=3, $CF$249=7), 1, 0)</f>
        <v>0</v>
      </c>
      <c r="CD254">
        <f>IF(OR($CF$249=1, $CF$249=3, $CF$249=5), 1, 0)</f>
        <v>0</v>
      </c>
      <c r="CE254">
        <f>IF(OR($CF$249=1, $CF$249=3), 1, 0)</f>
        <v>0</v>
      </c>
      <c r="CF254">
        <f>IF(OR($CF$249=1, $CF$249=3), 1, 0)</f>
        <v>0</v>
      </c>
      <c r="CJ254" t="s">
        <v>3007</v>
      </c>
      <c r="CK254">
        <v>2</v>
      </c>
      <c r="CO254" t="s">
        <v>799</v>
      </c>
      <c r="CS254" t="s">
        <v>172</v>
      </c>
      <c r="CV254" t="s">
        <v>1296</v>
      </c>
      <c r="DA254" t="s">
        <v>144</v>
      </c>
      <c r="DC254" t="s">
        <v>143</v>
      </c>
      <c r="DE254" t="s">
        <v>3579</v>
      </c>
      <c r="DI254" t="s">
        <v>3580</v>
      </c>
    </row>
    <row r="255" spans="61:116" x14ac:dyDescent="0.35">
      <c r="BQ255">
        <v>4</v>
      </c>
      <c r="BR255">
        <v>6</v>
      </c>
      <c r="BS255" t="s">
        <v>3000</v>
      </c>
      <c r="BT255" t="s">
        <v>3001</v>
      </c>
      <c r="BU255" t="s">
        <v>3002</v>
      </c>
      <c r="BX255" t="s">
        <v>3005</v>
      </c>
      <c r="CC255">
        <f>IF(OR($CF$249=1, $CF$249=2), 1, 0)</f>
        <v>1</v>
      </c>
      <c r="CD255">
        <f>IF(OR($CF$249=1, $CF$249=2, $CF$249=4), 1, 0)</f>
        <v>1</v>
      </c>
      <c r="CE255">
        <f>IF(OR($CF$249=1, $CF$249=2, $CF$249=5), 1, 0)</f>
        <v>1</v>
      </c>
      <c r="CF255">
        <f>IF(OR($CF$249=1, $CF$249=2, $CF$249=4), 1, 0)</f>
        <v>1</v>
      </c>
      <c r="CJ255" t="s">
        <v>3008</v>
      </c>
      <c r="CK255">
        <v>3</v>
      </c>
      <c r="CO255">
        <v>0</v>
      </c>
      <c r="CP255">
        <v>1</v>
      </c>
      <c r="CQ255">
        <v>2</v>
      </c>
      <c r="CR255">
        <v>3</v>
      </c>
      <c r="CS255">
        <v>4</v>
      </c>
      <c r="CT255">
        <v>5</v>
      </c>
      <c r="CU255">
        <v>6</v>
      </c>
      <c r="CV255">
        <v>7</v>
      </c>
      <c r="CW255" t="s">
        <v>173</v>
      </c>
      <c r="CX255">
        <v>9</v>
      </c>
      <c r="CY255">
        <v>10</v>
      </c>
      <c r="CZ255">
        <v>9</v>
      </c>
      <c r="DA255">
        <v>8</v>
      </c>
      <c r="DB255">
        <v>7</v>
      </c>
      <c r="DC255">
        <v>6</v>
      </c>
      <c r="DD255">
        <v>5</v>
      </c>
      <c r="DE255">
        <v>4</v>
      </c>
      <c r="DF255">
        <v>3</v>
      </c>
      <c r="DG255">
        <v>2</v>
      </c>
      <c r="DH255">
        <v>1</v>
      </c>
      <c r="DI255">
        <v>0</v>
      </c>
    </row>
    <row r="256" spans="61:116" x14ac:dyDescent="0.35">
      <c r="BQ256">
        <v>2</v>
      </c>
      <c r="BR256">
        <v>7</v>
      </c>
      <c r="BS256" t="s">
        <v>3000</v>
      </c>
      <c r="BY256" t="s">
        <v>3006</v>
      </c>
      <c r="CC256">
        <f>IF($CF$249=1, 1, 0)</f>
        <v>0</v>
      </c>
      <c r="CD256">
        <f>IF($CF$249=1, 1, 0)</f>
        <v>0</v>
      </c>
      <c r="CE256">
        <f>IF($CF$249=1, 1, 0)</f>
        <v>0</v>
      </c>
      <c r="CF256">
        <f>IF(OR($CF$249=1, $CF$249=5), 1, 0)</f>
        <v>0</v>
      </c>
      <c r="CJ256" t="s">
        <v>2996</v>
      </c>
      <c r="CK256">
        <v>4</v>
      </c>
      <c r="CO256">
        <v>4</v>
      </c>
      <c r="CP256">
        <v>3</v>
      </c>
      <c r="CQ256">
        <v>2</v>
      </c>
      <c r="CR256">
        <v>1</v>
      </c>
      <c r="CS256">
        <v>0</v>
      </c>
      <c r="CT256">
        <v>1</v>
      </c>
      <c r="CU256">
        <v>2</v>
      </c>
      <c r="CV256">
        <v>3</v>
      </c>
      <c r="CW256">
        <v>8</v>
      </c>
      <c r="CX256">
        <v>5</v>
      </c>
      <c r="CY256">
        <v>6</v>
      </c>
      <c r="CZ256">
        <v>7</v>
      </c>
      <c r="DA256">
        <v>8</v>
      </c>
      <c r="DB256">
        <v>9</v>
      </c>
      <c r="DC256">
        <v>10</v>
      </c>
      <c r="DD256">
        <v>9</v>
      </c>
      <c r="DE256">
        <v>8</v>
      </c>
      <c r="DF256">
        <v>7</v>
      </c>
      <c r="DG256">
        <v>6</v>
      </c>
      <c r="DH256">
        <v>5</v>
      </c>
      <c r="DI256">
        <v>4</v>
      </c>
    </row>
    <row r="257" spans="61:113" x14ac:dyDescent="0.35">
      <c r="BI257" t="s">
        <v>3538</v>
      </c>
      <c r="BQ257">
        <v>3</v>
      </c>
      <c r="BR257">
        <v>8</v>
      </c>
      <c r="BS257" t="s">
        <v>3000</v>
      </c>
      <c r="BT257" t="s">
        <v>3001</v>
      </c>
      <c r="BV257" t="s">
        <v>3003</v>
      </c>
      <c r="CC257">
        <f>IF(OR($CF$249=1, $CF$249=2, $CF$249=3, $CF$249=4, $CF$249=6), 1, 0)</f>
        <v>1</v>
      </c>
      <c r="CD257">
        <f>IF(OR($CF$249=1, $CF$249=2, $CF$249=3, $CF$249=6), 1, 0)</f>
        <v>1</v>
      </c>
      <c r="CE257">
        <f>IF(OR($CF$249=1, $CF$249=2, $CF$249=3, $CF$249=4, $CF$249=6), 1, 0)</f>
        <v>1</v>
      </c>
      <c r="CF257">
        <f>IF(OR($CF$249=1, $CF$249=2, $CF$249=3, $CF$249=6), 1, 0)</f>
        <v>1</v>
      </c>
      <c r="CJ257" t="s">
        <v>3009</v>
      </c>
      <c r="CK257">
        <v>5</v>
      </c>
      <c r="CO257">
        <v>7</v>
      </c>
      <c r="CP257">
        <v>6</v>
      </c>
      <c r="CQ257">
        <v>5</v>
      </c>
      <c r="CR257">
        <v>4</v>
      </c>
      <c r="CS257">
        <v>3</v>
      </c>
      <c r="CT257">
        <v>2</v>
      </c>
      <c r="CU257">
        <v>1</v>
      </c>
      <c r="CV257">
        <v>0</v>
      </c>
      <c r="CW257">
        <v>4</v>
      </c>
      <c r="CX257">
        <v>2</v>
      </c>
      <c r="CY257">
        <v>3</v>
      </c>
      <c r="CZ257">
        <v>4</v>
      </c>
      <c r="DA257">
        <v>5</v>
      </c>
      <c r="DB257">
        <v>6</v>
      </c>
      <c r="DC257">
        <v>7</v>
      </c>
      <c r="DD257">
        <v>8</v>
      </c>
      <c r="DE257">
        <v>9</v>
      </c>
      <c r="DF257">
        <v>10</v>
      </c>
      <c r="DG257">
        <v>9</v>
      </c>
      <c r="DH257">
        <v>8</v>
      </c>
      <c r="DI257">
        <v>7</v>
      </c>
    </row>
    <row r="258" spans="61:113" x14ac:dyDescent="0.35">
      <c r="BI258" t="s">
        <v>3539</v>
      </c>
      <c r="BQ258">
        <v>2</v>
      </c>
      <c r="BR258">
        <v>9</v>
      </c>
      <c r="BS258" t="s">
        <v>3000</v>
      </c>
      <c r="BU258" t="s">
        <v>3002</v>
      </c>
      <c r="CJ258" t="s">
        <v>2997</v>
      </c>
      <c r="CK258">
        <v>6</v>
      </c>
      <c r="CO258">
        <v>8</v>
      </c>
      <c r="CP258">
        <v>7</v>
      </c>
      <c r="CQ258">
        <v>6</v>
      </c>
      <c r="CR258">
        <v>5</v>
      </c>
      <c r="CS258">
        <v>4</v>
      </c>
      <c r="CT258">
        <v>3</v>
      </c>
      <c r="CU258">
        <v>2</v>
      </c>
      <c r="CV258">
        <v>1</v>
      </c>
      <c r="CW258">
        <v>1</v>
      </c>
      <c r="CX258">
        <v>1</v>
      </c>
      <c r="CY258">
        <v>2</v>
      </c>
      <c r="CZ258">
        <v>3</v>
      </c>
      <c r="DA258">
        <v>4</v>
      </c>
      <c r="DB258">
        <v>5</v>
      </c>
      <c r="DC258">
        <v>6</v>
      </c>
      <c r="DD258">
        <v>7</v>
      </c>
      <c r="DE258">
        <v>8</v>
      </c>
      <c r="DF258">
        <v>9</v>
      </c>
      <c r="DG258">
        <v>10</v>
      </c>
      <c r="DH258">
        <v>9</v>
      </c>
      <c r="DI258">
        <v>8</v>
      </c>
    </row>
    <row r="259" spans="61:113" x14ac:dyDescent="0.35">
      <c r="BI259" t="s">
        <v>3540</v>
      </c>
      <c r="BQ259">
        <v>3</v>
      </c>
      <c r="BR259">
        <v>10</v>
      </c>
      <c r="BS259" t="s">
        <v>3000</v>
      </c>
      <c r="BT259" t="s">
        <v>3001</v>
      </c>
      <c r="BW259" t="s">
        <v>3004</v>
      </c>
      <c r="CF259" s="1">
        <v>12</v>
      </c>
      <c r="CH259">
        <v>3</v>
      </c>
      <c r="CJ259" t="s">
        <v>2998</v>
      </c>
      <c r="CK259">
        <v>7</v>
      </c>
      <c r="CO259">
        <v>8</v>
      </c>
      <c r="CP259">
        <v>9</v>
      </c>
      <c r="CQ259">
        <v>10</v>
      </c>
      <c r="CR259">
        <v>9</v>
      </c>
      <c r="CS259">
        <v>8</v>
      </c>
      <c r="CT259">
        <v>7</v>
      </c>
      <c r="CU259">
        <v>6</v>
      </c>
      <c r="CV259">
        <v>5</v>
      </c>
      <c r="CW259">
        <v>0</v>
      </c>
      <c r="CX259">
        <v>3</v>
      </c>
      <c r="CY259">
        <v>2</v>
      </c>
      <c r="CZ259">
        <v>1</v>
      </c>
      <c r="DA259">
        <v>0</v>
      </c>
      <c r="DB259">
        <v>1</v>
      </c>
      <c r="DC259">
        <v>2</v>
      </c>
      <c r="DD259">
        <v>3</v>
      </c>
      <c r="DE259">
        <v>4</v>
      </c>
      <c r="DF259">
        <v>5</v>
      </c>
      <c r="DG259">
        <v>6</v>
      </c>
      <c r="DH259">
        <v>7</v>
      </c>
      <c r="DI259">
        <v>8</v>
      </c>
    </row>
    <row r="260" spans="61:113" x14ac:dyDescent="0.35">
      <c r="BJ260" t="s">
        <v>3541</v>
      </c>
      <c r="BQ260">
        <v>1</v>
      </c>
      <c r="BR260">
        <v>11</v>
      </c>
      <c r="BS260" t="s">
        <v>3000</v>
      </c>
      <c r="CH260">
        <v>2</v>
      </c>
      <c r="CO260">
        <v>6</v>
      </c>
      <c r="CP260">
        <v>7</v>
      </c>
      <c r="CQ260">
        <v>8</v>
      </c>
      <c r="CR260">
        <v>9</v>
      </c>
      <c r="CS260">
        <v>10</v>
      </c>
      <c r="CT260">
        <v>9</v>
      </c>
      <c r="CU260">
        <v>8</v>
      </c>
      <c r="CV260">
        <v>7</v>
      </c>
      <c r="CW260">
        <v>4</v>
      </c>
      <c r="CX260">
        <v>5</v>
      </c>
      <c r="CY260">
        <v>4</v>
      </c>
      <c r="CZ260">
        <v>3</v>
      </c>
      <c r="DA260">
        <v>2</v>
      </c>
      <c r="DB260">
        <v>1</v>
      </c>
      <c r="DC260">
        <v>0</v>
      </c>
      <c r="DD260">
        <v>1</v>
      </c>
      <c r="DE260">
        <v>2</v>
      </c>
      <c r="DF260">
        <v>3</v>
      </c>
      <c r="DG260">
        <v>4</v>
      </c>
      <c r="DH260">
        <v>5</v>
      </c>
      <c r="DI260">
        <v>6</v>
      </c>
    </row>
    <row r="261" spans="61:113" x14ac:dyDescent="0.35">
      <c r="BJ261" t="s">
        <v>3542</v>
      </c>
      <c r="BQ261">
        <v>5</v>
      </c>
      <c r="BR261">
        <v>12</v>
      </c>
      <c r="BS261" t="s">
        <v>3000</v>
      </c>
      <c r="BT261" t="s">
        <v>3001</v>
      </c>
      <c r="BU261" t="s">
        <v>3002</v>
      </c>
      <c r="BV261" t="s">
        <v>3003</v>
      </c>
      <c r="BX261" t="s">
        <v>3005</v>
      </c>
      <c r="CE261">
        <f>IF($CF$259&gt;=14, 1, $CF$259-13)</f>
        <v>-1</v>
      </c>
      <c r="CF261">
        <f>IF($CF$259&gt;=3, 3, $CF$259)</f>
        <v>3</v>
      </c>
      <c r="CH261">
        <v>2</v>
      </c>
      <c r="CO261">
        <v>4</v>
      </c>
      <c r="CP261">
        <v>5</v>
      </c>
      <c r="CQ261">
        <v>6</v>
      </c>
      <c r="CR261">
        <v>7</v>
      </c>
      <c r="CS261">
        <v>8</v>
      </c>
      <c r="CT261">
        <v>9</v>
      </c>
      <c r="CU261">
        <v>10</v>
      </c>
      <c r="CV261">
        <v>9</v>
      </c>
      <c r="CW261">
        <v>6</v>
      </c>
      <c r="CX261">
        <v>7</v>
      </c>
      <c r="CY261">
        <v>6</v>
      </c>
      <c r="CZ261">
        <v>5</v>
      </c>
      <c r="DA261">
        <v>4</v>
      </c>
      <c r="DB261">
        <v>3</v>
      </c>
      <c r="DC261">
        <v>2</v>
      </c>
      <c r="DD261">
        <v>1</v>
      </c>
      <c r="DE261">
        <v>0</v>
      </c>
      <c r="DF261">
        <v>1</v>
      </c>
      <c r="DG261">
        <v>2</v>
      </c>
      <c r="DH261">
        <v>3</v>
      </c>
      <c r="DI261">
        <v>4</v>
      </c>
    </row>
    <row r="262" spans="61:113" x14ac:dyDescent="0.35">
      <c r="BQ262">
        <v>1</v>
      </c>
      <c r="BR262">
        <v>13</v>
      </c>
      <c r="BS262" t="s">
        <v>3000</v>
      </c>
      <c r="CE262">
        <f>IF($CF$259&gt;=15, 1, $CF$259-14)</f>
        <v>-2</v>
      </c>
      <c r="CF262">
        <f>IF($CF$259&gt;=5, 2, $CF$259-3)</f>
        <v>2</v>
      </c>
      <c r="CH262">
        <v>2</v>
      </c>
      <c r="CW262">
        <v>8</v>
      </c>
    </row>
    <row r="263" spans="61:113" x14ac:dyDescent="0.35">
      <c r="BI263" t="s">
        <v>3543</v>
      </c>
      <c r="BQ263">
        <v>3</v>
      </c>
      <c r="BR263">
        <v>14</v>
      </c>
      <c r="BS263" t="s">
        <v>3000</v>
      </c>
      <c r="BT263" t="s">
        <v>3001</v>
      </c>
      <c r="BY263" t="s">
        <v>3006</v>
      </c>
      <c r="CE263">
        <f>IF($CF$259&gt;=16, 1, $CF$259-15)</f>
        <v>-3</v>
      </c>
      <c r="CF263">
        <f>IF($CF$259&gt;=7, 2, $CF$259-5)</f>
        <v>2</v>
      </c>
      <c r="CH263">
        <v>2</v>
      </c>
    </row>
    <row r="264" spans="61:113" x14ac:dyDescent="0.35">
      <c r="BJ264" t="s">
        <v>3544</v>
      </c>
      <c r="BQ264">
        <v>3</v>
      </c>
      <c r="BR264">
        <v>15</v>
      </c>
      <c r="BS264" t="s">
        <v>3000</v>
      </c>
      <c r="BU264" t="s">
        <v>3002</v>
      </c>
      <c r="BW264" t="s">
        <v>3004</v>
      </c>
      <c r="CE264">
        <f>IF($CF$259&gt;=17, 1, $CF$259-16)</f>
        <v>-4</v>
      </c>
      <c r="CF264">
        <f>IF($CF$259&gt;=9, 2, $CF$259-7)</f>
        <v>2</v>
      </c>
      <c r="CH264">
        <v>2</v>
      </c>
      <c r="CR264" t="s">
        <v>799</v>
      </c>
      <c r="CU264" t="s">
        <v>172</v>
      </c>
      <c r="CY264" t="s">
        <v>1296</v>
      </c>
      <c r="CZ264" t="s">
        <v>173</v>
      </c>
      <c r="DC264" t="s">
        <v>3590</v>
      </c>
    </row>
    <row r="265" spans="61:113" x14ac:dyDescent="0.35">
      <c r="BI265" t="s">
        <v>3545</v>
      </c>
      <c r="BQ265">
        <v>2</v>
      </c>
      <c r="BR265">
        <v>16</v>
      </c>
      <c r="BS265" t="s">
        <v>3000</v>
      </c>
      <c r="BT265" t="s">
        <v>3001</v>
      </c>
      <c r="BV265" t="s">
        <v>3003</v>
      </c>
      <c r="CE265">
        <f>IF($CF$259&gt;=18, 1, $CF$259-17)</f>
        <v>-5</v>
      </c>
      <c r="CF265">
        <f>IF($CF$259&gt;=11, 2, $CF$259-9)</f>
        <v>2</v>
      </c>
      <c r="CH265">
        <v>1</v>
      </c>
      <c r="CQ265" t="s">
        <v>3585</v>
      </c>
    </row>
    <row r="266" spans="61:113" x14ac:dyDescent="0.35">
      <c r="BJ266" t="s">
        <v>3546</v>
      </c>
      <c r="BQ266">
        <v>1</v>
      </c>
      <c r="BR266">
        <v>17</v>
      </c>
      <c r="BS266" t="s">
        <v>3000</v>
      </c>
      <c r="CE266">
        <f>IF($CF$259&gt;=19, 1, $CF$259-18)</f>
        <v>-6</v>
      </c>
      <c r="CF266">
        <f>IF($CF$259&gt;=13, 2, $CF$259-11)</f>
        <v>1</v>
      </c>
      <c r="CH266">
        <v>1</v>
      </c>
      <c r="CQ266" t="s">
        <v>3586</v>
      </c>
      <c r="CY266" t="s">
        <v>173</v>
      </c>
      <c r="CZ266" t="s">
        <v>1296</v>
      </c>
      <c r="DC266" t="s">
        <v>3591</v>
      </c>
    </row>
    <row r="267" spans="61:113" x14ac:dyDescent="0.35">
      <c r="BQ267">
        <v>4</v>
      </c>
      <c r="BR267">
        <v>18</v>
      </c>
      <c r="BS267" t="s">
        <v>3000</v>
      </c>
      <c r="BT267" t="s">
        <v>3001</v>
      </c>
      <c r="BU267" t="s">
        <v>3002</v>
      </c>
      <c r="BX267" t="s">
        <v>3005</v>
      </c>
      <c r="CH267">
        <v>1</v>
      </c>
      <c r="CQ267" t="s">
        <v>3587</v>
      </c>
      <c r="CR267" t="s">
        <v>3583</v>
      </c>
      <c r="CU267" t="s">
        <v>3588</v>
      </c>
      <c r="CY267" t="s">
        <v>172</v>
      </c>
      <c r="DC267" t="s">
        <v>799</v>
      </c>
    </row>
    <row r="268" spans="61:113" x14ac:dyDescent="0.35">
      <c r="BI268" t="s">
        <v>3547</v>
      </c>
      <c r="BQ268">
        <v>1</v>
      </c>
      <c r="BR268">
        <v>19</v>
      </c>
      <c r="BS268" t="s">
        <v>3000</v>
      </c>
      <c r="CE268">
        <f t="shared" ref="CE268" si="32">IF(CE261&gt;0, CE261, 0)</f>
        <v>0</v>
      </c>
      <c r="CF268">
        <f>IF(CF261&gt;0, CF261, 0)</f>
        <v>3</v>
      </c>
      <c r="CH268">
        <v>1</v>
      </c>
      <c r="CQ268" t="s">
        <v>3582</v>
      </c>
      <c r="CR268" t="s">
        <v>3584</v>
      </c>
      <c r="CU268" t="s">
        <v>3589</v>
      </c>
      <c r="CY268" t="s">
        <v>3589</v>
      </c>
      <c r="DC268" t="s">
        <v>3584</v>
      </c>
    </row>
    <row r="269" spans="61:113" x14ac:dyDescent="0.35">
      <c r="BJ269" t="s">
        <v>3548</v>
      </c>
      <c r="BQ269">
        <v>4</v>
      </c>
      <c r="BR269">
        <v>20</v>
      </c>
      <c r="BS269" t="s">
        <v>3000</v>
      </c>
      <c r="BT269" t="s">
        <v>3001</v>
      </c>
      <c r="BV269" t="s">
        <v>3003</v>
      </c>
      <c r="BW269" t="s">
        <v>3004</v>
      </c>
      <c r="CE269">
        <f t="shared" ref="CE269:CF269" si="33">IF(CE262&gt;0, CE262, 0)</f>
        <v>0</v>
      </c>
      <c r="CF269">
        <f t="shared" si="33"/>
        <v>2</v>
      </c>
      <c r="CH269">
        <v>1</v>
      </c>
    </row>
    <row r="270" spans="61:113" x14ac:dyDescent="0.35">
      <c r="BQ270">
        <v>3</v>
      </c>
      <c r="BR270">
        <v>21</v>
      </c>
      <c r="BS270" t="s">
        <v>3000</v>
      </c>
      <c r="BU270" t="s">
        <v>3002</v>
      </c>
      <c r="BY270" t="s">
        <v>3006</v>
      </c>
      <c r="CE270">
        <f t="shared" ref="CE270:CF270" si="34">IF(CE263&gt;0, CE263, 0)</f>
        <v>0</v>
      </c>
      <c r="CF270">
        <f t="shared" si="34"/>
        <v>2</v>
      </c>
      <c r="CH270">
        <v>1</v>
      </c>
    </row>
    <row r="271" spans="61:113" x14ac:dyDescent="0.35">
      <c r="BQ271">
        <v>2</v>
      </c>
      <c r="BR271">
        <v>22</v>
      </c>
      <c r="BS271" t="s">
        <v>3000</v>
      </c>
      <c r="BT271" t="s">
        <v>3001</v>
      </c>
      <c r="CE271">
        <f t="shared" ref="CE271:CF271" si="35">IF(CE264&gt;0, CE264, 0)</f>
        <v>0</v>
      </c>
      <c r="CF271">
        <f t="shared" si="35"/>
        <v>2</v>
      </c>
    </row>
    <row r="272" spans="61:113" x14ac:dyDescent="0.35">
      <c r="BQ272">
        <v>1</v>
      </c>
      <c r="BR272">
        <v>23</v>
      </c>
      <c r="BS272" t="s">
        <v>3000</v>
      </c>
      <c r="CE272">
        <f t="shared" ref="CE272:CF272" si="36">IF(CE265&gt;0, CE265, 0)</f>
        <v>0</v>
      </c>
      <c r="CF272">
        <f t="shared" si="36"/>
        <v>2</v>
      </c>
    </row>
    <row r="273" spans="69:103" x14ac:dyDescent="0.35">
      <c r="BQ273">
        <v>5</v>
      </c>
      <c r="BR273">
        <v>24</v>
      </c>
      <c r="BS273" t="s">
        <v>3000</v>
      </c>
      <c r="BT273" t="s">
        <v>3001</v>
      </c>
      <c r="BU273" t="s">
        <v>3002</v>
      </c>
      <c r="BV273" t="s">
        <v>3003</v>
      </c>
      <c r="BX273" t="s">
        <v>3005</v>
      </c>
      <c r="CE273">
        <f t="shared" ref="CE273:CF273" si="37">IF(CE266&gt;0, CE266, 0)</f>
        <v>0</v>
      </c>
      <c r="CF273">
        <f t="shared" si="37"/>
        <v>1</v>
      </c>
    </row>
    <row r="274" spans="69:103" x14ac:dyDescent="0.35">
      <c r="CS274" t="s">
        <v>3928</v>
      </c>
      <c r="CT274" t="s">
        <v>3929</v>
      </c>
      <c r="CX274" t="s">
        <v>3918</v>
      </c>
      <c r="CY274" t="s">
        <v>3932</v>
      </c>
    </row>
    <row r="275" spans="69:103" x14ac:dyDescent="0.35">
      <c r="CC275">
        <f t="shared" ref="CC275:CD280" si="38">CC252</f>
        <v>0</v>
      </c>
      <c r="CD275">
        <f t="shared" si="38"/>
        <v>0</v>
      </c>
      <c r="CE275">
        <f t="shared" ref="CE275" si="39">CE252+CE268</f>
        <v>0</v>
      </c>
      <c r="CF275">
        <f>CF252+CF268</f>
        <v>3</v>
      </c>
      <c r="CS275" t="s">
        <v>3918</v>
      </c>
      <c r="CT275" t="s">
        <v>3926</v>
      </c>
      <c r="CX275" t="s">
        <v>3919</v>
      </c>
      <c r="CY275" t="s">
        <v>3931</v>
      </c>
    </row>
    <row r="276" spans="69:103" x14ac:dyDescent="0.35">
      <c r="CC276">
        <f t="shared" si="38"/>
        <v>1</v>
      </c>
      <c r="CD276">
        <f t="shared" si="38"/>
        <v>1</v>
      </c>
      <c r="CE276">
        <f t="shared" ref="CE276:CF276" si="40">CE253+CE269</f>
        <v>1</v>
      </c>
      <c r="CF276">
        <f t="shared" si="40"/>
        <v>3</v>
      </c>
      <c r="CS276" t="s">
        <v>3924</v>
      </c>
      <c r="CT276" t="s">
        <v>3927</v>
      </c>
    </row>
    <row r="277" spans="69:103" x14ac:dyDescent="0.35">
      <c r="CC277">
        <f t="shared" si="38"/>
        <v>0</v>
      </c>
      <c r="CD277">
        <f t="shared" si="38"/>
        <v>0</v>
      </c>
      <c r="CE277">
        <f t="shared" ref="CE277:CF277" si="41">CE254+CE270</f>
        <v>0</v>
      </c>
      <c r="CF277">
        <f t="shared" si="41"/>
        <v>2</v>
      </c>
      <c r="CX277" t="s">
        <v>3921</v>
      </c>
      <c r="CY277" t="s">
        <v>3923</v>
      </c>
    </row>
    <row r="278" spans="69:103" x14ac:dyDescent="0.35">
      <c r="CC278">
        <f t="shared" si="38"/>
        <v>1</v>
      </c>
      <c r="CD278">
        <f t="shared" si="38"/>
        <v>1</v>
      </c>
      <c r="CE278">
        <f t="shared" ref="CE278:CF278" si="42">CE255+CE271</f>
        <v>1</v>
      </c>
      <c r="CF278">
        <f t="shared" si="42"/>
        <v>3</v>
      </c>
      <c r="CS278" t="s">
        <v>3928</v>
      </c>
      <c r="CT278" t="s">
        <v>3933</v>
      </c>
      <c r="CX278" t="s">
        <v>3918</v>
      </c>
      <c r="CY278" t="s">
        <v>3922</v>
      </c>
    </row>
    <row r="279" spans="69:103" x14ac:dyDescent="0.35">
      <c r="BQ279">
        <v>1</v>
      </c>
      <c r="CC279">
        <f t="shared" si="38"/>
        <v>0</v>
      </c>
      <c r="CD279">
        <f t="shared" si="38"/>
        <v>0</v>
      </c>
      <c r="CE279">
        <f t="shared" ref="CE279:CF279" si="43">CE256+CE272</f>
        <v>0</v>
      </c>
      <c r="CF279">
        <f t="shared" si="43"/>
        <v>2</v>
      </c>
      <c r="CS279" t="s">
        <v>3920</v>
      </c>
      <c r="CT279" t="s">
        <v>3934</v>
      </c>
      <c r="CX279" t="s">
        <v>3920</v>
      </c>
      <c r="CY279" t="s">
        <v>3930</v>
      </c>
    </row>
    <row r="280" spans="69:103" x14ac:dyDescent="0.35">
      <c r="BQ280">
        <v>2</v>
      </c>
      <c r="BR280" t="s">
        <v>2501</v>
      </c>
      <c r="CC280">
        <f t="shared" si="38"/>
        <v>1</v>
      </c>
      <c r="CD280">
        <f t="shared" si="38"/>
        <v>1</v>
      </c>
      <c r="CE280">
        <f t="shared" ref="CE280:CF280" si="44">CE257+CE273</f>
        <v>1</v>
      </c>
      <c r="CF280">
        <f t="shared" si="44"/>
        <v>2</v>
      </c>
      <c r="CS280" t="s">
        <v>3919</v>
      </c>
      <c r="CT280" t="s">
        <v>3935</v>
      </c>
      <c r="CX280" t="s">
        <v>3924</v>
      </c>
      <c r="CY280" t="s">
        <v>3925</v>
      </c>
    </row>
    <row r="281" spans="69:103" x14ac:dyDescent="0.35">
      <c r="BS281" s="237" t="s">
        <v>2446</v>
      </c>
      <c r="BT281" s="332" t="s">
        <v>2447</v>
      </c>
      <c r="BU281" s="332"/>
    </row>
    <row r="282" spans="69:103" x14ac:dyDescent="0.35">
      <c r="BS282" s="235">
        <f>IF(BH277=BH278, BH278, IF((BI277+BJ278)&gt;(BJ277+BI278), BH277, BH278))</f>
        <v>0</v>
      </c>
      <c r="BT282" s="236">
        <f>IF(BS282=BH277, BK277, BH277)</f>
        <v>0</v>
      </c>
      <c r="BU282" s="236"/>
    </row>
    <row r="283" spans="69:103" x14ac:dyDescent="0.35">
      <c r="BQ283" s="1" t="e">
        <f>CONCATENATE("    ", ROUND(BQ285, 3), "     &gt;", ROUND(BR285, 0), "&lt;     {", ROUND(BW285, 3), "-", ROUND(BX285, 3), "}")</f>
        <v>#VALUE!</v>
      </c>
      <c r="CQ283">
        <v>2</v>
      </c>
    </row>
    <row r="284" spans="69:103" x14ac:dyDescent="0.35">
      <c r="BQ284" s="235" t="s">
        <v>3329</v>
      </c>
      <c r="BR284" s="236">
        <v>0</v>
      </c>
      <c r="BS284" s="331" t="s">
        <v>2448</v>
      </c>
      <c r="BT284" s="331" t="s">
        <v>2449</v>
      </c>
      <c r="BU284" s="331" t="s">
        <v>2448</v>
      </c>
      <c r="BV284" s="331" t="s">
        <v>2449</v>
      </c>
      <c r="BW284" s="331" t="s">
        <v>2448</v>
      </c>
      <c r="BX284" s="331" t="s">
        <v>2449</v>
      </c>
      <c r="CQ284" t="s">
        <v>4024</v>
      </c>
      <c r="CU284">
        <v>0</v>
      </c>
      <c r="CV284">
        <v>1</v>
      </c>
      <c r="CY284" t="s">
        <v>3937</v>
      </c>
    </row>
    <row r="285" spans="69:103" x14ac:dyDescent="0.35">
      <c r="BQ285" s="138">
        <f>AVERAGE(BQ287:BQ288)</f>
        <v>0</v>
      </c>
      <c r="BR285" s="268">
        <f>AVERAGE(BR287:BR288)+(BR284*2)</f>
        <v>0</v>
      </c>
      <c r="BS285" s="331">
        <f>ROUNDUP(AVERAGE(BS287:BS288), 0)</f>
        <v>0</v>
      </c>
      <c r="BT285" s="331">
        <f>ROUNDDOWN(AVERAGE(BT287:BT288), 0)</f>
        <v>0</v>
      </c>
      <c r="BU285" s="331" t="e">
        <f>ROUNDUP(AVERAGE(BU287:BU288), 0)</f>
        <v>#VALUE!</v>
      </c>
      <c r="BV285" s="331" t="e">
        <f>ROUNDDOWN(AVERAGE(BV287:BV288), 0)</f>
        <v>#VALUE!</v>
      </c>
      <c r="BW285" s="138">
        <f>AVERAGE(SQRT(BW287), SQRT(BW288))^2</f>
        <v>0</v>
      </c>
      <c r="BX285" s="138" t="e">
        <f>AVERAGE(SQRT(BX287), SQRT(BX288))^2</f>
        <v>#VALUE!</v>
      </c>
      <c r="CO285" t="s">
        <v>3928</v>
      </c>
      <c r="CS285" t="s">
        <v>3920</v>
      </c>
      <c r="CU285">
        <v>2</v>
      </c>
      <c r="CV285">
        <v>2</v>
      </c>
      <c r="CW285" t="s">
        <v>3938</v>
      </c>
      <c r="CX285" t="s">
        <v>3921</v>
      </c>
      <c r="CY285" t="s">
        <v>3936</v>
      </c>
    </row>
    <row r="286" spans="69:103" x14ac:dyDescent="0.35">
      <c r="BQ286" s="63" t="s">
        <v>1310</v>
      </c>
      <c r="BR286" s="63" t="s">
        <v>2467</v>
      </c>
      <c r="BS286" s="63" t="s">
        <v>7</v>
      </c>
      <c r="BT286" s="63" t="s">
        <v>7</v>
      </c>
      <c r="BU286" s="63" t="s">
        <v>177</v>
      </c>
      <c r="BV286" s="63" t="s">
        <v>177</v>
      </c>
      <c r="BW286" s="63" t="s">
        <v>1813</v>
      </c>
      <c r="BX286" s="63" t="s">
        <v>1813</v>
      </c>
      <c r="CA286" s="63"/>
      <c r="CP286" s="337">
        <v>4</v>
      </c>
      <c r="CR286" s="237">
        <v>8</v>
      </c>
      <c r="CU286">
        <v>2</v>
      </c>
      <c r="CV286">
        <v>2</v>
      </c>
      <c r="CW286" t="s">
        <v>3939</v>
      </c>
      <c r="CX286" t="s">
        <v>3921</v>
      </c>
      <c r="CY286" t="s">
        <v>3923</v>
      </c>
    </row>
    <row r="287" spans="69:103" x14ac:dyDescent="0.35">
      <c r="BQ287" s="242">
        <f>IF(BH277=BS282, BD277, -BD277)</f>
        <v>0</v>
      </c>
      <c r="BR287" s="267">
        <f>BE277</f>
        <v>0</v>
      </c>
      <c r="BS287" s="61">
        <f>IF(BH277=BS282, BI277, BJ277)</f>
        <v>0</v>
      </c>
      <c r="BT287" s="61">
        <f>IF(BS287=BI277, BJ277, BI277)</f>
        <v>0</v>
      </c>
      <c r="BU287" s="61" t="e">
        <f>IF(BS282=BH277, BU290, BV290)</f>
        <v>#VALUE!</v>
      </c>
      <c r="BV287" s="61" t="e">
        <f>IF(BU287=BU290, BV290, BU290)</f>
        <v>#VALUE!</v>
      </c>
      <c r="BW287" s="244">
        <f>IF(BS282=BH277, BW290, BX290)</f>
        <v>0</v>
      </c>
      <c r="BX287" s="244" t="e">
        <f>IF(BW287=BW290, BX290, BW290)</f>
        <v>#VALUE!</v>
      </c>
      <c r="CP287" s="235" t="s">
        <v>4022</v>
      </c>
      <c r="CR287" s="235"/>
      <c r="CU287">
        <v>4</v>
      </c>
      <c r="CV287">
        <v>8</v>
      </c>
      <c r="CW287" t="s">
        <v>3939</v>
      </c>
      <c r="CX287" t="s">
        <v>3928</v>
      </c>
      <c r="CY287" t="s">
        <v>3933</v>
      </c>
    </row>
    <row r="288" spans="69:103" ht="15" thickBot="1" x14ac:dyDescent="0.4">
      <c r="BQ288" s="242">
        <f>IF(BS282=BH278, BD278, -BD278)</f>
        <v>0</v>
      </c>
      <c r="BR288" s="267">
        <f>BE278</f>
        <v>0</v>
      </c>
      <c r="BS288" s="243">
        <f>IF(BH278=BS282, BI278, BJ278)</f>
        <v>0</v>
      </c>
      <c r="BT288" s="243">
        <f>IF(BS288=BI278, BJ278, BI278)</f>
        <v>0</v>
      </c>
      <c r="BU288" s="61" t="e">
        <f>IF(BS282=BH278, BU291, BV291)</f>
        <v>#VALUE!</v>
      </c>
      <c r="BV288" s="61" t="e">
        <f>IF(BU288=BU291, BV291, BU291)</f>
        <v>#VALUE!</v>
      </c>
      <c r="BW288" s="244">
        <f>IF(BS282=BH278, BW291, BX291)</f>
        <v>0</v>
      </c>
      <c r="BX288" s="244" t="e">
        <f>IF(BW288=BW291, BX291, BW291)</f>
        <v>#VALUE!</v>
      </c>
      <c r="CO288" t="s">
        <v>799</v>
      </c>
      <c r="CP288" s="337" t="s">
        <v>4017</v>
      </c>
      <c r="CQ288" s="1" t="s">
        <v>4020</v>
      </c>
      <c r="CR288" s="237" t="s">
        <v>4017</v>
      </c>
      <c r="CS288" t="s">
        <v>4023</v>
      </c>
      <c r="CU288">
        <v>4</v>
      </c>
      <c r="CV288">
        <v>8</v>
      </c>
      <c r="CW288" t="s">
        <v>3940</v>
      </c>
      <c r="CY288" t="s">
        <v>4018</v>
      </c>
    </row>
    <row r="289" spans="69:103" x14ac:dyDescent="0.35">
      <c r="BS289" s="331">
        <f>SUM(BS287:BS288)</f>
        <v>0</v>
      </c>
      <c r="BT289" s="331">
        <f>SUM(BT287:BT288)</f>
        <v>0</v>
      </c>
      <c r="CP289" s="236"/>
      <c r="CQ289" t="s">
        <v>3920</v>
      </c>
      <c r="CR289" s="235"/>
      <c r="CS289">
        <v>2</v>
      </c>
      <c r="CU289">
        <v>8</v>
      </c>
      <c r="CV289">
        <v>12</v>
      </c>
      <c r="CW289" t="s">
        <v>3940</v>
      </c>
      <c r="CX289" t="s">
        <v>3918</v>
      </c>
      <c r="CY289" t="s">
        <v>4019</v>
      </c>
    </row>
    <row r="290" spans="69:103" x14ac:dyDescent="0.35">
      <c r="BQ290">
        <v>1</v>
      </c>
      <c r="BR290" s="331"/>
      <c r="BU290" t="e">
        <f>_xlfn.NUMBERVALUE(IF(MID(BM277,3,1)="-",MID(BM277,2,1),IF(MID(BM277,4,1)="-",MID(BM277,2,2), "X")))</f>
        <v>#VALUE!</v>
      </c>
      <c r="BV290" t="e">
        <f>_xlfn.NUMBERVALUE(MID(BM277, LEN(BU290)+3, LEN(BM277)-(LEN(BU290)+3)))</f>
        <v>#VALUE!</v>
      </c>
      <c r="BW290">
        <f>_xlfn.NUMBERVALUE(IF(MID(BN277, 3, 1)="-", MID(BN277, 2, 1), IF(MID(BN277, 5, 1)="-", MID(BN277, 2, 3), IF(MID(BN277, 6, 1)="-", MID(BN277, 2, 4),  IF(MID(BN277, 7, 1)="-", MID(BN277, 2, 5),  IF(MID(BN277, 8, 1)="-", MID(BN277, 2, 6), IF(MID(BN277, 9, 1)="-", MID(BN277, 2, 7), 0)))))))</f>
        <v>0</v>
      </c>
      <c r="BX290" t="e">
        <f>_xlfn.NUMBERVALUE(MID(BN277, LEN(BW290)+3, LEN(BN277)-(LEN(BW290)+3)))</f>
        <v>#VALUE!</v>
      </c>
      <c r="CP290" s="337">
        <v>8</v>
      </c>
      <c r="CR290" s="237">
        <v>4</v>
      </c>
      <c r="CU290">
        <v>8</v>
      </c>
      <c r="CV290">
        <v>12</v>
      </c>
      <c r="CW290" t="s">
        <v>3941</v>
      </c>
      <c r="CX290" t="s">
        <v>3920</v>
      </c>
      <c r="CY290" t="s">
        <v>3934</v>
      </c>
    </row>
    <row r="291" spans="69:103" x14ac:dyDescent="0.35">
      <c r="BQ291">
        <v>2</v>
      </c>
      <c r="BS291">
        <f>BS289-BT289</f>
        <v>0</v>
      </c>
      <c r="BU291" t="e">
        <f>_xlfn.NUMBERVALUE(IF(MID(BM278,3,1)="-",MID(BM278,2,1),IF(MID(BM278,4,1)="-",MID(BM278,2,2), "X")))</f>
        <v>#VALUE!</v>
      </c>
      <c r="BV291" t="e">
        <f>_xlfn.NUMBERVALUE(MID(BM278, LEN(BU291)+3, LEN(BM278)-(LEN(BU291)+3)))</f>
        <v>#VALUE!</v>
      </c>
      <c r="BW291">
        <f>_xlfn.NUMBERVALUE(IF(MID(BN278, 3, 1)="-", MID(BN278, 2, 1), IF(MID(BN278, 5, 1)="-", MID(BN278, 2, 3), IF(MID(BN278, 6, 1)="-", MID(BN278, 2, 4),  IF(MID(BN278, 7, 1)="-", MID(BN278, 2, 5),  IF(MID(BN278, 8, 1)="-", MID(BN278, 2, 6), IF(MID(BN278, 9, 1)="-", MID(BN278, 2, 7), 0)))))))</f>
        <v>0</v>
      </c>
      <c r="BX291" t="e">
        <f>_xlfn.NUMBERVALUE(MID(BN278, LEN(BW291)+3, LEN(BN278)-(LEN(BW291)+3)))</f>
        <v>#VALUE!</v>
      </c>
      <c r="CO291" t="s">
        <v>4021</v>
      </c>
      <c r="CS291" t="s">
        <v>3928</v>
      </c>
      <c r="CU291">
        <v>8</v>
      </c>
      <c r="CV291">
        <v>14</v>
      </c>
      <c r="CW291" t="s">
        <v>3941</v>
      </c>
      <c r="CX291" t="s">
        <v>3919</v>
      </c>
      <c r="CY291" t="s">
        <v>3935</v>
      </c>
    </row>
    <row r="292" spans="69:103" x14ac:dyDescent="0.35">
      <c r="CQ292" t="s">
        <v>172</v>
      </c>
      <c r="CU292">
        <v>16</v>
      </c>
      <c r="CV292">
        <v>20</v>
      </c>
      <c r="CW292" t="s">
        <v>3942</v>
      </c>
      <c r="CX292" t="s">
        <v>3924</v>
      </c>
      <c r="CY292" t="s">
        <v>3925</v>
      </c>
    </row>
    <row r="293" spans="69:103" x14ac:dyDescent="0.35">
      <c r="CW293" t="s">
        <v>3943</v>
      </c>
    </row>
  </sheetData>
  <sortState xmlns:xlrd2="http://schemas.microsoft.com/office/spreadsheetml/2017/richdata2" ref="BV143:CC148">
    <sortCondition ref="CC143:CC148"/>
    <sortCondition ref="BV143:BV148"/>
    <sortCondition ref="BZ143:BZ148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O113"/>
  <sheetViews>
    <sheetView topLeftCell="IC1" zoomScale="90" zoomScaleNormal="90" workbookViewId="0">
      <selection activeCell="IE15" sqref="IE15"/>
    </sheetView>
  </sheetViews>
  <sheetFormatPr defaultRowHeight="14.5" x14ac:dyDescent="0.35"/>
  <cols>
    <col min="5" max="5" width="8.90625" customWidth="1"/>
    <col min="7" max="140" width="8.90625" customWidth="1"/>
    <col min="149" max="149" width="15.54296875" bestFit="1" customWidth="1"/>
    <col min="152" max="152" width="15.81640625" bestFit="1" customWidth="1"/>
    <col min="155" max="155" width="14.81640625" bestFit="1" customWidth="1"/>
    <col min="158" max="158" width="14.81640625" bestFit="1" customWidth="1"/>
    <col min="161" max="161" width="16" bestFit="1" customWidth="1"/>
    <col min="164" max="164" width="16.54296875" bestFit="1" customWidth="1"/>
    <col min="167" max="167" width="13.90625" bestFit="1" customWidth="1"/>
    <col min="289" max="291" width="11" customWidth="1"/>
    <col min="295" max="298" width="4.1796875" customWidth="1"/>
  </cols>
  <sheetData>
    <row r="1" spans="1:301" x14ac:dyDescent="0.35">
      <c r="HA1">
        <f>AVERAGE(GZ:GZ)</f>
        <v>1.9321428571428569</v>
      </c>
      <c r="HW1">
        <v>6</v>
      </c>
      <c r="HX1">
        <v>2</v>
      </c>
    </row>
    <row r="2" spans="1:301" x14ac:dyDescent="0.35">
      <c r="G2">
        <v>-0.66</v>
      </c>
      <c r="X2">
        <v>-0.66</v>
      </c>
      <c r="Y2">
        <v>0.33</v>
      </c>
      <c r="Z2">
        <v>1.65</v>
      </c>
      <c r="AA2">
        <v>0.99</v>
      </c>
      <c r="AB2">
        <v>0</v>
      </c>
      <c r="AC2">
        <v>0.99</v>
      </c>
      <c r="AD2">
        <v>0</v>
      </c>
      <c r="AE2">
        <v>-0.66</v>
      </c>
      <c r="AF2">
        <v>1.65</v>
      </c>
      <c r="AG2">
        <v>0.66</v>
      </c>
      <c r="AH2">
        <v>-0.99</v>
      </c>
      <c r="AI2">
        <v>0.33</v>
      </c>
      <c r="AJ2">
        <v>0</v>
      </c>
      <c r="AK2">
        <v>0</v>
      </c>
      <c r="AL2">
        <v>-1.6500000000000001</v>
      </c>
      <c r="AM2">
        <v>-1.65</v>
      </c>
      <c r="AO2">
        <v>0.33</v>
      </c>
      <c r="AP2">
        <v>0.33</v>
      </c>
      <c r="AQ2">
        <v>1.65</v>
      </c>
      <c r="AR2">
        <v>0.33</v>
      </c>
      <c r="AS2">
        <v>0</v>
      </c>
      <c r="AT2">
        <v>-0.33</v>
      </c>
      <c r="AU2">
        <v>-1.6500000000000001</v>
      </c>
      <c r="AV2">
        <v>-0.33</v>
      </c>
      <c r="AW2">
        <v>0.33</v>
      </c>
      <c r="AX2">
        <v>1.32</v>
      </c>
      <c r="AY2">
        <v>0.99</v>
      </c>
      <c r="AZ2">
        <v>0.33</v>
      </c>
      <c r="BA2">
        <v>-1.6500000000000001</v>
      </c>
      <c r="BB2">
        <v>0</v>
      </c>
      <c r="BC2">
        <v>0.33</v>
      </c>
      <c r="BD2">
        <v>1.98</v>
      </c>
      <c r="BF2">
        <v>0.33</v>
      </c>
      <c r="BG2">
        <v>0.99</v>
      </c>
      <c r="BH2">
        <v>0</v>
      </c>
      <c r="BI2">
        <v>0.66</v>
      </c>
      <c r="BJ2">
        <v>-0.33</v>
      </c>
      <c r="BK2">
        <v>-0.66</v>
      </c>
      <c r="BL2">
        <v>-0.99</v>
      </c>
      <c r="BM2">
        <v>-2.31</v>
      </c>
      <c r="BN2">
        <v>0.99</v>
      </c>
      <c r="BO2">
        <v>-0.33</v>
      </c>
      <c r="BP2">
        <v>0.33</v>
      </c>
      <c r="BQ2">
        <v>0.66</v>
      </c>
      <c r="BR2">
        <v>-0.66</v>
      </c>
      <c r="BS2">
        <v>0.33</v>
      </c>
      <c r="BT2">
        <v>-1.32</v>
      </c>
      <c r="BU2">
        <v>-0.99</v>
      </c>
      <c r="BW2">
        <v>0.33</v>
      </c>
      <c r="BX2">
        <v>0</v>
      </c>
      <c r="BY2">
        <v>-0.99</v>
      </c>
      <c r="BZ2">
        <v>-1.32</v>
      </c>
      <c r="CA2">
        <v>-1.32</v>
      </c>
      <c r="CB2">
        <v>-0.33</v>
      </c>
      <c r="CC2">
        <v>1.32</v>
      </c>
      <c r="CD2">
        <v>0</v>
      </c>
      <c r="CE2">
        <v>0.33</v>
      </c>
      <c r="CF2">
        <v>0.33</v>
      </c>
      <c r="CG2">
        <v>0.33</v>
      </c>
      <c r="CH2">
        <v>0.66</v>
      </c>
      <c r="CI2">
        <v>1.65</v>
      </c>
      <c r="CJ2">
        <v>0.99</v>
      </c>
      <c r="CK2">
        <v>-0.33</v>
      </c>
      <c r="CL2">
        <v>-0.33</v>
      </c>
      <c r="CN2">
        <v>0.66</v>
      </c>
      <c r="CO2">
        <v>0.66</v>
      </c>
      <c r="CP2">
        <v>0</v>
      </c>
      <c r="CQ2">
        <v>0.66</v>
      </c>
      <c r="CR2">
        <v>-0.99</v>
      </c>
      <c r="CS2">
        <v>0.33</v>
      </c>
      <c r="CT2">
        <v>0.99</v>
      </c>
      <c r="CU2">
        <v>0.33</v>
      </c>
      <c r="CV2">
        <v>-0.99</v>
      </c>
      <c r="CW2">
        <v>-1.98</v>
      </c>
      <c r="CX2">
        <v>-0.99</v>
      </c>
      <c r="CY2">
        <v>-0.99</v>
      </c>
      <c r="CZ2">
        <v>-1.65</v>
      </c>
      <c r="DA2">
        <v>0</v>
      </c>
      <c r="DB2">
        <v>0.33</v>
      </c>
      <c r="DC2">
        <v>0.33</v>
      </c>
      <c r="DE2">
        <v>-0.66</v>
      </c>
      <c r="DF2">
        <v>0.33</v>
      </c>
      <c r="DG2">
        <v>1.32</v>
      </c>
      <c r="DH2">
        <v>1.65</v>
      </c>
      <c r="DI2">
        <v>1.32</v>
      </c>
      <c r="DJ2">
        <v>0.33</v>
      </c>
      <c r="DK2">
        <v>1.65</v>
      </c>
      <c r="DL2">
        <v>-0.33</v>
      </c>
      <c r="DM2">
        <v>0</v>
      </c>
      <c r="DN2">
        <v>-0.66</v>
      </c>
      <c r="DO2">
        <v>0.33</v>
      </c>
      <c r="DP2">
        <v>-1.98</v>
      </c>
      <c r="DQ2">
        <v>0.33</v>
      </c>
      <c r="DR2">
        <v>0</v>
      </c>
      <c r="DS2">
        <v>0.99</v>
      </c>
      <c r="DT2">
        <v>1.98</v>
      </c>
      <c r="DV2">
        <v>0.99</v>
      </c>
      <c r="DW2">
        <v>0.99</v>
      </c>
      <c r="DX2">
        <v>0.33</v>
      </c>
      <c r="DY2">
        <v>0.66</v>
      </c>
      <c r="DZ2">
        <v>-1.98</v>
      </c>
      <c r="EA2">
        <v>-0.9900000000000001</v>
      </c>
      <c r="EB2">
        <v>0.33</v>
      </c>
      <c r="EC2">
        <v>0.33</v>
      </c>
      <c r="ED2">
        <v>0</v>
      </c>
      <c r="EE2">
        <v>0</v>
      </c>
      <c r="EF2">
        <v>-0.33</v>
      </c>
      <c r="EG2">
        <v>-1.32</v>
      </c>
      <c r="EH2">
        <v>0.66</v>
      </c>
      <c r="EI2">
        <v>0.66</v>
      </c>
      <c r="EJ2">
        <v>0.99</v>
      </c>
      <c r="EK2">
        <v>0.99</v>
      </c>
      <c r="EN2">
        <v>-2.31</v>
      </c>
      <c r="EO2">
        <v>-2.33</v>
      </c>
      <c r="EQ2">
        <v>1.66</v>
      </c>
      <c r="ER2">
        <v>5.5</v>
      </c>
      <c r="ES2" t="s">
        <v>87</v>
      </c>
      <c r="ET2">
        <v>2</v>
      </c>
      <c r="EU2">
        <f>(ET2+2)*3/2</f>
        <v>6</v>
      </c>
      <c r="EV2" t="s">
        <v>60</v>
      </c>
      <c r="EW2">
        <v>1</v>
      </c>
      <c r="EX2">
        <f>(EW2+2)*3/2</f>
        <v>4.5</v>
      </c>
      <c r="EY2" t="s">
        <v>57</v>
      </c>
      <c r="EZ2">
        <v>1.66</v>
      </c>
      <c r="FA2">
        <v>5.5</v>
      </c>
      <c r="FB2" t="s">
        <v>46</v>
      </c>
      <c r="FC2">
        <v>1</v>
      </c>
      <c r="FD2">
        <v>4.5</v>
      </c>
      <c r="FE2" t="s">
        <v>1860</v>
      </c>
      <c r="FF2">
        <v>2</v>
      </c>
      <c r="FG2">
        <f>(FF2+2)*3/2</f>
        <v>6</v>
      </c>
      <c r="FH2" t="s">
        <v>909</v>
      </c>
      <c r="FI2">
        <v>1</v>
      </c>
      <c r="FJ2">
        <f>(FI2+2)*3/2</f>
        <v>4.5</v>
      </c>
      <c r="FK2" t="s">
        <v>962</v>
      </c>
      <c r="FM2" s="205">
        <v>-0.66666666666666663</v>
      </c>
      <c r="FN2">
        <f t="shared" ref="FN2:FN17" si="0">(FM2+2)*3/2</f>
        <v>2</v>
      </c>
      <c r="FS2">
        <v>5.5</v>
      </c>
      <c r="FT2">
        <v>6</v>
      </c>
      <c r="FU2">
        <v>4.5</v>
      </c>
      <c r="FV2">
        <v>5.5</v>
      </c>
      <c r="FW2">
        <v>4.5</v>
      </c>
      <c r="FX2">
        <v>6</v>
      </c>
      <c r="FY2">
        <v>4.5</v>
      </c>
      <c r="FZ2">
        <v>5.5</v>
      </c>
      <c r="GJ2">
        <v>5.1059999999999999</v>
      </c>
      <c r="GK2">
        <v>1</v>
      </c>
      <c r="GL2">
        <f>GJ2*GK2</f>
        <v>5.1059999999999999</v>
      </c>
      <c r="GM2">
        <v>1</v>
      </c>
      <c r="GN2">
        <v>1</v>
      </c>
      <c r="GO2">
        <f t="shared" ref="GO2:GO10" si="1">GN2*GJ2</f>
        <v>5.1059999999999999</v>
      </c>
      <c r="GU2">
        <v>42</v>
      </c>
      <c r="GV2">
        <v>27</v>
      </c>
      <c r="GW2">
        <v>39</v>
      </c>
      <c r="GX2">
        <v>0</v>
      </c>
      <c r="GY2">
        <v>7</v>
      </c>
      <c r="GZ2" s="6">
        <f t="shared" ref="GZ2:GZ29" si="2">SUM(GU2:GX2)/100</f>
        <v>1.08</v>
      </c>
      <c r="HW2">
        <v>6</v>
      </c>
      <c r="HX2">
        <v>2</v>
      </c>
    </row>
    <row r="3" spans="1:301" x14ac:dyDescent="0.35">
      <c r="G3">
        <f>SUM(G5:G30)</f>
        <v>-0.66</v>
      </c>
      <c r="H3">
        <f t="shared" ref="H3:V3" si="3">SUM(H5:H30)</f>
        <v>1.32</v>
      </c>
      <c r="I3">
        <f t="shared" si="3"/>
        <v>1.6500000000000001</v>
      </c>
      <c r="J3">
        <f t="shared" si="3"/>
        <v>-0.66</v>
      </c>
      <c r="K3">
        <f t="shared" si="3"/>
        <v>0.33</v>
      </c>
      <c r="L3">
        <f t="shared" si="3"/>
        <v>-0.33</v>
      </c>
      <c r="M3">
        <f t="shared" si="3"/>
        <v>1.32</v>
      </c>
      <c r="N3">
        <f t="shared" si="3"/>
        <v>-1.98</v>
      </c>
      <c r="O3">
        <f t="shared" si="3"/>
        <v>0</v>
      </c>
      <c r="P3">
        <f>SUM(P5:P30)</f>
        <v>0.99</v>
      </c>
      <c r="Q3">
        <f t="shared" si="3"/>
        <v>0.33</v>
      </c>
      <c r="R3">
        <f t="shared" si="3"/>
        <v>0.33</v>
      </c>
      <c r="S3">
        <f t="shared" si="3"/>
        <v>1.32</v>
      </c>
      <c r="T3">
        <f t="shared" si="3"/>
        <v>0.33</v>
      </c>
      <c r="U3">
        <f t="shared" si="3"/>
        <v>0.33</v>
      </c>
      <c r="V3">
        <f t="shared" si="3"/>
        <v>-0.99</v>
      </c>
      <c r="X3">
        <f>SUM(X5:X30)</f>
        <v>-0.66</v>
      </c>
      <c r="Y3">
        <f t="shared" ref="Y3:AM3" si="4">SUM(Y5:Y30)</f>
        <v>0.33</v>
      </c>
      <c r="Z3">
        <f t="shared" si="4"/>
        <v>1.65</v>
      </c>
      <c r="AA3">
        <f t="shared" si="4"/>
        <v>0.99</v>
      </c>
      <c r="AB3">
        <f t="shared" si="4"/>
        <v>0</v>
      </c>
      <c r="AC3">
        <f t="shared" si="4"/>
        <v>0.99</v>
      </c>
      <c r="AD3">
        <f t="shared" si="4"/>
        <v>0</v>
      </c>
      <c r="AE3">
        <f t="shared" si="4"/>
        <v>-0.66</v>
      </c>
      <c r="AF3">
        <f t="shared" si="4"/>
        <v>1.65</v>
      </c>
      <c r="AG3">
        <f t="shared" si="4"/>
        <v>0.66</v>
      </c>
      <c r="AH3">
        <f t="shared" si="4"/>
        <v>-0.99</v>
      </c>
      <c r="AI3">
        <f t="shared" si="4"/>
        <v>0.33</v>
      </c>
      <c r="AJ3">
        <f t="shared" si="4"/>
        <v>0</v>
      </c>
      <c r="AK3">
        <f t="shared" si="4"/>
        <v>0</v>
      </c>
      <c r="AL3">
        <f t="shared" si="4"/>
        <v>-1.6500000000000001</v>
      </c>
      <c r="AM3">
        <f t="shared" si="4"/>
        <v>-1.65</v>
      </c>
      <c r="AO3">
        <f>SUM(AO5:AO30)</f>
        <v>0.33</v>
      </c>
      <c r="AP3">
        <f t="shared" ref="AP3:CL3" si="5">SUM(AP5:AP30)</f>
        <v>0.33</v>
      </c>
      <c r="AQ3">
        <f t="shared" si="5"/>
        <v>1.65</v>
      </c>
      <c r="AR3">
        <f t="shared" si="5"/>
        <v>0.33</v>
      </c>
      <c r="AS3">
        <f t="shared" si="5"/>
        <v>0</v>
      </c>
      <c r="AT3">
        <f t="shared" si="5"/>
        <v>-0.33</v>
      </c>
      <c r="AU3">
        <f t="shared" si="5"/>
        <v>-1.6500000000000001</v>
      </c>
      <c r="AV3">
        <f t="shared" si="5"/>
        <v>-0.33</v>
      </c>
      <c r="AW3">
        <f t="shared" si="5"/>
        <v>0.33</v>
      </c>
      <c r="AX3">
        <f t="shared" si="5"/>
        <v>1.32</v>
      </c>
      <c r="AY3">
        <f t="shared" si="5"/>
        <v>0.99</v>
      </c>
      <c r="AZ3">
        <f t="shared" si="5"/>
        <v>0.33</v>
      </c>
      <c r="BA3">
        <f t="shared" si="5"/>
        <v>-1.6500000000000001</v>
      </c>
      <c r="BB3">
        <f t="shared" si="5"/>
        <v>0</v>
      </c>
      <c r="BC3">
        <f t="shared" si="5"/>
        <v>0.33</v>
      </c>
      <c r="BD3">
        <f t="shared" si="5"/>
        <v>1.98</v>
      </c>
      <c r="BF3">
        <f t="shared" si="5"/>
        <v>0.33</v>
      </c>
      <c r="BG3">
        <f t="shared" si="5"/>
        <v>0.99</v>
      </c>
      <c r="BH3">
        <f t="shared" si="5"/>
        <v>0</v>
      </c>
      <c r="BI3">
        <f t="shared" si="5"/>
        <v>0.66</v>
      </c>
      <c r="BJ3">
        <f t="shared" si="5"/>
        <v>-0.33</v>
      </c>
      <c r="BK3">
        <f t="shared" si="5"/>
        <v>-0.66</v>
      </c>
      <c r="BL3">
        <f t="shared" si="5"/>
        <v>-0.99</v>
      </c>
      <c r="BM3">
        <f t="shared" si="5"/>
        <v>-2.31</v>
      </c>
      <c r="BN3">
        <f t="shared" si="5"/>
        <v>0.99</v>
      </c>
      <c r="BO3">
        <f t="shared" si="5"/>
        <v>-0.33</v>
      </c>
      <c r="BP3">
        <f t="shared" si="5"/>
        <v>0.33</v>
      </c>
      <c r="BQ3">
        <f t="shared" si="5"/>
        <v>0.66</v>
      </c>
      <c r="BR3">
        <f t="shared" si="5"/>
        <v>-0.66</v>
      </c>
      <c r="BS3">
        <f t="shared" si="5"/>
        <v>0.33</v>
      </c>
      <c r="BT3">
        <f t="shared" si="5"/>
        <v>-1.32</v>
      </c>
      <c r="BU3">
        <f t="shared" si="5"/>
        <v>-0.99</v>
      </c>
      <c r="BW3">
        <f t="shared" si="5"/>
        <v>0.33</v>
      </c>
      <c r="BX3">
        <f t="shared" si="5"/>
        <v>0</v>
      </c>
      <c r="BY3">
        <f t="shared" si="5"/>
        <v>-0.99</v>
      </c>
      <c r="BZ3">
        <f t="shared" si="5"/>
        <v>-1.32</v>
      </c>
      <c r="CA3">
        <f t="shared" si="5"/>
        <v>-1.32</v>
      </c>
      <c r="CB3">
        <f t="shared" si="5"/>
        <v>-0.33</v>
      </c>
      <c r="CC3">
        <f t="shared" si="5"/>
        <v>1.32</v>
      </c>
      <c r="CD3">
        <f t="shared" si="5"/>
        <v>0</v>
      </c>
      <c r="CE3">
        <f t="shared" si="5"/>
        <v>0.33</v>
      </c>
      <c r="CF3">
        <f t="shared" si="5"/>
        <v>0.33</v>
      </c>
      <c r="CG3">
        <f t="shared" si="5"/>
        <v>0.33</v>
      </c>
      <c r="CH3">
        <f t="shared" si="5"/>
        <v>0.66</v>
      </c>
      <c r="CI3">
        <f t="shared" si="5"/>
        <v>1.65</v>
      </c>
      <c r="CJ3">
        <f t="shared" si="5"/>
        <v>0.99</v>
      </c>
      <c r="CK3">
        <f t="shared" si="5"/>
        <v>-0.33</v>
      </c>
      <c r="CL3">
        <f t="shared" si="5"/>
        <v>-0.33</v>
      </c>
      <c r="CN3">
        <f>SUM(CN5:CN30)</f>
        <v>0.66</v>
      </c>
      <c r="CO3">
        <f t="shared" ref="CO3:EK3" si="6">SUM(CO5:CO30)</f>
        <v>0.66</v>
      </c>
      <c r="CP3">
        <f t="shared" si="6"/>
        <v>0</v>
      </c>
      <c r="CQ3">
        <f t="shared" si="6"/>
        <v>0.66</v>
      </c>
      <c r="CR3">
        <f t="shared" si="6"/>
        <v>-0.33</v>
      </c>
      <c r="CS3">
        <f t="shared" si="6"/>
        <v>0.33</v>
      </c>
      <c r="CT3">
        <f t="shared" si="6"/>
        <v>0.99</v>
      </c>
      <c r="CU3">
        <f t="shared" si="6"/>
        <v>0.33</v>
      </c>
      <c r="CV3">
        <f t="shared" si="6"/>
        <v>-0.99</v>
      </c>
      <c r="CW3">
        <f t="shared" si="6"/>
        <v>-1.9800000000000002</v>
      </c>
      <c r="CX3">
        <f t="shared" si="6"/>
        <v>-0.99</v>
      </c>
      <c r="CY3">
        <f t="shared" si="6"/>
        <v>-0.99</v>
      </c>
      <c r="CZ3">
        <f t="shared" si="6"/>
        <v>-1.65</v>
      </c>
      <c r="DA3">
        <f t="shared" si="6"/>
        <v>0</v>
      </c>
      <c r="DB3">
        <f t="shared" si="6"/>
        <v>0.33</v>
      </c>
      <c r="DC3">
        <f t="shared" si="6"/>
        <v>0.33</v>
      </c>
      <c r="DE3">
        <f t="shared" si="6"/>
        <v>-0.66</v>
      </c>
      <c r="DF3">
        <f t="shared" si="6"/>
        <v>0.33</v>
      </c>
      <c r="DG3">
        <f t="shared" si="6"/>
        <v>1.32</v>
      </c>
      <c r="DH3">
        <f t="shared" si="6"/>
        <v>1.65</v>
      </c>
      <c r="DI3">
        <f t="shared" si="6"/>
        <v>1.32</v>
      </c>
      <c r="DJ3">
        <f t="shared" si="6"/>
        <v>0.33</v>
      </c>
      <c r="DK3">
        <f t="shared" si="6"/>
        <v>1.65</v>
      </c>
      <c r="DL3">
        <f t="shared" si="6"/>
        <v>-0.33</v>
      </c>
      <c r="DM3">
        <f t="shared" si="6"/>
        <v>0</v>
      </c>
      <c r="DN3">
        <f t="shared" si="6"/>
        <v>-0.66</v>
      </c>
      <c r="DO3">
        <f t="shared" si="6"/>
        <v>0.33</v>
      </c>
      <c r="DP3">
        <f t="shared" si="6"/>
        <v>-1.98</v>
      </c>
      <c r="DQ3">
        <f t="shared" si="6"/>
        <v>0.33</v>
      </c>
      <c r="DR3">
        <f t="shared" si="6"/>
        <v>0</v>
      </c>
      <c r="DS3">
        <f t="shared" si="6"/>
        <v>0.99</v>
      </c>
      <c r="DT3">
        <f t="shared" si="6"/>
        <v>1.98</v>
      </c>
      <c r="DV3">
        <f t="shared" si="6"/>
        <v>0.99</v>
      </c>
      <c r="DW3">
        <f t="shared" si="6"/>
        <v>0.99</v>
      </c>
      <c r="DX3">
        <f t="shared" si="6"/>
        <v>0.33</v>
      </c>
      <c r="DY3">
        <f t="shared" si="6"/>
        <v>0.66</v>
      </c>
      <c r="DZ3">
        <f t="shared" si="6"/>
        <v>-1.98</v>
      </c>
      <c r="EA3">
        <f t="shared" si="6"/>
        <v>-0.9900000000000001</v>
      </c>
      <c r="EB3">
        <f t="shared" si="6"/>
        <v>0.33</v>
      </c>
      <c r="EC3">
        <f t="shared" si="6"/>
        <v>0.33</v>
      </c>
      <c r="ED3">
        <f t="shared" si="6"/>
        <v>0</v>
      </c>
      <c r="EE3">
        <f t="shared" si="6"/>
        <v>0</v>
      </c>
      <c r="EF3">
        <f t="shared" si="6"/>
        <v>-0.33</v>
      </c>
      <c r="EG3">
        <f t="shared" si="6"/>
        <v>-1.32</v>
      </c>
      <c r="EH3">
        <f t="shared" si="6"/>
        <v>0.66</v>
      </c>
      <c r="EI3">
        <f t="shared" si="6"/>
        <v>0.66</v>
      </c>
      <c r="EJ3">
        <f t="shared" si="6"/>
        <v>0.99</v>
      </c>
      <c r="EK3">
        <f t="shared" si="6"/>
        <v>0.99</v>
      </c>
      <c r="EN3">
        <v>-1.98</v>
      </c>
      <c r="EO3">
        <v>-2</v>
      </c>
      <c r="EQ3">
        <v>1.66</v>
      </c>
      <c r="ER3">
        <v>5.5</v>
      </c>
      <c r="ES3" t="s">
        <v>78</v>
      </c>
      <c r="ET3">
        <v>1.66</v>
      </c>
      <c r="EU3">
        <v>5.5</v>
      </c>
      <c r="EV3" t="s">
        <v>59</v>
      </c>
      <c r="EW3">
        <v>1</v>
      </c>
      <c r="EX3">
        <f>(EW3+2)*3/2</f>
        <v>4.5</v>
      </c>
      <c r="EY3" t="s">
        <v>56</v>
      </c>
      <c r="EZ3">
        <v>1.33</v>
      </c>
      <c r="FA3">
        <v>5</v>
      </c>
      <c r="FB3" t="s">
        <v>36</v>
      </c>
      <c r="FC3">
        <v>0.66</v>
      </c>
      <c r="FD3">
        <v>4</v>
      </c>
      <c r="FE3" t="s">
        <v>23</v>
      </c>
      <c r="FF3">
        <v>1.66</v>
      </c>
      <c r="FG3">
        <v>5.5</v>
      </c>
      <c r="FH3" t="s">
        <v>795</v>
      </c>
      <c r="FI3">
        <v>1</v>
      </c>
      <c r="FJ3">
        <f>(FI3+2)*3/2</f>
        <v>4.5</v>
      </c>
      <c r="FK3" t="s">
        <v>1301</v>
      </c>
      <c r="FM3" s="205">
        <v>1.3333333333333333</v>
      </c>
      <c r="FN3">
        <f t="shared" si="0"/>
        <v>5</v>
      </c>
      <c r="FS3">
        <v>5.5</v>
      </c>
      <c r="FT3">
        <v>5.5</v>
      </c>
      <c r="FU3">
        <v>4.5</v>
      </c>
      <c r="FV3">
        <v>5</v>
      </c>
      <c r="FW3">
        <v>4</v>
      </c>
      <c r="FX3">
        <v>5.5</v>
      </c>
      <c r="FY3">
        <v>4.5</v>
      </c>
      <c r="FZ3">
        <v>5</v>
      </c>
      <c r="GB3" t="s">
        <v>1888</v>
      </c>
      <c r="GJ3">
        <v>5.1059999999999999</v>
      </c>
      <c r="GK3">
        <v>0.95</v>
      </c>
      <c r="GL3">
        <f t="shared" ref="GL3:GL10" si="7">GJ3*GK3</f>
        <v>4.8506999999999998</v>
      </c>
      <c r="GM3">
        <v>2</v>
      </c>
      <c r="GN3">
        <v>1.05</v>
      </c>
      <c r="GO3">
        <f t="shared" si="1"/>
        <v>5.3613</v>
      </c>
      <c r="GU3">
        <v>24</v>
      </c>
      <c r="GV3">
        <v>42</v>
      </c>
      <c r="GW3">
        <v>7</v>
      </c>
      <c r="GX3">
        <v>39</v>
      </c>
      <c r="GY3">
        <v>8</v>
      </c>
      <c r="GZ3" s="6">
        <f t="shared" si="2"/>
        <v>1.1200000000000001</v>
      </c>
      <c r="HW3">
        <v>5.5</v>
      </c>
      <c r="HX3">
        <v>1.6666666666666665</v>
      </c>
      <c r="IE3" t="s">
        <v>3179</v>
      </c>
      <c r="IF3" t="s">
        <v>165</v>
      </c>
      <c r="IG3" t="s">
        <v>3182</v>
      </c>
      <c r="IH3" t="s">
        <v>3174</v>
      </c>
      <c r="II3" t="s">
        <v>3181</v>
      </c>
      <c r="IJ3" t="s">
        <v>3176</v>
      </c>
      <c r="IK3" t="s">
        <v>3172</v>
      </c>
      <c r="IL3" t="s">
        <v>3177</v>
      </c>
      <c r="IM3" t="s">
        <v>3184</v>
      </c>
      <c r="IN3" t="s">
        <v>3171</v>
      </c>
      <c r="IO3" t="s">
        <v>3186</v>
      </c>
      <c r="IP3" t="s">
        <v>3183</v>
      </c>
      <c r="IQ3" t="s">
        <v>3170</v>
      </c>
      <c r="IR3" t="s">
        <v>3178</v>
      </c>
      <c r="IS3" t="s">
        <v>3175</v>
      </c>
      <c r="IT3" t="s">
        <v>3185</v>
      </c>
      <c r="IU3" t="s">
        <v>3180</v>
      </c>
      <c r="IV3" t="s">
        <v>3173</v>
      </c>
      <c r="IW3" t="s">
        <v>2336</v>
      </c>
      <c r="IX3" t="s">
        <v>3913</v>
      </c>
      <c r="IY3" t="s">
        <v>959</v>
      </c>
      <c r="JB3" s="1" t="s">
        <v>3179</v>
      </c>
      <c r="JC3" t="s">
        <v>74</v>
      </c>
      <c r="JE3" s="1" t="s">
        <v>3177</v>
      </c>
      <c r="JF3" t="s">
        <v>66</v>
      </c>
      <c r="JH3" t="s">
        <v>3171</v>
      </c>
      <c r="JI3" t="s">
        <v>50</v>
      </c>
      <c r="JK3" s="1" t="s">
        <v>3173</v>
      </c>
      <c r="JL3" t="s">
        <v>46</v>
      </c>
      <c r="JN3" t="s">
        <v>3186</v>
      </c>
      <c r="JO3" t="s">
        <v>23</v>
      </c>
      <c r="JQ3" t="s">
        <v>3170</v>
      </c>
      <c r="JR3" t="s">
        <v>909</v>
      </c>
      <c r="JT3" s="1" t="s">
        <v>3181</v>
      </c>
      <c r="JU3" t="s">
        <v>958</v>
      </c>
      <c r="JW3" t="s">
        <v>3179</v>
      </c>
      <c r="JX3" t="s">
        <v>5267</v>
      </c>
      <c r="KC3" t="s">
        <v>4095</v>
      </c>
      <c r="KD3" t="s">
        <v>4093</v>
      </c>
      <c r="KE3" t="s">
        <v>4094</v>
      </c>
      <c r="KF3" t="s">
        <v>4096</v>
      </c>
      <c r="KG3" t="s">
        <v>4106</v>
      </c>
      <c r="KI3" t="s">
        <v>921</v>
      </c>
      <c r="KJ3" t="s">
        <v>3972</v>
      </c>
      <c r="KK3" t="s">
        <v>4097</v>
      </c>
      <c r="KL3" t="s">
        <v>396</v>
      </c>
    </row>
    <row r="4" spans="1:301" x14ac:dyDescent="0.35">
      <c r="D4" t="s">
        <v>1814</v>
      </c>
      <c r="G4" t="s">
        <v>5267</v>
      </c>
      <c r="H4" t="s">
        <v>5268</v>
      </c>
      <c r="I4" t="s">
        <v>5269</v>
      </c>
      <c r="J4" t="s">
        <v>5270</v>
      </c>
      <c r="K4" t="s">
        <v>5271</v>
      </c>
      <c r="L4" t="s">
        <v>5272</v>
      </c>
      <c r="M4" t="s">
        <v>5273</v>
      </c>
      <c r="N4" t="s">
        <v>5274</v>
      </c>
      <c r="O4" t="s">
        <v>5275</v>
      </c>
      <c r="P4" t="s">
        <v>5276</v>
      </c>
      <c r="Q4" t="s">
        <v>5277</v>
      </c>
      <c r="R4" t="s">
        <v>5278</v>
      </c>
      <c r="S4" t="s">
        <v>5279</v>
      </c>
      <c r="T4" t="s">
        <v>5280</v>
      </c>
      <c r="U4" t="s">
        <v>5281</v>
      </c>
      <c r="V4" t="s">
        <v>5282</v>
      </c>
      <c r="X4" t="s">
        <v>81</v>
      </c>
      <c r="Y4" t="s">
        <v>88</v>
      </c>
      <c r="Z4" t="s">
        <v>87</v>
      </c>
      <c r="AA4" t="s">
        <v>85</v>
      </c>
      <c r="AB4" t="s">
        <v>84</v>
      </c>
      <c r="AC4" t="s">
        <v>83</v>
      </c>
      <c r="AD4" t="s">
        <v>86</v>
      </c>
      <c r="AE4" t="s">
        <v>82</v>
      </c>
      <c r="AF4" t="s">
        <v>78</v>
      </c>
      <c r="AG4" t="s">
        <v>77</v>
      </c>
      <c r="AH4" t="s">
        <v>76</v>
      </c>
      <c r="AI4" t="s">
        <v>75</v>
      </c>
      <c r="AJ4" t="s">
        <v>74</v>
      </c>
      <c r="AK4" t="s">
        <v>73</v>
      </c>
      <c r="AL4" t="s">
        <v>79</v>
      </c>
      <c r="AM4" t="s">
        <v>80</v>
      </c>
      <c r="AO4" t="s">
        <v>72</v>
      </c>
      <c r="AP4" t="s">
        <v>114</v>
      </c>
      <c r="AQ4" t="s">
        <v>59</v>
      </c>
      <c r="AR4" t="s">
        <v>61</v>
      </c>
      <c r="AS4" t="s">
        <v>69</v>
      </c>
      <c r="AT4" t="s">
        <v>70</v>
      </c>
      <c r="AU4" t="s">
        <v>67</v>
      </c>
      <c r="AV4" t="s">
        <v>68</v>
      </c>
      <c r="AW4" t="s">
        <v>63</v>
      </c>
      <c r="AX4" t="s">
        <v>65</v>
      </c>
      <c r="AY4" t="s">
        <v>64</v>
      </c>
      <c r="AZ4" t="s">
        <v>115</v>
      </c>
      <c r="BA4" t="s">
        <v>66</v>
      </c>
      <c r="BB4" t="s">
        <v>71</v>
      </c>
      <c r="BC4" t="s">
        <v>62</v>
      </c>
      <c r="BD4" t="s">
        <v>60</v>
      </c>
      <c r="BF4" t="s">
        <v>58</v>
      </c>
      <c r="BG4" t="s">
        <v>57</v>
      </c>
      <c r="BH4" t="s">
        <v>47</v>
      </c>
      <c r="BI4" t="s">
        <v>48</v>
      </c>
      <c r="BJ4" t="s">
        <v>50</v>
      </c>
      <c r="BK4" t="s">
        <v>49</v>
      </c>
      <c r="BL4" t="s">
        <v>52</v>
      </c>
      <c r="BM4" t="s">
        <v>51</v>
      </c>
      <c r="BN4" t="s">
        <v>56</v>
      </c>
      <c r="BO4" t="s">
        <v>145</v>
      </c>
      <c r="BP4" t="s">
        <v>117</v>
      </c>
      <c r="BQ4" t="s">
        <v>118</v>
      </c>
      <c r="BR4" t="s">
        <v>54</v>
      </c>
      <c r="BS4" t="s">
        <v>55</v>
      </c>
      <c r="BT4" t="s">
        <v>53</v>
      </c>
      <c r="BU4" t="s">
        <v>300</v>
      </c>
      <c r="BW4" t="s">
        <v>35</v>
      </c>
      <c r="BX4" t="s">
        <v>2011</v>
      </c>
      <c r="BY4" t="s">
        <v>40</v>
      </c>
      <c r="BZ4" t="s">
        <v>900</v>
      </c>
      <c r="CA4" t="s">
        <v>39</v>
      </c>
      <c r="CB4" t="s">
        <v>38</v>
      </c>
      <c r="CC4" t="s">
        <v>36</v>
      </c>
      <c r="CD4" t="s">
        <v>37</v>
      </c>
      <c r="CE4" t="s">
        <v>43</v>
      </c>
      <c r="CF4" t="s">
        <v>44</v>
      </c>
      <c r="CG4" t="s">
        <v>45</v>
      </c>
      <c r="CH4" t="s">
        <v>41</v>
      </c>
      <c r="CI4" t="s">
        <v>46</v>
      </c>
      <c r="CJ4" t="s">
        <v>42</v>
      </c>
      <c r="CK4" t="s">
        <v>1859</v>
      </c>
      <c r="CL4" t="s">
        <v>1858</v>
      </c>
      <c r="CN4" t="s">
        <v>23</v>
      </c>
      <c r="CO4" t="s">
        <v>24</v>
      </c>
      <c r="CP4" t="s">
        <v>34</v>
      </c>
      <c r="CQ4" t="s">
        <v>25</v>
      </c>
      <c r="CR4" t="s">
        <v>33</v>
      </c>
      <c r="CS4" t="s">
        <v>26</v>
      </c>
      <c r="CT4" t="s">
        <v>1860</v>
      </c>
      <c r="CU4" t="s">
        <v>22</v>
      </c>
      <c r="CV4" t="s">
        <v>29</v>
      </c>
      <c r="CW4" t="s">
        <v>30</v>
      </c>
      <c r="CX4" t="s">
        <v>28</v>
      </c>
      <c r="CY4" t="s">
        <v>27</v>
      </c>
      <c r="CZ4" t="s">
        <v>292</v>
      </c>
      <c r="DA4" t="s">
        <v>31</v>
      </c>
      <c r="DB4" t="s">
        <v>119</v>
      </c>
      <c r="DC4" t="s">
        <v>32</v>
      </c>
      <c r="DE4" t="s">
        <v>793</v>
      </c>
      <c r="DF4" t="s">
        <v>796</v>
      </c>
      <c r="DG4" s="6" t="s">
        <v>783</v>
      </c>
      <c r="DH4" s="6" t="s">
        <v>784</v>
      </c>
      <c r="DI4" s="6" t="s">
        <v>786</v>
      </c>
      <c r="DJ4" t="s">
        <v>785</v>
      </c>
      <c r="DK4" s="6" t="s">
        <v>795</v>
      </c>
      <c r="DL4" t="s">
        <v>908</v>
      </c>
      <c r="DM4" t="s">
        <v>791</v>
      </c>
      <c r="DN4" t="s">
        <v>792</v>
      </c>
      <c r="DO4" t="s">
        <v>790</v>
      </c>
      <c r="DP4" t="s">
        <v>794</v>
      </c>
      <c r="DQ4" t="s">
        <v>787</v>
      </c>
      <c r="DR4" t="s">
        <v>788</v>
      </c>
      <c r="DS4" s="6" t="s">
        <v>789</v>
      </c>
      <c r="DT4" s="6" t="s">
        <v>909</v>
      </c>
      <c r="DV4" t="s">
        <v>1301</v>
      </c>
      <c r="DW4" t="s">
        <v>1302</v>
      </c>
      <c r="DX4" t="s">
        <v>958</v>
      </c>
      <c r="DY4" t="s">
        <v>959</v>
      </c>
      <c r="DZ4" t="s">
        <v>3913</v>
      </c>
      <c r="EA4" t="s">
        <v>1308</v>
      </c>
      <c r="EB4" t="s">
        <v>960</v>
      </c>
      <c r="EC4" t="s">
        <v>961</v>
      </c>
      <c r="ED4" t="s">
        <v>966</v>
      </c>
      <c r="EE4" t="s">
        <v>965</v>
      </c>
      <c r="EF4" t="s">
        <v>1344</v>
      </c>
      <c r="EG4" t="s">
        <v>1343</v>
      </c>
      <c r="EH4" t="s">
        <v>964</v>
      </c>
      <c r="EI4" t="s">
        <v>1342</v>
      </c>
      <c r="EJ4" t="s">
        <v>963</v>
      </c>
      <c r="EK4" t="s">
        <v>962</v>
      </c>
      <c r="EN4">
        <v>-1.6500000000000001</v>
      </c>
      <c r="EO4">
        <v>-1.66</v>
      </c>
      <c r="EQ4">
        <v>1</v>
      </c>
      <c r="ER4">
        <f>(EQ4+2)*3/2</f>
        <v>4.5</v>
      </c>
      <c r="ES4" t="s">
        <v>85</v>
      </c>
      <c r="ET4">
        <v>1.33</v>
      </c>
      <c r="EU4">
        <v>5</v>
      </c>
      <c r="EV4" t="s">
        <v>65</v>
      </c>
      <c r="EW4">
        <v>0.66</v>
      </c>
      <c r="EX4">
        <v>4</v>
      </c>
      <c r="EY4" t="s">
        <v>48</v>
      </c>
      <c r="EZ4">
        <v>1</v>
      </c>
      <c r="FA4">
        <f>(EZ4+2)*3/2</f>
        <v>4.5</v>
      </c>
      <c r="FB4" t="s">
        <v>42</v>
      </c>
      <c r="FC4">
        <v>0.66</v>
      </c>
      <c r="FD4">
        <v>4</v>
      </c>
      <c r="FE4" t="s">
        <v>24</v>
      </c>
      <c r="FF4">
        <v>1.66</v>
      </c>
      <c r="FG4">
        <v>5.5</v>
      </c>
      <c r="FH4" t="s">
        <v>784</v>
      </c>
      <c r="FI4">
        <v>1</v>
      </c>
      <c r="FJ4">
        <f>(FI4+2)*3/2</f>
        <v>4.5</v>
      </c>
      <c r="FK4" t="s">
        <v>1302</v>
      </c>
      <c r="FM4" s="205">
        <v>1.6666666666666667</v>
      </c>
      <c r="FN4">
        <f t="shared" si="0"/>
        <v>5.5</v>
      </c>
      <c r="FS4">
        <v>4.5</v>
      </c>
      <c r="FT4">
        <v>5</v>
      </c>
      <c r="FU4">
        <v>4</v>
      </c>
      <c r="FV4">
        <v>4.5</v>
      </c>
      <c r="FW4">
        <v>4</v>
      </c>
      <c r="FX4">
        <v>5.5</v>
      </c>
      <c r="FY4">
        <v>4.5</v>
      </c>
      <c r="FZ4">
        <v>5</v>
      </c>
      <c r="GJ4">
        <v>5.1059999999999999</v>
      </c>
      <c r="GK4">
        <v>0.9</v>
      </c>
      <c r="GL4">
        <f t="shared" si="7"/>
        <v>4.5953999999999997</v>
      </c>
      <c r="GM4">
        <v>3</v>
      </c>
      <c r="GN4">
        <v>1.1000000000000001</v>
      </c>
      <c r="GO4">
        <f t="shared" si="1"/>
        <v>5.6166</v>
      </c>
      <c r="GU4">
        <v>53</v>
      </c>
      <c r="GV4">
        <v>43</v>
      </c>
      <c r="GW4">
        <v>2</v>
      </c>
      <c r="GX4">
        <v>31</v>
      </c>
      <c r="GY4">
        <v>20</v>
      </c>
      <c r="GZ4" s="1">
        <f t="shared" si="2"/>
        <v>1.29</v>
      </c>
      <c r="HW4">
        <v>5.5</v>
      </c>
      <c r="HX4">
        <v>1.6666666666666665</v>
      </c>
      <c r="IC4">
        <f>COUNTIF(JB$3:JW$18, ID4)</f>
        <v>5</v>
      </c>
      <c r="ID4" t="s">
        <v>3179</v>
      </c>
      <c r="JB4" s="1" t="s">
        <v>3182</v>
      </c>
      <c r="JC4" t="s">
        <v>80</v>
      </c>
      <c r="JE4" t="s">
        <v>3173</v>
      </c>
      <c r="JF4" t="s">
        <v>60</v>
      </c>
      <c r="JH4" s="1" t="s">
        <v>3183</v>
      </c>
      <c r="JI4" t="s">
        <v>51</v>
      </c>
      <c r="JK4" s="1" t="s">
        <v>3182</v>
      </c>
      <c r="JL4" t="s">
        <v>1858</v>
      </c>
      <c r="JN4" s="1" t="s">
        <v>3175</v>
      </c>
      <c r="JO4" t="s">
        <v>28</v>
      </c>
      <c r="JQ4" s="1" t="s">
        <v>3186</v>
      </c>
      <c r="JR4" t="s">
        <v>784</v>
      </c>
      <c r="JT4" s="1" t="s">
        <v>3185</v>
      </c>
      <c r="JU4" t="s">
        <v>3913</v>
      </c>
      <c r="JW4" t="s">
        <v>3177</v>
      </c>
      <c r="JX4" t="s">
        <v>5268</v>
      </c>
      <c r="KB4" t="s">
        <v>1606</v>
      </c>
      <c r="KC4" t="s">
        <v>1862</v>
      </c>
      <c r="KD4" t="s">
        <v>1862</v>
      </c>
      <c r="KF4" t="s">
        <v>1865</v>
      </c>
    </row>
    <row r="5" spans="1:301" x14ac:dyDescent="0.35">
      <c r="A5" t="s">
        <v>1852</v>
      </c>
      <c r="C5" t="s">
        <v>1845</v>
      </c>
      <c r="E5" t="s">
        <v>1845</v>
      </c>
      <c r="F5">
        <v>0.66</v>
      </c>
      <c r="H5">
        <v>0.66</v>
      </c>
      <c r="I5">
        <v>0.66</v>
      </c>
      <c r="P5">
        <v>0.66</v>
      </c>
      <c r="S5">
        <v>0.66</v>
      </c>
      <c r="Z5">
        <v>0.66</v>
      </c>
      <c r="AQ5">
        <v>0.66</v>
      </c>
      <c r="AX5">
        <v>0.66</v>
      </c>
      <c r="DH5">
        <v>0.66</v>
      </c>
      <c r="DI5">
        <v>0.66</v>
      </c>
      <c r="DK5">
        <v>0.66</v>
      </c>
      <c r="DT5">
        <v>0.66</v>
      </c>
      <c r="EN5">
        <v>-1.6500000000000001</v>
      </c>
      <c r="EO5">
        <v>-1.66</v>
      </c>
      <c r="EQ5">
        <v>1</v>
      </c>
      <c r="ER5">
        <f>(EQ5+2)*3/2</f>
        <v>4.5</v>
      </c>
      <c r="ES5" t="s">
        <v>83</v>
      </c>
      <c r="ET5">
        <v>1</v>
      </c>
      <c r="EU5">
        <f>(ET5+2)*3/2</f>
        <v>4.5</v>
      </c>
      <c r="EV5" t="s">
        <v>64</v>
      </c>
      <c r="EW5">
        <v>0.66</v>
      </c>
      <c r="EX5">
        <v>4</v>
      </c>
      <c r="EY5" t="s">
        <v>118</v>
      </c>
      <c r="EZ5">
        <v>0.66</v>
      </c>
      <c r="FA5">
        <v>4</v>
      </c>
      <c r="FB5" t="s">
        <v>41</v>
      </c>
      <c r="FC5">
        <v>0.66</v>
      </c>
      <c r="FD5">
        <v>4</v>
      </c>
      <c r="FE5" t="s">
        <v>25</v>
      </c>
      <c r="FF5">
        <v>1.33</v>
      </c>
      <c r="FG5">
        <v>5</v>
      </c>
      <c r="FH5" t="s">
        <v>783</v>
      </c>
      <c r="FI5">
        <v>1</v>
      </c>
      <c r="FJ5">
        <f>(FI5+2)*3/2</f>
        <v>4.5</v>
      </c>
      <c r="FK5" t="s">
        <v>963</v>
      </c>
      <c r="FM5" s="205">
        <v>-0.66666666666666663</v>
      </c>
      <c r="FN5">
        <f t="shared" si="0"/>
        <v>2</v>
      </c>
      <c r="FS5">
        <v>4.5</v>
      </c>
      <c r="FT5">
        <v>4.5</v>
      </c>
      <c r="FU5">
        <v>4</v>
      </c>
      <c r="FV5">
        <v>4</v>
      </c>
      <c r="FW5">
        <v>4</v>
      </c>
      <c r="FX5">
        <v>5</v>
      </c>
      <c r="FY5">
        <v>4.5</v>
      </c>
      <c r="FZ5">
        <v>5</v>
      </c>
      <c r="GJ5">
        <v>5.1059999999999999</v>
      </c>
      <c r="GK5">
        <v>0.85</v>
      </c>
      <c r="GL5">
        <f t="shared" si="7"/>
        <v>4.3400999999999996</v>
      </c>
      <c r="GM5">
        <v>4</v>
      </c>
      <c r="GN5">
        <v>1.1499999999999999</v>
      </c>
      <c r="GO5">
        <f t="shared" si="1"/>
        <v>5.8718999999999992</v>
      </c>
      <c r="GU5">
        <v>12</v>
      </c>
      <c r="GV5">
        <v>32</v>
      </c>
      <c r="GW5">
        <v>48</v>
      </c>
      <c r="GX5">
        <v>48</v>
      </c>
      <c r="GY5">
        <v>21</v>
      </c>
      <c r="GZ5" s="1">
        <f t="shared" si="2"/>
        <v>1.4</v>
      </c>
      <c r="HW5">
        <v>5.5</v>
      </c>
      <c r="HX5">
        <v>1.6666666666666665</v>
      </c>
      <c r="IC5">
        <f t="shared" ref="IC5:IC21" si="8">COUNTIF(JB$3:JW$18, ID5)</f>
        <v>3</v>
      </c>
      <c r="ID5" t="s">
        <v>165</v>
      </c>
      <c r="JB5" s="1" t="s">
        <v>3171</v>
      </c>
      <c r="JC5" t="s">
        <v>84</v>
      </c>
      <c r="JE5" s="1" t="s">
        <v>3185</v>
      </c>
      <c r="JF5" t="s">
        <v>69</v>
      </c>
      <c r="JH5" s="1" t="s">
        <v>3184</v>
      </c>
      <c r="JI5" t="s">
        <v>54</v>
      </c>
      <c r="JK5" s="1" t="s">
        <v>3183</v>
      </c>
      <c r="JL5" t="s">
        <v>39</v>
      </c>
      <c r="JN5" s="6" t="s">
        <v>3173</v>
      </c>
      <c r="JO5" t="s">
        <v>32</v>
      </c>
      <c r="JQ5" s="1" t="s">
        <v>3170</v>
      </c>
      <c r="JR5" t="s">
        <v>786</v>
      </c>
      <c r="JT5" s="1" t="s">
        <v>3183</v>
      </c>
      <c r="JU5" t="s">
        <v>1308</v>
      </c>
      <c r="JW5" t="s">
        <v>3173</v>
      </c>
      <c r="JX5" t="s">
        <v>5269</v>
      </c>
      <c r="KC5">
        <v>2</v>
      </c>
      <c r="KD5">
        <v>2</v>
      </c>
      <c r="KF5">
        <v>6</v>
      </c>
      <c r="KJ5">
        <v>1</v>
      </c>
      <c r="KL5">
        <v>8</v>
      </c>
      <c r="KM5">
        <v>5</v>
      </c>
      <c r="KN5" s="1">
        <v>0.95</v>
      </c>
      <c r="KO5">
        <v>0.9</v>
      </c>
    </row>
    <row r="6" spans="1:301" x14ac:dyDescent="0.35">
      <c r="A6" t="s">
        <v>1851</v>
      </c>
      <c r="C6" t="s">
        <v>1842</v>
      </c>
      <c r="E6" t="s">
        <v>1819</v>
      </c>
      <c r="F6">
        <v>0.33</v>
      </c>
      <c r="G6">
        <v>0.33</v>
      </c>
      <c r="M6">
        <v>0.33</v>
      </c>
      <c r="O6">
        <v>0.33</v>
      </c>
      <c r="Q6">
        <v>0.33</v>
      </c>
      <c r="T6">
        <v>0.33</v>
      </c>
      <c r="U6">
        <v>0.33</v>
      </c>
      <c r="AA6">
        <v>0.33</v>
      </c>
      <c r="AC6">
        <v>0.33</v>
      </c>
      <c r="AJ6">
        <v>0.33</v>
      </c>
      <c r="AO6">
        <v>0.33</v>
      </c>
      <c r="AP6">
        <v>0.33</v>
      </c>
      <c r="AR6">
        <v>0.33</v>
      </c>
      <c r="AV6">
        <v>0.33</v>
      </c>
      <c r="AY6">
        <v>0.33</v>
      </c>
      <c r="AZ6">
        <v>0.33</v>
      </c>
      <c r="BD6">
        <v>0.33</v>
      </c>
      <c r="BF6">
        <v>0.33</v>
      </c>
      <c r="BG6">
        <v>0.33</v>
      </c>
      <c r="BH6">
        <v>0.33</v>
      </c>
      <c r="BN6">
        <v>0.33</v>
      </c>
      <c r="BS6">
        <v>0.33</v>
      </c>
      <c r="BW6">
        <v>0.33</v>
      </c>
      <c r="BX6">
        <v>0.33</v>
      </c>
      <c r="CC6">
        <v>0.33</v>
      </c>
      <c r="CE6">
        <v>0.33</v>
      </c>
      <c r="CF6">
        <v>0.33</v>
      </c>
      <c r="CG6">
        <v>0.33</v>
      </c>
      <c r="CH6">
        <v>0.33</v>
      </c>
      <c r="CI6">
        <v>0.33</v>
      </c>
      <c r="CJ6">
        <v>0.33</v>
      </c>
      <c r="CN6">
        <v>0.33</v>
      </c>
      <c r="CO6">
        <v>0.33</v>
      </c>
      <c r="CP6">
        <v>0.33</v>
      </c>
      <c r="CQ6">
        <v>0.33</v>
      </c>
      <c r="CS6">
        <v>0.33</v>
      </c>
      <c r="DB6">
        <v>0.33</v>
      </c>
      <c r="DC6">
        <v>0.33</v>
      </c>
      <c r="DF6">
        <v>0.33</v>
      </c>
      <c r="DG6">
        <v>0.33</v>
      </c>
      <c r="DJ6">
        <v>0.33</v>
      </c>
      <c r="DM6">
        <v>0.33</v>
      </c>
      <c r="DN6">
        <v>0.33</v>
      </c>
      <c r="DO6">
        <v>0.33</v>
      </c>
      <c r="DQ6">
        <v>0.33</v>
      </c>
      <c r="DR6">
        <v>0.33</v>
      </c>
      <c r="DS6">
        <v>0.33</v>
      </c>
      <c r="DV6">
        <v>0.33</v>
      </c>
      <c r="DW6">
        <v>0.33</v>
      </c>
      <c r="EN6">
        <v>-1.6500000000000001</v>
      </c>
      <c r="EO6">
        <v>-1.66</v>
      </c>
      <c r="EQ6">
        <v>0.66</v>
      </c>
      <c r="ER6">
        <v>4</v>
      </c>
      <c r="ES6" t="s">
        <v>77</v>
      </c>
      <c r="ET6">
        <v>0.33</v>
      </c>
      <c r="EU6">
        <v>3.5</v>
      </c>
      <c r="EV6" t="s">
        <v>72</v>
      </c>
      <c r="EW6">
        <v>0.33</v>
      </c>
      <c r="EX6">
        <v>3.5</v>
      </c>
      <c r="EY6" t="s">
        <v>58</v>
      </c>
      <c r="EZ6">
        <v>0.33</v>
      </c>
      <c r="FA6">
        <v>3.5</v>
      </c>
      <c r="FB6" t="s">
        <v>35</v>
      </c>
      <c r="FC6">
        <v>0.33</v>
      </c>
      <c r="FD6">
        <v>3.5</v>
      </c>
      <c r="FE6" t="s">
        <v>22</v>
      </c>
      <c r="FF6">
        <v>1.33</v>
      </c>
      <c r="FG6">
        <v>5</v>
      </c>
      <c r="FH6" t="s">
        <v>786</v>
      </c>
      <c r="FI6">
        <v>0.66</v>
      </c>
      <c r="FJ6">
        <v>4</v>
      </c>
      <c r="FK6" t="s">
        <v>959</v>
      </c>
      <c r="FM6" s="205">
        <v>0.33333333333333331</v>
      </c>
      <c r="FN6">
        <f t="shared" si="0"/>
        <v>3.5</v>
      </c>
      <c r="FS6">
        <v>4</v>
      </c>
      <c r="FT6">
        <v>3.5</v>
      </c>
      <c r="FU6">
        <v>3.5</v>
      </c>
      <c r="FV6">
        <v>3.5</v>
      </c>
      <c r="FW6">
        <v>3.5</v>
      </c>
      <c r="FX6">
        <v>5</v>
      </c>
      <c r="FY6">
        <v>4</v>
      </c>
      <c r="FZ6">
        <v>4.5</v>
      </c>
      <c r="GJ6">
        <v>5.1059999999999999</v>
      </c>
      <c r="GK6">
        <v>0.8</v>
      </c>
      <c r="GL6">
        <f t="shared" si="7"/>
        <v>4.0848000000000004</v>
      </c>
      <c r="GM6">
        <v>5</v>
      </c>
      <c r="GN6">
        <v>1.2</v>
      </c>
      <c r="GO6">
        <f t="shared" si="1"/>
        <v>6.1271999999999993</v>
      </c>
      <c r="GU6">
        <v>61</v>
      </c>
      <c r="GV6">
        <v>37</v>
      </c>
      <c r="GW6">
        <v>52</v>
      </c>
      <c r="GX6">
        <v>1</v>
      </c>
      <c r="GY6">
        <v>27</v>
      </c>
      <c r="GZ6" s="6">
        <f t="shared" si="2"/>
        <v>1.51</v>
      </c>
      <c r="HW6">
        <v>5.5</v>
      </c>
      <c r="HX6">
        <v>1.6666666666666665</v>
      </c>
      <c r="IC6">
        <f t="shared" si="8"/>
        <v>4</v>
      </c>
      <c r="ID6" t="s">
        <v>3182</v>
      </c>
      <c r="JB6" s="1" t="s">
        <v>3173</v>
      </c>
      <c r="JC6" t="s">
        <v>82</v>
      </c>
      <c r="JE6" s="1" t="s">
        <v>3172</v>
      </c>
      <c r="JF6" t="s">
        <v>68</v>
      </c>
      <c r="JH6" t="s">
        <v>3186</v>
      </c>
      <c r="JI6" t="s">
        <v>300</v>
      </c>
      <c r="JK6" s="1" t="s">
        <v>3174</v>
      </c>
      <c r="JL6" t="s">
        <v>37</v>
      </c>
      <c r="JN6" s="6" t="s">
        <v>3170</v>
      </c>
      <c r="JO6" t="s">
        <v>22</v>
      </c>
      <c r="JQ6" s="1" t="s">
        <v>3173</v>
      </c>
      <c r="JR6" t="s">
        <v>787</v>
      </c>
      <c r="JT6" s="6" t="s">
        <v>3183</v>
      </c>
      <c r="JU6" t="s">
        <v>1343</v>
      </c>
      <c r="JW6" t="s">
        <v>165</v>
      </c>
      <c r="JX6" t="s">
        <v>5270</v>
      </c>
      <c r="KB6" t="s">
        <v>1606</v>
      </c>
      <c r="KC6" t="s">
        <v>1862</v>
      </c>
      <c r="KD6" t="s">
        <v>1863</v>
      </c>
      <c r="KE6" t="s">
        <v>1862</v>
      </c>
      <c r="KF6" t="s">
        <v>1862</v>
      </c>
      <c r="KN6" s="1"/>
    </row>
    <row r="7" spans="1:301" x14ac:dyDescent="0.35">
      <c r="C7" t="s">
        <v>1847</v>
      </c>
      <c r="E7" t="s">
        <v>1821</v>
      </c>
      <c r="F7">
        <v>0</v>
      </c>
      <c r="L7">
        <v>0</v>
      </c>
      <c r="R7">
        <v>0</v>
      </c>
      <c r="Y7">
        <v>0</v>
      </c>
      <c r="AB7">
        <v>0</v>
      </c>
      <c r="AD7">
        <v>0</v>
      </c>
      <c r="AF7">
        <v>0</v>
      </c>
      <c r="AG7">
        <v>0</v>
      </c>
      <c r="AI7">
        <v>0</v>
      </c>
      <c r="AK7">
        <v>0</v>
      </c>
      <c r="AS7">
        <v>0</v>
      </c>
      <c r="AT7">
        <v>0</v>
      </c>
      <c r="BB7">
        <v>0</v>
      </c>
      <c r="BI7">
        <v>0</v>
      </c>
      <c r="BJ7">
        <v>0</v>
      </c>
      <c r="BK7">
        <v>0</v>
      </c>
      <c r="BL7">
        <v>0</v>
      </c>
      <c r="BO7">
        <v>0</v>
      </c>
      <c r="BR7">
        <v>0</v>
      </c>
      <c r="BU7">
        <v>0</v>
      </c>
      <c r="CB7">
        <v>0</v>
      </c>
      <c r="CD7">
        <v>0</v>
      </c>
      <c r="CT7">
        <v>0</v>
      </c>
      <c r="CU7">
        <v>0</v>
      </c>
      <c r="DA7">
        <v>0</v>
      </c>
      <c r="DY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N7">
        <v>-1.6500000000000001</v>
      </c>
      <c r="EO7">
        <v>-1.66</v>
      </c>
      <c r="EQ7">
        <v>0.33</v>
      </c>
      <c r="ER7">
        <v>3.5</v>
      </c>
      <c r="ES7" t="s">
        <v>88</v>
      </c>
      <c r="ET7">
        <v>0.33</v>
      </c>
      <c r="EU7">
        <v>3.5</v>
      </c>
      <c r="EV7" t="s">
        <v>114</v>
      </c>
      <c r="EW7">
        <v>0.33</v>
      </c>
      <c r="EX7">
        <v>3.5</v>
      </c>
      <c r="EY7" t="s">
        <v>117</v>
      </c>
      <c r="EZ7">
        <v>0.33</v>
      </c>
      <c r="FA7">
        <v>3.5</v>
      </c>
      <c r="FB7" t="s">
        <v>43</v>
      </c>
      <c r="FC7">
        <v>0.33</v>
      </c>
      <c r="FD7">
        <v>3.5</v>
      </c>
      <c r="FE7" t="s">
        <v>119</v>
      </c>
      <c r="FF7">
        <v>1</v>
      </c>
      <c r="FG7">
        <f>(FF7+2)*3/2</f>
        <v>4.5</v>
      </c>
      <c r="FH7" t="s">
        <v>789</v>
      </c>
      <c r="FI7">
        <v>0.66</v>
      </c>
      <c r="FJ7">
        <v>4</v>
      </c>
      <c r="FK7" t="s">
        <v>964</v>
      </c>
      <c r="FM7" s="205">
        <v>-0.33333333333333331</v>
      </c>
      <c r="FN7">
        <f t="shared" si="0"/>
        <v>2.5</v>
      </c>
      <c r="FS7">
        <v>3.5</v>
      </c>
      <c r="FT7">
        <v>3.5</v>
      </c>
      <c r="FU7">
        <v>3.5</v>
      </c>
      <c r="FV7">
        <v>3.5</v>
      </c>
      <c r="FW7">
        <v>3.5</v>
      </c>
      <c r="FX7">
        <v>4.5</v>
      </c>
      <c r="FY7">
        <v>4</v>
      </c>
      <c r="FZ7">
        <v>3.5</v>
      </c>
      <c r="GJ7">
        <v>5.1059999999999999</v>
      </c>
      <c r="GK7">
        <v>0.75</v>
      </c>
      <c r="GL7">
        <f t="shared" si="7"/>
        <v>3.8294999999999999</v>
      </c>
      <c r="GM7">
        <v>6</v>
      </c>
      <c r="GN7">
        <v>1.25</v>
      </c>
      <c r="GO7">
        <f t="shared" si="1"/>
        <v>6.3825000000000003</v>
      </c>
      <c r="GU7">
        <v>2</v>
      </c>
      <c r="GV7">
        <v>71</v>
      </c>
      <c r="GW7">
        <v>27</v>
      </c>
      <c r="GX7">
        <v>60</v>
      </c>
      <c r="GY7">
        <v>23</v>
      </c>
      <c r="GZ7" s="6">
        <f t="shared" si="2"/>
        <v>1.6</v>
      </c>
      <c r="HE7">
        <f>0.125+0.0625</f>
        <v>0.1875</v>
      </c>
      <c r="HW7">
        <v>5.5</v>
      </c>
      <c r="HX7">
        <v>1.6666666666666665</v>
      </c>
      <c r="IC7">
        <f t="shared" si="8"/>
        <v>7</v>
      </c>
      <c r="ID7" t="s">
        <v>3174</v>
      </c>
      <c r="JB7" s="1" t="s">
        <v>3176</v>
      </c>
      <c r="JC7" t="s">
        <v>78</v>
      </c>
      <c r="JE7" s="1" t="s">
        <v>3175</v>
      </c>
      <c r="JF7" t="s">
        <v>63</v>
      </c>
      <c r="JH7" t="s">
        <v>3170</v>
      </c>
      <c r="JI7" t="s">
        <v>58</v>
      </c>
      <c r="JK7" s="1" t="s">
        <v>3187</v>
      </c>
      <c r="JL7" t="s">
        <v>43</v>
      </c>
      <c r="JN7" s="1" t="s">
        <v>3171</v>
      </c>
      <c r="JO7" t="s">
        <v>1860</v>
      </c>
      <c r="JQ7" s="1" t="s">
        <v>3176</v>
      </c>
      <c r="JR7" t="s">
        <v>785</v>
      </c>
      <c r="JT7" s="1" t="s">
        <v>3182</v>
      </c>
      <c r="JU7" t="s">
        <v>960</v>
      </c>
      <c r="JW7" t="s">
        <v>3173</v>
      </c>
      <c r="JX7" t="s">
        <v>5271</v>
      </c>
      <c r="KC7">
        <v>2</v>
      </c>
      <c r="KD7">
        <v>3</v>
      </c>
      <c r="KE7">
        <v>2</v>
      </c>
      <c r="KF7">
        <v>2</v>
      </c>
      <c r="KJ7">
        <v>2</v>
      </c>
      <c r="KK7">
        <v>2</v>
      </c>
      <c r="KL7">
        <v>1</v>
      </c>
      <c r="KM7">
        <v>5</v>
      </c>
      <c r="KN7" s="1">
        <v>0.95</v>
      </c>
      <c r="KO7">
        <v>0.9</v>
      </c>
    </row>
    <row r="8" spans="1:301" x14ac:dyDescent="0.35">
      <c r="A8" t="s">
        <v>1853</v>
      </c>
      <c r="C8" t="s">
        <v>1843</v>
      </c>
      <c r="E8" t="s">
        <v>1820</v>
      </c>
      <c r="F8">
        <v>-0.33</v>
      </c>
      <c r="J8">
        <v>-0.33</v>
      </c>
      <c r="K8">
        <v>-0.33</v>
      </c>
      <c r="V8">
        <v>-0.33</v>
      </c>
      <c r="X8">
        <v>-0.33</v>
      </c>
      <c r="AE8">
        <v>-0.33</v>
      </c>
      <c r="AH8">
        <v>-0.33</v>
      </c>
      <c r="AL8">
        <v>-0.33</v>
      </c>
      <c r="AM8">
        <v>-0.33</v>
      </c>
      <c r="AU8">
        <v>-0.33</v>
      </c>
      <c r="AW8">
        <v>-0.33</v>
      </c>
      <c r="BA8">
        <v>-0.33</v>
      </c>
      <c r="BC8">
        <v>-0.33</v>
      </c>
      <c r="BP8">
        <v>-0.33</v>
      </c>
      <c r="BQ8">
        <v>-0.33</v>
      </c>
      <c r="BT8">
        <v>-0.33</v>
      </c>
      <c r="BY8">
        <v>-0.33</v>
      </c>
      <c r="BZ8">
        <v>-0.33</v>
      </c>
      <c r="CA8">
        <v>-0.33</v>
      </c>
      <c r="CK8">
        <v>-0.33</v>
      </c>
      <c r="CL8">
        <v>-0.33</v>
      </c>
      <c r="CR8">
        <v>-0.33</v>
      </c>
      <c r="CV8">
        <v>-0.33</v>
      </c>
      <c r="CX8">
        <v>-0.33</v>
      </c>
      <c r="CY8">
        <v>-0.33</v>
      </c>
      <c r="CZ8">
        <v>-0.33</v>
      </c>
      <c r="DE8">
        <v>-0.33</v>
      </c>
      <c r="DL8">
        <v>-0.33</v>
      </c>
      <c r="DP8">
        <v>-0.33</v>
      </c>
      <c r="DX8">
        <v>-0.33</v>
      </c>
      <c r="EN8">
        <v>-1.6500000000000001</v>
      </c>
      <c r="EO8">
        <v>-1.66</v>
      </c>
      <c r="EQ8">
        <v>0.33</v>
      </c>
      <c r="ER8">
        <v>3.5</v>
      </c>
      <c r="ES8" t="s">
        <v>75</v>
      </c>
      <c r="ET8">
        <v>0.33</v>
      </c>
      <c r="EU8">
        <v>3.5</v>
      </c>
      <c r="EV8" t="s">
        <v>61</v>
      </c>
      <c r="EW8">
        <v>0.33</v>
      </c>
      <c r="EX8">
        <v>3.5</v>
      </c>
      <c r="EY8" t="s">
        <v>55</v>
      </c>
      <c r="EZ8">
        <v>0.33</v>
      </c>
      <c r="FA8">
        <v>3.5</v>
      </c>
      <c r="FB8" t="s">
        <v>44</v>
      </c>
      <c r="FC8">
        <v>0.33</v>
      </c>
      <c r="FD8">
        <v>3.5</v>
      </c>
      <c r="FE8" t="s">
        <v>32</v>
      </c>
      <c r="FF8">
        <v>0.33</v>
      </c>
      <c r="FG8">
        <v>3.5</v>
      </c>
      <c r="FH8" t="s">
        <v>796</v>
      </c>
      <c r="FI8">
        <v>0.66</v>
      </c>
      <c r="FJ8">
        <v>4</v>
      </c>
      <c r="FK8" t="s">
        <v>1342</v>
      </c>
      <c r="FM8" s="205">
        <v>1.3333333333333333</v>
      </c>
      <c r="FN8">
        <f t="shared" si="0"/>
        <v>5</v>
      </c>
      <c r="FS8">
        <v>3.5</v>
      </c>
      <c r="FT8">
        <v>3.5</v>
      </c>
      <c r="FU8">
        <v>3.5</v>
      </c>
      <c r="FV8">
        <v>3.5</v>
      </c>
      <c r="FW8">
        <v>3.5</v>
      </c>
      <c r="FX8">
        <v>3.5</v>
      </c>
      <c r="FY8">
        <v>4</v>
      </c>
      <c r="FZ8">
        <v>3.5</v>
      </c>
      <c r="GJ8">
        <v>5.1059999999999999</v>
      </c>
      <c r="GK8">
        <v>0.7</v>
      </c>
      <c r="GL8">
        <f t="shared" si="7"/>
        <v>3.5741999999999998</v>
      </c>
      <c r="GM8">
        <v>7</v>
      </c>
      <c r="GN8">
        <v>1.3</v>
      </c>
      <c r="GO8">
        <f t="shared" si="1"/>
        <v>6.6378000000000004</v>
      </c>
      <c r="GU8">
        <v>14</v>
      </c>
      <c r="GV8">
        <v>20</v>
      </c>
      <c r="GW8">
        <v>37</v>
      </c>
      <c r="GX8">
        <v>89</v>
      </c>
      <c r="GY8">
        <v>26</v>
      </c>
      <c r="GZ8" s="6">
        <f t="shared" si="2"/>
        <v>1.6</v>
      </c>
      <c r="HH8" t="s">
        <v>1895</v>
      </c>
      <c r="HW8">
        <v>5.5</v>
      </c>
      <c r="HX8">
        <v>1.6666666666666665</v>
      </c>
      <c r="IC8">
        <f t="shared" si="8"/>
        <v>3</v>
      </c>
      <c r="ID8" t="s">
        <v>3181</v>
      </c>
      <c r="JB8" s="1" t="s">
        <v>3172</v>
      </c>
      <c r="JC8" t="s">
        <v>87</v>
      </c>
      <c r="JE8" s="1" t="s">
        <v>3176</v>
      </c>
      <c r="JF8" t="s">
        <v>59</v>
      </c>
      <c r="JH8" t="s">
        <v>3176</v>
      </c>
      <c r="JI8" t="s">
        <v>117</v>
      </c>
      <c r="JK8" s="6" t="s">
        <v>3180</v>
      </c>
      <c r="JL8" t="s">
        <v>40</v>
      </c>
      <c r="JN8" s="6" t="s">
        <v>3173</v>
      </c>
      <c r="JO8" t="s">
        <v>29</v>
      </c>
      <c r="JQ8" s="6" t="s">
        <v>3173</v>
      </c>
      <c r="JR8" t="s">
        <v>795</v>
      </c>
      <c r="JT8" s="1" t="s">
        <v>3173</v>
      </c>
      <c r="JU8" t="s">
        <v>962</v>
      </c>
      <c r="JW8" t="s">
        <v>3171</v>
      </c>
      <c r="JX8" t="s">
        <v>5272</v>
      </c>
      <c r="KN8" s="1"/>
    </row>
    <row r="9" spans="1:301" x14ac:dyDescent="0.35">
      <c r="A9" t="s">
        <v>1854</v>
      </c>
      <c r="C9" t="s">
        <v>1844</v>
      </c>
      <c r="E9" t="s">
        <v>1818</v>
      </c>
      <c r="F9">
        <v>-0.66</v>
      </c>
      <c r="N9">
        <v>-0.66</v>
      </c>
      <c r="BM9">
        <v>-0.66</v>
      </c>
      <c r="CW9">
        <v>-0.66</v>
      </c>
      <c r="DZ9">
        <v>-0.66</v>
      </c>
      <c r="EA9">
        <v>-0.66</v>
      </c>
      <c r="EG9">
        <v>-0.66</v>
      </c>
      <c r="EN9">
        <v>-1.65</v>
      </c>
      <c r="EO9">
        <v>-1.66</v>
      </c>
      <c r="EQ9">
        <v>0</v>
      </c>
      <c r="ER9">
        <f>(EQ9+2)*3/2</f>
        <v>3</v>
      </c>
      <c r="ES9" t="s">
        <v>84</v>
      </c>
      <c r="ET9">
        <v>0.33</v>
      </c>
      <c r="EU9">
        <v>3.5</v>
      </c>
      <c r="EV9" t="s">
        <v>63</v>
      </c>
      <c r="EW9">
        <v>0</v>
      </c>
      <c r="EX9">
        <f>(EW9+2)*3/2</f>
        <v>3</v>
      </c>
      <c r="EY9" t="s">
        <v>47</v>
      </c>
      <c r="EZ9">
        <v>0.33</v>
      </c>
      <c r="FA9">
        <v>3.5</v>
      </c>
      <c r="FB9" t="s">
        <v>45</v>
      </c>
      <c r="FC9">
        <v>0.33</v>
      </c>
      <c r="FD9">
        <v>3.5</v>
      </c>
      <c r="FE9" t="s">
        <v>26</v>
      </c>
      <c r="FF9">
        <v>0.33</v>
      </c>
      <c r="FG9">
        <v>3.5</v>
      </c>
      <c r="FH9" t="s">
        <v>785</v>
      </c>
      <c r="FI9">
        <v>0.33</v>
      </c>
      <c r="FJ9">
        <v>3.5</v>
      </c>
      <c r="FK9" t="s">
        <v>958</v>
      </c>
      <c r="FM9" s="205">
        <v>-2</v>
      </c>
      <c r="FN9">
        <f t="shared" si="0"/>
        <v>0</v>
      </c>
      <c r="FS9">
        <v>3</v>
      </c>
      <c r="FT9">
        <v>3.5</v>
      </c>
      <c r="FU9">
        <v>3</v>
      </c>
      <c r="FV9">
        <v>3.5</v>
      </c>
      <c r="FW9">
        <v>3.5</v>
      </c>
      <c r="FX9">
        <v>3.5</v>
      </c>
      <c r="FY9">
        <v>3.5</v>
      </c>
      <c r="FZ9">
        <v>3.5</v>
      </c>
      <c r="GJ9">
        <v>5.1059999999999999</v>
      </c>
      <c r="GK9">
        <v>0.65</v>
      </c>
      <c r="GL9">
        <f t="shared" si="7"/>
        <v>3.3189000000000002</v>
      </c>
      <c r="GM9">
        <v>8</v>
      </c>
      <c r="GN9">
        <v>1.35</v>
      </c>
      <c r="GO9">
        <f t="shared" si="1"/>
        <v>6.8931000000000004</v>
      </c>
      <c r="GU9">
        <v>77</v>
      </c>
      <c r="GV9">
        <v>9</v>
      </c>
      <c r="GW9">
        <v>23</v>
      </c>
      <c r="GX9">
        <v>53</v>
      </c>
      <c r="GY9">
        <v>19</v>
      </c>
      <c r="GZ9" s="6">
        <f t="shared" si="2"/>
        <v>1.62</v>
      </c>
      <c r="HW9">
        <v>5</v>
      </c>
      <c r="HX9">
        <v>1.3333333333333333</v>
      </c>
      <c r="IC9">
        <f t="shared" si="8"/>
        <v>7</v>
      </c>
      <c r="ID9" t="s">
        <v>3176</v>
      </c>
      <c r="JB9" s="1" t="s">
        <v>3184</v>
      </c>
      <c r="JC9" t="s">
        <v>76</v>
      </c>
      <c r="JE9" s="1" t="s">
        <v>3173</v>
      </c>
      <c r="JF9" t="s">
        <v>64</v>
      </c>
      <c r="JH9" t="s">
        <v>3170</v>
      </c>
      <c r="JI9" t="s">
        <v>47</v>
      </c>
      <c r="JK9" s="1" t="s">
        <v>3170</v>
      </c>
      <c r="JL9" t="s">
        <v>45</v>
      </c>
      <c r="JN9" s="1" t="s">
        <v>3185</v>
      </c>
      <c r="JO9" t="s">
        <v>24</v>
      </c>
      <c r="JQ9" s="1" t="s">
        <v>3185</v>
      </c>
      <c r="JR9" t="s">
        <v>789</v>
      </c>
      <c r="JT9" s="6" t="s">
        <v>3176</v>
      </c>
      <c r="JU9" t="s">
        <v>1342</v>
      </c>
      <c r="JW9" t="s">
        <v>3173</v>
      </c>
      <c r="JX9" t="s">
        <v>5273</v>
      </c>
      <c r="KM9">
        <v>7.5</v>
      </c>
      <c r="KN9" s="1">
        <f>1-0.075</f>
        <v>0.92500000000000004</v>
      </c>
      <c r="KO9">
        <f>1-0.15</f>
        <v>0.85</v>
      </c>
    </row>
    <row r="10" spans="1:301" x14ac:dyDescent="0.35">
      <c r="EN10">
        <v>-1.32</v>
      </c>
      <c r="EO10">
        <v>-1.33</v>
      </c>
      <c r="EQ10">
        <v>0</v>
      </c>
      <c r="ER10">
        <f>(EQ10+2)*3/2</f>
        <v>3</v>
      </c>
      <c r="ES10" t="s">
        <v>86</v>
      </c>
      <c r="ET10">
        <v>0.33</v>
      </c>
      <c r="EU10">
        <v>3.5</v>
      </c>
      <c r="EV10" t="s">
        <v>115</v>
      </c>
      <c r="EW10">
        <v>-0.33</v>
      </c>
      <c r="EX10">
        <v>2.5</v>
      </c>
      <c r="EY10" t="s">
        <v>50</v>
      </c>
      <c r="EZ10">
        <v>0</v>
      </c>
      <c r="FA10">
        <f>(EZ10+2)*3/2</f>
        <v>3</v>
      </c>
      <c r="FB10" t="s">
        <v>2011</v>
      </c>
      <c r="FC10">
        <v>0</v>
      </c>
      <c r="FD10">
        <f>(FC10+2)*3/2</f>
        <v>3</v>
      </c>
      <c r="FE10" t="s">
        <v>31</v>
      </c>
      <c r="FF10">
        <v>0.33</v>
      </c>
      <c r="FG10">
        <v>3.5</v>
      </c>
      <c r="FH10" t="s">
        <v>790</v>
      </c>
      <c r="FI10">
        <v>0.33</v>
      </c>
      <c r="FJ10">
        <v>3.5</v>
      </c>
      <c r="FK10" t="s">
        <v>960</v>
      </c>
      <c r="FM10" s="205">
        <v>0</v>
      </c>
      <c r="FN10">
        <f t="shared" si="0"/>
        <v>3</v>
      </c>
      <c r="FS10">
        <v>3</v>
      </c>
      <c r="FT10">
        <v>3.5</v>
      </c>
      <c r="FU10">
        <v>2.5</v>
      </c>
      <c r="FV10">
        <v>3</v>
      </c>
      <c r="FW10">
        <v>3</v>
      </c>
      <c r="FX10">
        <v>3.5</v>
      </c>
      <c r="FY10">
        <v>3.5</v>
      </c>
      <c r="FZ10">
        <v>3.5</v>
      </c>
      <c r="GJ10">
        <v>5.1059999999999999</v>
      </c>
      <c r="GK10">
        <v>0.6</v>
      </c>
      <c r="GL10">
        <f t="shared" si="7"/>
        <v>3.0635999999999997</v>
      </c>
      <c r="GM10">
        <v>9</v>
      </c>
      <c r="GN10">
        <v>1.4</v>
      </c>
      <c r="GO10">
        <f t="shared" si="1"/>
        <v>7.1483999999999996</v>
      </c>
      <c r="GU10">
        <v>62</v>
      </c>
      <c r="GV10">
        <v>14</v>
      </c>
      <c r="GW10">
        <v>52</v>
      </c>
      <c r="GX10">
        <v>38</v>
      </c>
      <c r="GY10">
        <v>10</v>
      </c>
      <c r="GZ10" s="6">
        <f t="shared" si="2"/>
        <v>1.66</v>
      </c>
      <c r="HH10" t="s">
        <v>1896</v>
      </c>
      <c r="HW10">
        <v>5</v>
      </c>
      <c r="HX10">
        <v>1.3333333333333333</v>
      </c>
      <c r="IC10">
        <f t="shared" si="8"/>
        <v>4</v>
      </c>
      <c r="ID10" t="s">
        <v>3172</v>
      </c>
      <c r="JB10" s="1" t="s">
        <v>3178</v>
      </c>
      <c r="JC10" t="s">
        <v>85</v>
      </c>
      <c r="JE10" s="1" t="s">
        <v>3170</v>
      </c>
      <c r="JF10" t="s">
        <v>61</v>
      </c>
      <c r="JH10" t="s">
        <v>3173</v>
      </c>
      <c r="JI10" t="s">
        <v>118</v>
      </c>
      <c r="JK10" s="1" t="s">
        <v>3177</v>
      </c>
      <c r="JL10" t="s">
        <v>900</v>
      </c>
      <c r="JN10" s="6" t="s">
        <v>3183</v>
      </c>
      <c r="JO10" t="s">
        <v>27</v>
      </c>
      <c r="JQ10" s="1" t="s">
        <v>165</v>
      </c>
      <c r="JR10" t="s">
        <v>790</v>
      </c>
      <c r="JT10" s="1" t="s">
        <v>3172</v>
      </c>
      <c r="JU10" t="s">
        <v>964</v>
      </c>
      <c r="JW10" t="s">
        <v>3170</v>
      </c>
      <c r="JX10" t="s">
        <v>5274</v>
      </c>
      <c r="KB10" t="s">
        <v>2056</v>
      </c>
      <c r="KC10" t="s">
        <v>4098</v>
      </c>
      <c r="KD10" t="s">
        <v>1865</v>
      </c>
      <c r="KF10" t="s">
        <v>4098</v>
      </c>
      <c r="KN10" s="1"/>
    </row>
    <row r="11" spans="1:301" x14ac:dyDescent="0.35">
      <c r="D11" t="s">
        <v>1836</v>
      </c>
      <c r="EN11">
        <v>-1.32</v>
      </c>
      <c r="EO11">
        <v>-1.33</v>
      </c>
      <c r="EQ11">
        <v>0</v>
      </c>
      <c r="ER11">
        <f>(EQ11+2)*3/2</f>
        <v>3</v>
      </c>
      <c r="ES11" t="s">
        <v>74</v>
      </c>
      <c r="ET11">
        <v>0.33</v>
      </c>
      <c r="EU11">
        <v>3.5</v>
      </c>
      <c r="EV11" t="s">
        <v>62</v>
      </c>
      <c r="EW11">
        <v>-0.33</v>
      </c>
      <c r="EX11">
        <v>2.5</v>
      </c>
      <c r="EY11" t="s">
        <v>145</v>
      </c>
      <c r="EZ11">
        <v>0</v>
      </c>
      <c r="FA11">
        <f>(EZ11+2)*3/2</f>
        <v>3</v>
      </c>
      <c r="FB11" t="s">
        <v>37</v>
      </c>
      <c r="FC11">
        <v>0</v>
      </c>
      <c r="FD11">
        <f>(FC11+2)*3/2</f>
        <v>3</v>
      </c>
      <c r="FE11" t="s">
        <v>34</v>
      </c>
      <c r="FF11">
        <v>0.33</v>
      </c>
      <c r="FG11">
        <v>3.5</v>
      </c>
      <c r="FH11" t="s">
        <v>787</v>
      </c>
      <c r="FI11">
        <v>0.33</v>
      </c>
      <c r="FJ11">
        <v>3.5</v>
      </c>
      <c r="FK11" t="s">
        <v>961</v>
      </c>
      <c r="FM11" s="205">
        <v>1</v>
      </c>
      <c r="FN11">
        <f t="shared" si="0"/>
        <v>4.5</v>
      </c>
      <c r="FO11">
        <v>2</v>
      </c>
      <c r="FP11">
        <v>13</v>
      </c>
      <c r="FQ11">
        <v>6</v>
      </c>
      <c r="FS11">
        <v>3</v>
      </c>
      <c r="FT11">
        <v>3.5</v>
      </c>
      <c r="FU11">
        <v>2.5</v>
      </c>
      <c r="FV11">
        <v>3</v>
      </c>
      <c r="FW11">
        <v>3</v>
      </c>
      <c r="FX11">
        <v>3.5</v>
      </c>
      <c r="FY11">
        <v>3.5</v>
      </c>
      <c r="FZ11">
        <v>3.5</v>
      </c>
      <c r="GA11" s="205">
        <v>3.625</v>
      </c>
      <c r="GB11" t="s">
        <v>1848</v>
      </c>
      <c r="GC11" s="35">
        <f>FX21</f>
        <v>0.49553571428571441</v>
      </c>
      <c r="GD11" t="s">
        <v>1876</v>
      </c>
      <c r="GU11">
        <v>81</v>
      </c>
      <c r="GV11">
        <v>10</v>
      </c>
      <c r="GW11">
        <v>85</v>
      </c>
      <c r="GX11">
        <v>0</v>
      </c>
      <c r="GY11">
        <v>4</v>
      </c>
      <c r="GZ11" s="1">
        <f t="shared" si="2"/>
        <v>1.76</v>
      </c>
      <c r="HW11">
        <v>5</v>
      </c>
      <c r="HX11">
        <v>1.3333333333333333</v>
      </c>
      <c r="IC11">
        <f t="shared" si="8"/>
        <v>6</v>
      </c>
      <c r="ID11" t="s">
        <v>3177</v>
      </c>
      <c r="JB11" s="1" t="s">
        <v>3170</v>
      </c>
      <c r="JC11" t="s">
        <v>75</v>
      </c>
      <c r="JE11" s="1" t="s">
        <v>3180</v>
      </c>
      <c r="JF11" t="s">
        <v>115</v>
      </c>
      <c r="JH11" s="1" t="s">
        <v>3180</v>
      </c>
      <c r="JI11" t="s">
        <v>48</v>
      </c>
      <c r="JK11" s="1" t="s">
        <v>3179</v>
      </c>
      <c r="JL11" t="s">
        <v>41</v>
      </c>
      <c r="JN11" s="6" t="s">
        <v>3185</v>
      </c>
      <c r="JO11" t="s">
        <v>34</v>
      </c>
      <c r="JQ11" s="1" t="s">
        <v>3174</v>
      </c>
      <c r="JR11" t="s">
        <v>794</v>
      </c>
      <c r="JT11" s="6" t="s">
        <v>3170</v>
      </c>
      <c r="JU11" t="s">
        <v>966</v>
      </c>
      <c r="JW11" t="s">
        <v>3172</v>
      </c>
      <c r="JX11" t="s">
        <v>5275</v>
      </c>
      <c r="KC11">
        <v>1</v>
      </c>
      <c r="KD11">
        <v>6</v>
      </c>
      <c r="KF11">
        <v>1</v>
      </c>
      <c r="KJ11">
        <v>8</v>
      </c>
      <c r="KL11">
        <v>8</v>
      </c>
      <c r="KM11">
        <v>12</v>
      </c>
      <c r="KN11" s="1">
        <v>0.88</v>
      </c>
      <c r="KO11">
        <v>0.76</v>
      </c>
    </row>
    <row r="12" spans="1:301" x14ac:dyDescent="0.35">
      <c r="A12" t="s">
        <v>1854</v>
      </c>
      <c r="C12" t="s">
        <v>1827</v>
      </c>
      <c r="E12" t="s">
        <v>1841</v>
      </c>
      <c r="F12">
        <v>-0.66</v>
      </c>
      <c r="AL12">
        <v>-0.66</v>
      </c>
      <c r="AU12">
        <v>-0.66</v>
      </c>
      <c r="BA12">
        <v>-0.66</v>
      </c>
      <c r="BM12">
        <v>-0.66</v>
      </c>
      <c r="BS12">
        <v>-0.66</v>
      </c>
      <c r="CW12">
        <v>-0.66</v>
      </c>
      <c r="DN12">
        <v>-0.66</v>
      </c>
      <c r="DZ12">
        <v>-0.66</v>
      </c>
      <c r="EA12">
        <v>-0.66</v>
      </c>
      <c r="EN12">
        <v>-1.32</v>
      </c>
      <c r="EO12">
        <v>-1.33</v>
      </c>
      <c r="EQ12">
        <v>0</v>
      </c>
      <c r="ER12">
        <f>(EQ12+2)*3/2</f>
        <v>3</v>
      </c>
      <c r="ES12" t="s">
        <v>73</v>
      </c>
      <c r="ET12">
        <v>0</v>
      </c>
      <c r="EU12">
        <f>(ET12+2)*3/2</f>
        <v>3</v>
      </c>
      <c r="EV12" t="s">
        <v>69</v>
      </c>
      <c r="EW12">
        <v>-0.66</v>
      </c>
      <c r="EX12">
        <v>2</v>
      </c>
      <c r="EY12" t="s">
        <v>49</v>
      </c>
      <c r="EZ12">
        <v>-0.33</v>
      </c>
      <c r="FA12">
        <v>2.5</v>
      </c>
      <c r="FB12" t="s">
        <v>38</v>
      </c>
      <c r="FC12">
        <v>-0.33</v>
      </c>
      <c r="FD12">
        <v>2.5</v>
      </c>
      <c r="FE12" t="s">
        <v>33</v>
      </c>
      <c r="FF12">
        <v>0</v>
      </c>
      <c r="FG12">
        <f>(FF12+2)*3/2</f>
        <v>3</v>
      </c>
      <c r="FH12" t="s">
        <v>791</v>
      </c>
      <c r="FI12">
        <v>0</v>
      </c>
      <c r="FJ12">
        <f>(FI12+2)*3/2</f>
        <v>3</v>
      </c>
      <c r="FK12" t="s">
        <v>966</v>
      </c>
      <c r="FM12" s="205">
        <v>0.33333333333333331</v>
      </c>
      <c r="FN12">
        <f t="shared" si="0"/>
        <v>3.5</v>
      </c>
      <c r="FO12">
        <v>1.6</v>
      </c>
      <c r="FP12">
        <v>12</v>
      </c>
      <c r="FQ12">
        <v>5.5</v>
      </c>
      <c r="FS12">
        <v>3</v>
      </c>
      <c r="FT12">
        <v>3</v>
      </c>
      <c r="FU12">
        <v>2</v>
      </c>
      <c r="FV12">
        <v>2.5</v>
      </c>
      <c r="FW12">
        <v>2.5</v>
      </c>
      <c r="FX12">
        <v>3</v>
      </c>
      <c r="FY12">
        <v>3</v>
      </c>
      <c r="FZ12">
        <v>3</v>
      </c>
      <c r="GA12" s="205">
        <v>3.375</v>
      </c>
      <c r="GB12" t="s">
        <v>1862</v>
      </c>
      <c r="GC12" s="35">
        <f>FT21</f>
        <v>0.24553571428571441</v>
      </c>
      <c r="GD12" t="s">
        <v>1870</v>
      </c>
      <c r="GP12" t="s">
        <v>1878</v>
      </c>
      <c r="GU12">
        <v>54</v>
      </c>
      <c r="GV12">
        <v>15</v>
      </c>
      <c r="GW12">
        <v>78</v>
      </c>
      <c r="GX12">
        <v>33</v>
      </c>
      <c r="GY12">
        <v>5</v>
      </c>
      <c r="GZ12" s="1">
        <f t="shared" si="2"/>
        <v>1.8</v>
      </c>
      <c r="HW12">
        <v>5</v>
      </c>
      <c r="HX12">
        <v>1.3333333333333333</v>
      </c>
      <c r="IC12">
        <f t="shared" si="8"/>
        <v>3</v>
      </c>
      <c r="ID12" t="s">
        <v>3184</v>
      </c>
      <c r="JB12" s="1" t="s">
        <v>3183</v>
      </c>
      <c r="JC12" t="s">
        <v>79</v>
      </c>
      <c r="JE12" s="6" t="s">
        <v>3173</v>
      </c>
      <c r="JF12" t="s">
        <v>62</v>
      </c>
      <c r="JH12" s="1" t="s">
        <v>3171</v>
      </c>
      <c r="JI12" t="s">
        <v>52</v>
      </c>
      <c r="JK12" s="6" t="s">
        <v>3170</v>
      </c>
      <c r="JL12" t="s">
        <v>1859</v>
      </c>
      <c r="JN12" s="6" t="s">
        <v>3171</v>
      </c>
      <c r="JO12" t="s">
        <v>292</v>
      </c>
      <c r="JQ12" s="1" t="s">
        <v>3171</v>
      </c>
      <c r="JR12" t="s">
        <v>788</v>
      </c>
      <c r="JT12" s="6" t="s">
        <v>3173</v>
      </c>
      <c r="JU12" t="s">
        <v>1344</v>
      </c>
      <c r="JW12" t="s">
        <v>3186</v>
      </c>
      <c r="JX12" t="s">
        <v>5276</v>
      </c>
      <c r="KC12" t="s">
        <v>1863</v>
      </c>
      <c r="KD12" t="s">
        <v>1849</v>
      </c>
      <c r="KE12" t="s">
        <v>4098</v>
      </c>
      <c r="KF12" t="s">
        <v>4098</v>
      </c>
      <c r="KN12" s="1"/>
    </row>
    <row r="13" spans="1:301" x14ac:dyDescent="0.35">
      <c r="B13" t="s">
        <v>1857</v>
      </c>
      <c r="E13" t="s">
        <v>1840</v>
      </c>
      <c r="F13">
        <v>-0.33</v>
      </c>
      <c r="G13">
        <v>-0.33</v>
      </c>
      <c r="L13">
        <v>-0.33</v>
      </c>
      <c r="N13">
        <v>-0.33</v>
      </c>
      <c r="AI13">
        <v>-0.33</v>
      </c>
      <c r="AJ13">
        <v>-0.33</v>
      </c>
      <c r="AM13">
        <v>-0.33</v>
      </c>
      <c r="BH13">
        <v>-0.33</v>
      </c>
      <c r="BJ13">
        <v>-0.33</v>
      </c>
      <c r="BL13">
        <v>-0.33</v>
      </c>
      <c r="BO13">
        <v>-0.33</v>
      </c>
      <c r="BR13">
        <v>-0.33</v>
      </c>
      <c r="BT13">
        <v>-0.33</v>
      </c>
      <c r="BU13">
        <v>-0.33</v>
      </c>
      <c r="BX13">
        <v>-0.33</v>
      </c>
      <c r="BZ13">
        <v>-0.33</v>
      </c>
      <c r="CA13">
        <v>-0.33</v>
      </c>
      <c r="CB13">
        <v>-0.33</v>
      </c>
      <c r="CC13">
        <v>0.33</v>
      </c>
      <c r="CH13">
        <v>-0.33</v>
      </c>
      <c r="CN13">
        <v>-0.33</v>
      </c>
      <c r="CO13">
        <v>-0.33</v>
      </c>
      <c r="CP13">
        <v>-0.33</v>
      </c>
      <c r="CQ13">
        <v>-0.33</v>
      </c>
      <c r="CZ13">
        <v>-0.33</v>
      </c>
      <c r="DH13">
        <v>-0.33</v>
      </c>
      <c r="DM13">
        <v>-0.33</v>
      </c>
      <c r="DP13">
        <v>-0.33</v>
      </c>
      <c r="DR13">
        <v>-0.33</v>
      </c>
      <c r="EB13">
        <v>-0.33</v>
      </c>
      <c r="EF13">
        <v>-0.33</v>
      </c>
      <c r="EN13">
        <v>-1.32</v>
      </c>
      <c r="EO13">
        <v>-1.33</v>
      </c>
      <c r="EQ13">
        <v>-0.66</v>
      </c>
      <c r="ER13">
        <v>2</v>
      </c>
      <c r="ES13" t="s">
        <v>81</v>
      </c>
      <c r="ET13">
        <v>0</v>
      </c>
      <c r="EU13">
        <f>(ET13+2)*3/2</f>
        <v>3</v>
      </c>
      <c r="EV13" t="s">
        <v>71</v>
      </c>
      <c r="EW13">
        <v>-0.66</v>
      </c>
      <c r="EX13">
        <v>2</v>
      </c>
      <c r="EY13" t="s">
        <v>54</v>
      </c>
      <c r="EZ13">
        <v>-0.33</v>
      </c>
      <c r="FA13">
        <v>2.5</v>
      </c>
      <c r="FB13" t="s">
        <v>1859</v>
      </c>
      <c r="FC13">
        <v>-1</v>
      </c>
      <c r="FD13">
        <f>(FC13+2)*3/2</f>
        <v>1.5</v>
      </c>
      <c r="FE13" t="s">
        <v>29</v>
      </c>
      <c r="FF13">
        <v>0</v>
      </c>
      <c r="FG13">
        <f>(FF13+2)*3/2</f>
        <v>3</v>
      </c>
      <c r="FH13" t="s">
        <v>788</v>
      </c>
      <c r="FI13">
        <v>0</v>
      </c>
      <c r="FJ13">
        <f>(FI13+2)*3/2</f>
        <v>3</v>
      </c>
      <c r="FK13" t="s">
        <v>965</v>
      </c>
      <c r="FM13" s="205">
        <v>0.33333333333333331</v>
      </c>
      <c r="FN13">
        <f t="shared" si="0"/>
        <v>3.5</v>
      </c>
      <c r="FO13">
        <v>1.3</v>
      </c>
      <c r="FP13">
        <v>11</v>
      </c>
      <c r="FQ13">
        <v>5</v>
      </c>
      <c r="FS13">
        <v>2</v>
      </c>
      <c r="FT13">
        <v>3</v>
      </c>
      <c r="FU13">
        <v>2</v>
      </c>
      <c r="FV13">
        <v>2.5</v>
      </c>
      <c r="FW13">
        <v>1.5</v>
      </c>
      <c r="FX13">
        <v>3</v>
      </c>
      <c r="FY13">
        <v>3</v>
      </c>
      <c r="FZ13">
        <v>2.5</v>
      </c>
      <c r="GA13" s="205">
        <v>3.21875</v>
      </c>
      <c r="GB13" t="s">
        <v>1849</v>
      </c>
      <c r="GC13" s="35">
        <f>FY21</f>
        <v>8.9285714285714413E-2</v>
      </c>
      <c r="GD13" t="s">
        <v>1871</v>
      </c>
      <c r="GP13" t="s">
        <v>1879</v>
      </c>
      <c r="GU13">
        <v>71</v>
      </c>
      <c r="GV13">
        <v>78</v>
      </c>
      <c r="GW13">
        <v>5</v>
      </c>
      <c r="GX13">
        <v>27</v>
      </c>
      <c r="GY13">
        <v>25</v>
      </c>
      <c r="GZ13" s="1">
        <f t="shared" si="2"/>
        <v>1.81</v>
      </c>
      <c r="HW13">
        <v>4.5</v>
      </c>
      <c r="HX13">
        <v>1</v>
      </c>
      <c r="IC13">
        <f t="shared" si="8"/>
        <v>11</v>
      </c>
      <c r="ID13" t="s">
        <v>3171</v>
      </c>
      <c r="JB13" s="1" t="s">
        <v>3180</v>
      </c>
      <c r="JC13" t="s">
        <v>77</v>
      </c>
      <c r="JE13" s="6" t="s">
        <v>3173</v>
      </c>
      <c r="JF13" t="s">
        <v>65</v>
      </c>
      <c r="JH13" t="s">
        <v>3170</v>
      </c>
      <c r="JI13" t="s">
        <v>57</v>
      </c>
      <c r="JK13" s="6" t="s">
        <v>3170</v>
      </c>
      <c r="JL13" t="s">
        <v>44</v>
      </c>
      <c r="JN13" s="1" t="s">
        <v>3181</v>
      </c>
      <c r="JO13" t="s">
        <v>33</v>
      </c>
      <c r="JQ13" s="1" t="s">
        <v>3179</v>
      </c>
      <c r="JR13" t="s">
        <v>792</v>
      </c>
      <c r="JT13" s="1" t="s">
        <v>165</v>
      </c>
      <c r="JU13" t="s">
        <v>961</v>
      </c>
      <c r="JW13" t="s">
        <v>3174</v>
      </c>
      <c r="JX13" t="s">
        <v>5277</v>
      </c>
      <c r="KC13">
        <v>4</v>
      </c>
      <c r="KD13">
        <v>7</v>
      </c>
      <c r="KE13">
        <v>1</v>
      </c>
      <c r="KF13">
        <v>1</v>
      </c>
      <c r="KJ13">
        <v>4</v>
      </c>
      <c r="KK13">
        <v>8</v>
      </c>
      <c r="KL13">
        <v>1</v>
      </c>
      <c r="KM13">
        <v>13</v>
      </c>
      <c r="KN13" s="1">
        <v>0.87</v>
      </c>
      <c r="KO13">
        <v>0.74</v>
      </c>
    </row>
    <row r="14" spans="1:301" x14ac:dyDescent="0.35">
      <c r="C14" t="s">
        <v>1829</v>
      </c>
      <c r="E14" t="s">
        <v>1839</v>
      </c>
      <c r="F14">
        <v>0</v>
      </c>
      <c r="H14">
        <v>0</v>
      </c>
      <c r="J14">
        <v>0</v>
      </c>
      <c r="K14">
        <v>0</v>
      </c>
      <c r="Q14">
        <v>-0.33</v>
      </c>
      <c r="R14">
        <v>0</v>
      </c>
      <c r="S14">
        <v>0</v>
      </c>
      <c r="T14">
        <v>0</v>
      </c>
      <c r="U14">
        <v>0</v>
      </c>
      <c r="V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H14">
        <v>0</v>
      </c>
      <c r="AK14">
        <v>0</v>
      </c>
      <c r="AO14">
        <v>0</v>
      </c>
      <c r="AP14">
        <v>0</v>
      </c>
      <c r="AR14">
        <v>0</v>
      </c>
      <c r="AS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C14">
        <v>0</v>
      </c>
      <c r="BF14">
        <v>0</v>
      </c>
      <c r="BG14">
        <v>0</v>
      </c>
      <c r="BI14">
        <v>0</v>
      </c>
      <c r="BK14">
        <v>0</v>
      </c>
      <c r="BN14">
        <v>0</v>
      </c>
      <c r="BP14">
        <v>0</v>
      </c>
      <c r="BW14">
        <v>0</v>
      </c>
      <c r="BY14">
        <v>0</v>
      </c>
      <c r="CD14">
        <v>0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R14">
        <v>0</v>
      </c>
      <c r="CS14">
        <v>0</v>
      </c>
      <c r="CV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E14">
        <v>0</v>
      </c>
      <c r="DF14">
        <v>0</v>
      </c>
      <c r="DG14">
        <v>0</v>
      </c>
      <c r="DI14">
        <v>0</v>
      </c>
      <c r="DJ14">
        <v>0</v>
      </c>
      <c r="DK14">
        <v>0</v>
      </c>
      <c r="DL14">
        <v>0</v>
      </c>
      <c r="DO14">
        <v>0</v>
      </c>
      <c r="DQ14">
        <v>0</v>
      </c>
      <c r="DS14">
        <v>0</v>
      </c>
      <c r="DT14">
        <v>0</v>
      </c>
      <c r="DV14">
        <v>0</v>
      </c>
      <c r="DW14">
        <v>0</v>
      </c>
      <c r="DY14">
        <v>0</v>
      </c>
      <c r="EC14">
        <v>0</v>
      </c>
      <c r="ED14">
        <v>0</v>
      </c>
      <c r="EE14">
        <v>0</v>
      </c>
      <c r="EG14">
        <v>0</v>
      </c>
      <c r="EH14">
        <v>0</v>
      </c>
      <c r="EI14">
        <v>0</v>
      </c>
      <c r="EK14">
        <v>0</v>
      </c>
      <c r="EN14">
        <v>-1.32</v>
      </c>
      <c r="EO14">
        <v>-1.33</v>
      </c>
      <c r="EQ14">
        <v>-0.66</v>
      </c>
      <c r="ER14">
        <v>2</v>
      </c>
      <c r="ES14" t="s">
        <v>82</v>
      </c>
      <c r="ET14">
        <v>-0.33</v>
      </c>
      <c r="EU14">
        <v>2.5</v>
      </c>
      <c r="EV14" t="s">
        <v>70</v>
      </c>
      <c r="EW14">
        <v>-1</v>
      </c>
      <c r="EX14">
        <f>(EW14+2)*3/2</f>
        <v>1.5</v>
      </c>
      <c r="EY14" t="s">
        <v>300</v>
      </c>
      <c r="EZ14">
        <v>-0.33</v>
      </c>
      <c r="FA14">
        <v>2.5</v>
      </c>
      <c r="FB14" t="s">
        <v>1858</v>
      </c>
      <c r="FC14">
        <v>-1</v>
      </c>
      <c r="FD14">
        <f>(FC14+2)*3/2</f>
        <v>1.5</v>
      </c>
      <c r="FE14" t="s">
        <v>28</v>
      </c>
      <c r="FF14">
        <v>-0.33</v>
      </c>
      <c r="FG14">
        <v>2.5</v>
      </c>
      <c r="FH14" t="s">
        <v>908</v>
      </c>
      <c r="FI14">
        <v>-0.33</v>
      </c>
      <c r="FJ14">
        <v>2.5</v>
      </c>
      <c r="FK14" t="s">
        <v>1344</v>
      </c>
      <c r="FM14" s="205">
        <v>1.3333333333333333</v>
      </c>
      <c r="FN14">
        <f t="shared" si="0"/>
        <v>5</v>
      </c>
      <c r="FO14">
        <v>1</v>
      </c>
      <c r="FP14">
        <v>10</v>
      </c>
      <c r="FQ14">
        <v>4.5</v>
      </c>
      <c r="FS14">
        <v>2</v>
      </c>
      <c r="FT14">
        <v>2.5</v>
      </c>
      <c r="FU14">
        <v>1.5</v>
      </c>
      <c r="FV14">
        <v>2.5</v>
      </c>
      <c r="FW14">
        <v>1.5</v>
      </c>
      <c r="FX14">
        <v>2.5</v>
      </c>
      <c r="FY14">
        <v>2.5</v>
      </c>
      <c r="FZ14">
        <v>2</v>
      </c>
      <c r="GA14" s="205">
        <v>3.13</v>
      </c>
      <c r="GB14" t="s">
        <v>1864</v>
      </c>
      <c r="GC14" s="35">
        <f>FV21</f>
        <v>-4.4642857142855874E-3</v>
      </c>
      <c r="GD14" t="s">
        <v>1872</v>
      </c>
      <c r="GP14" t="s">
        <v>1880</v>
      </c>
      <c r="GU14">
        <v>40</v>
      </c>
      <c r="GV14">
        <v>28</v>
      </c>
      <c r="GW14">
        <v>52</v>
      </c>
      <c r="GX14">
        <v>62</v>
      </c>
      <c r="GY14">
        <v>6</v>
      </c>
      <c r="GZ14" s="1">
        <f t="shared" si="2"/>
        <v>1.82</v>
      </c>
      <c r="HE14" s="205">
        <v>-2</v>
      </c>
      <c r="HF14" s="205">
        <f>-5/3</f>
        <v>-1.6666666666666667</v>
      </c>
      <c r="HG14" s="205">
        <f>-4/3</f>
        <v>-1.3333333333333333</v>
      </c>
      <c r="HH14" s="205">
        <v>-1</v>
      </c>
      <c r="HI14" s="205">
        <f>2/3</f>
        <v>0.66666666666666663</v>
      </c>
      <c r="HJ14" s="205">
        <f>-1/3</f>
        <v>-0.33333333333333331</v>
      </c>
      <c r="HK14" s="205">
        <v>0</v>
      </c>
      <c r="HL14" s="205">
        <f>1/3</f>
        <v>0.33333333333333331</v>
      </c>
      <c r="HM14" s="205">
        <f>2/3</f>
        <v>0.66666666666666663</v>
      </c>
      <c r="HN14" s="205">
        <v>1</v>
      </c>
      <c r="HO14" s="205">
        <f>4/3</f>
        <v>1.3333333333333333</v>
      </c>
      <c r="HP14" s="205">
        <f>5/3</f>
        <v>1.6666666666666667</v>
      </c>
      <c r="HQ14" s="205">
        <v>2</v>
      </c>
      <c r="HW14">
        <v>4.5</v>
      </c>
      <c r="HX14">
        <v>1</v>
      </c>
      <c r="IC14">
        <f t="shared" si="8"/>
        <v>7</v>
      </c>
      <c r="ID14" t="s">
        <v>3186</v>
      </c>
      <c r="JB14" s="1" t="s">
        <v>3185</v>
      </c>
      <c r="JC14" t="s">
        <v>81</v>
      </c>
      <c r="JE14" s="6" t="s">
        <v>3170</v>
      </c>
      <c r="JF14" t="s">
        <v>72</v>
      </c>
      <c r="JH14" s="1" t="s">
        <v>3174</v>
      </c>
      <c r="JI14" t="s">
        <v>56</v>
      </c>
      <c r="JK14" s="1" t="s">
        <v>3170</v>
      </c>
      <c r="JL14" t="s">
        <v>35</v>
      </c>
      <c r="JN14" s="1" t="s">
        <v>3174</v>
      </c>
      <c r="JO14" t="s">
        <v>26</v>
      </c>
      <c r="JQ14" s="6" t="s">
        <v>3171</v>
      </c>
      <c r="JR14" t="s">
        <v>793</v>
      </c>
      <c r="JT14" s="1" t="s">
        <v>5283</v>
      </c>
      <c r="JU14" t="s">
        <v>959</v>
      </c>
      <c r="JW14" t="s">
        <v>3170</v>
      </c>
      <c r="JX14" t="s">
        <v>5278</v>
      </c>
      <c r="KN14" s="1"/>
    </row>
    <row r="15" spans="1:301" x14ac:dyDescent="0.35">
      <c r="B15" t="s">
        <v>1856</v>
      </c>
      <c r="E15" t="s">
        <v>1838</v>
      </c>
      <c r="F15">
        <v>0.33</v>
      </c>
      <c r="M15">
        <v>0.33</v>
      </c>
      <c r="O15">
        <v>0.33</v>
      </c>
      <c r="X15">
        <v>0.33</v>
      </c>
      <c r="Y15">
        <v>0.33</v>
      </c>
      <c r="AE15">
        <v>0.33</v>
      </c>
      <c r="AF15">
        <v>0.33</v>
      </c>
      <c r="AQ15">
        <v>0.33</v>
      </c>
      <c r="AT15">
        <v>0.33</v>
      </c>
      <c r="AV15">
        <v>0.33</v>
      </c>
      <c r="BD15">
        <v>0.33</v>
      </c>
      <c r="BQ15">
        <v>0.33</v>
      </c>
      <c r="CT15">
        <v>0.33</v>
      </c>
      <c r="CU15">
        <v>0.33</v>
      </c>
      <c r="DX15">
        <v>0.33</v>
      </c>
      <c r="EJ15">
        <v>0.33</v>
      </c>
      <c r="EN15">
        <v>-0.99</v>
      </c>
      <c r="EO15">
        <v>-1</v>
      </c>
      <c r="EQ15">
        <v>-1</v>
      </c>
      <c r="ER15">
        <f>(EQ15+2)*3/2</f>
        <v>1.5</v>
      </c>
      <c r="ES15" t="s">
        <v>76</v>
      </c>
      <c r="ET15">
        <v>-0.33</v>
      </c>
      <c r="EU15">
        <v>2.5</v>
      </c>
      <c r="EV15" t="s">
        <v>68</v>
      </c>
      <c r="EW15">
        <v>-1</v>
      </c>
      <c r="EX15">
        <f>(EW15+2)*3/2</f>
        <v>1.5</v>
      </c>
      <c r="EY15" t="s">
        <v>52</v>
      </c>
      <c r="EZ15">
        <v>-1</v>
      </c>
      <c r="FA15">
        <f>(EZ15+2)*3/2</f>
        <v>1.5</v>
      </c>
      <c r="FB15" t="s">
        <v>40</v>
      </c>
      <c r="FC15">
        <v>-1</v>
      </c>
      <c r="FD15">
        <f>(FC15+2)*3/2</f>
        <v>1.5</v>
      </c>
      <c r="FE15" t="s">
        <v>27</v>
      </c>
      <c r="FF15">
        <v>-0.66</v>
      </c>
      <c r="FG15">
        <v>2</v>
      </c>
      <c r="FH15" t="s">
        <v>793</v>
      </c>
      <c r="FI15">
        <v>-1</v>
      </c>
      <c r="FJ15">
        <f>(FI15+2)*3/2</f>
        <v>1.5</v>
      </c>
      <c r="FK15" t="s">
        <v>1308</v>
      </c>
      <c r="FM15" s="205">
        <v>0.33333333333333331</v>
      </c>
      <c r="FN15">
        <f t="shared" si="0"/>
        <v>3.5</v>
      </c>
      <c r="FO15">
        <v>0.6</v>
      </c>
      <c r="FP15">
        <v>9</v>
      </c>
      <c r="FQ15">
        <v>4</v>
      </c>
      <c r="FS15">
        <v>1.5</v>
      </c>
      <c r="FT15">
        <v>2.5</v>
      </c>
      <c r="FU15">
        <v>1.5</v>
      </c>
      <c r="FV15">
        <v>1.5</v>
      </c>
      <c r="FW15">
        <v>1.5</v>
      </c>
      <c r="FX15">
        <v>2</v>
      </c>
      <c r="FY15">
        <v>1.5</v>
      </c>
      <c r="FZ15">
        <v>2</v>
      </c>
      <c r="GA15" s="205">
        <v>3.09375</v>
      </c>
      <c r="GB15" t="s">
        <v>1869</v>
      </c>
      <c r="GC15" s="35">
        <f>FS21</f>
        <v>-3.5714285714285587E-2</v>
      </c>
      <c r="GD15" t="s">
        <v>1873</v>
      </c>
      <c r="GU15">
        <v>42</v>
      </c>
      <c r="GV15">
        <v>77</v>
      </c>
      <c r="GW15">
        <v>47</v>
      </c>
      <c r="GX15">
        <v>21</v>
      </c>
      <c r="GY15">
        <v>16</v>
      </c>
      <c r="GZ15" s="1">
        <f t="shared" si="2"/>
        <v>1.87</v>
      </c>
      <c r="HC15" s="205">
        <v>2</v>
      </c>
      <c r="HD15" t="s">
        <v>1889</v>
      </c>
      <c r="HE15" s="34">
        <f>0.125*$HC15*(HE$14)</f>
        <v>-0.5</v>
      </c>
      <c r="HF15" s="34">
        <f t="shared" ref="HF15:HQ21" si="9">0.125*$HC15*(HF$14)</f>
        <v>-0.41666666666666669</v>
      </c>
      <c r="HG15" s="34">
        <f t="shared" si="9"/>
        <v>-0.33333333333333331</v>
      </c>
      <c r="HH15" s="34">
        <f t="shared" si="9"/>
        <v>-0.25</v>
      </c>
      <c r="HI15" s="34">
        <f t="shared" si="9"/>
        <v>0.16666666666666666</v>
      </c>
      <c r="HJ15" s="34">
        <f t="shared" si="9"/>
        <v>-8.3333333333333329E-2</v>
      </c>
      <c r="HK15" s="34">
        <f t="shared" si="9"/>
        <v>0</v>
      </c>
      <c r="HL15" s="34">
        <f t="shared" si="9"/>
        <v>8.3333333333333329E-2</v>
      </c>
      <c r="HM15" s="34">
        <f t="shared" si="9"/>
        <v>0.16666666666666666</v>
      </c>
      <c r="HN15" s="34">
        <f t="shared" si="9"/>
        <v>0.25</v>
      </c>
      <c r="HO15" s="34">
        <f t="shared" si="9"/>
        <v>0.33333333333333331</v>
      </c>
      <c r="HP15" s="34">
        <f t="shared" si="9"/>
        <v>0.41666666666666669</v>
      </c>
      <c r="HQ15" s="34">
        <f t="shared" si="9"/>
        <v>0.5</v>
      </c>
      <c r="HW15">
        <v>4.5</v>
      </c>
      <c r="HX15">
        <v>1</v>
      </c>
      <c r="IC15">
        <f t="shared" si="8"/>
        <v>7</v>
      </c>
      <c r="ID15" t="s">
        <v>3183</v>
      </c>
      <c r="JB15" s="1" t="s">
        <v>3175</v>
      </c>
      <c r="JC15" t="s">
        <v>86</v>
      </c>
      <c r="JE15" s="6" t="s">
        <v>3186</v>
      </c>
      <c r="JF15" t="s">
        <v>67</v>
      </c>
      <c r="JH15" s="6" t="s">
        <v>3175</v>
      </c>
      <c r="JI15" t="s">
        <v>53</v>
      </c>
      <c r="JK15" s="1" t="s">
        <v>3178</v>
      </c>
      <c r="JL15" t="s">
        <v>36</v>
      </c>
      <c r="JN15" s="1" t="s">
        <v>3179</v>
      </c>
      <c r="JO15" t="s">
        <v>31</v>
      </c>
      <c r="JQ15" s="1" t="s">
        <v>3181</v>
      </c>
      <c r="JR15" t="s">
        <v>783</v>
      </c>
      <c r="JT15" s="1" t="s">
        <v>3171</v>
      </c>
      <c r="JU15" t="s">
        <v>963</v>
      </c>
      <c r="JW15" t="s">
        <v>3173</v>
      </c>
      <c r="JX15" t="s">
        <v>5279</v>
      </c>
      <c r="KM15">
        <v>18.5</v>
      </c>
      <c r="KN15" s="1">
        <f>1-0.185</f>
        <v>0.81499999999999995</v>
      </c>
      <c r="KO15">
        <f>1-0.37</f>
        <v>0.63</v>
      </c>
    </row>
    <row r="16" spans="1:301" x14ac:dyDescent="0.35">
      <c r="C16" t="s">
        <v>1855</v>
      </c>
      <c r="E16" t="s">
        <v>1837</v>
      </c>
      <c r="F16">
        <v>0.66</v>
      </c>
      <c r="I16">
        <v>0.66</v>
      </c>
      <c r="P16">
        <v>0.66</v>
      </c>
      <c r="EN16">
        <v>-0.99</v>
      </c>
      <c r="EO16">
        <v>-1</v>
      </c>
      <c r="EQ16">
        <v>-1.66</v>
      </c>
      <c r="ER16">
        <v>0.5</v>
      </c>
      <c r="ES16" t="s">
        <v>80</v>
      </c>
      <c r="ET16">
        <v>-1.66</v>
      </c>
      <c r="EU16">
        <v>0.5</v>
      </c>
      <c r="EV16" t="s">
        <v>67</v>
      </c>
      <c r="EW16">
        <v>-1.33</v>
      </c>
      <c r="EX16">
        <v>1</v>
      </c>
      <c r="EY16" t="s">
        <v>53</v>
      </c>
      <c r="EZ16">
        <v>-1.33</v>
      </c>
      <c r="FA16">
        <v>1</v>
      </c>
      <c r="FB16" t="s">
        <v>900</v>
      </c>
      <c r="FC16">
        <v>-1.66</v>
      </c>
      <c r="FD16">
        <v>0.5</v>
      </c>
      <c r="FE16" t="s">
        <v>292</v>
      </c>
      <c r="FF16">
        <v>-0.66</v>
      </c>
      <c r="FG16">
        <v>2</v>
      </c>
      <c r="FH16" t="s">
        <v>792</v>
      </c>
      <c r="FI16">
        <v>-1.33</v>
      </c>
      <c r="FJ16">
        <v>1</v>
      </c>
      <c r="FK16" t="s">
        <v>1343</v>
      </c>
      <c r="FM16" s="205">
        <v>0.33333333333333331</v>
      </c>
      <c r="FN16">
        <f t="shared" si="0"/>
        <v>3.5</v>
      </c>
      <c r="FO16">
        <v>0.3</v>
      </c>
      <c r="FP16">
        <v>8</v>
      </c>
      <c r="FQ16">
        <v>3.5</v>
      </c>
      <c r="FS16">
        <v>0.5</v>
      </c>
      <c r="FT16">
        <v>0.5</v>
      </c>
      <c r="FU16">
        <v>1</v>
      </c>
      <c r="FV16">
        <v>1</v>
      </c>
      <c r="FW16">
        <v>0.5</v>
      </c>
      <c r="FX16">
        <v>2</v>
      </c>
      <c r="FY16">
        <v>1</v>
      </c>
      <c r="FZ16">
        <v>1.5</v>
      </c>
      <c r="GA16" s="205">
        <v>2.75</v>
      </c>
      <c r="GB16" t="s">
        <v>1865</v>
      </c>
      <c r="GC16" s="35">
        <f>FW21</f>
        <v>-0.37946428571428559</v>
      </c>
      <c r="GD16" t="s">
        <v>1875</v>
      </c>
      <c r="GU16">
        <v>28</v>
      </c>
      <c r="GV16">
        <v>24</v>
      </c>
      <c r="GW16">
        <v>71</v>
      </c>
      <c r="GX16">
        <v>68</v>
      </c>
      <c r="GY16">
        <v>22</v>
      </c>
      <c r="GZ16" s="1">
        <f t="shared" si="2"/>
        <v>1.91</v>
      </c>
      <c r="HC16" s="205">
        <f>5/3</f>
        <v>1.6666666666666667</v>
      </c>
      <c r="HD16" t="s">
        <v>1894</v>
      </c>
      <c r="HE16" s="34">
        <f t="shared" ref="HE16:HE21" si="10">0.125*$HC16*(HE$14)</f>
        <v>-0.41666666666666669</v>
      </c>
      <c r="HF16" s="34">
        <f t="shared" si="9"/>
        <v>-0.34722222222222227</v>
      </c>
      <c r="HG16" s="34">
        <f t="shared" si="9"/>
        <v>-0.27777777777777779</v>
      </c>
      <c r="HH16" s="34">
        <f t="shared" si="9"/>
        <v>-0.20833333333333334</v>
      </c>
      <c r="HI16" s="34">
        <f t="shared" si="9"/>
        <v>0.1388888888888889</v>
      </c>
      <c r="HJ16" s="34">
        <f t="shared" si="9"/>
        <v>-6.9444444444444448E-2</v>
      </c>
      <c r="HK16" s="34">
        <f t="shared" si="9"/>
        <v>0</v>
      </c>
      <c r="HL16" s="34">
        <f t="shared" si="9"/>
        <v>6.9444444444444448E-2</v>
      </c>
      <c r="HM16" s="34">
        <f t="shared" si="9"/>
        <v>0.1388888888888889</v>
      </c>
      <c r="HN16" s="34">
        <f t="shared" si="9"/>
        <v>0.20833333333333334</v>
      </c>
      <c r="HO16" s="34">
        <f t="shared" si="9"/>
        <v>0.27777777777777779</v>
      </c>
      <c r="HP16" s="34">
        <f t="shared" si="9"/>
        <v>0.34722222222222227</v>
      </c>
      <c r="HQ16" s="34">
        <f t="shared" si="9"/>
        <v>0.41666666666666669</v>
      </c>
      <c r="HW16">
        <v>4.5</v>
      </c>
      <c r="HX16">
        <v>1</v>
      </c>
      <c r="IC16">
        <f t="shared" si="8"/>
        <v>21</v>
      </c>
      <c r="ID16" t="s">
        <v>3170</v>
      </c>
      <c r="JB16" s="1" t="s">
        <v>3174</v>
      </c>
      <c r="JC16" t="s">
        <v>83</v>
      </c>
      <c r="JE16" s="6" t="s">
        <v>3177</v>
      </c>
      <c r="JF16" t="s">
        <v>70</v>
      </c>
      <c r="JH16" s="1" t="s">
        <v>3173</v>
      </c>
      <c r="JI16" t="s">
        <v>55</v>
      </c>
      <c r="JK16" s="1" t="s">
        <v>3186</v>
      </c>
      <c r="JL16" t="s">
        <v>38</v>
      </c>
      <c r="JN16" s="1" t="s">
        <v>3176</v>
      </c>
      <c r="JO16" t="s">
        <v>25</v>
      </c>
      <c r="JQ16" s="1" t="s">
        <v>3184</v>
      </c>
      <c r="JR16" t="s">
        <v>791</v>
      </c>
      <c r="JT16" s="6" t="s">
        <v>3170</v>
      </c>
      <c r="JU16" t="s">
        <v>965</v>
      </c>
      <c r="JW16" t="s">
        <v>3177</v>
      </c>
      <c r="JX16" t="s">
        <v>5280</v>
      </c>
      <c r="KN16" s="1"/>
    </row>
    <row r="17" spans="1:301" x14ac:dyDescent="0.35">
      <c r="EN17">
        <v>-0.99</v>
      </c>
      <c r="EO17">
        <v>-1</v>
      </c>
      <c r="EQ17">
        <v>-1.66</v>
      </c>
      <c r="ER17">
        <v>0.5</v>
      </c>
      <c r="ES17" t="s">
        <v>79</v>
      </c>
      <c r="ET17">
        <v>-1.66</v>
      </c>
      <c r="EU17">
        <v>0.5</v>
      </c>
      <c r="EV17" t="s">
        <v>66</v>
      </c>
      <c r="EW17">
        <v>-2</v>
      </c>
      <c r="EX17">
        <f>(EW17+2)*3/2</f>
        <v>0</v>
      </c>
      <c r="EY17" t="s">
        <v>51</v>
      </c>
      <c r="EZ17">
        <v>-1.33</v>
      </c>
      <c r="FA17">
        <v>1</v>
      </c>
      <c r="FB17" t="s">
        <v>39</v>
      </c>
      <c r="FC17">
        <v>-1.66</v>
      </c>
      <c r="FD17">
        <v>0</v>
      </c>
      <c r="FE17" t="s">
        <v>30</v>
      </c>
      <c r="FF17">
        <v>-2</v>
      </c>
      <c r="FG17">
        <f>(FF17+2)*3/2</f>
        <v>0</v>
      </c>
      <c r="FH17" t="s">
        <v>794</v>
      </c>
      <c r="FI17">
        <v>-2</v>
      </c>
      <c r="FJ17">
        <f>(FI17+2)*3/2</f>
        <v>0</v>
      </c>
      <c r="FK17" t="s">
        <v>3913</v>
      </c>
      <c r="FM17" s="205">
        <v>-1</v>
      </c>
      <c r="FN17">
        <f t="shared" si="0"/>
        <v>1.5</v>
      </c>
      <c r="FO17">
        <v>0</v>
      </c>
      <c r="FP17">
        <v>7</v>
      </c>
      <c r="FQ17">
        <v>3</v>
      </c>
      <c r="FS17">
        <v>0.5</v>
      </c>
      <c r="FT17">
        <v>0.5</v>
      </c>
      <c r="FU17">
        <v>0</v>
      </c>
      <c r="FV17">
        <v>1</v>
      </c>
      <c r="FW17">
        <v>0</v>
      </c>
      <c r="FX17">
        <v>0</v>
      </c>
      <c r="FY17">
        <v>0</v>
      </c>
      <c r="FZ17">
        <v>0</v>
      </c>
      <c r="GA17" s="205">
        <v>2.71875</v>
      </c>
      <c r="GB17" t="s">
        <v>1863</v>
      </c>
      <c r="GC17" s="35">
        <f>FU21</f>
        <v>-0.41071428571428559</v>
      </c>
      <c r="GD17" t="s">
        <v>1874</v>
      </c>
      <c r="GK17" t="s">
        <v>1881</v>
      </c>
      <c r="GO17">
        <v>0.25</v>
      </c>
      <c r="GP17">
        <v>1</v>
      </c>
      <c r="GQ17">
        <v>2</v>
      </c>
      <c r="GR17">
        <f t="shared" ref="GR17:GR23" si="11">GQ17*GP17*GO17</f>
        <v>0.5</v>
      </c>
      <c r="GS17" t="s">
        <v>1889</v>
      </c>
      <c r="GT17">
        <v>2</v>
      </c>
      <c r="GU17">
        <v>66</v>
      </c>
      <c r="GV17">
        <v>0</v>
      </c>
      <c r="GW17">
        <v>51</v>
      </c>
      <c r="GX17">
        <v>78</v>
      </c>
      <c r="GY17">
        <v>14</v>
      </c>
      <c r="GZ17" s="1">
        <f t="shared" si="2"/>
        <v>1.95</v>
      </c>
      <c r="HC17" s="205">
        <f>4/3</f>
        <v>1.3333333333333333</v>
      </c>
      <c r="HD17" t="s">
        <v>1893</v>
      </c>
      <c r="HE17" s="34">
        <f t="shared" si="10"/>
        <v>-0.33333333333333331</v>
      </c>
      <c r="HF17" s="34">
        <f t="shared" si="9"/>
        <v>-0.27777777777777779</v>
      </c>
      <c r="HG17" s="34">
        <f t="shared" si="9"/>
        <v>-0.22222222222222221</v>
      </c>
      <c r="HH17" s="34">
        <f t="shared" si="9"/>
        <v>-0.16666666666666666</v>
      </c>
      <c r="HI17" s="34">
        <f t="shared" si="9"/>
        <v>0.1111111111111111</v>
      </c>
      <c r="HJ17" s="34">
        <f t="shared" si="9"/>
        <v>-5.5555555555555552E-2</v>
      </c>
      <c r="HK17" s="34">
        <f t="shared" si="9"/>
        <v>0</v>
      </c>
      <c r="HL17" s="34">
        <f t="shared" si="9"/>
        <v>5.5555555555555552E-2</v>
      </c>
      <c r="HM17" s="34">
        <f t="shared" si="9"/>
        <v>0.1111111111111111</v>
      </c>
      <c r="HN17" s="34">
        <f t="shared" si="9"/>
        <v>0.16666666666666666</v>
      </c>
      <c r="HO17" s="34">
        <f t="shared" si="9"/>
        <v>0.22222222222222221</v>
      </c>
      <c r="HP17" s="34">
        <f t="shared" si="9"/>
        <v>0.27777777777777779</v>
      </c>
      <c r="HQ17" s="34">
        <f t="shared" si="9"/>
        <v>0.33333333333333331</v>
      </c>
      <c r="HW17">
        <v>4.5</v>
      </c>
      <c r="HX17">
        <v>1</v>
      </c>
      <c r="IC17">
        <f t="shared" si="8"/>
        <v>2</v>
      </c>
      <c r="ID17" t="s">
        <v>3178</v>
      </c>
      <c r="JB17" s="1" t="s">
        <v>3177</v>
      </c>
      <c r="JC17" t="s">
        <v>73</v>
      </c>
      <c r="JE17" s="1" t="s">
        <v>3174</v>
      </c>
      <c r="JF17" t="s">
        <v>71</v>
      </c>
      <c r="JH17" s="1" t="s">
        <v>3185</v>
      </c>
      <c r="JI17" t="s">
        <v>49</v>
      </c>
      <c r="JK17" s="6" t="s">
        <v>3173</v>
      </c>
      <c r="JL17" t="s">
        <v>42</v>
      </c>
      <c r="JN17" s="1" t="s">
        <v>3183</v>
      </c>
      <c r="JO17" t="s">
        <v>30</v>
      </c>
      <c r="JQ17" s="6" t="s">
        <v>3175</v>
      </c>
      <c r="JR17" t="s">
        <v>908</v>
      </c>
      <c r="JT17" s="6" t="s">
        <v>3170</v>
      </c>
      <c r="JU17" t="s">
        <v>1301</v>
      </c>
      <c r="JW17" t="s">
        <v>3171</v>
      </c>
      <c r="JX17" t="s">
        <v>5281</v>
      </c>
      <c r="KE17">
        <v>28</v>
      </c>
      <c r="KJ17">
        <v>16</v>
      </c>
      <c r="KK17">
        <v>16</v>
      </c>
      <c r="KL17">
        <v>4</v>
      </c>
      <c r="KM17">
        <v>36</v>
      </c>
      <c r="KN17" s="1">
        <v>0.64</v>
      </c>
      <c r="KO17">
        <v>0.28000000000000003</v>
      </c>
    </row>
    <row r="18" spans="1:301" x14ac:dyDescent="0.35">
      <c r="D18" t="s">
        <v>1815</v>
      </c>
      <c r="EN18">
        <v>-0.99</v>
      </c>
      <c r="EO18">
        <v>-1</v>
      </c>
      <c r="FO18">
        <v>-0.3</v>
      </c>
      <c r="FP18">
        <v>6</v>
      </c>
      <c r="FQ18">
        <v>2.5</v>
      </c>
      <c r="GK18" t="s">
        <v>1882</v>
      </c>
      <c r="GO18">
        <v>0.25</v>
      </c>
      <c r="GP18">
        <v>1</v>
      </c>
      <c r="GQ18">
        <v>1.66</v>
      </c>
      <c r="GR18">
        <f t="shared" si="11"/>
        <v>0.41499999999999998</v>
      </c>
      <c r="GS18" t="s">
        <v>1894</v>
      </c>
      <c r="GT18">
        <v>5</v>
      </c>
      <c r="GU18">
        <v>18</v>
      </c>
      <c r="GV18">
        <v>80</v>
      </c>
      <c r="GW18">
        <v>70</v>
      </c>
      <c r="GX18">
        <v>34</v>
      </c>
      <c r="GY18">
        <v>12</v>
      </c>
      <c r="GZ18" s="1">
        <f t="shared" si="2"/>
        <v>2.02</v>
      </c>
      <c r="HC18" s="205">
        <v>1</v>
      </c>
      <c r="HD18" t="s">
        <v>1821</v>
      </c>
      <c r="HE18" s="34">
        <f t="shared" si="10"/>
        <v>-0.25</v>
      </c>
      <c r="HF18" s="34">
        <f t="shared" si="9"/>
        <v>-0.20833333333333334</v>
      </c>
      <c r="HG18" s="34">
        <f t="shared" si="9"/>
        <v>-0.16666666666666666</v>
      </c>
      <c r="HH18" s="34">
        <f t="shared" si="9"/>
        <v>-0.125</v>
      </c>
      <c r="HI18" s="34">
        <f t="shared" si="9"/>
        <v>8.3333333333333329E-2</v>
      </c>
      <c r="HJ18" s="34">
        <f t="shared" si="9"/>
        <v>-4.1666666666666664E-2</v>
      </c>
      <c r="HK18" s="34">
        <f t="shared" si="9"/>
        <v>0</v>
      </c>
      <c r="HL18" s="34">
        <f t="shared" si="9"/>
        <v>4.1666666666666664E-2</v>
      </c>
      <c r="HM18" s="34">
        <f t="shared" si="9"/>
        <v>8.3333333333333329E-2</v>
      </c>
      <c r="HN18" s="34">
        <f t="shared" si="9"/>
        <v>0.125</v>
      </c>
      <c r="HO18" s="34">
        <f t="shared" si="9"/>
        <v>0.16666666666666666</v>
      </c>
      <c r="HP18" s="34">
        <f t="shared" si="9"/>
        <v>0.20833333333333334</v>
      </c>
      <c r="HQ18" s="34">
        <f t="shared" si="9"/>
        <v>0.25</v>
      </c>
      <c r="HW18">
        <v>4.5</v>
      </c>
      <c r="HX18">
        <v>1</v>
      </c>
      <c r="IC18">
        <f t="shared" si="8"/>
        <v>5</v>
      </c>
      <c r="ID18" t="s">
        <v>3175</v>
      </c>
      <c r="JB18" s="1" t="s">
        <v>3186</v>
      </c>
      <c r="JC18" t="s">
        <v>88</v>
      </c>
      <c r="JE18" s="6" t="s">
        <v>3170</v>
      </c>
      <c r="JF18" t="s">
        <v>114</v>
      </c>
      <c r="JH18" s="1" t="s">
        <v>3176</v>
      </c>
      <c r="JI18" t="s">
        <v>145</v>
      </c>
      <c r="JK18" s="6" t="s">
        <v>3171</v>
      </c>
      <c r="JL18" t="s">
        <v>2011</v>
      </c>
      <c r="JN18" s="6" t="s">
        <v>3170</v>
      </c>
      <c r="JO18" t="s">
        <v>119</v>
      </c>
      <c r="JQ18" s="1" t="s">
        <v>3182</v>
      </c>
      <c r="JR18" t="s">
        <v>796</v>
      </c>
      <c r="JT18" s="6" t="s">
        <v>3170</v>
      </c>
      <c r="JU18" t="s">
        <v>1302</v>
      </c>
      <c r="JW18" t="s">
        <v>3185</v>
      </c>
      <c r="JX18" t="s">
        <v>5282</v>
      </c>
      <c r="KC18" t="s">
        <v>4099</v>
      </c>
      <c r="KD18" t="s">
        <v>4419</v>
      </c>
      <c r="KE18">
        <v>4</v>
      </c>
      <c r="KF18" t="s">
        <v>4412</v>
      </c>
      <c r="KG18" t="s">
        <v>4426</v>
      </c>
      <c r="KN18" s="1"/>
    </row>
    <row r="19" spans="1:301" x14ac:dyDescent="0.35">
      <c r="C19" t="s">
        <v>1855</v>
      </c>
      <c r="E19" t="s">
        <v>1824</v>
      </c>
      <c r="F19">
        <v>-0.66</v>
      </c>
      <c r="DP19">
        <v>-0.66</v>
      </c>
      <c r="EN19">
        <v>-0.9900000000000001</v>
      </c>
      <c r="EO19">
        <v>-1</v>
      </c>
      <c r="EQ19">
        <f>AVERAGE(EQ2:EQ17)</f>
        <v>6.2500000000000014E-2</v>
      </c>
      <c r="ER19" s="205">
        <f>AVERAGE(ER2:ER17)</f>
        <v>3.09375</v>
      </c>
      <c r="ET19">
        <f>AVERAGE(ET2:ET17)</f>
        <v>0.24937500000000001</v>
      </c>
      <c r="EU19" s="205">
        <f>AVERAGE(EU2:EU17)</f>
        <v>3.375</v>
      </c>
      <c r="EW19">
        <f>AVERAGE(EW2:EW17)</f>
        <v>-0.1875</v>
      </c>
      <c r="EX19" s="205">
        <f>AVERAGE(EX2:EX17)</f>
        <v>2.71875</v>
      </c>
      <c r="EZ19">
        <f>AVERAGE(EZ2:EZ17)</f>
        <v>8.2500000000000018E-2</v>
      </c>
      <c r="FA19" s="205">
        <f>AVERAGE(FA2:FA17)</f>
        <v>3.125</v>
      </c>
      <c r="FC19">
        <f>AVERAGE(FC2:FC17)</f>
        <v>-0.14687499999999995</v>
      </c>
      <c r="FD19" s="205">
        <f>AVERAGE(FD2:FD17)</f>
        <v>2.75</v>
      </c>
      <c r="FF19">
        <f>AVERAGE(FF2:FF17)</f>
        <v>0.41562500000000002</v>
      </c>
      <c r="FG19" s="205">
        <f>AVERAGE(FG2:FG17)</f>
        <v>3.625</v>
      </c>
      <c r="FI19">
        <f>AVERAGE(FI2:FI17)</f>
        <v>0.14437500000000003</v>
      </c>
      <c r="FJ19" s="205">
        <f>AVERAGE(FJ2:FJ17)</f>
        <v>3.21875</v>
      </c>
      <c r="FO19">
        <v>-0.6</v>
      </c>
      <c r="FP19">
        <v>5</v>
      </c>
      <c r="FQ19">
        <v>2</v>
      </c>
      <c r="FS19" s="205">
        <f t="shared" ref="FS19:FY19" si="12">AVERAGE(FS2:FS17)</f>
        <v>3.09375</v>
      </c>
      <c r="FT19" s="205">
        <f t="shared" si="12"/>
        <v>3.375</v>
      </c>
      <c r="FU19" s="205">
        <f t="shared" si="12"/>
        <v>2.71875</v>
      </c>
      <c r="FV19" s="205">
        <f t="shared" si="12"/>
        <v>3.125</v>
      </c>
      <c r="FW19" s="205">
        <f t="shared" si="12"/>
        <v>2.75</v>
      </c>
      <c r="FX19" s="205">
        <f t="shared" si="12"/>
        <v>3.625</v>
      </c>
      <c r="FY19" s="205">
        <f t="shared" si="12"/>
        <v>3.21875</v>
      </c>
      <c r="FZ19">
        <f>AVERAGE(FS2:FY17)</f>
        <v>3.1294642857142856</v>
      </c>
      <c r="GA19" s="205"/>
      <c r="GB19" s="205"/>
      <c r="GC19" s="205"/>
      <c r="GO19">
        <v>0.25</v>
      </c>
      <c r="GP19">
        <v>1</v>
      </c>
      <c r="GQ19">
        <v>1.33</v>
      </c>
      <c r="GR19">
        <f t="shared" si="11"/>
        <v>0.33250000000000002</v>
      </c>
      <c r="GS19" t="s">
        <v>1893</v>
      </c>
      <c r="GT19">
        <v>2</v>
      </c>
      <c r="GU19">
        <v>50</v>
      </c>
      <c r="GV19">
        <v>49</v>
      </c>
      <c r="GW19">
        <v>29</v>
      </c>
      <c r="GX19">
        <v>86</v>
      </c>
      <c r="GY19">
        <v>15</v>
      </c>
      <c r="GZ19" s="1">
        <f t="shared" si="2"/>
        <v>2.14</v>
      </c>
      <c r="HC19" s="205">
        <f>2/3</f>
        <v>0.66666666666666663</v>
      </c>
      <c r="HD19" t="s">
        <v>1892</v>
      </c>
      <c r="HE19" s="34">
        <f t="shared" si="10"/>
        <v>-0.16666666666666666</v>
      </c>
      <c r="HF19" s="34">
        <f t="shared" si="9"/>
        <v>-0.1388888888888889</v>
      </c>
      <c r="HG19" s="34">
        <f t="shared" si="9"/>
        <v>-0.1111111111111111</v>
      </c>
      <c r="HH19" s="34">
        <f t="shared" si="9"/>
        <v>-8.3333333333333329E-2</v>
      </c>
      <c r="HI19" s="34">
        <f t="shared" si="9"/>
        <v>5.5555555555555552E-2</v>
      </c>
      <c r="HJ19" s="34">
        <f t="shared" si="9"/>
        <v>-2.7777777777777776E-2</v>
      </c>
      <c r="HK19" s="34">
        <f t="shared" si="9"/>
        <v>0</v>
      </c>
      <c r="HL19" s="34">
        <f t="shared" si="9"/>
        <v>2.7777777777777776E-2</v>
      </c>
      <c r="HM19" s="34">
        <f t="shared" si="9"/>
        <v>5.5555555555555552E-2</v>
      </c>
      <c r="HN19" s="34">
        <f t="shared" si="9"/>
        <v>8.3333333333333329E-2</v>
      </c>
      <c r="HO19" s="34">
        <f t="shared" si="9"/>
        <v>0.1111111111111111</v>
      </c>
      <c r="HP19" s="34">
        <f t="shared" si="9"/>
        <v>0.1388888888888889</v>
      </c>
      <c r="HQ19" s="34">
        <f t="shared" si="9"/>
        <v>0.16666666666666666</v>
      </c>
      <c r="HW19">
        <v>4.5</v>
      </c>
      <c r="HX19">
        <v>1</v>
      </c>
      <c r="IC19">
        <f t="shared" si="8"/>
        <v>8</v>
      </c>
      <c r="ID19" t="s">
        <v>3185</v>
      </c>
      <c r="JH19" s="1"/>
      <c r="KC19" t="s">
        <v>4100</v>
      </c>
      <c r="KD19" t="s">
        <v>4420</v>
      </c>
      <c r="KE19">
        <v>4</v>
      </c>
      <c r="KF19" t="s">
        <v>4413</v>
      </c>
      <c r="KG19" t="s">
        <v>4428</v>
      </c>
      <c r="KM19">
        <v>23</v>
      </c>
      <c r="KN19" s="1">
        <v>0.77</v>
      </c>
      <c r="KO19">
        <v>0.54</v>
      </c>
    </row>
    <row r="20" spans="1:301" x14ac:dyDescent="0.35">
      <c r="C20" t="s">
        <v>1846</v>
      </c>
      <c r="E20" t="s">
        <v>1825</v>
      </c>
      <c r="F20">
        <v>-0.33</v>
      </c>
      <c r="N20">
        <v>-0.33</v>
      </c>
      <c r="P20">
        <v>-0.33</v>
      </c>
      <c r="V20">
        <v>-0.33</v>
      </c>
      <c r="X20">
        <v>-0.33</v>
      </c>
      <c r="AE20">
        <v>-0.33</v>
      </c>
      <c r="AH20">
        <v>-0.33</v>
      </c>
      <c r="AL20">
        <v>-0.33</v>
      </c>
      <c r="AM20">
        <v>-0.33</v>
      </c>
      <c r="AT20">
        <v>-0.33</v>
      </c>
      <c r="AU20">
        <v>-0.33</v>
      </c>
      <c r="AV20">
        <v>-0.33</v>
      </c>
      <c r="BA20">
        <v>-0.33</v>
      </c>
      <c r="BK20">
        <v>-0.33</v>
      </c>
      <c r="BL20">
        <v>-0.33</v>
      </c>
      <c r="BM20">
        <v>-0.33</v>
      </c>
      <c r="BT20">
        <v>-0.33</v>
      </c>
      <c r="BU20">
        <v>-0.33</v>
      </c>
      <c r="BY20">
        <v>-0.33</v>
      </c>
      <c r="BZ20">
        <v>-0.33</v>
      </c>
      <c r="CA20">
        <v>-0.33</v>
      </c>
      <c r="CV20">
        <v>-0.33</v>
      </c>
      <c r="CW20">
        <v>-0.33</v>
      </c>
      <c r="CX20">
        <v>-0.33</v>
      </c>
      <c r="CY20">
        <v>-0.33</v>
      </c>
      <c r="CZ20">
        <v>-0.33</v>
      </c>
      <c r="DE20">
        <v>-0.33</v>
      </c>
      <c r="DN20">
        <v>-0.33</v>
      </c>
      <c r="EA20">
        <v>-0.33</v>
      </c>
      <c r="EG20">
        <v>-0.33</v>
      </c>
      <c r="EN20">
        <v>-0.99</v>
      </c>
      <c r="EO20">
        <v>-1</v>
      </c>
      <c r="ES20" t="s">
        <v>1861</v>
      </c>
      <c r="EV20" t="s">
        <v>1862</v>
      </c>
      <c r="EY20" t="s">
        <v>1863</v>
      </c>
      <c r="FB20" t="s">
        <v>1864</v>
      </c>
      <c r="FE20" t="s">
        <v>1865</v>
      </c>
      <c r="FH20" t="s">
        <v>1848</v>
      </c>
      <c r="FK20" t="s">
        <v>1849</v>
      </c>
      <c r="FO20">
        <v>-1</v>
      </c>
      <c r="FP20">
        <v>4</v>
      </c>
      <c r="FQ20">
        <v>1.5</v>
      </c>
      <c r="FS20" t="s">
        <v>1869</v>
      </c>
      <c r="FT20" t="s">
        <v>1862</v>
      </c>
      <c r="FU20" t="s">
        <v>1863</v>
      </c>
      <c r="FV20" t="s">
        <v>1864</v>
      </c>
      <c r="FW20" t="s">
        <v>1865</v>
      </c>
      <c r="FX20" t="s">
        <v>1848</v>
      </c>
      <c r="FY20" t="s">
        <v>1849</v>
      </c>
      <c r="GA20" s="205"/>
      <c r="GB20">
        <v>6</v>
      </c>
      <c r="GC20">
        <f>GB20-1</f>
        <v>5</v>
      </c>
      <c r="GD20">
        <f>GB20-0.5</f>
        <v>5.5</v>
      </c>
      <c r="GE20">
        <f>GB20*1</f>
        <v>6</v>
      </c>
      <c r="GF20">
        <f>GB20+0.5</f>
        <v>6.5</v>
      </c>
      <c r="GG20">
        <f>GB20+1</f>
        <v>7</v>
      </c>
      <c r="GK20" t="s">
        <v>1887</v>
      </c>
      <c r="GL20" t="s">
        <v>1830</v>
      </c>
      <c r="GO20">
        <v>0.25</v>
      </c>
      <c r="GP20">
        <v>1</v>
      </c>
      <c r="GQ20">
        <v>1</v>
      </c>
      <c r="GR20">
        <f t="shared" si="11"/>
        <v>0.25</v>
      </c>
      <c r="GS20" t="s">
        <v>1821</v>
      </c>
      <c r="GT20">
        <v>8</v>
      </c>
      <c r="GU20">
        <v>78</v>
      </c>
      <c r="GV20">
        <v>54</v>
      </c>
      <c r="GW20">
        <v>18</v>
      </c>
      <c r="GX20">
        <v>66</v>
      </c>
      <c r="GY20">
        <v>11</v>
      </c>
      <c r="GZ20" s="1">
        <f t="shared" si="2"/>
        <v>2.16</v>
      </c>
      <c r="HC20" s="205">
        <f>1/3</f>
        <v>0.33333333333333331</v>
      </c>
      <c r="HD20" t="s">
        <v>1891</v>
      </c>
      <c r="HE20" s="34">
        <f t="shared" si="10"/>
        <v>-8.3333333333333329E-2</v>
      </c>
      <c r="HF20" s="34">
        <f t="shared" si="9"/>
        <v>-6.9444444444444448E-2</v>
      </c>
      <c r="HG20" s="34">
        <f t="shared" si="9"/>
        <v>-5.5555555555555552E-2</v>
      </c>
      <c r="HH20" s="34">
        <f t="shared" si="9"/>
        <v>-4.1666666666666664E-2</v>
      </c>
      <c r="HI20" s="34">
        <f t="shared" si="9"/>
        <v>2.7777777777777776E-2</v>
      </c>
      <c r="HJ20" s="34">
        <f t="shared" si="9"/>
        <v>-1.3888888888888888E-2</v>
      </c>
      <c r="HK20" s="34">
        <f t="shared" si="9"/>
        <v>0</v>
      </c>
      <c r="HL20" s="34">
        <f t="shared" si="9"/>
        <v>1.3888888888888888E-2</v>
      </c>
      <c r="HM20" s="34">
        <f t="shared" si="9"/>
        <v>2.7777777777777776E-2</v>
      </c>
      <c r="HN20" s="34">
        <f t="shared" si="9"/>
        <v>4.1666666666666664E-2</v>
      </c>
      <c r="HO20" s="34">
        <f t="shared" si="9"/>
        <v>5.5555555555555552E-2</v>
      </c>
      <c r="HP20" s="34">
        <f t="shared" si="9"/>
        <v>6.9444444444444448E-2</v>
      </c>
      <c r="HQ20" s="34">
        <f t="shared" si="9"/>
        <v>8.3333333333333329E-2</v>
      </c>
      <c r="HW20">
        <v>4.5</v>
      </c>
      <c r="HX20">
        <v>1</v>
      </c>
      <c r="IC20">
        <f t="shared" si="8"/>
        <v>4</v>
      </c>
      <c r="ID20" t="s">
        <v>3180</v>
      </c>
      <c r="JB20" s="6" t="s">
        <v>4387</v>
      </c>
      <c r="JE20" t="s">
        <v>3188</v>
      </c>
      <c r="JH20" s="6" t="s">
        <v>3190</v>
      </c>
      <c r="JK20" t="s">
        <v>3190</v>
      </c>
      <c r="JN20" s="6" t="s">
        <v>3190</v>
      </c>
      <c r="JQ20" s="6" t="s">
        <v>3190</v>
      </c>
      <c r="JT20" t="s">
        <v>3190</v>
      </c>
      <c r="JW20" t="s">
        <v>3188</v>
      </c>
      <c r="KC20" t="s">
        <v>4101</v>
      </c>
      <c r="KD20" t="s">
        <v>4421</v>
      </c>
      <c r="KE20">
        <v>4</v>
      </c>
      <c r="KF20" t="s">
        <v>4414</v>
      </c>
      <c r="KG20" t="s">
        <v>4427</v>
      </c>
    </row>
    <row r="21" spans="1:301" x14ac:dyDescent="0.35">
      <c r="C21" t="s">
        <v>1829</v>
      </c>
      <c r="E21" t="s">
        <v>1823</v>
      </c>
      <c r="F21">
        <v>0</v>
      </c>
      <c r="G21">
        <v>0</v>
      </c>
      <c r="H21">
        <v>0</v>
      </c>
      <c r="J21">
        <v>0</v>
      </c>
      <c r="L21">
        <v>0</v>
      </c>
      <c r="M21">
        <v>0</v>
      </c>
      <c r="Q21">
        <v>0</v>
      </c>
      <c r="S21">
        <v>0</v>
      </c>
      <c r="T21">
        <v>0</v>
      </c>
      <c r="U21">
        <v>0</v>
      </c>
      <c r="Y21">
        <v>0</v>
      </c>
      <c r="AB21">
        <v>0</v>
      </c>
      <c r="AD21">
        <v>0</v>
      </c>
      <c r="AJ21">
        <v>0</v>
      </c>
      <c r="AK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X21">
        <v>0</v>
      </c>
      <c r="AZ21">
        <v>0</v>
      </c>
      <c r="BB21">
        <v>0</v>
      </c>
      <c r="BF21">
        <v>0</v>
      </c>
      <c r="BH21">
        <v>0</v>
      </c>
      <c r="BJ21">
        <v>0</v>
      </c>
      <c r="BO21">
        <v>0</v>
      </c>
      <c r="BR21">
        <v>0</v>
      </c>
      <c r="BW21">
        <v>0</v>
      </c>
      <c r="BX21">
        <v>0</v>
      </c>
      <c r="CB21">
        <v>0</v>
      </c>
      <c r="CD21">
        <v>0</v>
      </c>
      <c r="CE21">
        <v>0</v>
      </c>
      <c r="CF21">
        <v>0</v>
      </c>
      <c r="CG21">
        <v>0</v>
      </c>
      <c r="CK21">
        <v>0</v>
      </c>
      <c r="CL21">
        <v>0</v>
      </c>
      <c r="CP21">
        <v>0</v>
      </c>
      <c r="CR21">
        <v>0</v>
      </c>
      <c r="CS21">
        <v>0</v>
      </c>
      <c r="CU21">
        <v>0</v>
      </c>
      <c r="DA21">
        <v>0</v>
      </c>
      <c r="DB21">
        <v>0</v>
      </c>
      <c r="DC21">
        <v>0</v>
      </c>
      <c r="DF21">
        <v>0</v>
      </c>
      <c r="DJ21">
        <v>0</v>
      </c>
      <c r="DL21">
        <v>0</v>
      </c>
      <c r="DM21">
        <v>0</v>
      </c>
      <c r="DO21">
        <v>0</v>
      </c>
      <c r="DQ21">
        <v>0</v>
      </c>
      <c r="DR21">
        <v>0</v>
      </c>
      <c r="DZ21">
        <v>0</v>
      </c>
      <c r="EC21">
        <v>0</v>
      </c>
      <c r="ED21">
        <v>0</v>
      </c>
      <c r="EE21">
        <v>0</v>
      </c>
      <c r="EF21">
        <v>0</v>
      </c>
      <c r="EN21">
        <v>-0.99</v>
      </c>
      <c r="EO21">
        <v>-1</v>
      </c>
      <c r="FO21">
        <v>-1.3</v>
      </c>
      <c r="FP21">
        <v>3</v>
      </c>
      <c r="FQ21">
        <v>1</v>
      </c>
      <c r="FS21" s="35">
        <f t="shared" ref="FS21:FY21" si="13">FS19-$FZ$19</f>
        <v>-3.5714285714285587E-2</v>
      </c>
      <c r="FT21" s="35">
        <f t="shared" si="13"/>
        <v>0.24553571428571441</v>
      </c>
      <c r="FU21" s="35">
        <f t="shared" si="13"/>
        <v>-0.41071428571428559</v>
      </c>
      <c r="FV21" s="35">
        <f t="shared" si="13"/>
        <v>-4.4642857142855874E-3</v>
      </c>
      <c r="FW21" s="35">
        <f t="shared" si="13"/>
        <v>-0.37946428571428559</v>
      </c>
      <c r="FX21" s="35">
        <f t="shared" si="13"/>
        <v>0.49553571428571441</v>
      </c>
      <c r="FY21" s="35">
        <f t="shared" si="13"/>
        <v>8.9285714285714413E-2</v>
      </c>
      <c r="GB21">
        <v>5.5</v>
      </c>
      <c r="GC21">
        <f t="shared" ref="GC21:GC32" si="14">GB21-1</f>
        <v>4.5</v>
      </c>
      <c r="GD21">
        <f t="shared" ref="GD21:GD32" si="15">GB21-0.5</f>
        <v>5</v>
      </c>
      <c r="GE21">
        <f t="shared" ref="GE21:GE32" si="16">GB21*1</f>
        <v>5.5</v>
      </c>
      <c r="GF21">
        <f t="shared" ref="GF21:GF32" si="17">GB21+0.5</f>
        <v>6</v>
      </c>
      <c r="GG21">
        <f t="shared" ref="GG21:GG32" si="18">GB21+1</f>
        <v>6.5</v>
      </c>
      <c r="GK21" t="s">
        <v>1886</v>
      </c>
      <c r="GL21" t="s">
        <v>1883</v>
      </c>
      <c r="GO21">
        <v>0.25</v>
      </c>
      <c r="GP21">
        <v>1</v>
      </c>
      <c r="GQ21">
        <v>0.66</v>
      </c>
      <c r="GR21">
        <f t="shared" si="11"/>
        <v>0.16500000000000001</v>
      </c>
      <c r="GS21" t="s">
        <v>1892</v>
      </c>
      <c r="GT21">
        <v>4</v>
      </c>
      <c r="GU21">
        <v>93</v>
      </c>
      <c r="GV21">
        <v>68</v>
      </c>
      <c r="GW21">
        <v>34</v>
      </c>
      <c r="GX21">
        <v>28</v>
      </c>
      <c r="GY21">
        <v>1</v>
      </c>
      <c r="GZ21" s="1">
        <f t="shared" si="2"/>
        <v>2.23</v>
      </c>
      <c r="HC21" s="205">
        <v>0</v>
      </c>
      <c r="HD21" t="s">
        <v>1890</v>
      </c>
      <c r="HE21" s="34">
        <f t="shared" si="10"/>
        <v>0</v>
      </c>
      <c r="HF21" s="34">
        <f t="shared" si="9"/>
        <v>0</v>
      </c>
      <c r="HG21" s="34">
        <f t="shared" si="9"/>
        <v>0</v>
      </c>
      <c r="HH21" s="34">
        <f t="shared" si="9"/>
        <v>0</v>
      </c>
      <c r="HI21" s="34">
        <f t="shared" si="9"/>
        <v>0</v>
      </c>
      <c r="HJ21" s="34">
        <f t="shared" si="9"/>
        <v>0</v>
      </c>
      <c r="HK21" s="34">
        <f t="shared" si="9"/>
        <v>0</v>
      </c>
      <c r="HL21" s="34">
        <f t="shared" si="9"/>
        <v>0</v>
      </c>
      <c r="HM21" s="34">
        <f t="shared" si="9"/>
        <v>0</v>
      </c>
      <c r="HN21" s="34">
        <f t="shared" si="9"/>
        <v>0</v>
      </c>
      <c r="HO21" s="34">
        <f t="shared" si="9"/>
        <v>0</v>
      </c>
      <c r="HP21" s="34">
        <f t="shared" si="9"/>
        <v>0</v>
      </c>
      <c r="HQ21" s="34">
        <f t="shared" si="9"/>
        <v>0</v>
      </c>
      <c r="HW21">
        <v>4.5</v>
      </c>
      <c r="HX21">
        <v>1</v>
      </c>
      <c r="IC21">
        <f t="shared" si="8"/>
        <v>19</v>
      </c>
      <c r="ID21" t="s">
        <v>3173</v>
      </c>
      <c r="JB21" s="6" t="s">
        <v>4386</v>
      </c>
      <c r="JE21" t="s">
        <v>3189</v>
      </c>
      <c r="JH21" s="6" t="s">
        <v>3189</v>
      </c>
      <c r="JK21" t="s">
        <v>3191</v>
      </c>
      <c r="JN21" s="6" t="s">
        <v>3192</v>
      </c>
      <c r="JQ21" s="6" t="s">
        <v>3192</v>
      </c>
      <c r="JT21" t="s">
        <v>3191</v>
      </c>
      <c r="JW21" t="s">
        <v>3192</v>
      </c>
      <c r="KC21" t="s">
        <v>4102</v>
      </c>
      <c r="KD21" t="s">
        <v>4422</v>
      </c>
      <c r="KE21">
        <v>4</v>
      </c>
      <c r="KF21" t="s">
        <v>4415</v>
      </c>
      <c r="KG21" t="s">
        <v>4429</v>
      </c>
    </row>
    <row r="22" spans="1:301" x14ac:dyDescent="0.35">
      <c r="C22" t="s">
        <v>166</v>
      </c>
      <c r="E22" t="s">
        <v>164</v>
      </c>
      <c r="F22">
        <v>0.33</v>
      </c>
      <c r="I22">
        <v>0.33</v>
      </c>
      <c r="K22">
        <v>0.33</v>
      </c>
      <c r="O22">
        <v>0</v>
      </c>
      <c r="R22">
        <v>0.33</v>
      </c>
      <c r="Z22">
        <v>0.33</v>
      </c>
      <c r="AA22">
        <v>0.33</v>
      </c>
      <c r="AC22">
        <v>0.33</v>
      </c>
      <c r="AG22">
        <v>0.33</v>
      </c>
      <c r="AI22">
        <v>0.33</v>
      </c>
      <c r="AW22">
        <v>0.33</v>
      </c>
      <c r="AY22">
        <v>0.33</v>
      </c>
      <c r="BC22">
        <v>0.33</v>
      </c>
      <c r="BG22">
        <v>0.33</v>
      </c>
      <c r="BI22">
        <v>0.33</v>
      </c>
      <c r="BN22">
        <v>0.33</v>
      </c>
      <c r="BP22">
        <v>0.33</v>
      </c>
      <c r="BQ22">
        <v>0.33</v>
      </c>
      <c r="BS22">
        <v>0.33</v>
      </c>
      <c r="CC22">
        <v>0.33</v>
      </c>
      <c r="CH22">
        <v>0.33</v>
      </c>
      <c r="CJ22">
        <v>0.33</v>
      </c>
      <c r="CN22">
        <v>0.33</v>
      </c>
      <c r="CO22">
        <v>0.33</v>
      </c>
      <c r="CQ22">
        <v>0.33</v>
      </c>
      <c r="CT22">
        <v>0.33</v>
      </c>
      <c r="DG22">
        <v>0.33</v>
      </c>
      <c r="DI22">
        <v>0.33</v>
      </c>
      <c r="DK22">
        <v>0.33</v>
      </c>
      <c r="DS22">
        <v>0.33</v>
      </c>
      <c r="EI22">
        <v>0.33</v>
      </c>
      <c r="EN22">
        <v>-0.99</v>
      </c>
      <c r="EO22">
        <v>-1</v>
      </c>
      <c r="FO22">
        <v>-1.6</v>
      </c>
      <c r="FP22">
        <v>2</v>
      </c>
      <c r="FQ22">
        <v>0.5</v>
      </c>
      <c r="GB22">
        <v>5</v>
      </c>
      <c r="GC22">
        <f t="shared" si="14"/>
        <v>4</v>
      </c>
      <c r="GD22">
        <f t="shared" si="15"/>
        <v>4.5</v>
      </c>
      <c r="GE22">
        <f t="shared" si="16"/>
        <v>5</v>
      </c>
      <c r="GF22">
        <f t="shared" si="17"/>
        <v>5.5</v>
      </c>
      <c r="GG22">
        <f t="shared" si="18"/>
        <v>6</v>
      </c>
      <c r="GK22" t="s">
        <v>1884</v>
      </c>
      <c r="GL22" t="s">
        <v>1885</v>
      </c>
      <c r="GO22">
        <v>0.25</v>
      </c>
      <c r="GP22">
        <v>1</v>
      </c>
      <c r="GQ22">
        <v>0.33</v>
      </c>
      <c r="GR22">
        <f t="shared" si="11"/>
        <v>8.2500000000000004E-2</v>
      </c>
      <c r="GS22" t="s">
        <v>1891</v>
      </c>
      <c r="GT22">
        <v>5</v>
      </c>
      <c r="GU22">
        <v>98</v>
      </c>
      <c r="GV22">
        <v>34</v>
      </c>
      <c r="GW22">
        <v>65</v>
      </c>
      <c r="GX22">
        <v>27</v>
      </c>
      <c r="GY22">
        <v>9</v>
      </c>
      <c r="GZ22" s="1">
        <f t="shared" si="2"/>
        <v>2.2400000000000002</v>
      </c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W22">
        <v>4.5</v>
      </c>
      <c r="HX22">
        <v>1</v>
      </c>
      <c r="ID22" t="s">
        <v>2336</v>
      </c>
      <c r="KC22" t="s">
        <v>4103</v>
      </c>
      <c r="KD22" t="s">
        <v>4423</v>
      </c>
      <c r="KE22">
        <v>4</v>
      </c>
      <c r="KF22" t="s">
        <v>4416</v>
      </c>
      <c r="KG22" t="s">
        <v>4430</v>
      </c>
    </row>
    <row r="23" spans="1:301" x14ac:dyDescent="0.35">
      <c r="A23" t="s">
        <v>1850</v>
      </c>
      <c r="C23" t="s">
        <v>1826</v>
      </c>
      <c r="E23" t="s">
        <v>1822</v>
      </c>
      <c r="F23">
        <v>0.66</v>
      </c>
      <c r="AF23">
        <v>0.66</v>
      </c>
      <c r="BD23">
        <v>0.66</v>
      </c>
      <c r="CI23">
        <v>0.66</v>
      </c>
      <c r="DH23">
        <v>0.66</v>
      </c>
      <c r="DT23">
        <v>0.66</v>
      </c>
      <c r="DV23">
        <v>0.66</v>
      </c>
      <c r="DW23">
        <v>0.66</v>
      </c>
      <c r="DX23">
        <v>0.66</v>
      </c>
      <c r="DY23">
        <v>0.66</v>
      </c>
      <c r="EB23">
        <v>0.66</v>
      </c>
      <c r="EH23">
        <v>0.66</v>
      </c>
      <c r="EJ23">
        <v>0.66</v>
      </c>
      <c r="EK23">
        <v>0.66</v>
      </c>
      <c r="EN23">
        <v>-0.99</v>
      </c>
      <c r="EO23">
        <v>-1</v>
      </c>
      <c r="EZ23" s="34">
        <v>0.41562500000000002</v>
      </c>
      <c r="FA23" s="34"/>
      <c r="FB23" t="s">
        <v>1848</v>
      </c>
      <c r="FC23" t="s">
        <v>1867</v>
      </c>
      <c r="FO23">
        <v>-2</v>
      </c>
      <c r="FP23">
        <v>1</v>
      </c>
      <c r="FQ23">
        <v>0</v>
      </c>
      <c r="GB23">
        <v>4.5</v>
      </c>
      <c r="GC23">
        <f t="shared" si="14"/>
        <v>3.5</v>
      </c>
      <c r="GD23">
        <f t="shared" si="15"/>
        <v>4</v>
      </c>
      <c r="GE23">
        <f t="shared" si="16"/>
        <v>4.5</v>
      </c>
      <c r="GF23">
        <f t="shared" si="17"/>
        <v>5</v>
      </c>
      <c r="GG23">
        <f t="shared" si="18"/>
        <v>5.5</v>
      </c>
      <c r="GO23">
        <v>0.25</v>
      </c>
      <c r="GP23">
        <v>1</v>
      </c>
      <c r="GQ23">
        <v>0</v>
      </c>
      <c r="GR23">
        <f t="shared" si="11"/>
        <v>0</v>
      </c>
      <c r="GS23" t="s">
        <v>1890</v>
      </c>
      <c r="GT23">
        <v>2</v>
      </c>
      <c r="GU23">
        <v>88</v>
      </c>
      <c r="GV23">
        <v>81</v>
      </c>
      <c r="GW23">
        <v>18</v>
      </c>
      <c r="GX23">
        <v>39</v>
      </c>
      <c r="GY23">
        <v>17</v>
      </c>
      <c r="GZ23" s="1">
        <f t="shared" si="2"/>
        <v>2.2599999999999998</v>
      </c>
      <c r="HC23" s="205">
        <v>2</v>
      </c>
      <c r="HD23" t="s">
        <v>1889</v>
      </c>
      <c r="HE23" s="205">
        <f>-(HE15+0.5)</f>
        <v>0</v>
      </c>
      <c r="HF23" s="205">
        <f t="shared" ref="HF23:HJ23" si="19">-(HF15+0.5)</f>
        <v>-8.3333333333333315E-2</v>
      </c>
      <c r="HG23" s="205">
        <f t="shared" si="19"/>
        <v>-0.16666666666666669</v>
      </c>
      <c r="HH23" s="205">
        <f t="shared" si="19"/>
        <v>-0.25</v>
      </c>
      <c r="HI23" s="205">
        <f t="shared" si="19"/>
        <v>-0.66666666666666663</v>
      </c>
      <c r="HJ23" s="205">
        <f t="shared" si="19"/>
        <v>-0.41666666666666669</v>
      </c>
      <c r="HK23" s="205">
        <f t="shared" ref="HK23:HQ23" si="20">HK15+0.5</f>
        <v>0.5</v>
      </c>
      <c r="HL23" s="205">
        <f t="shared" si="20"/>
        <v>0.58333333333333337</v>
      </c>
      <c r="HM23" s="205">
        <f t="shared" si="20"/>
        <v>0.66666666666666663</v>
      </c>
      <c r="HN23" s="205">
        <f t="shared" si="20"/>
        <v>0.75</v>
      </c>
      <c r="HO23" s="205">
        <f t="shared" si="20"/>
        <v>0.83333333333333326</v>
      </c>
      <c r="HP23" s="205">
        <f t="shared" si="20"/>
        <v>0.91666666666666674</v>
      </c>
      <c r="HQ23" s="205">
        <f t="shared" si="20"/>
        <v>1</v>
      </c>
      <c r="HW23">
        <v>4.5</v>
      </c>
      <c r="HX23">
        <v>1</v>
      </c>
      <c r="ID23" t="s">
        <v>3913</v>
      </c>
      <c r="KC23" t="s">
        <v>4104</v>
      </c>
      <c r="KD23" t="s">
        <v>4424</v>
      </c>
      <c r="KE23">
        <v>4</v>
      </c>
      <c r="KF23" t="s">
        <v>4417</v>
      </c>
      <c r="KG23" t="s">
        <v>4431</v>
      </c>
    </row>
    <row r="24" spans="1:301" x14ac:dyDescent="0.35">
      <c r="EN24">
        <v>-0.99</v>
      </c>
      <c r="EO24">
        <v>-1</v>
      </c>
      <c r="EZ24" s="34">
        <v>0.24937500000000001</v>
      </c>
      <c r="FA24" s="34"/>
      <c r="FB24" t="s">
        <v>1862</v>
      </c>
      <c r="FC24" t="s">
        <v>1867</v>
      </c>
      <c r="FZ24">
        <v>34</v>
      </c>
      <c r="GB24">
        <v>4</v>
      </c>
      <c r="GC24">
        <f t="shared" si="14"/>
        <v>3</v>
      </c>
      <c r="GD24">
        <f t="shared" si="15"/>
        <v>3.5</v>
      </c>
      <c r="GE24">
        <f t="shared" si="16"/>
        <v>4</v>
      </c>
      <c r="GF24">
        <f t="shared" si="17"/>
        <v>4.5</v>
      </c>
      <c r="GG24">
        <f t="shared" si="18"/>
        <v>5</v>
      </c>
      <c r="GI24">
        <v>0.15</v>
      </c>
      <c r="GJ24">
        <v>1</v>
      </c>
      <c r="GK24">
        <f t="shared" ref="GK24:GK29" si="21">GI24*GJ24</f>
        <v>0.15</v>
      </c>
      <c r="GU24">
        <v>59</v>
      </c>
      <c r="GV24">
        <v>96</v>
      </c>
      <c r="GW24">
        <v>8</v>
      </c>
      <c r="GX24">
        <v>69</v>
      </c>
      <c r="GY24">
        <v>18</v>
      </c>
      <c r="GZ24" s="6">
        <f t="shared" si="2"/>
        <v>2.3199999999999998</v>
      </c>
      <c r="HC24" s="205">
        <f>5/3</f>
        <v>1.6666666666666667</v>
      </c>
      <c r="HD24" t="s">
        <v>1894</v>
      </c>
      <c r="HE24" s="205">
        <f t="shared" ref="HE24:HJ24" si="22">-(HE16+0.5)</f>
        <v>-8.3333333333333315E-2</v>
      </c>
      <c r="HF24" s="205">
        <f t="shared" si="22"/>
        <v>-0.15277777777777773</v>
      </c>
      <c r="HG24" s="205">
        <f t="shared" si="22"/>
        <v>-0.22222222222222221</v>
      </c>
      <c r="HH24" s="205">
        <f t="shared" si="22"/>
        <v>-0.29166666666666663</v>
      </c>
      <c r="HI24" s="205">
        <f t="shared" si="22"/>
        <v>-0.63888888888888884</v>
      </c>
      <c r="HJ24" s="205">
        <f t="shared" si="22"/>
        <v>-0.43055555555555558</v>
      </c>
      <c r="HK24" s="205">
        <f t="shared" ref="HK24:HQ24" si="23">HK16+0.5</f>
        <v>0.5</v>
      </c>
      <c r="HL24" s="205">
        <f t="shared" si="23"/>
        <v>0.56944444444444442</v>
      </c>
      <c r="HM24" s="205">
        <f t="shared" si="23"/>
        <v>0.63888888888888884</v>
      </c>
      <c r="HN24" s="205">
        <f t="shared" si="23"/>
        <v>0.70833333333333337</v>
      </c>
      <c r="HO24" s="205">
        <f t="shared" si="23"/>
        <v>0.77777777777777779</v>
      </c>
      <c r="HP24" s="205">
        <f t="shared" si="23"/>
        <v>0.84722222222222232</v>
      </c>
      <c r="HQ24" s="205">
        <f t="shared" si="23"/>
        <v>0.91666666666666674</v>
      </c>
      <c r="HW24">
        <v>4.5</v>
      </c>
      <c r="HX24">
        <v>1</v>
      </c>
      <c r="ID24" t="s">
        <v>959</v>
      </c>
      <c r="KC24" t="s">
        <v>4105</v>
      </c>
      <c r="KD24" t="s">
        <v>4425</v>
      </c>
      <c r="KE24">
        <v>4</v>
      </c>
      <c r="KF24" t="s">
        <v>4418</v>
      </c>
      <c r="KG24" t="s">
        <v>4432</v>
      </c>
    </row>
    <row r="25" spans="1:301" x14ac:dyDescent="0.35">
      <c r="D25" t="s">
        <v>1816</v>
      </c>
      <c r="EN25">
        <v>-0.66</v>
      </c>
      <c r="EO25">
        <v>-0.66</v>
      </c>
      <c r="EZ25" s="34">
        <v>0.14437500000000003</v>
      </c>
      <c r="FA25" s="34"/>
      <c r="FB25" t="s">
        <v>1849</v>
      </c>
      <c r="FC25" t="s">
        <v>1867</v>
      </c>
      <c r="FZ25">
        <f>112-34-37</f>
        <v>41</v>
      </c>
      <c r="GB25">
        <v>3.5</v>
      </c>
      <c r="GC25">
        <f t="shared" si="14"/>
        <v>2.5</v>
      </c>
      <c r="GD25">
        <f t="shared" si="15"/>
        <v>3</v>
      </c>
      <c r="GE25">
        <f t="shared" si="16"/>
        <v>3.5</v>
      </c>
      <c r="GF25">
        <f t="shared" si="17"/>
        <v>4</v>
      </c>
      <c r="GG25">
        <f t="shared" si="18"/>
        <v>4.5</v>
      </c>
      <c r="GI25">
        <v>0.15</v>
      </c>
      <c r="GJ25">
        <v>2</v>
      </c>
      <c r="GK25">
        <f t="shared" si="21"/>
        <v>0.3</v>
      </c>
      <c r="GU25">
        <v>38</v>
      </c>
      <c r="GV25">
        <v>98</v>
      </c>
      <c r="GW25">
        <v>48</v>
      </c>
      <c r="GX25">
        <v>49</v>
      </c>
      <c r="GY25">
        <v>13</v>
      </c>
      <c r="GZ25" s="6">
        <f t="shared" si="2"/>
        <v>2.33</v>
      </c>
      <c r="HC25" s="205">
        <f>4/3</f>
        <v>1.3333333333333333</v>
      </c>
      <c r="HD25" t="s">
        <v>1893</v>
      </c>
      <c r="HE25" s="205">
        <f t="shared" ref="HE25:HJ25" si="24">-(HE17+0.5)</f>
        <v>-0.16666666666666669</v>
      </c>
      <c r="HF25" s="205">
        <f t="shared" si="24"/>
        <v>-0.22222222222222221</v>
      </c>
      <c r="HG25" s="205">
        <f t="shared" si="24"/>
        <v>-0.27777777777777779</v>
      </c>
      <c r="HH25" s="205">
        <f t="shared" si="24"/>
        <v>-0.33333333333333337</v>
      </c>
      <c r="HI25" s="205">
        <f t="shared" si="24"/>
        <v>-0.61111111111111116</v>
      </c>
      <c r="HJ25" s="205">
        <f t="shared" si="24"/>
        <v>-0.44444444444444442</v>
      </c>
      <c r="HK25" s="205">
        <f t="shared" ref="HK25:HQ25" si="25">HK17+0.5</f>
        <v>0.5</v>
      </c>
      <c r="HL25" s="205">
        <f t="shared" si="25"/>
        <v>0.55555555555555558</v>
      </c>
      <c r="HM25" s="205">
        <f t="shared" si="25"/>
        <v>0.61111111111111116</v>
      </c>
      <c r="HN25" s="205">
        <f t="shared" si="25"/>
        <v>0.66666666666666663</v>
      </c>
      <c r="HO25" s="205">
        <f t="shared" si="25"/>
        <v>0.72222222222222221</v>
      </c>
      <c r="HP25" s="205">
        <f t="shared" si="25"/>
        <v>0.77777777777777779</v>
      </c>
      <c r="HQ25" s="205">
        <f t="shared" si="25"/>
        <v>0.83333333333333326</v>
      </c>
      <c r="HW25">
        <v>4</v>
      </c>
      <c r="HX25">
        <v>0.66666666666666663</v>
      </c>
    </row>
    <row r="26" spans="1:301" x14ac:dyDescent="0.35">
      <c r="E26" t="s">
        <v>1827</v>
      </c>
      <c r="F26">
        <v>-0.66</v>
      </c>
      <c r="G26">
        <v>-0.66</v>
      </c>
      <c r="N26">
        <v>-0.66</v>
      </c>
      <c r="O26">
        <v>-0.66</v>
      </c>
      <c r="AM26">
        <v>-0.66</v>
      </c>
      <c r="AV26">
        <v>-0.66</v>
      </c>
      <c r="BM26">
        <v>-0.66</v>
      </c>
      <c r="CZ26">
        <v>-0.66</v>
      </c>
      <c r="DP26">
        <v>-0.66</v>
      </c>
      <c r="DZ26">
        <v>-0.66</v>
      </c>
      <c r="EN26">
        <v>-0.66</v>
      </c>
      <c r="EO26">
        <v>-0.66</v>
      </c>
      <c r="EZ26" s="34">
        <v>8.2500000000000018E-2</v>
      </c>
      <c r="FA26" s="34"/>
      <c r="FB26" t="s">
        <v>1864</v>
      </c>
      <c r="FC26" t="s">
        <v>1868</v>
      </c>
      <c r="FZ26">
        <v>37</v>
      </c>
      <c r="GB26">
        <v>3</v>
      </c>
      <c r="GC26">
        <f t="shared" si="14"/>
        <v>2</v>
      </c>
      <c r="GD26">
        <f t="shared" si="15"/>
        <v>2.5</v>
      </c>
      <c r="GE26">
        <f t="shared" si="16"/>
        <v>3</v>
      </c>
      <c r="GF26">
        <f t="shared" si="17"/>
        <v>3.5</v>
      </c>
      <c r="GG26">
        <f t="shared" si="18"/>
        <v>4</v>
      </c>
      <c r="GI26">
        <v>0.15</v>
      </c>
      <c r="GJ26">
        <v>3</v>
      </c>
      <c r="GK26">
        <f t="shared" si="21"/>
        <v>0.44999999999999996</v>
      </c>
      <c r="GU26">
        <v>36</v>
      </c>
      <c r="GV26">
        <v>25</v>
      </c>
      <c r="GW26">
        <v>79</v>
      </c>
      <c r="GX26">
        <v>97</v>
      </c>
      <c r="GY26">
        <v>3</v>
      </c>
      <c r="GZ26" s="6">
        <f t="shared" si="2"/>
        <v>2.37</v>
      </c>
      <c r="HC26" s="205">
        <v>1</v>
      </c>
      <c r="HD26" t="s">
        <v>1821</v>
      </c>
      <c r="HE26" s="205">
        <f t="shared" ref="HE26:HJ26" si="26">-(HE18+0.5)</f>
        <v>-0.25</v>
      </c>
      <c r="HF26" s="205">
        <f t="shared" si="26"/>
        <v>-0.29166666666666663</v>
      </c>
      <c r="HG26" s="205">
        <f t="shared" si="26"/>
        <v>-0.33333333333333337</v>
      </c>
      <c r="HH26" s="205">
        <f t="shared" si="26"/>
        <v>-0.375</v>
      </c>
      <c r="HI26" s="205">
        <f t="shared" si="26"/>
        <v>-0.58333333333333337</v>
      </c>
      <c r="HJ26" s="205">
        <f t="shared" si="26"/>
        <v>-0.45833333333333331</v>
      </c>
      <c r="HK26" s="205">
        <f t="shared" ref="HK26:HQ26" si="27">HK18+0.5</f>
        <v>0.5</v>
      </c>
      <c r="HL26" s="205">
        <f t="shared" si="27"/>
        <v>0.54166666666666663</v>
      </c>
      <c r="HM26" s="205">
        <f t="shared" si="27"/>
        <v>0.58333333333333337</v>
      </c>
      <c r="HN26" s="205">
        <f t="shared" si="27"/>
        <v>0.625</v>
      </c>
      <c r="HO26" s="205">
        <f t="shared" si="27"/>
        <v>0.66666666666666663</v>
      </c>
      <c r="HP26" s="205">
        <f t="shared" si="27"/>
        <v>0.70833333333333337</v>
      </c>
      <c r="HQ26" s="205">
        <f t="shared" si="27"/>
        <v>0.75</v>
      </c>
      <c r="HW26">
        <v>4</v>
      </c>
      <c r="HX26">
        <v>0.66666666666666663</v>
      </c>
    </row>
    <row r="27" spans="1:301" x14ac:dyDescent="0.35">
      <c r="E27" t="s">
        <v>1828</v>
      </c>
      <c r="F27">
        <v>-0.33</v>
      </c>
      <c r="J27">
        <v>-0.33</v>
      </c>
      <c r="V27">
        <v>-0.33</v>
      </c>
      <c r="X27">
        <v>-0.33</v>
      </c>
      <c r="AE27">
        <v>-0.33</v>
      </c>
      <c r="AH27">
        <v>-0.33</v>
      </c>
      <c r="AL27">
        <v>-0.33</v>
      </c>
      <c r="AT27">
        <v>-0.33</v>
      </c>
      <c r="AU27">
        <v>-0.33</v>
      </c>
      <c r="BA27">
        <v>-0.33</v>
      </c>
      <c r="BK27">
        <v>-0.33</v>
      </c>
      <c r="BL27">
        <v>-0.33</v>
      </c>
      <c r="BR27">
        <v>-0.33</v>
      </c>
      <c r="BT27">
        <v>-0.33</v>
      </c>
      <c r="BU27">
        <v>-0.33</v>
      </c>
      <c r="BY27">
        <v>-0.33</v>
      </c>
      <c r="BZ27">
        <v>-0.33</v>
      </c>
      <c r="CA27">
        <v>-0.33</v>
      </c>
      <c r="CV27">
        <v>-0.33</v>
      </c>
      <c r="CW27">
        <v>-0.33</v>
      </c>
      <c r="CX27">
        <v>-0.33</v>
      </c>
      <c r="CY27">
        <v>-0.33</v>
      </c>
      <c r="DX27">
        <v>-0.33</v>
      </c>
      <c r="EG27">
        <v>-0.33</v>
      </c>
      <c r="EN27">
        <v>-0.66</v>
      </c>
      <c r="EO27">
        <v>-0.66</v>
      </c>
      <c r="EZ27" s="34">
        <v>6.2500000000000014E-2</v>
      </c>
      <c r="FA27" s="34"/>
      <c r="FB27" t="s">
        <v>1861</v>
      </c>
      <c r="FC27" t="s">
        <v>1866</v>
      </c>
      <c r="GB27">
        <v>2.5</v>
      </c>
      <c r="GC27">
        <f t="shared" si="14"/>
        <v>1.5</v>
      </c>
      <c r="GD27">
        <f t="shared" si="15"/>
        <v>2</v>
      </c>
      <c r="GE27">
        <f t="shared" si="16"/>
        <v>2.5</v>
      </c>
      <c r="GF27">
        <f t="shared" si="17"/>
        <v>3</v>
      </c>
      <c r="GG27">
        <f t="shared" si="18"/>
        <v>3.5</v>
      </c>
      <c r="GI27">
        <v>0.15</v>
      </c>
      <c r="GJ27">
        <v>4</v>
      </c>
      <c r="GK27">
        <f t="shared" si="21"/>
        <v>0.6</v>
      </c>
      <c r="GU27">
        <v>82</v>
      </c>
      <c r="GV27">
        <v>86</v>
      </c>
      <c r="GW27">
        <v>9</v>
      </c>
      <c r="GX27">
        <v>62</v>
      </c>
      <c r="GY27">
        <v>28</v>
      </c>
      <c r="GZ27" s="6">
        <f t="shared" si="2"/>
        <v>2.39</v>
      </c>
      <c r="HC27" s="205">
        <f>2/3</f>
        <v>0.66666666666666663</v>
      </c>
      <c r="HD27" t="s">
        <v>1892</v>
      </c>
      <c r="HE27" s="205">
        <f t="shared" ref="HE27:HJ27" si="28">-(HE19+0.5)</f>
        <v>-0.33333333333333337</v>
      </c>
      <c r="HF27" s="205">
        <f t="shared" si="28"/>
        <v>-0.3611111111111111</v>
      </c>
      <c r="HG27" s="205">
        <f t="shared" si="28"/>
        <v>-0.3888888888888889</v>
      </c>
      <c r="HH27" s="205">
        <f t="shared" si="28"/>
        <v>-0.41666666666666669</v>
      </c>
      <c r="HI27" s="205">
        <f t="shared" si="28"/>
        <v>-0.55555555555555558</v>
      </c>
      <c r="HJ27" s="205">
        <f t="shared" si="28"/>
        <v>-0.47222222222222221</v>
      </c>
      <c r="HK27" s="205">
        <f t="shared" ref="HK27:HQ27" si="29">HK19+0.5</f>
        <v>0.5</v>
      </c>
      <c r="HL27" s="205">
        <f t="shared" si="29"/>
        <v>0.52777777777777779</v>
      </c>
      <c r="HM27" s="205">
        <f t="shared" si="29"/>
        <v>0.55555555555555558</v>
      </c>
      <c r="HN27" s="205">
        <f t="shared" si="29"/>
        <v>0.58333333333333337</v>
      </c>
      <c r="HO27" s="205">
        <f t="shared" si="29"/>
        <v>0.61111111111111116</v>
      </c>
      <c r="HP27" s="205">
        <f t="shared" si="29"/>
        <v>0.63888888888888884</v>
      </c>
      <c r="HQ27" s="205">
        <f t="shared" si="29"/>
        <v>0.66666666666666663</v>
      </c>
      <c r="HW27">
        <v>4</v>
      </c>
      <c r="HX27">
        <v>0.66666666666666663</v>
      </c>
    </row>
    <row r="28" spans="1:301" x14ac:dyDescent="0.35">
      <c r="E28" t="s">
        <v>1829</v>
      </c>
      <c r="F28">
        <v>0</v>
      </c>
      <c r="I28">
        <v>0</v>
      </c>
      <c r="L28">
        <v>0</v>
      </c>
      <c r="P28">
        <v>0</v>
      </c>
      <c r="R28">
        <v>0</v>
      </c>
      <c r="T28">
        <v>0</v>
      </c>
      <c r="U28">
        <v>0</v>
      </c>
      <c r="Y28">
        <v>0</v>
      </c>
      <c r="AB28">
        <v>0</v>
      </c>
      <c r="AD28">
        <v>0</v>
      </c>
      <c r="AJ28">
        <v>0</v>
      </c>
      <c r="AK28">
        <v>0</v>
      </c>
      <c r="AO28">
        <v>0</v>
      </c>
      <c r="AP28">
        <v>0</v>
      </c>
      <c r="AR28">
        <v>0</v>
      </c>
      <c r="AS28">
        <v>0</v>
      </c>
      <c r="AZ28">
        <v>0</v>
      </c>
      <c r="BB28">
        <v>0</v>
      </c>
      <c r="BF28">
        <v>0</v>
      </c>
      <c r="BH28">
        <v>0</v>
      </c>
      <c r="BJ28">
        <v>0</v>
      </c>
      <c r="BO28">
        <v>0</v>
      </c>
      <c r="BW28">
        <v>0</v>
      </c>
      <c r="BX28">
        <v>0</v>
      </c>
      <c r="CB28">
        <v>0</v>
      </c>
      <c r="CD28">
        <v>0</v>
      </c>
      <c r="CE28">
        <v>0</v>
      </c>
      <c r="CF28">
        <v>0</v>
      </c>
      <c r="CG28">
        <v>0</v>
      </c>
      <c r="CK28">
        <v>0</v>
      </c>
      <c r="CL28">
        <v>0</v>
      </c>
      <c r="CP28">
        <v>0</v>
      </c>
      <c r="CR28">
        <v>0</v>
      </c>
      <c r="CS28">
        <v>0</v>
      </c>
      <c r="CU28">
        <v>0</v>
      </c>
      <c r="DA28">
        <v>0</v>
      </c>
      <c r="DB28">
        <v>0</v>
      </c>
      <c r="DC28">
        <v>0</v>
      </c>
      <c r="DE28">
        <v>0</v>
      </c>
      <c r="DF28">
        <v>0</v>
      </c>
      <c r="DJ28">
        <v>0</v>
      </c>
      <c r="DL28">
        <v>0</v>
      </c>
      <c r="DM28">
        <v>0</v>
      </c>
      <c r="DN28">
        <v>0</v>
      </c>
      <c r="DO28">
        <v>0</v>
      </c>
      <c r="DQ28">
        <v>0</v>
      </c>
      <c r="DR28">
        <v>0</v>
      </c>
      <c r="DV28">
        <v>0</v>
      </c>
      <c r="DW28">
        <v>0</v>
      </c>
      <c r="DY28">
        <v>0</v>
      </c>
      <c r="EB28">
        <v>0</v>
      </c>
      <c r="ED28">
        <v>0</v>
      </c>
      <c r="EE28">
        <v>0</v>
      </c>
      <c r="EF28">
        <v>0</v>
      </c>
      <c r="EH28">
        <v>0</v>
      </c>
      <c r="EJ28">
        <v>0</v>
      </c>
      <c r="EN28">
        <v>-0.33</v>
      </c>
      <c r="EO28">
        <v>-0.33</v>
      </c>
      <c r="EZ28" s="34">
        <v>-0.14687499999999995</v>
      </c>
      <c r="FA28" s="34"/>
      <c r="FB28" t="s">
        <v>1865</v>
      </c>
      <c r="FC28" t="s">
        <v>1868</v>
      </c>
      <c r="GB28">
        <v>2</v>
      </c>
      <c r="GC28">
        <f t="shared" si="14"/>
        <v>1</v>
      </c>
      <c r="GD28">
        <f t="shared" si="15"/>
        <v>1.5</v>
      </c>
      <c r="GE28">
        <f t="shared" si="16"/>
        <v>2</v>
      </c>
      <c r="GF28">
        <f t="shared" si="17"/>
        <v>2.5</v>
      </c>
      <c r="GG28">
        <f t="shared" si="18"/>
        <v>3</v>
      </c>
      <c r="GI28">
        <v>0.15</v>
      </c>
      <c r="GJ28">
        <v>5</v>
      </c>
      <c r="GK28">
        <f t="shared" si="21"/>
        <v>0.75</v>
      </c>
      <c r="GU28">
        <v>95</v>
      </c>
      <c r="GV28">
        <v>32</v>
      </c>
      <c r="GW28">
        <v>97</v>
      </c>
      <c r="GX28">
        <v>39</v>
      </c>
      <c r="GY28">
        <v>2</v>
      </c>
      <c r="GZ28" s="1">
        <f t="shared" si="2"/>
        <v>2.63</v>
      </c>
      <c r="HC28" s="205">
        <f>1/3</f>
        <v>0.33333333333333331</v>
      </c>
      <c r="HD28" t="s">
        <v>1891</v>
      </c>
      <c r="HE28" s="205">
        <f t="shared" ref="HE28:HJ28" si="30">-(HE20+0.5)</f>
        <v>-0.41666666666666669</v>
      </c>
      <c r="HF28" s="205">
        <f t="shared" si="30"/>
        <v>-0.43055555555555558</v>
      </c>
      <c r="HG28" s="205">
        <f t="shared" si="30"/>
        <v>-0.44444444444444442</v>
      </c>
      <c r="HH28" s="205">
        <f t="shared" si="30"/>
        <v>-0.45833333333333331</v>
      </c>
      <c r="HI28" s="205">
        <f t="shared" si="30"/>
        <v>-0.52777777777777779</v>
      </c>
      <c r="HJ28" s="205">
        <f t="shared" si="30"/>
        <v>-0.4861111111111111</v>
      </c>
      <c r="HK28" s="205">
        <f t="shared" ref="HK28:HQ28" si="31">HK20+0.5</f>
        <v>0.5</v>
      </c>
      <c r="HL28" s="205">
        <f t="shared" si="31"/>
        <v>0.51388888888888884</v>
      </c>
      <c r="HM28" s="205">
        <f t="shared" si="31"/>
        <v>0.52777777777777779</v>
      </c>
      <c r="HN28" s="205">
        <f t="shared" si="31"/>
        <v>0.54166666666666663</v>
      </c>
      <c r="HO28" s="205">
        <f t="shared" si="31"/>
        <v>0.55555555555555558</v>
      </c>
      <c r="HP28" s="205">
        <f t="shared" si="31"/>
        <v>0.56944444444444442</v>
      </c>
      <c r="HQ28" s="205">
        <f t="shared" si="31"/>
        <v>0.58333333333333337</v>
      </c>
      <c r="HW28">
        <v>4</v>
      </c>
      <c r="HX28">
        <v>0.66666666666666663</v>
      </c>
      <c r="JV28">
        <v>1</v>
      </c>
      <c r="JW28">
        <v>2</v>
      </c>
      <c r="JX28">
        <v>3</v>
      </c>
      <c r="JY28" t="s">
        <v>4388</v>
      </c>
      <c r="JZ28">
        <v>4</v>
      </c>
      <c r="KA28" t="s">
        <v>4388</v>
      </c>
      <c r="KB28" t="s">
        <v>4389</v>
      </c>
      <c r="KC28">
        <v>5</v>
      </c>
    </row>
    <row r="29" spans="1:301" x14ac:dyDescent="0.35">
      <c r="E29" t="s">
        <v>166</v>
      </c>
      <c r="F29">
        <v>0.33</v>
      </c>
      <c r="K29">
        <v>0.33</v>
      </c>
      <c r="Q29">
        <v>0.33</v>
      </c>
      <c r="AA29">
        <v>0.33</v>
      </c>
      <c r="AC29">
        <v>0.33</v>
      </c>
      <c r="AG29">
        <v>0.33</v>
      </c>
      <c r="AI29">
        <v>0.33</v>
      </c>
      <c r="AW29">
        <v>0.33</v>
      </c>
      <c r="AY29">
        <v>0.33</v>
      </c>
      <c r="BC29">
        <v>0.33</v>
      </c>
      <c r="BG29">
        <v>0.33</v>
      </c>
      <c r="BI29">
        <v>0.33</v>
      </c>
      <c r="BN29">
        <v>0.33</v>
      </c>
      <c r="BP29">
        <v>0.33</v>
      </c>
      <c r="BQ29">
        <v>0.33</v>
      </c>
      <c r="BS29">
        <v>0.33</v>
      </c>
      <c r="CC29">
        <v>0.33</v>
      </c>
      <c r="CH29">
        <v>0.33</v>
      </c>
      <c r="CJ29">
        <v>0.33</v>
      </c>
      <c r="CN29">
        <v>0.33</v>
      </c>
      <c r="CO29">
        <v>0.33</v>
      </c>
      <c r="CQ29">
        <v>0.33</v>
      </c>
      <c r="CT29">
        <v>0.33</v>
      </c>
      <c r="DI29">
        <v>0.33</v>
      </c>
      <c r="DS29">
        <v>0.33</v>
      </c>
      <c r="EC29">
        <v>0.33</v>
      </c>
      <c r="EI29">
        <v>0.33</v>
      </c>
      <c r="EK29">
        <v>0.33</v>
      </c>
      <c r="EN29">
        <v>-0.33</v>
      </c>
      <c r="EO29">
        <v>-0.33</v>
      </c>
      <c r="EZ29" s="34">
        <v>-0.1875</v>
      </c>
      <c r="FA29" s="34"/>
      <c r="FB29" t="s">
        <v>1863</v>
      </c>
      <c r="FC29" t="s">
        <v>1877</v>
      </c>
      <c r="GB29">
        <v>1.5</v>
      </c>
      <c r="GC29">
        <f t="shared" si="14"/>
        <v>0.5</v>
      </c>
      <c r="GD29">
        <f t="shared" si="15"/>
        <v>1</v>
      </c>
      <c r="GE29">
        <f t="shared" si="16"/>
        <v>1.5</v>
      </c>
      <c r="GF29">
        <f t="shared" si="17"/>
        <v>2</v>
      </c>
      <c r="GG29">
        <f t="shared" si="18"/>
        <v>2.5</v>
      </c>
      <c r="GI29">
        <v>0.15</v>
      </c>
      <c r="GJ29">
        <v>6</v>
      </c>
      <c r="GK29">
        <f t="shared" si="21"/>
        <v>0.89999999999999991</v>
      </c>
      <c r="GU29">
        <v>75</v>
      </c>
      <c r="GV29">
        <v>59</v>
      </c>
      <c r="GW29">
        <v>93</v>
      </c>
      <c r="GX29">
        <v>94</v>
      </c>
      <c r="GY29">
        <v>24</v>
      </c>
      <c r="GZ29" s="6">
        <f t="shared" si="2"/>
        <v>3.21</v>
      </c>
      <c r="HC29" s="205">
        <v>0</v>
      </c>
      <c r="HD29" t="s">
        <v>1890</v>
      </c>
      <c r="HE29" s="205">
        <f t="shared" ref="HE29:HJ29" si="32">-(HE21+0.5)</f>
        <v>-0.5</v>
      </c>
      <c r="HF29" s="205">
        <f t="shared" si="32"/>
        <v>-0.5</v>
      </c>
      <c r="HG29" s="205">
        <f t="shared" si="32"/>
        <v>-0.5</v>
      </c>
      <c r="HH29" s="205">
        <f t="shared" si="32"/>
        <v>-0.5</v>
      </c>
      <c r="HI29" s="205">
        <f t="shared" si="32"/>
        <v>-0.5</v>
      </c>
      <c r="HJ29" s="205">
        <f t="shared" si="32"/>
        <v>-0.5</v>
      </c>
      <c r="HK29" s="205">
        <f t="shared" ref="HK29:HQ29" si="33">HK21+0.5</f>
        <v>0.5</v>
      </c>
      <c r="HL29" s="205">
        <f t="shared" si="33"/>
        <v>0.5</v>
      </c>
      <c r="HM29" s="205">
        <f t="shared" si="33"/>
        <v>0.5</v>
      </c>
      <c r="HN29" s="205">
        <f t="shared" si="33"/>
        <v>0.5</v>
      </c>
      <c r="HO29" s="205">
        <f t="shared" si="33"/>
        <v>0.5</v>
      </c>
      <c r="HP29" s="205">
        <f t="shared" si="33"/>
        <v>0.5</v>
      </c>
      <c r="HQ29" s="205">
        <f t="shared" si="33"/>
        <v>0.5</v>
      </c>
      <c r="HW29">
        <v>4</v>
      </c>
      <c r="HX29">
        <v>0.66666666666666663</v>
      </c>
      <c r="JJ29">
        <v>0.25</v>
      </c>
      <c r="JK29">
        <v>2.25</v>
      </c>
      <c r="JN29" t="s">
        <v>3355</v>
      </c>
      <c r="JP29">
        <v>0.75</v>
      </c>
      <c r="JR29" t="s">
        <v>3358</v>
      </c>
    </row>
    <row r="30" spans="1:301" x14ac:dyDescent="0.35">
      <c r="E30" t="s">
        <v>1826</v>
      </c>
      <c r="F30">
        <v>0.66</v>
      </c>
      <c r="H30">
        <v>0.66</v>
      </c>
      <c r="M30">
        <v>0.66</v>
      </c>
      <c r="S30">
        <v>0.66</v>
      </c>
      <c r="Z30">
        <v>0.66</v>
      </c>
      <c r="AF30">
        <v>0.66</v>
      </c>
      <c r="AQ30">
        <v>0.66</v>
      </c>
      <c r="AX30">
        <v>0.66</v>
      </c>
      <c r="BD30">
        <v>0.66</v>
      </c>
      <c r="CI30">
        <v>0.66</v>
      </c>
      <c r="DG30">
        <v>0.66</v>
      </c>
      <c r="DH30">
        <v>0.66</v>
      </c>
      <c r="DK30">
        <v>0.66</v>
      </c>
      <c r="DT30">
        <v>0.66</v>
      </c>
      <c r="EA30">
        <v>0.66</v>
      </c>
      <c r="EN30">
        <v>-0.33</v>
      </c>
      <c r="EO30">
        <v>-0.33</v>
      </c>
      <c r="GB30">
        <v>1</v>
      </c>
      <c r="GC30">
        <f t="shared" si="14"/>
        <v>0</v>
      </c>
      <c r="GD30">
        <f t="shared" si="15"/>
        <v>0.5</v>
      </c>
      <c r="GE30">
        <f t="shared" si="16"/>
        <v>1</v>
      </c>
      <c r="GF30">
        <f t="shared" si="17"/>
        <v>1.5</v>
      </c>
      <c r="GG30">
        <f t="shared" si="18"/>
        <v>2</v>
      </c>
      <c r="HE30" s="205"/>
      <c r="HF30" s="205"/>
      <c r="HG30" s="205"/>
      <c r="HH30" s="205"/>
      <c r="HI30" s="205"/>
      <c r="HJ30" s="205"/>
      <c r="HK30" s="205"/>
      <c r="HL30" s="205"/>
      <c r="HM30" s="205"/>
      <c r="HN30" s="205"/>
      <c r="HO30" s="205"/>
      <c r="HP30" s="205"/>
      <c r="HQ30" s="205"/>
      <c r="HW30">
        <v>4</v>
      </c>
      <c r="HX30">
        <v>0.66666666666666663</v>
      </c>
      <c r="JJ30">
        <v>1.25</v>
      </c>
      <c r="JK30">
        <v>0.75</v>
      </c>
      <c r="JN30" t="s">
        <v>3356</v>
      </c>
      <c r="JP30">
        <v>-0.25</v>
      </c>
      <c r="JR30" t="s">
        <v>3357</v>
      </c>
    </row>
    <row r="31" spans="1:301" x14ac:dyDescent="0.35">
      <c r="EN31">
        <v>-0.33</v>
      </c>
      <c r="EO31">
        <v>-0.33</v>
      </c>
      <c r="GB31">
        <v>0.5</v>
      </c>
      <c r="GC31">
        <f t="shared" si="14"/>
        <v>-0.5</v>
      </c>
      <c r="GD31">
        <f t="shared" si="15"/>
        <v>0</v>
      </c>
      <c r="GE31">
        <f t="shared" si="16"/>
        <v>0.5</v>
      </c>
      <c r="GF31">
        <f t="shared" si="17"/>
        <v>1</v>
      </c>
      <c r="GG31">
        <f t="shared" si="18"/>
        <v>1.5</v>
      </c>
      <c r="HW31">
        <v>4</v>
      </c>
      <c r="HX31">
        <v>0.66666666666666663</v>
      </c>
    </row>
    <row r="32" spans="1:301" x14ac:dyDescent="0.35">
      <c r="EN32">
        <v>-0.33</v>
      </c>
      <c r="EO32">
        <v>-0.33</v>
      </c>
      <c r="GB32">
        <v>0</v>
      </c>
      <c r="GC32">
        <f t="shared" si="14"/>
        <v>-1</v>
      </c>
      <c r="GD32">
        <f t="shared" si="15"/>
        <v>-0.5</v>
      </c>
      <c r="GE32">
        <f t="shared" si="16"/>
        <v>0</v>
      </c>
      <c r="GF32">
        <f t="shared" si="17"/>
        <v>0.5</v>
      </c>
      <c r="GG32">
        <f t="shared" si="18"/>
        <v>1</v>
      </c>
      <c r="HW32">
        <v>4</v>
      </c>
      <c r="HX32">
        <v>0.66666666666666663</v>
      </c>
      <c r="JR32" t="s">
        <v>3359</v>
      </c>
    </row>
    <row r="33" spans="1:278" x14ac:dyDescent="0.35">
      <c r="EN33">
        <v>-0.33</v>
      </c>
      <c r="EO33">
        <v>-0.33</v>
      </c>
      <c r="HW33">
        <v>4</v>
      </c>
      <c r="HX33">
        <v>0.66666666666666663</v>
      </c>
      <c r="JR33" t="s">
        <v>3360</v>
      </c>
    </row>
    <row r="34" spans="1:278" x14ac:dyDescent="0.35">
      <c r="EN34">
        <v>-0.33</v>
      </c>
      <c r="EO34">
        <v>-0.33</v>
      </c>
      <c r="HW34">
        <v>4</v>
      </c>
      <c r="HX34">
        <v>0.66666666666666663</v>
      </c>
    </row>
    <row r="35" spans="1:278" x14ac:dyDescent="0.35">
      <c r="A35" t="s">
        <v>1817</v>
      </c>
      <c r="EN35">
        <v>-0.33</v>
      </c>
      <c r="EO35">
        <v>-0.33</v>
      </c>
      <c r="HW35">
        <v>3.5</v>
      </c>
      <c r="HX35">
        <v>0.33333333333333331</v>
      </c>
    </row>
    <row r="36" spans="1:278" x14ac:dyDescent="0.35">
      <c r="EN36">
        <v>-0.33</v>
      </c>
      <c r="EO36">
        <v>-0.33</v>
      </c>
      <c r="HD36">
        <v>1</v>
      </c>
      <c r="HE36">
        <v>1.05</v>
      </c>
      <c r="HF36">
        <v>1.1000000000000001</v>
      </c>
      <c r="HG36">
        <v>1.1499999999999999</v>
      </c>
      <c r="HH36">
        <v>1.2</v>
      </c>
      <c r="HI36">
        <v>1.25</v>
      </c>
      <c r="HJ36">
        <v>1.3</v>
      </c>
      <c r="HW36">
        <v>3.5</v>
      </c>
      <c r="HX36">
        <v>0.33333333333333331</v>
      </c>
    </row>
    <row r="37" spans="1:278" x14ac:dyDescent="0.35">
      <c r="A37" t="s">
        <v>1834</v>
      </c>
      <c r="C37">
        <v>1.5</v>
      </c>
      <c r="EN37">
        <v>-0.33</v>
      </c>
      <c r="EO37">
        <v>-0.33</v>
      </c>
      <c r="HC37">
        <v>1</v>
      </c>
      <c r="HD37">
        <f>$HC37*HD$36</f>
        <v>1</v>
      </c>
      <c r="HE37">
        <f t="shared" ref="HE37:HJ43" si="34">$HC37*HE$36</f>
        <v>1.05</v>
      </c>
      <c r="HF37">
        <f t="shared" si="34"/>
        <v>1.1000000000000001</v>
      </c>
      <c r="HG37">
        <f t="shared" si="34"/>
        <v>1.1499999999999999</v>
      </c>
      <c r="HH37">
        <f t="shared" si="34"/>
        <v>1.2</v>
      </c>
      <c r="HI37">
        <f t="shared" si="34"/>
        <v>1.25</v>
      </c>
      <c r="HJ37">
        <f t="shared" si="34"/>
        <v>1.3</v>
      </c>
      <c r="HW37">
        <v>3.5</v>
      </c>
      <c r="HX37">
        <v>0.33333333333333331</v>
      </c>
    </row>
    <row r="38" spans="1:278" x14ac:dyDescent="0.35">
      <c r="A38" t="s">
        <v>1831</v>
      </c>
      <c r="C38">
        <v>1.25</v>
      </c>
      <c r="EN38">
        <v>-0.33</v>
      </c>
      <c r="EO38">
        <v>-0.33</v>
      </c>
      <c r="HC38">
        <v>0.95</v>
      </c>
      <c r="HD38">
        <f t="shared" ref="HD38:HD43" si="35">$HC38*HD$36</f>
        <v>0.95</v>
      </c>
      <c r="HE38">
        <f t="shared" si="34"/>
        <v>0.99749999999999994</v>
      </c>
      <c r="HF38">
        <f t="shared" si="34"/>
        <v>1.0449999999999999</v>
      </c>
      <c r="HG38">
        <f t="shared" si="34"/>
        <v>1.0924999999999998</v>
      </c>
      <c r="HH38">
        <f t="shared" si="34"/>
        <v>1.1399999999999999</v>
      </c>
      <c r="HI38">
        <f t="shared" si="34"/>
        <v>1.1875</v>
      </c>
      <c r="HJ38">
        <f t="shared" si="34"/>
        <v>1.2349999999999999</v>
      </c>
      <c r="HW38">
        <v>3.5</v>
      </c>
      <c r="HX38">
        <v>0.33333333333333331</v>
      </c>
    </row>
    <row r="39" spans="1:278" x14ac:dyDescent="0.35">
      <c r="A39" t="s">
        <v>1833</v>
      </c>
      <c r="C39">
        <v>1</v>
      </c>
      <c r="EN39">
        <v>-0.33</v>
      </c>
      <c r="EO39">
        <v>-0.33</v>
      </c>
      <c r="HC39">
        <v>0.9</v>
      </c>
      <c r="HD39">
        <f t="shared" si="35"/>
        <v>0.9</v>
      </c>
      <c r="HE39">
        <f t="shared" si="34"/>
        <v>0.94500000000000006</v>
      </c>
      <c r="HF39">
        <f t="shared" si="34"/>
        <v>0.9900000000000001</v>
      </c>
      <c r="HG39">
        <f t="shared" si="34"/>
        <v>1.0349999999999999</v>
      </c>
      <c r="HH39">
        <f t="shared" si="34"/>
        <v>1.08</v>
      </c>
      <c r="HI39">
        <f t="shared" si="34"/>
        <v>1.125</v>
      </c>
      <c r="HJ39">
        <f t="shared" si="34"/>
        <v>1.1700000000000002</v>
      </c>
      <c r="HW39">
        <v>3.5</v>
      </c>
      <c r="HX39">
        <v>0.33333333333333331</v>
      </c>
    </row>
    <row r="40" spans="1:278" x14ac:dyDescent="0.35">
      <c r="A40" t="s">
        <v>1832</v>
      </c>
      <c r="C40">
        <v>0.75</v>
      </c>
      <c r="EN40">
        <v>0</v>
      </c>
      <c r="EO40">
        <v>0</v>
      </c>
      <c r="HC40">
        <v>0.85</v>
      </c>
      <c r="HD40">
        <f t="shared" si="35"/>
        <v>0.85</v>
      </c>
      <c r="HE40">
        <f t="shared" si="34"/>
        <v>0.89249999999999996</v>
      </c>
      <c r="HF40">
        <f t="shared" si="34"/>
        <v>0.93500000000000005</v>
      </c>
      <c r="HG40">
        <f t="shared" si="34"/>
        <v>0.97749999999999992</v>
      </c>
      <c r="HH40">
        <f t="shared" si="34"/>
        <v>1.02</v>
      </c>
      <c r="HI40">
        <f t="shared" si="34"/>
        <v>1.0625</v>
      </c>
      <c r="HJ40">
        <f t="shared" si="34"/>
        <v>1.105</v>
      </c>
      <c r="HW40">
        <v>3.5</v>
      </c>
      <c r="HX40">
        <v>0.33333333333333331</v>
      </c>
    </row>
    <row r="41" spans="1:278" x14ac:dyDescent="0.35">
      <c r="A41" t="s">
        <v>1835</v>
      </c>
      <c r="C41">
        <v>0.5</v>
      </c>
      <c r="EN41">
        <v>0</v>
      </c>
      <c r="EO41">
        <v>0</v>
      </c>
      <c r="HC41">
        <v>0.8</v>
      </c>
      <c r="HD41">
        <f t="shared" si="35"/>
        <v>0.8</v>
      </c>
      <c r="HE41">
        <f t="shared" si="34"/>
        <v>0.84000000000000008</v>
      </c>
      <c r="HF41">
        <f t="shared" si="34"/>
        <v>0.88000000000000012</v>
      </c>
      <c r="HG41">
        <f t="shared" si="34"/>
        <v>0.91999999999999993</v>
      </c>
      <c r="HH41">
        <f t="shared" si="34"/>
        <v>0.96</v>
      </c>
      <c r="HI41">
        <f t="shared" si="34"/>
        <v>1</v>
      </c>
      <c r="HJ41">
        <f t="shared" si="34"/>
        <v>1.04</v>
      </c>
      <c r="HW41">
        <v>3.5</v>
      </c>
      <c r="HX41">
        <v>0.33333333333333331</v>
      </c>
    </row>
    <row r="42" spans="1:278" x14ac:dyDescent="0.35">
      <c r="EN42">
        <v>0</v>
      </c>
      <c r="EO42">
        <v>0</v>
      </c>
      <c r="HC42">
        <v>0.75</v>
      </c>
      <c r="HD42">
        <f t="shared" si="35"/>
        <v>0.75</v>
      </c>
      <c r="HE42">
        <f t="shared" si="34"/>
        <v>0.78750000000000009</v>
      </c>
      <c r="HF42">
        <f t="shared" si="34"/>
        <v>0.82500000000000007</v>
      </c>
      <c r="HG42">
        <f t="shared" si="34"/>
        <v>0.86249999999999993</v>
      </c>
      <c r="HH42">
        <f t="shared" si="34"/>
        <v>0.89999999999999991</v>
      </c>
      <c r="HI42">
        <f t="shared" si="34"/>
        <v>0.9375</v>
      </c>
      <c r="HJ42">
        <f t="shared" si="34"/>
        <v>0.97500000000000009</v>
      </c>
      <c r="HW42">
        <v>3.5</v>
      </c>
      <c r="HX42">
        <v>0.33333333333333331</v>
      </c>
    </row>
    <row r="43" spans="1:278" x14ac:dyDescent="0.35">
      <c r="EN43">
        <v>0</v>
      </c>
      <c r="EO43">
        <v>0</v>
      </c>
      <c r="HC43">
        <v>0.7</v>
      </c>
      <c r="HD43">
        <f t="shared" si="35"/>
        <v>0.7</v>
      </c>
      <c r="HE43">
        <f t="shared" si="34"/>
        <v>0.73499999999999999</v>
      </c>
      <c r="HF43">
        <f t="shared" si="34"/>
        <v>0.77</v>
      </c>
      <c r="HG43">
        <f t="shared" si="34"/>
        <v>0.80499999999999994</v>
      </c>
      <c r="HH43">
        <f t="shared" si="34"/>
        <v>0.84</v>
      </c>
      <c r="HI43">
        <f t="shared" si="34"/>
        <v>0.875</v>
      </c>
      <c r="HJ43">
        <f t="shared" si="34"/>
        <v>0.90999999999999992</v>
      </c>
      <c r="HW43">
        <v>3.5</v>
      </c>
      <c r="HX43">
        <v>0.33333333333333331</v>
      </c>
    </row>
    <row r="44" spans="1:278" x14ac:dyDescent="0.35">
      <c r="EN44">
        <v>0</v>
      </c>
      <c r="EO44">
        <v>0</v>
      </c>
      <c r="HW44">
        <v>3.5</v>
      </c>
      <c r="HX44">
        <v>0.33333333333333331</v>
      </c>
    </row>
    <row r="45" spans="1:278" x14ac:dyDescent="0.35">
      <c r="EN45">
        <v>0</v>
      </c>
      <c r="EO45">
        <v>0</v>
      </c>
      <c r="HW45">
        <v>3.5</v>
      </c>
      <c r="HX45">
        <v>0.33333333333333331</v>
      </c>
    </row>
    <row r="46" spans="1:278" x14ac:dyDescent="0.35">
      <c r="EN46">
        <v>0</v>
      </c>
      <c r="EO46">
        <v>0</v>
      </c>
      <c r="HW46">
        <v>3.5</v>
      </c>
      <c r="HX46">
        <v>0.33333333333333331</v>
      </c>
    </row>
    <row r="47" spans="1:278" x14ac:dyDescent="0.35">
      <c r="EN47">
        <v>0</v>
      </c>
      <c r="EO47">
        <v>0</v>
      </c>
      <c r="HW47">
        <v>3.5</v>
      </c>
      <c r="HX47">
        <v>0.33333333333333331</v>
      </c>
    </row>
    <row r="48" spans="1:278" x14ac:dyDescent="0.35">
      <c r="EN48">
        <v>0</v>
      </c>
      <c r="EO48">
        <v>0</v>
      </c>
      <c r="HW48">
        <v>3.5</v>
      </c>
      <c r="HX48">
        <v>0.33333333333333331</v>
      </c>
    </row>
    <row r="49" spans="144:232" x14ac:dyDescent="0.35">
      <c r="EN49">
        <v>0</v>
      </c>
      <c r="EO49">
        <v>0</v>
      </c>
      <c r="HW49">
        <v>3.5</v>
      </c>
      <c r="HX49">
        <v>0.33333333333333331</v>
      </c>
    </row>
    <row r="50" spans="144:232" x14ac:dyDescent="0.35">
      <c r="EN50">
        <v>0</v>
      </c>
      <c r="EO50">
        <v>0</v>
      </c>
      <c r="HW50">
        <v>3.5</v>
      </c>
      <c r="HX50">
        <v>0.33333333333333331</v>
      </c>
    </row>
    <row r="51" spans="144:232" x14ac:dyDescent="0.35">
      <c r="EN51">
        <v>0</v>
      </c>
      <c r="EO51">
        <v>0</v>
      </c>
      <c r="HW51">
        <v>3.5</v>
      </c>
      <c r="HX51">
        <v>0.33333333333333331</v>
      </c>
    </row>
    <row r="52" spans="144:232" x14ac:dyDescent="0.35">
      <c r="EN52">
        <v>0</v>
      </c>
      <c r="EO52">
        <v>0</v>
      </c>
      <c r="HW52">
        <v>3.5</v>
      </c>
      <c r="HX52">
        <v>0.33333333333333331</v>
      </c>
    </row>
    <row r="53" spans="144:232" x14ac:dyDescent="0.35">
      <c r="EN53">
        <v>0</v>
      </c>
      <c r="EO53">
        <v>0</v>
      </c>
      <c r="HW53">
        <v>3.5</v>
      </c>
      <c r="HX53">
        <v>0.33333333333333331</v>
      </c>
    </row>
    <row r="54" spans="144:232" x14ac:dyDescent="0.35">
      <c r="EN54">
        <v>0</v>
      </c>
      <c r="EO54">
        <v>0</v>
      </c>
      <c r="HW54">
        <v>3.5</v>
      </c>
      <c r="HX54">
        <v>0.33333333333333331</v>
      </c>
    </row>
    <row r="55" spans="144:232" x14ac:dyDescent="0.35">
      <c r="EN55">
        <v>0</v>
      </c>
      <c r="EO55">
        <v>0</v>
      </c>
      <c r="HW55">
        <v>3.5</v>
      </c>
      <c r="HX55">
        <v>0.33333333333333331</v>
      </c>
    </row>
    <row r="56" spans="144:232" x14ac:dyDescent="0.35">
      <c r="EN56">
        <v>0.33</v>
      </c>
      <c r="EO56">
        <v>0.33</v>
      </c>
      <c r="HW56">
        <v>3.5</v>
      </c>
      <c r="HX56">
        <v>0.33333333333333331</v>
      </c>
    </row>
    <row r="57" spans="144:232" x14ac:dyDescent="0.35">
      <c r="EN57">
        <v>0.33</v>
      </c>
      <c r="EO57">
        <v>0.33</v>
      </c>
      <c r="HW57">
        <v>3.5</v>
      </c>
      <c r="HX57">
        <v>0.33333333333333331</v>
      </c>
    </row>
    <row r="58" spans="144:232" x14ac:dyDescent="0.35">
      <c r="EN58">
        <v>0.33</v>
      </c>
      <c r="EO58">
        <v>0.33</v>
      </c>
      <c r="HW58">
        <v>3.5</v>
      </c>
      <c r="HX58">
        <v>0.33333333333333331</v>
      </c>
    </row>
    <row r="59" spans="144:232" x14ac:dyDescent="0.35">
      <c r="EN59">
        <v>0.33</v>
      </c>
      <c r="EO59">
        <v>0.33</v>
      </c>
      <c r="HW59">
        <v>3.5</v>
      </c>
      <c r="HX59">
        <v>0.33333333333333331</v>
      </c>
    </row>
    <row r="60" spans="144:232" x14ac:dyDescent="0.35">
      <c r="EN60">
        <v>0.33</v>
      </c>
      <c r="EO60">
        <v>0.33</v>
      </c>
      <c r="HW60">
        <v>3.5</v>
      </c>
      <c r="HX60">
        <v>0.33333333333333331</v>
      </c>
    </row>
    <row r="61" spans="144:232" x14ac:dyDescent="0.35">
      <c r="EN61">
        <v>0.33</v>
      </c>
      <c r="EO61">
        <v>0.33</v>
      </c>
      <c r="HW61">
        <v>3</v>
      </c>
      <c r="HX61">
        <v>0</v>
      </c>
    </row>
    <row r="62" spans="144:232" x14ac:dyDescent="0.35">
      <c r="EN62">
        <v>0.33</v>
      </c>
      <c r="EO62">
        <v>0.33</v>
      </c>
      <c r="HW62">
        <v>3</v>
      </c>
      <c r="HX62">
        <v>0</v>
      </c>
    </row>
    <row r="63" spans="144:232" x14ac:dyDescent="0.35">
      <c r="EN63">
        <v>0.33</v>
      </c>
      <c r="EO63">
        <v>0.33</v>
      </c>
      <c r="HW63">
        <v>3</v>
      </c>
      <c r="HX63">
        <v>0</v>
      </c>
    </row>
    <row r="64" spans="144:232" x14ac:dyDescent="0.35">
      <c r="EN64">
        <v>0.33</v>
      </c>
      <c r="EO64">
        <v>0.33</v>
      </c>
      <c r="HW64">
        <v>3</v>
      </c>
      <c r="HX64">
        <v>0</v>
      </c>
    </row>
    <row r="65" spans="144:232" x14ac:dyDescent="0.35">
      <c r="EN65">
        <v>0.33</v>
      </c>
      <c r="EO65">
        <v>0.33</v>
      </c>
      <c r="HW65">
        <v>3</v>
      </c>
      <c r="HX65">
        <v>0</v>
      </c>
    </row>
    <row r="66" spans="144:232" x14ac:dyDescent="0.35">
      <c r="EN66">
        <v>0.33</v>
      </c>
      <c r="EO66">
        <v>0.33</v>
      </c>
      <c r="HW66">
        <v>3</v>
      </c>
      <c r="HX66">
        <v>0</v>
      </c>
    </row>
    <row r="67" spans="144:232" x14ac:dyDescent="0.35">
      <c r="EN67">
        <v>0.33</v>
      </c>
      <c r="EO67">
        <v>0.33</v>
      </c>
      <c r="HW67">
        <v>3</v>
      </c>
      <c r="HX67">
        <v>0</v>
      </c>
    </row>
    <row r="68" spans="144:232" x14ac:dyDescent="0.35">
      <c r="EN68">
        <v>0.33</v>
      </c>
      <c r="EO68">
        <v>0.33</v>
      </c>
      <c r="HW68">
        <v>3</v>
      </c>
      <c r="HX68">
        <v>0</v>
      </c>
    </row>
    <row r="69" spans="144:232" x14ac:dyDescent="0.35">
      <c r="EN69">
        <v>0.33</v>
      </c>
      <c r="EO69">
        <v>0.33</v>
      </c>
      <c r="HW69">
        <v>3</v>
      </c>
      <c r="HX69">
        <v>0</v>
      </c>
    </row>
    <row r="70" spans="144:232" x14ac:dyDescent="0.35">
      <c r="EN70">
        <v>0.33</v>
      </c>
      <c r="EO70">
        <v>0.33</v>
      </c>
      <c r="HW70">
        <v>3</v>
      </c>
      <c r="HX70">
        <v>0</v>
      </c>
    </row>
    <row r="71" spans="144:232" x14ac:dyDescent="0.35">
      <c r="EN71">
        <v>0.33</v>
      </c>
      <c r="EO71">
        <v>0.33</v>
      </c>
      <c r="HW71">
        <v>3</v>
      </c>
      <c r="HX71">
        <v>0</v>
      </c>
    </row>
    <row r="72" spans="144:232" x14ac:dyDescent="0.35">
      <c r="EN72">
        <v>0.33</v>
      </c>
      <c r="EO72">
        <v>0.33</v>
      </c>
      <c r="HW72">
        <v>3</v>
      </c>
      <c r="HX72">
        <v>0</v>
      </c>
    </row>
    <row r="73" spans="144:232" x14ac:dyDescent="0.35">
      <c r="EN73">
        <v>0.33</v>
      </c>
      <c r="EO73">
        <v>0.33</v>
      </c>
      <c r="HW73">
        <v>3</v>
      </c>
      <c r="HX73">
        <v>0</v>
      </c>
    </row>
    <row r="74" spans="144:232" x14ac:dyDescent="0.35">
      <c r="EN74">
        <v>0.33</v>
      </c>
      <c r="EO74">
        <v>0.33</v>
      </c>
      <c r="HW74">
        <v>3</v>
      </c>
      <c r="HX74">
        <v>0</v>
      </c>
    </row>
    <row r="75" spans="144:232" x14ac:dyDescent="0.35">
      <c r="EN75">
        <v>0.33</v>
      </c>
      <c r="EO75">
        <v>0.33</v>
      </c>
      <c r="HW75">
        <v>3</v>
      </c>
      <c r="HX75">
        <v>0</v>
      </c>
    </row>
    <row r="76" spans="144:232" x14ac:dyDescent="0.35">
      <c r="EN76">
        <v>0.33</v>
      </c>
      <c r="EO76">
        <v>0.33</v>
      </c>
      <c r="HW76">
        <v>2.5</v>
      </c>
      <c r="HX76">
        <v>-0.33333333333333331</v>
      </c>
    </row>
    <row r="77" spans="144:232" x14ac:dyDescent="0.35">
      <c r="EN77">
        <v>0.33</v>
      </c>
      <c r="EO77">
        <v>0.33</v>
      </c>
      <c r="HW77">
        <v>2.5</v>
      </c>
      <c r="HX77">
        <v>-0.33333333333333331</v>
      </c>
    </row>
    <row r="78" spans="144:232" x14ac:dyDescent="0.35">
      <c r="EN78">
        <v>0.33</v>
      </c>
      <c r="EO78">
        <v>0.33</v>
      </c>
      <c r="HW78">
        <v>2.5</v>
      </c>
      <c r="HX78">
        <v>-0.33333333333333331</v>
      </c>
    </row>
    <row r="79" spans="144:232" x14ac:dyDescent="0.35">
      <c r="EN79">
        <v>0.33</v>
      </c>
      <c r="EO79">
        <v>0.33</v>
      </c>
      <c r="HW79">
        <v>2.5</v>
      </c>
      <c r="HX79">
        <v>-0.33333333333333331</v>
      </c>
    </row>
    <row r="80" spans="144:232" x14ac:dyDescent="0.35">
      <c r="EN80">
        <v>0.33</v>
      </c>
      <c r="EO80">
        <v>0.33</v>
      </c>
      <c r="HW80">
        <v>2.5</v>
      </c>
      <c r="HX80">
        <v>-0.33333333333333331</v>
      </c>
    </row>
    <row r="81" spans="144:232" x14ac:dyDescent="0.35">
      <c r="EN81">
        <v>0.33</v>
      </c>
      <c r="EO81">
        <v>0.33</v>
      </c>
      <c r="HW81">
        <v>2.5</v>
      </c>
      <c r="HX81">
        <v>-0.33333333333333331</v>
      </c>
    </row>
    <row r="82" spans="144:232" x14ac:dyDescent="0.35">
      <c r="EN82">
        <v>0.66</v>
      </c>
      <c r="EO82">
        <v>0.66</v>
      </c>
      <c r="HW82">
        <v>2.5</v>
      </c>
      <c r="HX82">
        <v>-0.33333333333333331</v>
      </c>
    </row>
    <row r="83" spans="144:232" x14ac:dyDescent="0.35">
      <c r="EN83">
        <v>0.66</v>
      </c>
      <c r="EO83">
        <v>0.66</v>
      </c>
      <c r="HW83">
        <v>2.5</v>
      </c>
      <c r="HX83">
        <v>-0.33333333333333331</v>
      </c>
    </row>
    <row r="84" spans="144:232" x14ac:dyDescent="0.35">
      <c r="EN84">
        <v>0.66</v>
      </c>
      <c r="EO84">
        <v>0.66</v>
      </c>
      <c r="HW84">
        <v>2.5</v>
      </c>
      <c r="HX84">
        <v>-0.33333333333333331</v>
      </c>
    </row>
    <row r="85" spans="144:232" x14ac:dyDescent="0.35">
      <c r="EN85">
        <v>0.66</v>
      </c>
      <c r="EO85">
        <v>0.66</v>
      </c>
      <c r="HW85">
        <v>2.5</v>
      </c>
      <c r="HX85">
        <v>-0.33333333333333331</v>
      </c>
    </row>
    <row r="86" spans="144:232" x14ac:dyDescent="0.35">
      <c r="EN86">
        <v>0.66</v>
      </c>
      <c r="EO86">
        <v>0.66</v>
      </c>
      <c r="HW86">
        <v>2</v>
      </c>
      <c r="HX86">
        <v>-0.66666666666666663</v>
      </c>
    </row>
    <row r="87" spans="144:232" x14ac:dyDescent="0.35">
      <c r="EN87">
        <v>0.66</v>
      </c>
      <c r="EO87">
        <v>0.66</v>
      </c>
      <c r="HW87">
        <v>2</v>
      </c>
      <c r="HX87">
        <v>-0.66666666666666663</v>
      </c>
    </row>
    <row r="88" spans="144:232" x14ac:dyDescent="0.35">
      <c r="EN88">
        <v>0.66</v>
      </c>
      <c r="EO88">
        <v>0.66</v>
      </c>
      <c r="HW88">
        <v>2</v>
      </c>
      <c r="HX88">
        <v>-0.66666666666666663</v>
      </c>
    </row>
    <row r="89" spans="144:232" x14ac:dyDescent="0.35">
      <c r="EN89">
        <v>0.66</v>
      </c>
      <c r="EO89">
        <v>0.66</v>
      </c>
      <c r="HW89">
        <v>2</v>
      </c>
      <c r="HX89">
        <v>-0.66666666666666663</v>
      </c>
    </row>
    <row r="90" spans="144:232" x14ac:dyDescent="0.35">
      <c r="EN90">
        <v>0.66</v>
      </c>
      <c r="EO90">
        <v>0.66</v>
      </c>
      <c r="HW90">
        <v>2</v>
      </c>
      <c r="HX90">
        <v>-0.66666666666666663</v>
      </c>
    </row>
    <row r="91" spans="144:232" x14ac:dyDescent="0.35">
      <c r="EN91">
        <v>0.99</v>
      </c>
      <c r="EO91">
        <v>1</v>
      </c>
      <c r="HW91">
        <v>2</v>
      </c>
      <c r="HX91">
        <v>-0.66666666666666663</v>
      </c>
    </row>
    <row r="92" spans="144:232" x14ac:dyDescent="0.35">
      <c r="EN92">
        <v>0.99</v>
      </c>
      <c r="EO92">
        <v>1</v>
      </c>
      <c r="HW92">
        <v>1.5</v>
      </c>
      <c r="HX92">
        <v>-1</v>
      </c>
    </row>
    <row r="93" spans="144:232" x14ac:dyDescent="0.35">
      <c r="EN93">
        <v>0.99</v>
      </c>
      <c r="EO93">
        <v>1</v>
      </c>
      <c r="HW93">
        <v>1.5</v>
      </c>
      <c r="HX93">
        <v>-1</v>
      </c>
    </row>
    <row r="94" spans="144:232" x14ac:dyDescent="0.35">
      <c r="EN94">
        <v>0.99</v>
      </c>
      <c r="EO94">
        <v>1</v>
      </c>
      <c r="HW94">
        <v>1.5</v>
      </c>
      <c r="HX94">
        <v>-1</v>
      </c>
    </row>
    <row r="95" spans="144:232" x14ac:dyDescent="0.35">
      <c r="EN95">
        <v>0.99</v>
      </c>
      <c r="EO95">
        <v>1</v>
      </c>
      <c r="HW95">
        <v>1.5</v>
      </c>
      <c r="HX95">
        <v>-1</v>
      </c>
    </row>
    <row r="96" spans="144:232" x14ac:dyDescent="0.35">
      <c r="EN96">
        <v>0.99</v>
      </c>
      <c r="EO96">
        <v>1</v>
      </c>
      <c r="HW96">
        <v>1.5</v>
      </c>
      <c r="HX96">
        <v>-1</v>
      </c>
    </row>
    <row r="97" spans="144:232" x14ac:dyDescent="0.35">
      <c r="EN97">
        <v>0.99</v>
      </c>
      <c r="EO97">
        <v>1</v>
      </c>
      <c r="HW97">
        <v>1.5</v>
      </c>
      <c r="HX97">
        <v>-1</v>
      </c>
    </row>
    <row r="98" spans="144:232" x14ac:dyDescent="0.35">
      <c r="EN98">
        <v>0.99</v>
      </c>
      <c r="EO98">
        <v>1</v>
      </c>
      <c r="HW98">
        <v>1.5</v>
      </c>
      <c r="HX98">
        <v>-1</v>
      </c>
    </row>
    <row r="99" spans="144:232" x14ac:dyDescent="0.35">
      <c r="EN99">
        <v>0.99</v>
      </c>
      <c r="EO99">
        <v>1</v>
      </c>
      <c r="HW99">
        <v>1.5</v>
      </c>
      <c r="HX99">
        <v>-1</v>
      </c>
    </row>
    <row r="100" spans="144:232" x14ac:dyDescent="0.35">
      <c r="EN100">
        <v>0.99</v>
      </c>
      <c r="EO100">
        <v>1</v>
      </c>
      <c r="HW100">
        <v>1</v>
      </c>
      <c r="HX100">
        <v>-1.3333333333333333</v>
      </c>
    </row>
    <row r="101" spans="144:232" x14ac:dyDescent="0.35">
      <c r="EN101">
        <v>1.32</v>
      </c>
      <c r="EO101">
        <v>1.33</v>
      </c>
      <c r="HW101">
        <v>1</v>
      </c>
      <c r="HX101">
        <v>-1.3333333333333333</v>
      </c>
    </row>
    <row r="102" spans="144:232" x14ac:dyDescent="0.35">
      <c r="EN102">
        <v>1.32</v>
      </c>
      <c r="EO102">
        <v>1.33</v>
      </c>
      <c r="HW102">
        <v>1</v>
      </c>
      <c r="HX102">
        <v>-1.3333333333333333</v>
      </c>
    </row>
    <row r="103" spans="144:232" x14ac:dyDescent="0.35">
      <c r="EN103">
        <v>1.32</v>
      </c>
      <c r="EO103">
        <v>1.33</v>
      </c>
      <c r="HW103">
        <v>1</v>
      </c>
      <c r="HX103">
        <v>-1.3333333333333333</v>
      </c>
    </row>
    <row r="104" spans="144:232" x14ac:dyDescent="0.35">
      <c r="EN104">
        <v>1.65</v>
      </c>
      <c r="EO104">
        <v>1.66</v>
      </c>
      <c r="HW104">
        <v>0.5</v>
      </c>
      <c r="HX104">
        <v>-1.6666666666666665</v>
      </c>
    </row>
    <row r="105" spans="144:232" x14ac:dyDescent="0.35">
      <c r="EN105">
        <v>1.65</v>
      </c>
      <c r="EO105">
        <v>1.66</v>
      </c>
      <c r="HW105">
        <v>0.5</v>
      </c>
      <c r="HX105">
        <v>-1.6666666666666665</v>
      </c>
    </row>
    <row r="106" spans="144:232" x14ac:dyDescent="0.35">
      <c r="EN106">
        <v>1.65</v>
      </c>
      <c r="EO106">
        <v>1.66</v>
      </c>
      <c r="HW106">
        <v>0.5</v>
      </c>
      <c r="HX106">
        <v>-1.6666666666666665</v>
      </c>
    </row>
    <row r="107" spans="144:232" x14ac:dyDescent="0.35">
      <c r="EN107">
        <v>1.98</v>
      </c>
      <c r="EO107">
        <v>2</v>
      </c>
      <c r="HW107">
        <v>0.5</v>
      </c>
      <c r="HX107">
        <v>-1.6666666666666665</v>
      </c>
    </row>
    <row r="108" spans="144:232" x14ac:dyDescent="0.35">
      <c r="EN108">
        <v>1.98</v>
      </c>
      <c r="EO108">
        <v>2</v>
      </c>
      <c r="HW108">
        <v>0.5</v>
      </c>
      <c r="HX108">
        <v>-1.6666666666666665</v>
      </c>
    </row>
    <row r="109" spans="144:232" x14ac:dyDescent="0.35">
      <c r="EN109">
        <v>1.98</v>
      </c>
      <c r="EO109">
        <v>2</v>
      </c>
      <c r="HW109">
        <v>0</v>
      </c>
      <c r="HX109">
        <v>-2</v>
      </c>
    </row>
    <row r="110" spans="144:232" x14ac:dyDescent="0.35">
      <c r="EN110">
        <v>1.98</v>
      </c>
      <c r="EO110">
        <v>2</v>
      </c>
      <c r="HW110">
        <v>0</v>
      </c>
      <c r="HX110">
        <v>-2</v>
      </c>
    </row>
    <row r="111" spans="144:232" x14ac:dyDescent="0.35">
      <c r="EN111">
        <v>1.98</v>
      </c>
      <c r="EO111">
        <v>2</v>
      </c>
      <c r="HW111">
        <v>0</v>
      </c>
      <c r="HX111">
        <v>-2</v>
      </c>
    </row>
    <row r="112" spans="144:232" x14ac:dyDescent="0.35">
      <c r="EN112">
        <v>1.98</v>
      </c>
      <c r="EO112">
        <v>2</v>
      </c>
      <c r="HW112">
        <v>0</v>
      </c>
      <c r="HX112">
        <v>-2</v>
      </c>
    </row>
    <row r="113" spans="144:145" x14ac:dyDescent="0.35">
      <c r="EN113">
        <v>1.98</v>
      </c>
      <c r="EO113">
        <v>2</v>
      </c>
    </row>
  </sheetData>
  <sortState xmlns:xlrd2="http://schemas.microsoft.com/office/spreadsheetml/2017/richdata2" ref="FZ2:FZ17">
    <sortCondition descending="1" ref="FZ2"/>
  </sortState>
  <conditionalFormatting sqref="FS2:FY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Z2:FZ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C3:J27"/>
  <sheetViews>
    <sheetView workbookViewId="0">
      <selection activeCell="F8" sqref="F8"/>
    </sheetView>
  </sheetViews>
  <sheetFormatPr defaultRowHeight="14.5" x14ac:dyDescent="0.35"/>
  <cols>
    <col min="3" max="3" width="16.54296875" style="63" customWidth="1"/>
    <col min="4" max="4" width="10.453125" style="63" bestFit="1" customWidth="1"/>
    <col min="5" max="5" width="17.81640625" style="63" customWidth="1"/>
    <col min="6" max="6" width="21.90625" style="63" customWidth="1"/>
    <col min="7" max="7" width="17.81640625" style="63" customWidth="1"/>
    <col min="8" max="8" width="10.453125" style="63" bestFit="1" customWidth="1"/>
    <col min="9" max="9" width="71" customWidth="1"/>
  </cols>
  <sheetData>
    <row r="3" spans="3:10" x14ac:dyDescent="0.35">
      <c r="C3" s="225" t="s">
        <v>1978</v>
      </c>
      <c r="D3" s="225" t="s">
        <v>1968</v>
      </c>
      <c r="E3" s="225" t="s">
        <v>1971</v>
      </c>
      <c r="F3" s="225" t="s">
        <v>1967</v>
      </c>
      <c r="G3" s="225" t="s">
        <v>1970</v>
      </c>
      <c r="H3" s="225" t="s">
        <v>1968</v>
      </c>
      <c r="I3" s="225" t="s">
        <v>1972</v>
      </c>
    </row>
    <row r="4" spans="3:10" x14ac:dyDescent="0.35">
      <c r="C4" s="63" t="s">
        <v>1979</v>
      </c>
      <c r="D4" s="63" t="s">
        <v>144</v>
      </c>
      <c r="E4" s="63" t="s">
        <v>69</v>
      </c>
      <c r="F4" s="63" t="s">
        <v>1988</v>
      </c>
      <c r="G4" s="63" t="s">
        <v>70</v>
      </c>
      <c r="H4" s="63" t="s">
        <v>144</v>
      </c>
      <c r="I4" s="63" t="s">
        <v>1989</v>
      </c>
      <c r="J4" s="226" t="s">
        <v>2024</v>
      </c>
    </row>
    <row r="5" spans="3:10" x14ac:dyDescent="0.35">
      <c r="C5" s="63" t="s">
        <v>1979</v>
      </c>
      <c r="D5" s="63" t="s">
        <v>144</v>
      </c>
      <c r="E5" s="63" t="s">
        <v>62</v>
      </c>
      <c r="F5" s="63" t="s">
        <v>2021</v>
      </c>
      <c r="G5" s="63" t="s">
        <v>60</v>
      </c>
      <c r="H5" s="63" t="s">
        <v>144</v>
      </c>
      <c r="I5" s="63" t="s">
        <v>1990</v>
      </c>
      <c r="J5" s="226" t="s">
        <v>2024</v>
      </c>
    </row>
    <row r="6" spans="3:10" x14ac:dyDescent="0.35">
      <c r="C6" s="63" t="s">
        <v>1979</v>
      </c>
      <c r="D6" s="63" t="s">
        <v>1296</v>
      </c>
      <c r="E6" s="63" t="s">
        <v>1301</v>
      </c>
      <c r="F6" s="63" t="s">
        <v>1974</v>
      </c>
      <c r="G6" s="63" t="s">
        <v>1302</v>
      </c>
      <c r="H6" s="63" t="s">
        <v>1296</v>
      </c>
      <c r="I6" s="63" t="s">
        <v>1975</v>
      </c>
    </row>
    <row r="7" spans="3:10" x14ac:dyDescent="0.35">
      <c r="C7" s="63" t="s">
        <v>1979</v>
      </c>
      <c r="D7" s="63" t="s">
        <v>1296</v>
      </c>
      <c r="E7" s="63" t="s">
        <v>3913</v>
      </c>
      <c r="F7" s="63" t="s">
        <v>4854</v>
      </c>
      <c r="G7" s="63" t="s">
        <v>1308</v>
      </c>
      <c r="H7" s="63" t="s">
        <v>1296</v>
      </c>
      <c r="I7" s="63" t="s">
        <v>1975</v>
      </c>
    </row>
    <row r="8" spans="3:10" x14ac:dyDescent="0.35">
      <c r="C8" s="63" t="s">
        <v>1979</v>
      </c>
      <c r="D8" s="63" t="s">
        <v>1296</v>
      </c>
      <c r="E8" s="63" t="s">
        <v>966</v>
      </c>
      <c r="F8" s="63" t="s">
        <v>1</v>
      </c>
      <c r="G8" s="63" t="s">
        <v>965</v>
      </c>
      <c r="H8" s="63" t="s">
        <v>1296</v>
      </c>
      <c r="I8" s="63" t="s">
        <v>2012</v>
      </c>
    </row>
    <row r="9" spans="3:10" x14ac:dyDescent="0.35">
      <c r="C9" s="63" t="s">
        <v>1982</v>
      </c>
      <c r="D9" s="63" t="s">
        <v>1296</v>
      </c>
      <c r="E9" s="63" t="s">
        <v>1342</v>
      </c>
      <c r="F9" s="63" t="s">
        <v>2014</v>
      </c>
      <c r="G9" s="63" t="s">
        <v>1343</v>
      </c>
      <c r="H9" s="63" t="s">
        <v>1296</v>
      </c>
      <c r="I9" s="63" t="s">
        <v>2015</v>
      </c>
    </row>
    <row r="10" spans="3:10" x14ac:dyDescent="0.35">
      <c r="C10" s="63" t="s">
        <v>1979</v>
      </c>
      <c r="D10" s="63" t="s">
        <v>143</v>
      </c>
      <c r="E10" s="63" t="s">
        <v>78</v>
      </c>
      <c r="F10" s="63" t="s">
        <v>1981</v>
      </c>
      <c r="G10" s="63" t="s">
        <v>77</v>
      </c>
      <c r="H10" s="63" t="s">
        <v>143</v>
      </c>
      <c r="I10" s="63" t="s">
        <v>1976</v>
      </c>
    </row>
    <row r="11" spans="3:10" x14ac:dyDescent="0.35">
      <c r="C11" s="63" t="s">
        <v>1979</v>
      </c>
      <c r="D11" s="63" t="s">
        <v>143</v>
      </c>
      <c r="E11" s="63" t="s">
        <v>87</v>
      </c>
      <c r="F11" s="63" t="s">
        <v>1980</v>
      </c>
      <c r="G11" s="63" t="s">
        <v>1977</v>
      </c>
      <c r="H11" s="63" t="s">
        <v>143</v>
      </c>
      <c r="I11" s="63" t="s">
        <v>1976</v>
      </c>
    </row>
    <row r="12" spans="3:10" x14ac:dyDescent="0.35">
      <c r="C12" s="63" t="s">
        <v>1985</v>
      </c>
      <c r="D12" s="63" t="s">
        <v>143</v>
      </c>
      <c r="E12" s="63" t="s">
        <v>75</v>
      </c>
      <c r="F12" s="63" t="s">
        <v>1983</v>
      </c>
      <c r="G12" s="63" t="s">
        <v>86</v>
      </c>
      <c r="H12" s="63" t="s">
        <v>143</v>
      </c>
      <c r="I12" s="63" t="s">
        <v>1984</v>
      </c>
    </row>
    <row r="13" spans="3:10" x14ac:dyDescent="0.35">
      <c r="C13" s="63" t="s">
        <v>1987</v>
      </c>
      <c r="D13" s="63" t="s">
        <v>143</v>
      </c>
      <c r="E13" s="63" t="s">
        <v>77</v>
      </c>
      <c r="F13" s="63" t="s">
        <v>2023</v>
      </c>
      <c r="G13" s="63" t="s">
        <v>83</v>
      </c>
      <c r="H13" s="63" t="s">
        <v>143</v>
      </c>
      <c r="I13" s="63" t="s">
        <v>1986</v>
      </c>
    </row>
    <row r="14" spans="3:10" x14ac:dyDescent="0.35">
      <c r="C14" s="63" t="s">
        <v>1999</v>
      </c>
      <c r="D14" s="63" t="s">
        <v>173</v>
      </c>
      <c r="E14" s="63" t="s">
        <v>30</v>
      </c>
      <c r="F14" s="63" t="s">
        <v>1998</v>
      </c>
      <c r="G14" s="63" t="s">
        <v>27</v>
      </c>
      <c r="H14" s="63" t="s">
        <v>173</v>
      </c>
      <c r="I14" s="63" t="s">
        <v>2002</v>
      </c>
    </row>
    <row r="15" spans="3:10" x14ac:dyDescent="0.35">
      <c r="C15" s="63" t="s">
        <v>2003</v>
      </c>
      <c r="D15" s="63" t="s">
        <v>173</v>
      </c>
      <c r="E15" s="63" t="s">
        <v>1860</v>
      </c>
      <c r="F15" s="63" t="s">
        <v>2000</v>
      </c>
      <c r="G15" s="63" t="s">
        <v>29</v>
      </c>
      <c r="H15" s="63" t="s">
        <v>173</v>
      </c>
      <c r="I15" s="63" t="s">
        <v>2001</v>
      </c>
    </row>
    <row r="16" spans="3:10" x14ac:dyDescent="0.35">
      <c r="C16" s="63" t="s">
        <v>2005</v>
      </c>
      <c r="D16" s="63" t="s">
        <v>173</v>
      </c>
      <c r="E16" s="63" t="s">
        <v>26</v>
      </c>
      <c r="F16" s="63" t="s">
        <v>2004</v>
      </c>
      <c r="G16" s="63" t="s">
        <v>292</v>
      </c>
      <c r="H16" s="63" t="s">
        <v>173</v>
      </c>
      <c r="I16" s="63" t="s">
        <v>2006</v>
      </c>
    </row>
    <row r="17" spans="3:9" x14ac:dyDescent="0.35">
      <c r="C17" s="63" t="s">
        <v>1982</v>
      </c>
      <c r="D17" s="63" t="s">
        <v>171</v>
      </c>
      <c r="E17" s="63" t="s">
        <v>49</v>
      </c>
      <c r="F17" s="63" t="s">
        <v>1969</v>
      </c>
      <c r="G17" s="63" t="s">
        <v>48</v>
      </c>
      <c r="H17" s="63" t="s">
        <v>171</v>
      </c>
      <c r="I17" s="63" t="s">
        <v>1973</v>
      </c>
    </row>
    <row r="18" spans="3:9" x14ac:dyDescent="0.35">
      <c r="C18" s="63" t="s">
        <v>1979</v>
      </c>
      <c r="D18" s="63" t="s">
        <v>171</v>
      </c>
      <c r="E18" s="63" t="s">
        <v>117</v>
      </c>
      <c r="F18" s="63" t="s">
        <v>2019</v>
      </c>
      <c r="G18" s="63" t="s">
        <v>118</v>
      </c>
      <c r="H18" s="63" t="s">
        <v>171</v>
      </c>
      <c r="I18" s="63" t="s">
        <v>1991</v>
      </c>
    </row>
    <row r="19" spans="3:9" x14ac:dyDescent="0.35">
      <c r="C19" s="63" t="s">
        <v>1985</v>
      </c>
      <c r="D19" s="63" t="s">
        <v>171</v>
      </c>
      <c r="E19" s="63" t="s">
        <v>51</v>
      </c>
      <c r="F19" s="63" t="s">
        <v>2022</v>
      </c>
      <c r="G19" s="63" t="s">
        <v>117</v>
      </c>
      <c r="H19" s="63" t="s">
        <v>171</v>
      </c>
      <c r="I19" s="63"/>
    </row>
    <row r="20" spans="3:9" x14ac:dyDescent="0.35">
      <c r="C20" s="63" t="s">
        <v>1996</v>
      </c>
      <c r="D20" s="63" t="s">
        <v>172</v>
      </c>
      <c r="E20" s="63" t="s">
        <v>35</v>
      </c>
      <c r="F20" s="63" t="s">
        <v>1992</v>
      </c>
      <c r="G20" s="63" t="s">
        <v>45</v>
      </c>
      <c r="H20" s="63" t="s">
        <v>172</v>
      </c>
      <c r="I20" s="63" t="s">
        <v>1993</v>
      </c>
    </row>
    <row r="21" spans="3:9" x14ac:dyDescent="0.35">
      <c r="C21" s="63" t="s">
        <v>1979</v>
      </c>
      <c r="D21" s="63" t="s">
        <v>172</v>
      </c>
      <c r="E21" s="63" t="s">
        <v>46</v>
      </c>
      <c r="F21" s="63" t="s">
        <v>1994</v>
      </c>
      <c r="G21" s="63" t="s">
        <v>42</v>
      </c>
      <c r="H21" s="63" t="s">
        <v>172</v>
      </c>
      <c r="I21" s="63" t="s">
        <v>1995</v>
      </c>
    </row>
    <row r="22" spans="3:9" x14ac:dyDescent="0.35">
      <c r="C22" s="63" t="s">
        <v>1997</v>
      </c>
      <c r="D22" s="63" t="s">
        <v>172</v>
      </c>
      <c r="E22" s="63" t="s">
        <v>37</v>
      </c>
      <c r="F22" s="63" t="s">
        <v>2009</v>
      </c>
      <c r="G22" s="63" t="s">
        <v>41</v>
      </c>
      <c r="H22" s="63" t="s">
        <v>172</v>
      </c>
      <c r="I22" s="63" t="s">
        <v>2010</v>
      </c>
    </row>
    <row r="23" spans="3:9" x14ac:dyDescent="0.35">
      <c r="C23" s="63" t="s">
        <v>2013</v>
      </c>
      <c r="D23" s="63" t="s">
        <v>172</v>
      </c>
      <c r="E23" s="63" t="s">
        <v>37</v>
      </c>
      <c r="F23" s="63" t="s">
        <v>2007</v>
      </c>
      <c r="G23" s="63" t="s">
        <v>40</v>
      </c>
      <c r="H23" s="63" t="s">
        <v>172</v>
      </c>
      <c r="I23" s="63" t="s">
        <v>2008</v>
      </c>
    </row>
    <row r="25" spans="3:9" x14ac:dyDescent="0.35">
      <c r="C25" s="63" t="s">
        <v>2018</v>
      </c>
      <c r="D25" s="63" t="s">
        <v>173</v>
      </c>
      <c r="E25" s="63" t="s">
        <v>34</v>
      </c>
      <c r="F25" s="63" t="s">
        <v>2017</v>
      </c>
      <c r="G25" s="63" t="s">
        <v>64</v>
      </c>
      <c r="H25" s="63" t="s">
        <v>144</v>
      </c>
    </row>
    <row r="26" spans="3:9" x14ac:dyDescent="0.35">
      <c r="C26" s="63" t="s">
        <v>2018</v>
      </c>
      <c r="D26" s="63" t="s">
        <v>144</v>
      </c>
      <c r="E26" s="63" t="s">
        <v>71</v>
      </c>
      <c r="F26" s="63" t="s">
        <v>2016</v>
      </c>
      <c r="G26" s="63" t="s">
        <v>26</v>
      </c>
      <c r="H26" s="63" t="s">
        <v>173</v>
      </c>
    </row>
    <row r="27" spans="3:9" x14ac:dyDescent="0.35">
      <c r="C27" s="63" t="s">
        <v>2018</v>
      </c>
      <c r="D27" s="63" t="s">
        <v>171</v>
      </c>
      <c r="E27" s="63" t="s">
        <v>117</v>
      </c>
      <c r="F27" s="63" t="s">
        <v>2020</v>
      </c>
      <c r="G27" s="63" t="s">
        <v>77</v>
      </c>
      <c r="H27" s="63" t="s">
        <v>143</v>
      </c>
    </row>
  </sheetData>
  <sortState xmlns:xlrd2="http://schemas.microsoft.com/office/spreadsheetml/2017/richdata2" ref="C4:I23">
    <sortCondition ref="D4:D23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X38"/>
  <sheetViews>
    <sheetView zoomScale="80" zoomScaleNormal="80" workbookViewId="0">
      <selection activeCell="F38" sqref="F38"/>
    </sheetView>
  </sheetViews>
  <sheetFormatPr defaultRowHeight="14.5" x14ac:dyDescent="0.35"/>
  <cols>
    <col min="2" max="2" width="3.81640625" hidden="1" customWidth="1"/>
    <col min="3" max="3" width="17.90625" customWidth="1"/>
    <col min="4" max="4" width="9.81640625" customWidth="1"/>
    <col min="6" max="6" width="26.81640625" customWidth="1"/>
    <col min="7" max="7" width="3.81640625" hidden="1" customWidth="1"/>
    <col min="8" max="8" width="3.81640625" customWidth="1"/>
    <col min="9" max="11" width="5.453125" style="63" customWidth="1"/>
    <col min="12" max="12" width="8.90625" style="235"/>
    <col min="13" max="13" width="26.81640625" customWidth="1"/>
    <col min="14" max="14" width="3.81640625" hidden="1" customWidth="1"/>
    <col min="15" max="15" width="3.81640625" customWidth="1"/>
    <col min="16" max="18" width="5.453125" style="63" customWidth="1"/>
    <col min="19" max="19" width="8.90625" style="235"/>
    <col min="20" max="20" width="26.6328125" style="180" customWidth="1"/>
    <col min="21" max="21" width="6" style="1" customWidth="1"/>
    <col min="22" max="22" width="26.6328125" style="1" customWidth="1"/>
    <col min="23" max="23" width="6" style="1" customWidth="1"/>
    <col min="24" max="24" width="26.6328125" style="1" customWidth="1"/>
    <col min="25" max="25" width="6" customWidth="1"/>
  </cols>
  <sheetData>
    <row r="2" spans="1:24" x14ac:dyDescent="0.35">
      <c r="B2" t="s">
        <v>2084</v>
      </c>
      <c r="C2" s="1" t="s">
        <v>2070</v>
      </c>
      <c r="F2" s="1" t="s">
        <v>2083</v>
      </c>
      <c r="G2" t="s">
        <v>2084</v>
      </c>
      <c r="H2" s="1" t="s">
        <v>1372</v>
      </c>
      <c r="I2" s="230" t="s">
        <v>5</v>
      </c>
      <c r="J2" s="230" t="s">
        <v>6</v>
      </c>
      <c r="K2" s="230" t="s">
        <v>2089</v>
      </c>
      <c r="M2" s="1" t="s">
        <v>2090</v>
      </c>
      <c r="N2" t="s">
        <v>2084</v>
      </c>
      <c r="O2" s="1" t="s">
        <v>1372</v>
      </c>
      <c r="P2" s="230" t="s">
        <v>5</v>
      </c>
      <c r="Q2" s="230" t="s">
        <v>6</v>
      </c>
      <c r="R2" s="230" t="s">
        <v>2089</v>
      </c>
      <c r="T2" s="180" t="s">
        <v>2104</v>
      </c>
      <c r="V2" s="1" t="s">
        <v>2106</v>
      </c>
      <c r="X2" s="1" t="s">
        <v>2105</v>
      </c>
    </row>
    <row r="3" spans="1:24" x14ac:dyDescent="0.35">
      <c r="A3" s="95" t="s">
        <v>396</v>
      </c>
      <c r="B3">
        <v>48</v>
      </c>
      <c r="C3" t="str">
        <f>VLOOKUP(B3, Rankings!A$2:D$113, 4, FALSE)</f>
        <v>Solaceon Town</v>
      </c>
      <c r="D3" t="str">
        <f>VLOOKUP(B3, Rankings!A$2:D$113, 2, FALSE)</f>
        <v>Lily Valley</v>
      </c>
      <c r="E3" s="235" t="s">
        <v>2663</v>
      </c>
      <c r="F3" s="6" t="str">
        <f>CONCATENATE(VLOOKUP(G3, Rankings!A$2:D$113, 4, FALSE), " (", VLOOKUP(G3, Rankings!A$2:D$113, 2, FALSE), ")")</f>
        <v>Cianwood City (Indigo)</v>
      </c>
      <c r="G3" s="6">
        <v>1</v>
      </c>
      <c r="H3" s="6" t="e">
        <f>VLOOKUP(G3,Rankings!$A$2:$AJ$113,37,FALSE)</f>
        <v>#REF!</v>
      </c>
      <c r="I3" s="140">
        <v>5</v>
      </c>
      <c r="J3" s="140">
        <v>1</v>
      </c>
      <c r="K3" s="140">
        <f>20+14-10</f>
        <v>24</v>
      </c>
      <c r="L3" s="235" t="s">
        <v>2671</v>
      </c>
      <c r="M3" t="str">
        <f>CONCATENATE(VLOOKUP(N3, Rankings!A$2:D$113, 4, FALSE), " (", VLOOKUP(N3, Rankings!A$2:D$113, 2, FALSE), ")")</f>
        <v>Cinnabar Island (Indigo)</v>
      </c>
      <c r="N3" s="241">
        <v>13</v>
      </c>
      <c r="O3" t="e">
        <f>VLOOKUP(N3,Rankings!$A$2:$AJ$113,37,FALSE)</f>
        <v>#REF!</v>
      </c>
      <c r="P3" s="63">
        <v>5</v>
      </c>
      <c r="Q3" s="63">
        <v>1</v>
      </c>
      <c r="R3" s="63">
        <f>12+4+46</f>
        <v>62</v>
      </c>
    </row>
    <row r="4" spans="1:24" x14ac:dyDescent="0.35">
      <c r="A4" s="95" t="s">
        <v>836</v>
      </c>
      <c r="B4">
        <v>23</v>
      </c>
      <c r="C4" t="str">
        <f>VLOOKUP(B4, Rankings!A$2:D$113, 4, FALSE)</f>
        <v>Rustboro City</v>
      </c>
      <c r="D4" t="str">
        <f>VLOOKUP(B4, Rankings!A$2:D$113, 2, FALSE)</f>
        <v>Delta</v>
      </c>
      <c r="E4" s="235" t="s">
        <v>2672</v>
      </c>
      <c r="F4" s="6" t="str">
        <f>CONCATENATE(VLOOKUP(G4, Rankings!A$2:D$113, 4, FALSE), " (", VLOOKUP(G4, Rankings!A$2:D$113, 2, FALSE), ")")</f>
        <v>Lumiose City (Kalosite)</v>
      </c>
      <c r="G4" s="6">
        <v>72</v>
      </c>
      <c r="H4" s="6" t="e">
        <f>VLOOKUP(G4,Rankings!$A$2:$AJ$113,37,FALSE)</f>
        <v>#REF!</v>
      </c>
      <c r="I4" s="140">
        <v>4</v>
      </c>
      <c r="J4" s="140">
        <v>2</v>
      </c>
      <c r="K4" s="140">
        <f>26+5+10</f>
        <v>41</v>
      </c>
      <c r="L4" s="235" t="s">
        <v>2664</v>
      </c>
      <c r="M4" t="str">
        <f>CONCATENATE(VLOOKUP(N4, Rankings!A$2:D$113, 4, FALSE), " (", VLOOKUP(N4, Rankings!A$2:D$113, 2, FALSE), ")")</f>
        <v>Rustboro City (Delta)</v>
      </c>
      <c r="N4" s="241">
        <v>23</v>
      </c>
      <c r="O4" t="e">
        <f>VLOOKUP(N4,Rankings!$A$2:$AJ$113,37,FALSE)</f>
        <v>#REF!</v>
      </c>
      <c r="P4" s="63">
        <v>5</v>
      </c>
      <c r="Q4" s="63">
        <v>1</v>
      </c>
      <c r="R4" s="63">
        <f>20-4+8</f>
        <v>24</v>
      </c>
    </row>
    <row r="5" spans="1:24" x14ac:dyDescent="0.35">
      <c r="A5" s="95" t="s">
        <v>837</v>
      </c>
      <c r="B5">
        <v>58</v>
      </c>
      <c r="C5" t="str">
        <f>VLOOKUP(B5, Rankings!A$2:D$113, 4, FALSE)</f>
        <v>Castelia City</v>
      </c>
      <c r="D5" t="str">
        <f>VLOOKUP(B5, Rankings!A$2:D$113, 2, FALSE)</f>
        <v>Vertress</v>
      </c>
      <c r="E5" s="235" t="s">
        <v>2359</v>
      </c>
      <c r="F5" t="str">
        <f>CONCATENATE(VLOOKUP(G5, Rankings!A$2:D$113, 4, FALSE), " (", VLOOKUP(G5, Rankings!A$2:D$113, 2, FALSE), ")")</f>
        <v>Solaceon Town (Lily Valley)</v>
      </c>
      <c r="G5">
        <v>48</v>
      </c>
      <c r="H5" t="e">
        <f>VLOOKUP(G5,Rankings!$A$2:$AJ$113,37,FALSE)</f>
        <v>#REF!</v>
      </c>
      <c r="I5" s="63">
        <v>3</v>
      </c>
      <c r="J5" s="63">
        <v>3</v>
      </c>
      <c r="K5" s="63">
        <f>-20-5+41</f>
        <v>16</v>
      </c>
      <c r="L5" s="235" t="s">
        <v>2359</v>
      </c>
      <c r="M5" t="str">
        <f>CONCATENATE(VLOOKUP(N5, Rankings!A$2:D$113, 4, FALSE), " (", VLOOKUP(N5, Rankings!A$2:D$113, 2, FALSE), ")")</f>
        <v>Oreburgh City (Lily Valley)</v>
      </c>
      <c r="N5" s="241">
        <v>39</v>
      </c>
      <c r="O5" t="e">
        <f>VLOOKUP(N5,Rankings!$A$2:$AJ$113,37,FALSE)</f>
        <v>#REF!</v>
      </c>
      <c r="P5" s="63">
        <v>2</v>
      </c>
      <c r="Q5" s="63">
        <v>4</v>
      </c>
      <c r="R5" s="63">
        <f>-12+13-8</f>
        <v>-7</v>
      </c>
      <c r="S5" s="237" t="s">
        <v>3494</v>
      </c>
      <c r="T5" s="180" t="str">
        <f>F3</f>
        <v>Cianwood City (Indigo)</v>
      </c>
    </row>
    <row r="6" spans="1:24" x14ac:dyDescent="0.35">
      <c r="A6" s="95" t="s">
        <v>921</v>
      </c>
      <c r="B6">
        <v>106</v>
      </c>
      <c r="C6" t="str">
        <f>VLOOKUP(B6, Rankings!A$2:D$113, 4, FALSE)</f>
        <v>Postwick</v>
      </c>
      <c r="D6" t="str">
        <f>VLOOKUP(B6, Rankings!A$2:D$113, 2, FALSE)</f>
        <v>Dynamax</v>
      </c>
      <c r="E6" s="235"/>
      <c r="F6" t="str">
        <f>CONCATENATE(VLOOKUP(G6, Rankings!A$2:D$113, 4, FALSE), " (", VLOOKUP(G6, Rankings!A$2:D$113, 2, FALSE), ")")</f>
        <v>Verdanturf Town (Delta)</v>
      </c>
      <c r="G6">
        <v>24</v>
      </c>
      <c r="H6" t="e">
        <f>VLOOKUP(G6,Rankings!$A$2:$AJ$113,37,FALSE)</f>
        <v>#REF!</v>
      </c>
      <c r="I6" s="63">
        <v>0</v>
      </c>
      <c r="J6" s="63">
        <v>6</v>
      </c>
      <c r="K6" s="63">
        <f>-26-14-41</f>
        <v>-81</v>
      </c>
      <c r="M6" t="str">
        <f>CONCATENATE(VLOOKUP(N6, Rankings!A$2:D$113, 4, FALSE), " (", VLOOKUP(N6, Rankings!A$2:D$113, 2, FALSE), ")")</f>
        <v>Nimbasa City (Vertress)</v>
      </c>
      <c r="N6" s="241">
        <v>55</v>
      </c>
      <c r="O6" t="e">
        <f>VLOOKUP(N6,Rankings!$A$2:$AJ$113,37,FALSE)</f>
        <v>#REF!</v>
      </c>
      <c r="P6" s="63">
        <v>0</v>
      </c>
      <c r="Q6" s="63">
        <v>6</v>
      </c>
      <c r="R6" s="63">
        <f>-20-13-46</f>
        <v>-79</v>
      </c>
      <c r="S6" s="237" t="s">
        <v>3521</v>
      </c>
      <c r="T6" s="180" t="str">
        <f>M4</f>
        <v>Rustboro City (Delta)</v>
      </c>
    </row>
    <row r="7" spans="1:24" x14ac:dyDescent="0.35">
      <c r="A7" s="95" t="s">
        <v>2079</v>
      </c>
      <c r="B7">
        <v>16</v>
      </c>
      <c r="C7" t="str">
        <f>VLOOKUP(B7, Rankings!A$2:D$113, 4, FALSE)</f>
        <v>Viridian City</v>
      </c>
      <c r="D7" t="str">
        <f>VLOOKUP(B7, Rankings!A$2:D$113, 2, FALSE)</f>
        <v>Indigo</v>
      </c>
      <c r="E7" s="235"/>
      <c r="N7" s="241"/>
      <c r="V7" s="1" t="str">
        <f>IF(U5=U6, "Quarterfinalist", IF(U5&gt;U6, T5, T6))</f>
        <v>Quarterfinalist</v>
      </c>
    </row>
    <row r="8" spans="1:24" x14ac:dyDescent="0.35">
      <c r="A8" s="95" t="s">
        <v>1074</v>
      </c>
      <c r="B8">
        <v>56</v>
      </c>
      <c r="C8" t="str">
        <f>VLOOKUP(B8, Rankings!A$2:D$113, 4, FALSE)</f>
        <v>Virbank City</v>
      </c>
      <c r="D8" t="str">
        <f>VLOOKUP(B8, Rankings!A$2:D$113, 2, FALSE)</f>
        <v>Vertress</v>
      </c>
      <c r="E8" s="235"/>
      <c r="F8" s="1" t="s">
        <v>2091</v>
      </c>
      <c r="H8" s="1" t="s">
        <v>1372</v>
      </c>
      <c r="I8" s="230" t="s">
        <v>5</v>
      </c>
      <c r="J8" s="230" t="s">
        <v>6</v>
      </c>
      <c r="K8" s="230" t="s">
        <v>2089</v>
      </c>
      <c r="M8" s="1" t="s">
        <v>2095</v>
      </c>
      <c r="N8" s="241"/>
      <c r="O8" s="1" t="s">
        <v>1372</v>
      </c>
      <c r="P8" s="230" t="s">
        <v>5</v>
      </c>
      <c r="Q8" s="230" t="s">
        <v>6</v>
      </c>
      <c r="R8" s="230" t="s">
        <v>2089</v>
      </c>
      <c r="S8" s="237" t="s">
        <v>3495</v>
      </c>
      <c r="T8" s="180" t="str">
        <f>F9</f>
        <v>Castelia City (Vertress)</v>
      </c>
      <c r="V8" s="1" t="str">
        <f>IF(U8=U9, "Quarterfinalist", IF(U8&gt;U9, T8, T9))</f>
        <v>Quarterfinalist</v>
      </c>
    </row>
    <row r="9" spans="1:24" x14ac:dyDescent="0.35">
      <c r="A9" s="95" t="s">
        <v>2058</v>
      </c>
      <c r="B9">
        <v>96</v>
      </c>
      <c r="C9" t="str">
        <f>VLOOKUP(B9, Rankings!A$2:D$113, 4, FALSE)</f>
        <v>Paniola Town</v>
      </c>
      <c r="D9" t="str">
        <f>VLOOKUP(B9, Rankings!A$2:D$113, 2, FALSE)</f>
        <v>Lanakila</v>
      </c>
      <c r="E9" s="235" t="s">
        <v>2665</v>
      </c>
      <c r="F9" t="str">
        <f>CONCATENATE(VLOOKUP(G9, Rankings!A$2:D$113, 4, FALSE), " (", VLOOKUP(G9, Rankings!A$2:D$113, 2, FALSE), ")")</f>
        <v>Castelia City (Vertress)</v>
      </c>
      <c r="G9">
        <v>58</v>
      </c>
      <c r="H9" t="e">
        <f>VLOOKUP(G9,Rankings!$A$2:$AJ$113,37,FALSE)</f>
        <v>#REF!</v>
      </c>
      <c r="I9" s="63">
        <v>5</v>
      </c>
      <c r="J9" s="63">
        <v>1</v>
      </c>
      <c r="K9" s="63">
        <f>8+2+59</f>
        <v>69</v>
      </c>
      <c r="L9" s="235" t="s">
        <v>2673</v>
      </c>
      <c r="M9" t="str">
        <f>CONCATENATE(VLOOKUP(N9, Rankings!A$2:D$113, 4, FALSE), " (", VLOOKUP(N9, Rankings!A$2:D$113, 2, FALSE), ")")</f>
        <v>Kala'e Bay (Lanakila)</v>
      </c>
      <c r="N9" s="241">
        <v>87</v>
      </c>
      <c r="O9" t="e">
        <f>VLOOKUP(N9,Rankings!$A$2:$AJ$113,37,FALSE)</f>
        <v>#REF!</v>
      </c>
      <c r="P9" s="63">
        <v>5</v>
      </c>
      <c r="Q9" s="63">
        <v>1</v>
      </c>
      <c r="R9" s="63">
        <f>6+42+17</f>
        <v>65</v>
      </c>
      <c r="S9" s="237" t="s">
        <v>3555</v>
      </c>
      <c r="T9" s="180" t="str">
        <f>M10</f>
        <v>Postwick (Dynamax)</v>
      </c>
    </row>
    <row r="10" spans="1:24" x14ac:dyDescent="0.35">
      <c r="A10" s="95" t="s">
        <v>395</v>
      </c>
      <c r="B10">
        <v>67</v>
      </c>
      <c r="C10" t="str">
        <f>VLOOKUP(B10, Rankings!A$2:D$113, 4, FALSE)</f>
        <v>Geosenge Town</v>
      </c>
      <c r="D10" t="str">
        <f>VLOOKUP(B10, Rankings!A$2:D$113, 2, FALSE)</f>
        <v>Kalosite</v>
      </c>
      <c r="E10" s="235" t="s">
        <v>2674</v>
      </c>
      <c r="F10" t="str">
        <f>CONCATENATE(VLOOKUP(G10, Rankings!A$2:D$113, 4, FALSE), " (", VLOOKUP(G10, Rankings!A$2:D$113, 2, FALSE), ")")</f>
        <v>Slateport City (Delta)</v>
      </c>
      <c r="G10">
        <v>32</v>
      </c>
      <c r="H10" t="e">
        <f>VLOOKUP(G10,Rankings!$A$2:$AJ$113,37,FALSE)</f>
        <v>#REF!</v>
      </c>
      <c r="I10" s="63">
        <v>4</v>
      </c>
      <c r="J10" s="63">
        <v>2</v>
      </c>
      <c r="K10" s="63">
        <f>25-2+28</f>
        <v>51</v>
      </c>
      <c r="L10" s="235" t="s">
        <v>2666</v>
      </c>
      <c r="M10" t="str">
        <f>CONCATENATE(VLOOKUP(N10, Rankings!A$2:D$113, 4, FALSE), " (", VLOOKUP(N10, Rankings!A$2:D$113, 2, FALSE), ")")</f>
        <v>Postwick (Dynamax)</v>
      </c>
      <c r="N10" s="241">
        <v>106</v>
      </c>
      <c r="O10" t="e">
        <f>VLOOKUP(N10,Rankings!$A$2:$AJ$113,37,FALSE)</f>
        <v>#REF!</v>
      </c>
      <c r="P10" s="63">
        <v>4</v>
      </c>
      <c r="Q10" s="63">
        <v>2</v>
      </c>
      <c r="R10" s="63">
        <f>7-42+29</f>
        <v>-6</v>
      </c>
      <c r="X10" s="1" t="str">
        <f>IF(W7=W8, "Semifinalist", IF(W7&gt;W8, V7, V8))</f>
        <v>Semifinalist</v>
      </c>
    </row>
    <row r="11" spans="1:24" x14ac:dyDescent="0.35">
      <c r="A11" s="95"/>
      <c r="C11" s="1" t="s">
        <v>2071</v>
      </c>
      <c r="E11" s="235" t="s">
        <v>2359</v>
      </c>
      <c r="F11" t="str">
        <f>CONCATENATE(VLOOKUP(G11, Rankings!A$2:D$113, 4, FALSE), " (", VLOOKUP(G11, Rankings!A$2:D$113, 2, FALSE), ")")</f>
        <v>Twinleaf Town (Lily Valley)</v>
      </c>
      <c r="G11">
        <v>36</v>
      </c>
      <c r="H11" t="e">
        <f>VLOOKUP(G11,Rankings!$A$2:$AJ$113,37,FALSE)</f>
        <v>#REF!</v>
      </c>
      <c r="I11" s="63">
        <v>2</v>
      </c>
      <c r="J11" s="63">
        <v>4</v>
      </c>
      <c r="K11" s="63">
        <f>-8+11-28</f>
        <v>-25</v>
      </c>
      <c r="L11" s="235" t="s">
        <v>2359</v>
      </c>
      <c r="M11" t="str">
        <f>CONCATENATE(VLOOKUP(N11, Rankings!A$2:D$113, 4, FALSE), " (", VLOOKUP(N11, Rankings!A$2:D$113, 2, FALSE), ")")</f>
        <v>Lilycove City (Delta)</v>
      </c>
      <c r="N11" s="241">
        <v>30</v>
      </c>
      <c r="O11" t="e">
        <f>VLOOKUP(N11,Rankings!$A$2:$AJ$113,37,FALSE)</f>
        <v>#REF!</v>
      </c>
      <c r="P11" s="63">
        <v>2</v>
      </c>
      <c r="Q11" s="63">
        <v>4</v>
      </c>
      <c r="R11" s="63">
        <f>-7+8-17</f>
        <v>-16</v>
      </c>
      <c r="S11" s="237" t="s">
        <v>3496</v>
      </c>
      <c r="T11" s="180" t="str">
        <f>F15</f>
        <v>Viridian City (Indigo)</v>
      </c>
      <c r="X11" s="1" t="str">
        <f>IF(W12=W13, "Semifinalist", IF(W12&gt;W13, V12, V13))</f>
        <v>Semifinalist</v>
      </c>
    </row>
    <row r="12" spans="1:24" x14ac:dyDescent="0.35">
      <c r="A12" s="95" t="s">
        <v>396</v>
      </c>
      <c r="B12">
        <v>24</v>
      </c>
      <c r="C12" t="str">
        <f>VLOOKUP(B12, Rankings!A$2:D$113, 4, FALSE)</f>
        <v>Verdanturf Town</v>
      </c>
      <c r="D12" t="str">
        <f>VLOOKUP(B12, Rankings!A$2:D$113, 2, FALSE)</f>
        <v>Delta</v>
      </c>
      <c r="E12" s="235"/>
      <c r="F12" t="str">
        <f>CONCATENATE(VLOOKUP(G12, Rankings!A$2:D$113, 4, FALSE), " (", VLOOKUP(G12, Rankings!A$2:D$113, 2, FALSE), ")")</f>
        <v>Santalune City (Kalosite)</v>
      </c>
      <c r="G12">
        <v>79</v>
      </c>
      <c r="H12" t="e">
        <f>VLOOKUP(G12,Rankings!$A$2:$AJ$113,37,FALSE)</f>
        <v>#REF!</v>
      </c>
      <c r="I12" s="63">
        <v>1</v>
      </c>
      <c r="J12" s="63">
        <v>5</v>
      </c>
      <c r="K12" s="63">
        <f>-25-11-59</f>
        <v>-95</v>
      </c>
      <c r="M12" t="str">
        <f>CONCATENATE(VLOOKUP(N12, Rankings!A$2:D$113, 4, FALSE), " (", VLOOKUP(N12, Rankings!A$2:D$113, 2, FALSE), ")")</f>
        <v>Mahogany Town (Indigo)</v>
      </c>
      <c r="N12" s="241">
        <v>7</v>
      </c>
      <c r="O12" t="e">
        <f>VLOOKUP(N12,Rankings!$A$2:$AJ$113,37,FALSE)</f>
        <v>#REF!</v>
      </c>
      <c r="P12" s="63">
        <v>1</v>
      </c>
      <c r="Q12" s="63">
        <v>5</v>
      </c>
      <c r="R12" s="63">
        <f>-6-8-29</f>
        <v>-43</v>
      </c>
      <c r="S12" s="237" t="s">
        <v>3563</v>
      </c>
      <c r="T12" s="180" t="str">
        <f>M16</f>
        <v>Dewford Town (Delta)</v>
      </c>
      <c r="V12" s="1" t="str">
        <f>IF(U11=U12, "Quarterfinalist", IF(U11&gt;U12, T11, T12))</f>
        <v>Quarterfinalist</v>
      </c>
    </row>
    <row r="13" spans="1:24" x14ac:dyDescent="0.35">
      <c r="A13" s="95" t="s">
        <v>836</v>
      </c>
      <c r="B13">
        <v>39</v>
      </c>
      <c r="C13" t="str">
        <f>VLOOKUP(B13, Rankings!A$2:D$113, 4, FALSE)</f>
        <v>Oreburgh City</v>
      </c>
      <c r="D13" t="str">
        <f>VLOOKUP(B13, Rankings!A$2:D$113, 2, FALSE)</f>
        <v>Lily Valley</v>
      </c>
      <c r="E13" s="235"/>
      <c r="N13" s="241"/>
      <c r="V13" s="1" t="str">
        <f>IF(U13=U14, "Quarterfinalist", IF(U13&gt;U14, T13, T14))</f>
        <v>Quarterfinalist</v>
      </c>
    </row>
    <row r="14" spans="1:24" x14ac:dyDescent="0.35">
      <c r="A14" s="95" t="s">
        <v>837</v>
      </c>
      <c r="B14">
        <v>79</v>
      </c>
      <c r="C14" t="str">
        <f>VLOOKUP(B14, Rankings!A$2:D$113, 4, FALSE)</f>
        <v>Santalune City</v>
      </c>
      <c r="D14" t="str">
        <f>VLOOKUP(B14, Rankings!A$2:D$113, 2, FALSE)</f>
        <v>Kalosite</v>
      </c>
      <c r="E14" s="235"/>
      <c r="F14" s="1" t="s">
        <v>2092</v>
      </c>
      <c r="H14" s="1" t="s">
        <v>1372</v>
      </c>
      <c r="I14" s="230" t="s">
        <v>5</v>
      </c>
      <c r="J14" s="230" t="s">
        <v>6</v>
      </c>
      <c r="K14" s="230" t="s">
        <v>2089</v>
      </c>
      <c r="M14" s="1" t="s">
        <v>2094</v>
      </c>
      <c r="N14" s="241"/>
      <c r="O14" s="1" t="s">
        <v>1372</v>
      </c>
      <c r="P14" s="230" t="s">
        <v>5</v>
      </c>
      <c r="Q14" s="230" t="s">
        <v>6</v>
      </c>
      <c r="R14" s="230" t="s">
        <v>2089</v>
      </c>
      <c r="S14" s="237" t="s">
        <v>3513</v>
      </c>
      <c r="T14" s="180" t="str">
        <f>F21</f>
        <v>Vaniville Town (Kalosite)</v>
      </c>
    </row>
    <row r="15" spans="1:24" x14ac:dyDescent="0.35">
      <c r="A15" s="95" t="s">
        <v>921</v>
      </c>
      <c r="B15">
        <v>7</v>
      </c>
      <c r="C15" t="str">
        <f>VLOOKUP(B15, Rankings!A$2:D$113, 4, FALSE)</f>
        <v>Mahogany Town</v>
      </c>
      <c r="D15" t="str">
        <f>VLOOKUP(B15, Rankings!A$2:D$113, 2, FALSE)</f>
        <v>Indigo</v>
      </c>
      <c r="E15" s="235" t="s">
        <v>2667</v>
      </c>
      <c r="F15" t="str">
        <f>CONCATENATE(VLOOKUP(G15, Rankings!A$2:D$113, 4, FALSE), " (", VLOOKUP(G15, Rankings!A$2:D$113, 2, FALSE), ")")</f>
        <v>Viridian City (Indigo)</v>
      </c>
      <c r="G15">
        <v>16</v>
      </c>
      <c r="H15" t="e">
        <f>VLOOKUP(G15,Rankings!$A$2:$AJ$113,37,FALSE)</f>
        <v>#REF!</v>
      </c>
      <c r="I15" s="63">
        <v>4</v>
      </c>
      <c r="J15" s="63">
        <v>2</v>
      </c>
      <c r="K15" s="63">
        <f>17-13+16</f>
        <v>20</v>
      </c>
      <c r="L15" s="235" t="s">
        <v>2675</v>
      </c>
      <c r="M15" t="str">
        <f>CONCATENATE(VLOOKUP(N15, Rankings!A$2:D$113, 4, FALSE), " (", VLOOKUP(N15, Rankings!A$2:D$113, 2, FALSE), ")")</f>
        <v>Virbank City (Vertress)</v>
      </c>
      <c r="N15" s="241">
        <v>56</v>
      </c>
      <c r="O15" t="e">
        <f>VLOOKUP(N15,Rankings!$A$2:$AJ$113,37,FALSE)</f>
        <v>#REF!</v>
      </c>
      <c r="P15" s="63">
        <v>5</v>
      </c>
      <c r="Q15" s="63">
        <v>1</v>
      </c>
      <c r="R15" s="63">
        <f>17+29+29</f>
        <v>75</v>
      </c>
      <c r="S15" s="237" t="s">
        <v>3571</v>
      </c>
      <c r="T15" s="180" t="str">
        <f>M22</f>
        <v>Geosenge Town (Kalosite)</v>
      </c>
    </row>
    <row r="16" spans="1:24" x14ac:dyDescent="0.35">
      <c r="A16" s="95" t="s">
        <v>2079</v>
      </c>
      <c r="B16">
        <v>110</v>
      </c>
      <c r="C16" t="str">
        <f>VLOOKUP(B16, Rankings!A$2:D$113, 4, FALSE)</f>
        <v>Isle of Armor</v>
      </c>
      <c r="D16" t="str">
        <f>VLOOKUP(B16, Rankings!A$2:D$113, 2, FALSE)</f>
        <v>Dynamax</v>
      </c>
      <c r="E16" s="235" t="s">
        <v>2676</v>
      </c>
      <c r="F16" t="str">
        <f>CONCATENATE(VLOOKUP(G16, Rankings!A$2:D$113, 4, FALSE), " (", VLOOKUP(G16, Rankings!A$2:D$113, 2, FALSE), ")")</f>
        <v>Undella Town (Vertress)</v>
      </c>
      <c r="G16">
        <v>64</v>
      </c>
      <c r="H16" t="e">
        <f>VLOOKUP(G16,Rankings!$A$2:$AJ$113,37,FALSE)</f>
        <v>#REF!</v>
      </c>
      <c r="I16" s="63">
        <v>4</v>
      </c>
      <c r="J16" s="63">
        <v>2</v>
      </c>
      <c r="K16" s="63">
        <f>9+13-4</f>
        <v>18</v>
      </c>
      <c r="L16" s="235" t="s">
        <v>2668</v>
      </c>
      <c r="M16" t="str">
        <f>CONCATENATE(VLOOKUP(N16, Rankings!A$2:D$113, 4, FALSE), " (", VLOOKUP(N16, Rankings!A$2:D$113, 2, FALSE), ")")</f>
        <v>Dewford Town (Delta)</v>
      </c>
      <c r="N16" s="241">
        <v>17</v>
      </c>
      <c r="O16" t="e">
        <f>VLOOKUP(N16,Rankings!$A$2:$AJ$113,37,FALSE)</f>
        <v>#REF!</v>
      </c>
      <c r="P16" s="63">
        <v>5</v>
      </c>
      <c r="Q16" s="63">
        <v>1</v>
      </c>
      <c r="R16" s="63">
        <f>-17+40+29</f>
        <v>52</v>
      </c>
    </row>
    <row r="17" spans="1:24" x14ac:dyDescent="0.35">
      <c r="A17" s="95" t="s">
        <v>1074</v>
      </c>
      <c r="B17">
        <v>83</v>
      </c>
      <c r="C17" t="str">
        <f>VLOOKUP(B17, Rankings!A$2:D$113, 4, FALSE)</f>
        <v>Seafolk Village</v>
      </c>
      <c r="D17" t="str">
        <f>VLOOKUP(B17, Rankings!A$2:D$113, 2, FALSE)</f>
        <v>Lanakila</v>
      </c>
      <c r="E17" s="235" t="s">
        <v>2359</v>
      </c>
      <c r="F17" t="str">
        <f>CONCATENATE(VLOOKUP(G17, Rankings!A$2:D$113, 4, FALSE), " (", VLOOKUP(G17, Rankings!A$2:D$113, 2, FALSE), ")")</f>
        <v>Anistar City (Kalosite)</v>
      </c>
      <c r="G17">
        <v>73</v>
      </c>
      <c r="H17" t="e">
        <f>VLOOKUP(G17,Rankings!$A$2:$AJ$113,37,FALSE)</f>
        <v>#REF!</v>
      </c>
      <c r="I17" s="63">
        <v>3</v>
      </c>
      <c r="J17" s="63">
        <v>3</v>
      </c>
      <c r="K17" s="63">
        <f>-17+10+4</f>
        <v>-3</v>
      </c>
      <c r="L17" s="235" t="s">
        <v>2359</v>
      </c>
      <c r="M17" t="str">
        <f>CONCATENATE(VLOOKUP(N17, Rankings!A$2:D$113, 4, FALSE), " (", VLOOKUP(N17, Rankings!A$2:D$113, 2, FALSE), ")")</f>
        <v>Seafolk Village (Lanakila)</v>
      </c>
      <c r="N17" s="241">
        <v>83</v>
      </c>
      <c r="O17" t="e">
        <f>VLOOKUP(N17,Rankings!$A$2:$AJ$113,37,FALSE)</f>
        <v>#REF!</v>
      </c>
      <c r="P17" s="63">
        <v>2</v>
      </c>
      <c r="Q17" s="63">
        <v>4</v>
      </c>
      <c r="R17" s="63">
        <f>12-40-29</f>
        <v>-57</v>
      </c>
      <c r="X17" s="1" t="str">
        <f>IF(Y10=Y11, "Finalist", IF(Y10&gt;Y11, X10, X11))</f>
        <v>Finalist</v>
      </c>
    </row>
    <row r="18" spans="1:24" x14ac:dyDescent="0.35">
      <c r="A18" s="95" t="s">
        <v>2058</v>
      </c>
      <c r="B18">
        <v>3</v>
      </c>
      <c r="C18" t="str">
        <f>VLOOKUP(B18, Rankings!A$2:D$113, 4, FALSE)</f>
        <v>Goldenrod City</v>
      </c>
      <c r="D18" t="str">
        <f>VLOOKUP(B18, Rankings!A$2:D$113, 2, FALSE)</f>
        <v>Indigo</v>
      </c>
      <c r="E18" s="235"/>
      <c r="F18" t="str">
        <f>CONCATENATE(VLOOKUP(G18, Rankings!A$2:D$113, 4, FALSE), " (", VLOOKUP(G18, Rankings!A$2:D$113, 2, FALSE), ")")</f>
        <v>Isle of Armor (Dynamax)</v>
      </c>
      <c r="G18">
        <v>110</v>
      </c>
      <c r="H18" t="e">
        <f>VLOOKUP(G18,Rankings!$A$2:$AJ$113,37,FALSE)</f>
        <v>#REF!</v>
      </c>
      <c r="I18" s="63">
        <v>1</v>
      </c>
      <c r="J18" s="63">
        <v>5</v>
      </c>
      <c r="K18" s="63">
        <f>-9-10-16</f>
        <v>-35</v>
      </c>
      <c r="M18" t="str">
        <f>CONCATENATE(VLOOKUP(N18, Rankings!A$2:D$113, 4, FALSE), " (", VLOOKUP(N18, Rankings!A$2:D$113, 2, FALSE), ")")</f>
        <v>City of Circhester (Dynamax)</v>
      </c>
      <c r="N18" s="241">
        <v>101</v>
      </c>
      <c r="O18" t="e">
        <f>VLOOKUP(N18,Rankings!$A$2:$AJ$113,37,FALSE)</f>
        <v>#REF!</v>
      </c>
      <c r="P18" s="63">
        <v>0</v>
      </c>
      <c r="Q18" s="63">
        <v>6</v>
      </c>
      <c r="R18" s="63">
        <f>-12-29-29</f>
        <v>-70</v>
      </c>
      <c r="X18" s="1" t="str">
        <f>IF(Y24=Y25, "Finalist", IF(Y24&gt;Y25, X24, X25))</f>
        <v>Finalist</v>
      </c>
    </row>
    <row r="19" spans="1:24" x14ac:dyDescent="0.35">
      <c r="A19" s="95" t="s">
        <v>395</v>
      </c>
      <c r="B19">
        <v>104</v>
      </c>
      <c r="C19" t="str">
        <f>VLOOKUP(B19, Rankings!A$2:D$113, 4, FALSE)</f>
        <v>Spikemuth</v>
      </c>
      <c r="D19" t="str">
        <f>VLOOKUP(B19, Rankings!A$2:D$113, 2, FALSE)</f>
        <v>Dynamax</v>
      </c>
      <c r="E19" s="235"/>
    </row>
    <row r="20" spans="1:24" x14ac:dyDescent="0.35">
      <c r="A20" s="95"/>
      <c r="C20" s="1" t="s">
        <v>2072</v>
      </c>
      <c r="E20" s="235"/>
      <c r="F20" s="1" t="s">
        <v>2093</v>
      </c>
      <c r="H20" s="1" t="s">
        <v>1372</v>
      </c>
      <c r="I20" s="230" t="s">
        <v>5</v>
      </c>
      <c r="J20" s="230" t="s">
        <v>6</v>
      </c>
      <c r="K20" s="230" t="s">
        <v>2089</v>
      </c>
      <c r="M20" s="1" t="s">
        <v>2616</v>
      </c>
      <c r="O20" s="1" t="s">
        <v>1372</v>
      </c>
      <c r="P20" s="246" t="s">
        <v>5</v>
      </c>
      <c r="Q20" s="246" t="s">
        <v>6</v>
      </c>
      <c r="R20" s="246" t="s">
        <v>2089</v>
      </c>
      <c r="S20" s="237" t="s">
        <v>3522</v>
      </c>
      <c r="T20" s="180" t="str">
        <f>M3</f>
        <v>Cinnabar Island (Indigo)</v>
      </c>
    </row>
    <row r="21" spans="1:24" x14ac:dyDescent="0.35">
      <c r="A21" s="95" t="s">
        <v>396</v>
      </c>
      <c r="B21">
        <v>72</v>
      </c>
      <c r="C21" t="str">
        <f>VLOOKUP(B21, Rankings!A$2:D$113, 4, FALSE)</f>
        <v>Lumiose City</v>
      </c>
      <c r="D21" t="str">
        <f>VLOOKUP(B21, Rankings!A$2:D$113, 2, FALSE)</f>
        <v>Kalosite</v>
      </c>
      <c r="E21" s="235" t="s">
        <v>2669</v>
      </c>
      <c r="F21" t="str">
        <f>CONCATENATE(VLOOKUP(G21, Rankings!A$2:D$113, 4, FALSE), " (", VLOOKUP(G21, Rankings!A$2:D$113, 2, FALSE), ")")</f>
        <v>Vaniville Town (Kalosite)</v>
      </c>
      <c r="G21">
        <v>80</v>
      </c>
      <c r="H21" t="e">
        <f>VLOOKUP(G21,Rankings!$A$2:$AJ$113,37,FALSE)</f>
        <v>#REF!</v>
      </c>
      <c r="I21" s="63">
        <v>5</v>
      </c>
      <c r="J21" s="63">
        <v>1</v>
      </c>
      <c r="K21" s="63">
        <f>7+7+15</f>
        <v>29</v>
      </c>
      <c r="L21" s="235" t="s">
        <v>2677</v>
      </c>
      <c r="M21" t="str">
        <f>CONCATENATE(VLOOKUP(N21, Rankings!A$2:D$113, 4, FALSE), " (", VLOOKUP(N21, Rankings!A$2:D$113, 2, FALSE), ")")</f>
        <v>Humilau City (Vertress)</v>
      </c>
      <c r="N21" s="241">
        <v>61</v>
      </c>
      <c r="O21" t="e">
        <f>VLOOKUP(N21,Rankings!$A$2:$AJ$113,37,FALSE)</f>
        <v>#REF!</v>
      </c>
      <c r="P21" s="63">
        <v>5</v>
      </c>
      <c r="Q21" s="63">
        <v>1</v>
      </c>
      <c r="R21" s="63">
        <f>16-2+37</f>
        <v>51</v>
      </c>
      <c r="S21" s="237" t="s">
        <v>3493</v>
      </c>
      <c r="T21" s="180" t="str">
        <f>F4</f>
        <v>Lumiose City (Kalosite)</v>
      </c>
    </row>
    <row r="22" spans="1:24" x14ac:dyDescent="0.35">
      <c r="A22" s="95" t="s">
        <v>836</v>
      </c>
      <c r="B22">
        <v>13</v>
      </c>
      <c r="C22" t="str">
        <f>VLOOKUP(B22, Rankings!A$2:D$113, 4, FALSE)</f>
        <v>Cinnabar Island</v>
      </c>
      <c r="D22" t="str">
        <f>VLOOKUP(B22, Rankings!A$2:D$113, 2, FALSE)</f>
        <v>Indigo</v>
      </c>
      <c r="E22" s="235" t="s">
        <v>2678</v>
      </c>
      <c r="F22" t="str">
        <f>CONCATENATE(VLOOKUP(G22, Rankings!A$2:D$113, 4, FALSE), " (", VLOOKUP(G22, Rankings!A$2:D$113, 2, FALSE), ")")</f>
        <v>Goldenrod City (Indigo)</v>
      </c>
      <c r="G22">
        <v>3</v>
      </c>
      <c r="H22" t="e">
        <f>VLOOKUP(G22,Rankings!$A$2:$AJ$113,37,FALSE)</f>
        <v>#REF!</v>
      </c>
      <c r="I22" s="63">
        <v>3</v>
      </c>
      <c r="J22" s="63">
        <v>3</v>
      </c>
      <c r="K22" s="63">
        <f>14-7+2</f>
        <v>9</v>
      </c>
      <c r="L22" s="235" t="s">
        <v>2670</v>
      </c>
      <c r="M22" t="str">
        <f>CONCATENATE(VLOOKUP(N22, Rankings!A$2:D$113, 4, FALSE), " (", VLOOKUP(N22, Rankings!A$2:D$113, 2, FALSE), ")")</f>
        <v>Geosenge Town (Kalosite)</v>
      </c>
      <c r="N22" s="241">
        <v>67</v>
      </c>
      <c r="O22" t="e">
        <f>VLOOKUP(N22,Rankings!$A$2:$AJ$113,37,FALSE)</f>
        <v>#REF!</v>
      </c>
      <c r="P22" s="63">
        <v>4</v>
      </c>
      <c r="Q22" s="63">
        <v>2</v>
      </c>
      <c r="R22" s="63">
        <f>4+2+10</f>
        <v>16</v>
      </c>
      <c r="V22" s="1" t="str">
        <f>IF(U20=U21, "Quarterfinalist", IF(U20&gt;U21, T20, T21))</f>
        <v>Quarterfinalist</v>
      </c>
    </row>
    <row r="23" spans="1:24" x14ac:dyDescent="0.35">
      <c r="A23" s="95" t="s">
        <v>837</v>
      </c>
      <c r="B23">
        <v>32</v>
      </c>
      <c r="C23" t="str">
        <f>VLOOKUP(B23, Rankings!A$2:D$113, 4, FALSE)</f>
        <v>Slateport City</v>
      </c>
      <c r="D23" t="str">
        <f>VLOOKUP(B23, Rankings!A$2:D$113, 2, FALSE)</f>
        <v>Delta</v>
      </c>
      <c r="E23" s="235" t="s">
        <v>2359</v>
      </c>
      <c r="F23" t="str">
        <f>CONCATENATE(VLOOKUP(G23, Rankings!A$2:D$113, 4, FALSE), " (", VLOOKUP(G23, Rankings!A$2:D$113, 2, FALSE), ")")</f>
        <v>Paniola Town (Lanakila)</v>
      </c>
      <c r="G23">
        <v>96</v>
      </c>
      <c r="H23" t="e">
        <f>VLOOKUP(G23,Rankings!$A$2:$AJ$113,37,FALSE)</f>
        <v>#REF!</v>
      </c>
      <c r="I23" s="63">
        <v>2</v>
      </c>
      <c r="J23" s="63">
        <v>4</v>
      </c>
      <c r="K23" s="63">
        <f>-7+8-2</f>
        <v>-1</v>
      </c>
      <c r="L23" s="235" t="s">
        <v>2359</v>
      </c>
      <c r="M23" t="str">
        <f>CONCATENATE(VLOOKUP(N23, Rankings!A$2:D$113, 4, FALSE), " (", VLOOKUP(N23, Rankings!A$2:D$113, 2, FALSE), ")")</f>
        <v>Spikemuth (Dynamax)</v>
      </c>
      <c r="N23" s="241">
        <v>104</v>
      </c>
      <c r="O23" t="e">
        <f>VLOOKUP(N23,Rankings!$A$2:$AJ$113,37,FALSE)</f>
        <v>#REF!</v>
      </c>
      <c r="P23" s="63">
        <v>3</v>
      </c>
      <c r="Q23" s="63">
        <v>3</v>
      </c>
      <c r="R23" s="63">
        <f>-16+22-10</f>
        <v>-4</v>
      </c>
      <c r="S23" s="237" t="s">
        <v>3556</v>
      </c>
      <c r="T23" s="238" t="str">
        <f>M9</f>
        <v>Kala'e Bay (Lanakila)</v>
      </c>
      <c r="V23" s="1" t="str">
        <f>IF(U23=U24, "Quarterfinalist", IF(U23&gt;U24, T23, T24))</f>
        <v>Quarterfinalist</v>
      </c>
    </row>
    <row r="24" spans="1:24" x14ac:dyDescent="0.35">
      <c r="A24" s="95" t="s">
        <v>921</v>
      </c>
      <c r="B24">
        <v>87</v>
      </c>
      <c r="C24" t="str">
        <f>VLOOKUP(B24, Rankings!A$2:D$113, 4, FALSE)</f>
        <v>Kala'e Bay</v>
      </c>
      <c r="D24" t="str">
        <f>VLOOKUP(B24, Rankings!A$2:D$113, 2, FALSE)</f>
        <v>Lanakila</v>
      </c>
      <c r="E24" s="235"/>
      <c r="F24" t="str">
        <f>CONCATENATE(VLOOKUP(G24, Rankings!A$2:D$113, 4, FALSE), " (", VLOOKUP(G24, Rankings!A$2:D$113, 2, FALSE), ")")</f>
        <v>Sandgem Town (Lily Valley)</v>
      </c>
      <c r="G24">
        <v>35</v>
      </c>
      <c r="H24" t="e">
        <f>VLOOKUP(G24,Rankings!$A$2:$AJ$113,37,FALSE)</f>
        <v>#REF!</v>
      </c>
      <c r="I24" s="63">
        <v>2</v>
      </c>
      <c r="J24" s="63">
        <v>4</v>
      </c>
      <c r="K24" s="63">
        <f>-14-8-15</f>
        <v>-37</v>
      </c>
      <c r="M24" t="str">
        <f>CONCATENATE(VLOOKUP(N24, Rankings!A$2:D$113, 4, FALSE), " (", VLOOKUP(N24, Rankings!A$2:D$113, 2, FALSE), ")")</f>
        <v>Po Town (Lanakila)</v>
      </c>
      <c r="N24" s="241">
        <v>91</v>
      </c>
      <c r="O24" t="e">
        <f>VLOOKUP(N24,Rankings!$A$2:$AJ$113,37,FALSE)</f>
        <v>#REF!</v>
      </c>
      <c r="P24" s="63">
        <v>0</v>
      </c>
      <c r="Q24" s="63">
        <v>6</v>
      </c>
      <c r="R24" s="63">
        <f>-4-22-37</f>
        <v>-63</v>
      </c>
      <c r="S24" s="237" t="s">
        <v>3497</v>
      </c>
      <c r="T24" s="180" t="str">
        <f>F10</f>
        <v>Slateport City (Delta)</v>
      </c>
      <c r="X24" s="1" t="str">
        <f>IF(W22=W23, "Semifinalist", IF(W22&gt;W23, V22, V23))</f>
        <v>Semifinalist</v>
      </c>
    </row>
    <row r="25" spans="1:24" x14ac:dyDescent="0.35">
      <c r="A25" s="95" t="s">
        <v>2079</v>
      </c>
      <c r="B25">
        <v>64</v>
      </c>
      <c r="C25" t="str">
        <f>VLOOKUP(B25, Rankings!A$2:D$113, 4, FALSE)</f>
        <v>Undella Town</v>
      </c>
      <c r="D25" t="str">
        <f>VLOOKUP(B25, Rankings!A$2:D$113, 2, FALSE)</f>
        <v>Vertress</v>
      </c>
      <c r="X25" s="1" t="str">
        <f>IF(W27=W28, "Semifinalist", IF(W27&gt;W28, V27, V28))</f>
        <v>Semifinalist</v>
      </c>
    </row>
    <row r="26" spans="1:24" x14ac:dyDescent="0.35">
      <c r="A26" s="95" t="s">
        <v>1074</v>
      </c>
      <c r="B26">
        <v>101</v>
      </c>
      <c r="C26" t="str">
        <f>VLOOKUP(B26, Rankings!A$2:D$113, 4, FALSE)</f>
        <v>City of Circhester</v>
      </c>
      <c r="D26" t="str">
        <f>VLOOKUP(B26, Rankings!A$2:D$113, 2, FALSE)</f>
        <v>Dynamax</v>
      </c>
      <c r="S26" s="237" t="s">
        <v>3564</v>
      </c>
      <c r="T26" s="238" t="str">
        <f>M15</f>
        <v>Virbank City (Vertress)</v>
      </c>
    </row>
    <row r="27" spans="1:24" x14ac:dyDescent="0.35">
      <c r="A27" s="95" t="s">
        <v>2058</v>
      </c>
      <c r="B27">
        <v>35</v>
      </c>
      <c r="C27" t="str">
        <f>VLOOKUP(B27, Rankings!A$2:D$113, 4, FALSE)</f>
        <v>Sandgem Town</v>
      </c>
      <c r="D27" t="str">
        <f>VLOOKUP(B27, Rankings!A$2:D$113, 2, FALSE)</f>
        <v>Lily Valley</v>
      </c>
      <c r="F27" s="6"/>
      <c r="H27">
        <v>1</v>
      </c>
      <c r="I27" s="63" t="s">
        <v>3504</v>
      </c>
      <c r="J27" s="63">
        <v>4</v>
      </c>
      <c r="M27" s="1" t="s">
        <v>2107</v>
      </c>
      <c r="O27" s="1" t="s">
        <v>1372</v>
      </c>
      <c r="P27" s="230" t="s">
        <v>5</v>
      </c>
      <c r="Q27" s="230" t="s">
        <v>6</v>
      </c>
      <c r="R27" s="230" t="s">
        <v>2089</v>
      </c>
      <c r="S27" s="237" t="s">
        <v>3498</v>
      </c>
      <c r="T27" s="180" t="str">
        <f>F16</f>
        <v>Undella Town (Vertress)</v>
      </c>
      <c r="V27" s="1" t="str">
        <f>IF(U25=U26, "Quarterfinalist", IF(U25&gt;U26, T25, T26))</f>
        <v>Quarterfinalist</v>
      </c>
    </row>
    <row r="28" spans="1:24" x14ac:dyDescent="0.35">
      <c r="A28" s="95" t="s">
        <v>395</v>
      </c>
      <c r="B28">
        <v>61</v>
      </c>
      <c r="C28" t="str">
        <f>VLOOKUP(B28, Rankings!A$2:D$113, 4, FALSE)</f>
        <v>Humilau City</v>
      </c>
      <c r="D28" t="str">
        <f>VLOOKUP(B28, Rankings!A$2:D$113, 2, FALSE)</f>
        <v>Vertress</v>
      </c>
      <c r="H28">
        <v>1</v>
      </c>
      <c r="I28" s="63" t="s">
        <v>3505</v>
      </c>
      <c r="J28" s="63">
        <v>3</v>
      </c>
      <c r="K28" s="63">
        <v>1</v>
      </c>
      <c r="L28" s="235" t="s">
        <v>396</v>
      </c>
      <c r="M28" t="str">
        <f t="shared" ref="M28:R28" si="0">F$5</f>
        <v>Solaceon Town (Lily Valley)</v>
      </c>
      <c r="N28">
        <f t="shared" si="0"/>
        <v>48</v>
      </c>
      <c r="O28" t="e">
        <f t="shared" si="0"/>
        <v>#REF!</v>
      </c>
      <c r="P28" s="63">
        <f t="shared" si="0"/>
        <v>3</v>
      </c>
      <c r="Q28" s="63">
        <f t="shared" si="0"/>
        <v>3</v>
      </c>
      <c r="R28" s="63">
        <f t="shared" si="0"/>
        <v>16</v>
      </c>
      <c r="V28" s="1" t="str">
        <f>IF(U28=U29, "Quarterfinalist", IF(U28&gt;U29, T28, T29))</f>
        <v>Quarterfinalist</v>
      </c>
    </row>
    <row r="29" spans="1:24" x14ac:dyDescent="0.35">
      <c r="A29" s="95"/>
      <c r="C29" s="1" t="s">
        <v>2073</v>
      </c>
      <c r="H29">
        <v>1</v>
      </c>
      <c r="I29" s="63" t="s">
        <v>3524</v>
      </c>
      <c r="K29" s="63">
        <v>3</v>
      </c>
      <c r="L29" s="235" t="s">
        <v>2079</v>
      </c>
      <c r="M29" t="str">
        <f t="shared" ref="M29:R29" si="1">F$17</f>
        <v>Anistar City (Kalosite)</v>
      </c>
      <c r="N29">
        <f t="shared" si="1"/>
        <v>73</v>
      </c>
      <c r="O29" t="e">
        <f t="shared" si="1"/>
        <v>#REF!</v>
      </c>
      <c r="P29" s="63">
        <f t="shared" si="1"/>
        <v>3</v>
      </c>
      <c r="Q29" s="63">
        <f t="shared" si="1"/>
        <v>3</v>
      </c>
      <c r="R29" s="63">
        <f t="shared" si="1"/>
        <v>-3</v>
      </c>
      <c r="S29" s="237" t="s">
        <v>3572</v>
      </c>
      <c r="T29" s="238" t="str">
        <f>M21</f>
        <v>Humilau City (Vertress)</v>
      </c>
    </row>
    <row r="30" spans="1:24" x14ac:dyDescent="0.35">
      <c r="A30" s="95" t="s">
        <v>396</v>
      </c>
      <c r="B30">
        <v>1</v>
      </c>
      <c r="C30" t="str">
        <f>VLOOKUP(B30, Rankings!A$2:D$113, 4, FALSE)</f>
        <v>Cianwood City</v>
      </c>
      <c r="D30" t="str">
        <f>VLOOKUP(B30, Rankings!A$2:D$113, 2, FALSE)</f>
        <v>Indigo</v>
      </c>
      <c r="H30">
        <v>1</v>
      </c>
      <c r="I30" s="63" t="s">
        <v>3506</v>
      </c>
      <c r="J30" s="63">
        <v>4</v>
      </c>
      <c r="L30" s="235" t="s">
        <v>395</v>
      </c>
      <c r="M30" t="str">
        <f>M$23</f>
        <v>Spikemuth (Dynamax)</v>
      </c>
      <c r="O30" t="e">
        <f>O$23</f>
        <v>#REF!</v>
      </c>
      <c r="P30" s="63">
        <f>P$23</f>
        <v>3</v>
      </c>
      <c r="Q30" s="63">
        <f>Q$23</f>
        <v>3</v>
      </c>
      <c r="R30" s="63">
        <f>R$23</f>
        <v>-4</v>
      </c>
      <c r="S30" s="237" t="s">
        <v>3503</v>
      </c>
      <c r="T30" s="180" t="str">
        <f>F22</f>
        <v>Goldenrod City (Indigo)</v>
      </c>
    </row>
    <row r="31" spans="1:24" x14ac:dyDescent="0.35">
      <c r="A31" s="95" t="s">
        <v>836</v>
      </c>
      <c r="B31">
        <v>55</v>
      </c>
      <c r="C31" t="str">
        <f>VLOOKUP(B31, Rankings!A$2:D$113, 4, FALSE)</f>
        <v>Nimbasa City</v>
      </c>
      <c r="D31" t="str">
        <f>VLOOKUP(B31, Rankings!A$2:D$113, 2, FALSE)</f>
        <v>Vertress</v>
      </c>
      <c r="H31">
        <v>1</v>
      </c>
      <c r="I31" s="63" t="s">
        <v>3507</v>
      </c>
      <c r="J31" s="63">
        <v>3</v>
      </c>
      <c r="K31" s="63">
        <v>1</v>
      </c>
      <c r="L31" s="235" t="s">
        <v>2058</v>
      </c>
      <c r="M31" t="str">
        <f t="shared" ref="M31:R31" si="2">F$23</f>
        <v>Paniola Town (Lanakila)</v>
      </c>
      <c r="N31">
        <f t="shared" si="2"/>
        <v>96</v>
      </c>
      <c r="O31" t="e">
        <f t="shared" si="2"/>
        <v>#REF!</v>
      </c>
      <c r="P31" s="63">
        <f t="shared" si="2"/>
        <v>2</v>
      </c>
      <c r="Q31" s="63">
        <f t="shared" si="2"/>
        <v>4</v>
      </c>
      <c r="R31" s="63">
        <f t="shared" si="2"/>
        <v>-1</v>
      </c>
    </row>
    <row r="32" spans="1:24" x14ac:dyDescent="0.35">
      <c r="A32" s="95" t="s">
        <v>837</v>
      </c>
      <c r="B32">
        <v>36</v>
      </c>
      <c r="C32" t="str">
        <f>VLOOKUP(B32, Rankings!A$2:D$113, 4, FALSE)</f>
        <v>Twinleaf Town</v>
      </c>
      <c r="D32" t="str">
        <f>VLOOKUP(B32, Rankings!A$2:D$113, 2, FALSE)</f>
        <v>Lily Valley</v>
      </c>
      <c r="H32">
        <v>1</v>
      </c>
      <c r="I32" s="63" t="s">
        <v>3508</v>
      </c>
      <c r="J32" s="63">
        <v>1</v>
      </c>
      <c r="K32" s="63">
        <v>2</v>
      </c>
      <c r="L32" s="235" t="s">
        <v>836</v>
      </c>
      <c r="M32" t="str">
        <f t="shared" ref="M32:R32" si="3">M$5</f>
        <v>Oreburgh City (Lily Valley)</v>
      </c>
      <c r="N32">
        <f t="shared" si="3"/>
        <v>39</v>
      </c>
      <c r="O32" t="e">
        <f t="shared" si="3"/>
        <v>#REF!</v>
      </c>
      <c r="P32" s="63">
        <f t="shared" si="3"/>
        <v>2</v>
      </c>
      <c r="Q32" s="63">
        <f t="shared" si="3"/>
        <v>4</v>
      </c>
      <c r="R32" s="63">
        <f t="shared" si="3"/>
        <v>-7</v>
      </c>
    </row>
    <row r="33" spans="1:20" x14ac:dyDescent="0.35">
      <c r="A33" s="95" t="s">
        <v>921</v>
      </c>
      <c r="B33">
        <v>30</v>
      </c>
      <c r="C33" t="str">
        <f>VLOOKUP(B33, Rankings!A$2:D$113, 4, FALSE)</f>
        <v>Lilycove City</v>
      </c>
      <c r="D33" t="str">
        <f>VLOOKUP(B33, Rankings!A$2:D$113, 2, FALSE)</f>
        <v>Delta</v>
      </c>
      <c r="H33">
        <v>2</v>
      </c>
      <c r="I33" s="63" t="s">
        <v>3509</v>
      </c>
      <c r="J33" s="63">
        <v>1</v>
      </c>
      <c r="K33" s="63">
        <v>1</v>
      </c>
      <c r="L33" s="235" t="s">
        <v>921</v>
      </c>
      <c r="M33" t="str">
        <f t="shared" ref="M33:R33" si="4">M$11</f>
        <v>Lilycove City (Delta)</v>
      </c>
      <c r="N33">
        <f t="shared" si="4"/>
        <v>30</v>
      </c>
      <c r="O33" t="e">
        <f t="shared" si="4"/>
        <v>#REF!</v>
      </c>
      <c r="P33" s="63">
        <f t="shared" si="4"/>
        <v>2</v>
      </c>
      <c r="Q33" s="63">
        <f t="shared" si="4"/>
        <v>4</v>
      </c>
      <c r="R33" s="63">
        <f t="shared" si="4"/>
        <v>-16</v>
      </c>
      <c r="T33"/>
    </row>
    <row r="34" spans="1:20" x14ac:dyDescent="0.35">
      <c r="A34" s="95" t="s">
        <v>2079</v>
      </c>
      <c r="B34">
        <v>73</v>
      </c>
      <c r="C34" t="str">
        <f>VLOOKUP(B34, Rankings!A$2:D$113, 4, FALSE)</f>
        <v>Anistar City</v>
      </c>
      <c r="D34" t="str">
        <f>VLOOKUP(B34, Rankings!A$2:D$113, 2, FALSE)</f>
        <v>Kalosite</v>
      </c>
      <c r="F34" t="s">
        <v>2539</v>
      </c>
      <c r="K34" s="63">
        <v>19.25</v>
      </c>
      <c r="L34" s="235" t="s">
        <v>837</v>
      </c>
      <c r="M34" t="str">
        <f t="shared" ref="M34:R34" si="5">F$11</f>
        <v>Twinleaf Town (Lily Valley)</v>
      </c>
      <c r="N34">
        <f t="shared" si="5"/>
        <v>36</v>
      </c>
      <c r="O34" t="e">
        <f t="shared" si="5"/>
        <v>#REF!</v>
      </c>
      <c r="P34" s="63">
        <f t="shared" si="5"/>
        <v>2</v>
      </c>
      <c r="Q34" s="63">
        <f t="shared" si="5"/>
        <v>4</v>
      </c>
      <c r="R34" s="63">
        <f t="shared" si="5"/>
        <v>-25</v>
      </c>
      <c r="T34"/>
    </row>
    <row r="35" spans="1:20" x14ac:dyDescent="0.35">
      <c r="A35" s="95" t="s">
        <v>1074</v>
      </c>
      <c r="B35">
        <v>17</v>
      </c>
      <c r="C35" t="str">
        <f>VLOOKUP(B35, Rankings!A$2:D$113, 4, FALSE)</f>
        <v>Dewford Town</v>
      </c>
      <c r="D35" t="str">
        <f>VLOOKUP(B35, Rankings!A$2:D$113, 2, FALSE)</f>
        <v>Delta</v>
      </c>
      <c r="F35" t="s">
        <v>2540</v>
      </c>
      <c r="K35" s="63">
        <v>25.5</v>
      </c>
      <c r="L35" s="235" t="s">
        <v>1074</v>
      </c>
      <c r="M35" t="str">
        <f t="shared" ref="M35:R35" si="6">M$17</f>
        <v>Seafolk Village (Lanakila)</v>
      </c>
      <c r="N35">
        <f t="shared" si="6"/>
        <v>83</v>
      </c>
      <c r="O35" t="e">
        <f t="shared" si="6"/>
        <v>#REF!</v>
      </c>
      <c r="P35" s="63">
        <f t="shared" si="6"/>
        <v>2</v>
      </c>
      <c r="Q35" s="63">
        <f t="shared" si="6"/>
        <v>4</v>
      </c>
      <c r="R35" s="63">
        <f t="shared" si="6"/>
        <v>-57</v>
      </c>
      <c r="T35"/>
    </row>
    <row r="36" spans="1:20" x14ac:dyDescent="0.35">
      <c r="A36" s="95" t="s">
        <v>2058</v>
      </c>
      <c r="B36">
        <v>80</v>
      </c>
      <c r="C36" t="str">
        <f>VLOOKUP(B36, Rankings!A$2:D$113, 4, FALSE)</f>
        <v>Vaniville Town</v>
      </c>
      <c r="D36" t="str">
        <f>VLOOKUP(B36, Rankings!A$2:D$113, 2, FALSE)</f>
        <v>Kalosite</v>
      </c>
      <c r="F36" s="6" t="s">
        <v>2541</v>
      </c>
      <c r="K36" s="63">
        <v>51.125</v>
      </c>
      <c r="T36"/>
    </row>
    <row r="37" spans="1:20" x14ac:dyDescent="0.35">
      <c r="A37" s="95" t="s">
        <v>395</v>
      </c>
      <c r="B37">
        <v>91</v>
      </c>
      <c r="C37" t="str">
        <f>VLOOKUP(B37, Rankings!A$2:D$113, 4, FALSE)</f>
        <v>Po Town</v>
      </c>
      <c r="D37" t="str">
        <f>VLOOKUP(B37, Rankings!A$2:D$113, 2, FALSE)</f>
        <v>Lanakila</v>
      </c>
      <c r="K37" s="63">
        <v>83.375</v>
      </c>
      <c r="M37" s="92" t="s">
        <v>2657</v>
      </c>
    </row>
    <row r="38" spans="1:20" x14ac:dyDescent="0.35">
      <c r="F38" s="92" t="s">
        <v>2569</v>
      </c>
      <c r="M38" s="92" t="s">
        <v>2658</v>
      </c>
    </row>
  </sheetData>
  <sortState xmlns:xlrd2="http://schemas.microsoft.com/office/spreadsheetml/2017/richdata2" ref="L28:R35">
    <sortCondition descending="1" ref="P28:P35"/>
    <sortCondition ref="Q28:Q35"/>
    <sortCondition descending="1" ref="R28:R35"/>
  </sortState>
  <pageMargins left="0.7" right="0.7" top="0.75" bottom="0.75" header="0.3" footer="0.3"/>
  <pageSetup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AF38"/>
  <sheetViews>
    <sheetView zoomScale="80" zoomScaleNormal="80" workbookViewId="0">
      <selection activeCell="T34" sqref="T34"/>
    </sheetView>
  </sheetViews>
  <sheetFormatPr defaultRowHeight="14.5" x14ac:dyDescent="0.35"/>
  <cols>
    <col min="2" max="2" width="3.81640625" hidden="1" customWidth="1"/>
    <col min="3" max="3" width="17.90625" customWidth="1"/>
    <col min="4" max="4" width="9.81640625" customWidth="1"/>
    <col min="5" max="5" width="8.90625" style="235" customWidth="1"/>
    <col min="6" max="6" width="26.81640625" customWidth="1"/>
    <col min="7" max="7" width="3.81640625" hidden="1" customWidth="1"/>
    <col min="8" max="8" width="3.81640625" customWidth="1"/>
    <col min="9" max="11" width="5.453125" style="63" customWidth="1"/>
    <col min="12" max="12" width="8.90625" customWidth="1"/>
    <col min="13" max="13" width="26.81640625" customWidth="1"/>
    <col min="14" max="14" width="3.81640625" hidden="1" customWidth="1"/>
    <col min="15" max="15" width="3.81640625" customWidth="1"/>
    <col min="16" max="18" width="5.453125" style="63" customWidth="1"/>
    <col min="19" max="19" width="8.90625" style="235" customWidth="1"/>
    <col min="20" max="20" width="26.6328125" style="180" customWidth="1"/>
    <col min="21" max="21" width="6" style="1" customWidth="1"/>
    <col min="22" max="22" width="26.6328125" style="1" customWidth="1"/>
    <col min="23" max="23" width="6" style="1" customWidth="1"/>
    <col min="24" max="24" width="26.6328125" style="1" customWidth="1"/>
    <col min="25" max="25" width="6" customWidth="1"/>
    <col min="26" max="30" width="8.90625" customWidth="1"/>
  </cols>
  <sheetData>
    <row r="2" spans="1:32" x14ac:dyDescent="0.35">
      <c r="B2" t="s">
        <v>2084</v>
      </c>
      <c r="C2" s="1" t="s">
        <v>2070</v>
      </c>
      <c r="F2" s="1" t="s">
        <v>2083</v>
      </c>
      <c r="G2" t="s">
        <v>2084</v>
      </c>
      <c r="H2" s="1" t="s">
        <v>1372</v>
      </c>
      <c r="I2" s="233" t="s">
        <v>5</v>
      </c>
      <c r="J2" s="233" t="s">
        <v>6</v>
      </c>
      <c r="K2" s="233" t="s">
        <v>2089</v>
      </c>
      <c r="M2" s="1" t="s">
        <v>2090</v>
      </c>
      <c r="N2" t="s">
        <v>2084</v>
      </c>
      <c r="O2" s="1" t="s">
        <v>1372</v>
      </c>
      <c r="P2" s="233" t="s">
        <v>5</v>
      </c>
      <c r="Q2" s="233" t="s">
        <v>6</v>
      </c>
      <c r="R2" s="233" t="s">
        <v>2089</v>
      </c>
      <c r="T2" s="180" t="s">
        <v>2104</v>
      </c>
      <c r="V2" s="1" t="s">
        <v>2106</v>
      </c>
      <c r="X2" s="1" t="s">
        <v>2105</v>
      </c>
    </row>
    <row r="3" spans="1:32" x14ac:dyDescent="0.35">
      <c r="A3" s="95" t="s">
        <v>396</v>
      </c>
      <c r="B3">
        <v>66</v>
      </c>
      <c r="C3" t="str">
        <f>VLOOKUP(B3, Rankings!A$2:D$113, 4, FALSE)</f>
        <v>Cyllage City</v>
      </c>
      <c r="D3" t="str">
        <f>VLOOKUP(B3, Rankings!A$2:D$113, 2, FALSE)</f>
        <v>Kalosite</v>
      </c>
      <c r="E3" s="235" t="s">
        <v>836</v>
      </c>
      <c r="F3" t="str">
        <f>CONCATENATE(VLOOKUP(G3, Rankings!A$2:D$113, 4, FALSE), " (", VLOOKUP(G3, Rankings!A$2:D$113, 2, FALSE), ")")</f>
        <v>Anville Town (Vertress)</v>
      </c>
      <c r="G3">
        <v>49</v>
      </c>
      <c r="H3" t="e">
        <f>VLOOKUP(G3,Rankings!$A$2:$AJ$113,37,FALSE)</f>
        <v>#REF!</v>
      </c>
      <c r="I3" s="63">
        <v>3</v>
      </c>
      <c r="J3" s="63">
        <v>1</v>
      </c>
      <c r="K3" s="63">
        <f>9+20</f>
        <v>29</v>
      </c>
      <c r="L3" s="235" t="s">
        <v>836</v>
      </c>
      <c r="M3" t="str">
        <f>CONCATENATE(VLOOKUP(N3, Rankings!A$2:D$113, 4, FALSE), " (", VLOOKUP(N3, Rankings!A$2:D$113, 2, FALSE), ")")</f>
        <v>Hulbury (Dynamax)</v>
      </c>
      <c r="N3" s="63">
        <v>109</v>
      </c>
      <c r="O3" t="e">
        <f>VLOOKUP(N3,Rankings!$A$2:$AJ$113,37,FALSE)</f>
        <v>#REF!</v>
      </c>
      <c r="P3" s="63">
        <v>3</v>
      </c>
      <c r="Q3" s="63">
        <v>1</v>
      </c>
      <c r="R3" s="63">
        <f>6+2</f>
        <v>8</v>
      </c>
    </row>
    <row r="4" spans="1:32" x14ac:dyDescent="0.35">
      <c r="A4" s="95" t="s">
        <v>836</v>
      </c>
      <c r="B4">
        <v>29</v>
      </c>
      <c r="C4" t="str">
        <f>VLOOKUP(B4, Rankings!A$2:D$113, 4, FALSE)</f>
        <v>Fortree City</v>
      </c>
      <c r="D4" t="str">
        <f>VLOOKUP(B4, Rankings!A$2:D$113, 2, FALSE)</f>
        <v>Delta</v>
      </c>
      <c r="E4" s="235" t="s">
        <v>836</v>
      </c>
      <c r="F4" t="str">
        <f>CONCATENATE(VLOOKUP(G4, Rankings!A$2:D$113, 4, FALSE), " (", VLOOKUP(G4, Rankings!A$2:D$113, 2, FALSE), ")")</f>
        <v>Wedgehurst (Dynamax)</v>
      </c>
      <c r="G4">
        <v>108</v>
      </c>
      <c r="H4" t="e">
        <f>VLOOKUP(G4,Rankings!$A$2:$AJ$113,37,FALSE)</f>
        <v>#REF!</v>
      </c>
      <c r="I4" s="63">
        <v>2</v>
      </c>
      <c r="J4" s="63">
        <v>2</v>
      </c>
      <c r="K4" s="63">
        <f>3-2</f>
        <v>1</v>
      </c>
      <c r="L4" s="235" t="s">
        <v>836</v>
      </c>
      <c r="M4" t="str">
        <f>CONCATENATE(VLOOKUP(N4, Rankings!A$2:D$113, 4, FALSE), " (", VLOOKUP(N4, Rankings!A$2:D$113, 2, FALSE), ")")</f>
        <v>Floaroma City (Lily Valley)</v>
      </c>
      <c r="N4" s="63">
        <v>38</v>
      </c>
      <c r="O4" t="e">
        <f>VLOOKUP(N4,Rankings!$A$2:$AJ$113,37,FALSE)</f>
        <v>#REF!</v>
      </c>
      <c r="P4" s="63">
        <v>2</v>
      </c>
      <c r="Q4" s="63">
        <v>2</v>
      </c>
      <c r="R4" s="63">
        <f>4-2</f>
        <v>2</v>
      </c>
      <c r="AA4">
        <v>5</v>
      </c>
      <c r="AB4" t="s">
        <v>2333</v>
      </c>
      <c r="AE4" t="s">
        <v>2333</v>
      </c>
    </row>
    <row r="5" spans="1:32" x14ac:dyDescent="0.35">
      <c r="A5" s="95" t="s">
        <v>837</v>
      </c>
      <c r="B5">
        <v>4</v>
      </c>
      <c r="C5" t="str">
        <f>VLOOKUP(B5, Rankings!A$2:D$113, 4, FALSE)</f>
        <v>Olivine City</v>
      </c>
      <c r="D5" t="str">
        <f>VLOOKUP(B5, Rankings!A$2:D$113, 2, FALSE)</f>
        <v>Indigo</v>
      </c>
      <c r="E5" s="235" t="s">
        <v>396</v>
      </c>
      <c r="F5" t="str">
        <f>CONCATENATE(VLOOKUP(G5, Rankings!A$2:D$113, 4, FALSE), " (", VLOOKUP(G5, Rankings!A$2:D$113, 2, FALSE), ")")</f>
        <v>Celestic Town (Lily Valley)</v>
      </c>
      <c r="G5">
        <v>45</v>
      </c>
      <c r="H5" t="e">
        <f>VLOOKUP(G5,Rankings!$A$2:$AJ$113,37,FALSE)</f>
        <v>#REF!</v>
      </c>
      <c r="I5" s="63">
        <v>2</v>
      </c>
      <c r="J5" s="63">
        <v>2</v>
      </c>
      <c r="K5" s="63">
        <f>-9+2</f>
        <v>-7</v>
      </c>
      <c r="L5" s="235" t="s">
        <v>396</v>
      </c>
      <c r="M5" t="str">
        <f>CONCATENATE(VLOOKUP(N5, Rankings!A$2:D$113, 4, FALSE), " (", VLOOKUP(N5, Rankings!A$2:D$113, 2, FALSE), ")")</f>
        <v>Exeggutor Island (Lanakila)</v>
      </c>
      <c r="N5" s="63">
        <v>81</v>
      </c>
      <c r="O5" t="e">
        <f>VLOOKUP(N5,Rankings!$A$2:$AJ$113,37,FALSE)</f>
        <v>#REF!</v>
      </c>
      <c r="P5" s="63">
        <v>2</v>
      </c>
      <c r="Q5" s="63">
        <v>2</v>
      </c>
      <c r="R5" s="63">
        <f>-4-2</f>
        <v>-6</v>
      </c>
      <c r="S5" s="235" t="s">
        <v>2663</v>
      </c>
      <c r="T5" s="180" t="s">
        <v>2096</v>
      </c>
      <c r="AB5" t="s">
        <v>2334</v>
      </c>
      <c r="AE5" t="s">
        <v>2336</v>
      </c>
    </row>
    <row r="6" spans="1:32" x14ac:dyDescent="0.35">
      <c r="A6" s="95" t="s">
        <v>921</v>
      </c>
      <c r="B6">
        <v>90</v>
      </c>
      <c r="C6" t="str">
        <f>VLOOKUP(B6, Rankings!A$2:D$113, 4, FALSE)</f>
        <v>Mount Hokulani</v>
      </c>
      <c r="D6" t="str">
        <f>VLOOKUP(B6, Rankings!A$2:D$113, 2, FALSE)</f>
        <v>Lanakila</v>
      </c>
      <c r="E6" s="235" t="s">
        <v>396</v>
      </c>
      <c r="F6" t="str">
        <f>CONCATENATE(VLOOKUP(G6, Rankings!A$2:D$113, 4, FALSE), " (", VLOOKUP(G6, Rankings!A$2:D$113, 2, FALSE), ")")</f>
        <v>Cyllage City (Kalosite)</v>
      </c>
      <c r="G6">
        <v>66</v>
      </c>
      <c r="H6" t="e">
        <f>VLOOKUP(G6,Rankings!$A$2:$AJ$113,37,FALSE)</f>
        <v>#REF!</v>
      </c>
      <c r="I6" s="63">
        <v>1</v>
      </c>
      <c r="J6" s="63">
        <v>3</v>
      </c>
      <c r="K6" s="63">
        <f>-3-20</f>
        <v>-23</v>
      </c>
      <c r="L6" s="235" t="s">
        <v>396</v>
      </c>
      <c r="M6" t="str">
        <f>CONCATENATE(VLOOKUP(N6, Rankings!A$2:D$113, 4, FALSE), " (", VLOOKUP(N6, Rankings!A$2:D$113, 2, FALSE), ")")</f>
        <v>Fortree City (Delta)</v>
      </c>
      <c r="N6" s="63">
        <v>29</v>
      </c>
      <c r="O6" t="e">
        <f>VLOOKUP(N6,Rankings!$A$2:$AJ$113,37,FALSE)</f>
        <v>#REF!</v>
      </c>
      <c r="P6" s="63">
        <v>1</v>
      </c>
      <c r="Q6" s="63">
        <v>3</v>
      </c>
      <c r="R6" s="63">
        <f>-6+2</f>
        <v>-4</v>
      </c>
      <c r="S6" s="235" t="s">
        <v>2683</v>
      </c>
      <c r="T6" s="180" t="s">
        <v>2626</v>
      </c>
      <c r="AB6" t="s">
        <v>2335</v>
      </c>
      <c r="AE6" t="s">
        <v>2339</v>
      </c>
    </row>
    <row r="7" spans="1:32" x14ac:dyDescent="0.35">
      <c r="A7" s="95" t="s">
        <v>2079</v>
      </c>
      <c r="B7">
        <v>60</v>
      </c>
      <c r="C7" t="str">
        <f>VLOOKUP(B7, Rankings!A$2:D$113, 4, FALSE)</f>
        <v>Striaton City</v>
      </c>
      <c r="D7" t="str">
        <f>VLOOKUP(B7, Rankings!A$2:D$113, 2, FALSE)</f>
        <v>Vertress</v>
      </c>
      <c r="L7" s="235"/>
      <c r="V7" s="1" t="str">
        <f>IF(U5=U6, "Quarterfinalist", IF(U5&gt;U6, T5, T6))</f>
        <v>Quarterfinalist</v>
      </c>
      <c r="AE7" t="s">
        <v>2342</v>
      </c>
    </row>
    <row r="8" spans="1:32" x14ac:dyDescent="0.35">
      <c r="A8" s="95" t="s">
        <v>1074</v>
      </c>
      <c r="B8">
        <v>44</v>
      </c>
      <c r="C8" t="str">
        <f>VLOOKUP(B8, Rankings!A$2:D$113, 4, FALSE)</f>
        <v>Veilstone City</v>
      </c>
      <c r="D8" t="str">
        <f>VLOOKUP(B8, Rankings!A$2:D$113, 2, FALSE)</f>
        <v>Lily Valley</v>
      </c>
      <c r="F8" s="1" t="s">
        <v>2091</v>
      </c>
      <c r="H8" s="1" t="s">
        <v>1372</v>
      </c>
      <c r="I8" s="233" t="s">
        <v>5</v>
      </c>
      <c r="J8" s="233" t="s">
        <v>6</v>
      </c>
      <c r="K8" s="233" t="s">
        <v>2089</v>
      </c>
      <c r="L8" s="235"/>
      <c r="M8" s="1" t="s">
        <v>2095</v>
      </c>
      <c r="O8" s="1" t="s">
        <v>1372</v>
      </c>
      <c r="P8" s="233" t="s">
        <v>5</v>
      </c>
      <c r="Q8" s="233" t="s">
        <v>6</v>
      </c>
      <c r="R8" s="233" t="s">
        <v>2089</v>
      </c>
      <c r="S8" s="235" t="s">
        <v>2684</v>
      </c>
      <c r="T8" s="180" t="s">
        <v>2621</v>
      </c>
      <c r="V8" s="1" t="str">
        <f>IF(U8=U9, "Quarterfinalist", IF(U8&gt;U9, T8, T9))</f>
        <v>Quarterfinalist</v>
      </c>
      <c r="AA8">
        <v>5</v>
      </c>
      <c r="AB8" t="s">
        <v>2336</v>
      </c>
      <c r="AE8" t="s">
        <v>2345</v>
      </c>
      <c r="AF8">
        <v>6</v>
      </c>
    </row>
    <row r="9" spans="1:32" x14ac:dyDescent="0.35">
      <c r="A9" s="95"/>
      <c r="E9" s="235" t="s">
        <v>836</v>
      </c>
      <c r="F9" t="str">
        <f>CONCATENATE(VLOOKUP(G9, Rankings!A$2:D$113, 4, FALSE), " (", VLOOKUP(G9, Rankings!A$2:D$113, 2, FALSE), ")")</f>
        <v>Resort Area (Lily Valley)</v>
      </c>
      <c r="G9">
        <v>42</v>
      </c>
      <c r="H9" t="e">
        <f>VLOOKUP(G9,Rankings!$A$2:$AJ$113,37,FALSE)</f>
        <v>#REF!</v>
      </c>
      <c r="I9" s="63">
        <v>3</v>
      </c>
      <c r="J9" s="63">
        <v>1</v>
      </c>
      <c r="K9" s="63">
        <f>2+20</f>
        <v>22</v>
      </c>
      <c r="L9" s="235" t="s">
        <v>396</v>
      </c>
      <c r="M9" t="str">
        <f>CONCATENATE(VLOOKUP(N9, Rankings!A$2:D$113, 4, FALSE), " (", VLOOKUP(N9, Rankings!A$2:D$113, 2, FALSE), ")")</f>
        <v>Laverre City (Kalosite)</v>
      </c>
      <c r="N9" s="63">
        <v>71</v>
      </c>
      <c r="O9" t="e">
        <f>VLOOKUP(N9,Rankings!$A$2:$AJ$113,37,FALSE)</f>
        <v>#REF!</v>
      </c>
      <c r="P9" s="63">
        <v>3</v>
      </c>
      <c r="Q9" s="63">
        <v>1</v>
      </c>
      <c r="R9" s="63">
        <f>12+32</f>
        <v>44</v>
      </c>
      <c r="S9" s="308" t="s">
        <v>3573</v>
      </c>
      <c r="T9" s="180" t="str">
        <f>MRL!M28</f>
        <v>Solaceon Town (Lily Valley)</v>
      </c>
      <c r="AB9" t="s">
        <v>2337</v>
      </c>
      <c r="AE9" t="s">
        <v>794</v>
      </c>
    </row>
    <row r="10" spans="1:32" x14ac:dyDescent="0.35">
      <c r="A10" s="95"/>
      <c r="E10" s="235" t="s">
        <v>396</v>
      </c>
      <c r="F10" t="str">
        <f>CONCATENATE(VLOOKUP(G10, Rankings!A$2:D$113, 4, FALSE), " (", VLOOKUP(G10, Rankings!A$2:D$113, 2, FALSE), ")")</f>
        <v>Nacrene City (Vertress)</v>
      </c>
      <c r="G10">
        <v>59</v>
      </c>
      <c r="H10" t="e">
        <f>VLOOKUP(G10,Rankings!$A$2:$AJ$113,37,FALSE)</f>
        <v>#REF!</v>
      </c>
      <c r="I10" s="63">
        <v>2</v>
      </c>
      <c r="J10" s="63">
        <v>2</v>
      </c>
      <c r="K10" s="63">
        <f>22-20</f>
        <v>2</v>
      </c>
      <c r="L10" s="235" t="s">
        <v>396</v>
      </c>
      <c r="M10" t="str">
        <f>CONCATENATE(VLOOKUP(N10, Rankings!A$2:D$113, 4, FALSE), " (", VLOOKUP(N10, Rankings!A$2:D$113, 2, FALSE), ")")</f>
        <v>Mount Hokulani (Lanakila)</v>
      </c>
      <c r="N10" s="63">
        <v>90</v>
      </c>
      <c r="O10" t="e">
        <f>VLOOKUP(N10,Rankings!$A$2:$AJ$113,37,FALSE)</f>
        <v>#REF!</v>
      </c>
      <c r="P10" s="63">
        <v>2</v>
      </c>
      <c r="Q10" s="63">
        <v>2</v>
      </c>
      <c r="R10" s="63">
        <f>-4+16</f>
        <v>12</v>
      </c>
      <c r="X10" s="1" t="str">
        <f>IF(W7=W8, "Semifinalist", IF(W7&gt;W8, V7, V8))</f>
        <v>Semifinalist</v>
      </c>
      <c r="AB10" t="s">
        <v>2338</v>
      </c>
    </row>
    <row r="11" spans="1:32" x14ac:dyDescent="0.35">
      <c r="A11" s="95"/>
      <c r="C11" s="1" t="s">
        <v>2071</v>
      </c>
      <c r="E11" s="235" t="s">
        <v>396</v>
      </c>
      <c r="F11" t="str">
        <f>CONCATENATE(VLOOKUP(G11, Rankings!A$2:D$113, 4, FALSE), " (", VLOOKUP(G11, Rankings!A$2:D$113, 2, FALSE), ")")</f>
        <v>Olivine City (Indigo)</v>
      </c>
      <c r="G11">
        <v>4</v>
      </c>
      <c r="H11" t="e">
        <f>VLOOKUP(G11,Rankings!$A$2:$AJ$113,37,FALSE)</f>
        <v>#REF!</v>
      </c>
      <c r="I11" s="63">
        <v>2</v>
      </c>
      <c r="J11" s="63">
        <v>2</v>
      </c>
      <c r="K11" s="63">
        <f>-2-9</f>
        <v>-11</v>
      </c>
      <c r="L11" s="235" t="s">
        <v>836</v>
      </c>
      <c r="M11" t="str">
        <f>CONCATENATE(VLOOKUP(N11, Rankings!A$2:D$113, 4, FALSE), " (", VLOOKUP(N11, Rankings!A$2:D$113, 2, FALSE), ")")</f>
        <v>Stow-on-Side (Dynamax)</v>
      </c>
      <c r="N11" s="63">
        <v>98</v>
      </c>
      <c r="O11" t="e">
        <f>VLOOKUP(N11,Rankings!$A$2:$AJ$113,37,FALSE)</f>
        <v>#REF!</v>
      </c>
      <c r="P11" s="63">
        <v>2</v>
      </c>
      <c r="Q11" s="63">
        <v>2</v>
      </c>
      <c r="R11" s="63">
        <f>4-32</f>
        <v>-28</v>
      </c>
      <c r="S11" s="235" t="s">
        <v>2667</v>
      </c>
      <c r="T11" s="180" t="s">
        <v>2098</v>
      </c>
      <c r="X11" s="1" t="str">
        <f>IF(W12=W13, "Semifinalist", IF(W12&gt;W13, V12, V13))</f>
        <v>Semifinalist</v>
      </c>
    </row>
    <row r="12" spans="1:32" x14ac:dyDescent="0.35">
      <c r="A12" s="95" t="s">
        <v>396</v>
      </c>
      <c r="B12">
        <v>45</v>
      </c>
      <c r="C12" t="str">
        <f>VLOOKUP(B12, Rankings!A$2:D$113, 4, FALSE)</f>
        <v>Celestic Town</v>
      </c>
      <c r="D12" t="str">
        <f>VLOOKUP(B12, Rankings!A$2:D$113, 2, FALSE)</f>
        <v>Lily Valley</v>
      </c>
      <c r="E12" s="235" t="s">
        <v>836</v>
      </c>
      <c r="F12" t="str">
        <f>CONCATENATE(VLOOKUP(G12, Rankings!A$2:D$113, 4, FALSE), " (", VLOOKUP(G12, Rankings!A$2:D$113, 2, FALSE), ")")</f>
        <v>Aquacorde Town (Kalosite)</v>
      </c>
      <c r="G12">
        <v>77</v>
      </c>
      <c r="H12" t="e">
        <f>VLOOKUP(G12,Rankings!$A$2:$AJ$113,37,FALSE)</f>
        <v>#REF!</v>
      </c>
      <c r="I12" s="63">
        <v>1</v>
      </c>
      <c r="J12" s="63">
        <v>3</v>
      </c>
      <c r="K12" s="63">
        <f>-22+9</f>
        <v>-13</v>
      </c>
      <c r="L12" s="235" t="s">
        <v>836</v>
      </c>
      <c r="M12" t="str">
        <f>CONCATENATE(VLOOKUP(N12, Rankings!A$2:D$113, 4, FALSE), " (", VLOOKUP(N12, Rankings!A$2:D$113, 2, FALSE), ")")</f>
        <v>Azalea Town (Indigo)</v>
      </c>
      <c r="N12" s="63">
        <v>5</v>
      </c>
      <c r="O12" t="e">
        <f>VLOOKUP(N12,Rankings!$A$2:$AJ$113,37,FALSE)</f>
        <v>#REF!</v>
      </c>
      <c r="P12" s="63">
        <v>1</v>
      </c>
      <c r="Q12" s="63">
        <v>3</v>
      </c>
      <c r="R12" s="63">
        <f>-12-16</f>
        <v>-28</v>
      </c>
      <c r="S12" s="308" t="s">
        <v>3576</v>
      </c>
      <c r="T12" s="180" t="str">
        <f>MRL!M31</f>
        <v>Paniola Town (Lanakila)</v>
      </c>
      <c r="V12" s="1" t="str">
        <f>IF(U10=U11, "Quarterfinalist", IF(U10&gt;U11, T10, T11))</f>
        <v>Quarterfinalist</v>
      </c>
      <c r="AA12">
        <v>4</v>
      </c>
      <c r="AB12" t="s">
        <v>2339</v>
      </c>
      <c r="AE12" t="s">
        <v>961</v>
      </c>
    </row>
    <row r="13" spans="1:32" x14ac:dyDescent="0.35">
      <c r="A13" s="95" t="s">
        <v>836</v>
      </c>
      <c r="B13">
        <v>81</v>
      </c>
      <c r="C13" t="str">
        <f>VLOOKUP(B13, Rankings!A$2:D$113, 4, FALSE)</f>
        <v>Exeggutor Island</v>
      </c>
      <c r="D13" t="str">
        <f>VLOOKUP(B13, Rankings!A$2:D$113, 2, FALSE)</f>
        <v>Lanakila</v>
      </c>
      <c r="L13" s="235"/>
      <c r="V13" s="1" t="str">
        <f>IF(U13=U14, "Quarterfinalist", IF(U13&gt;U14, T13, T14))</f>
        <v>Quarterfinalist</v>
      </c>
      <c r="AB13" t="s">
        <v>2340</v>
      </c>
      <c r="AE13" t="s">
        <v>2334</v>
      </c>
    </row>
    <row r="14" spans="1:32" x14ac:dyDescent="0.35">
      <c r="A14" s="95" t="s">
        <v>837</v>
      </c>
      <c r="B14">
        <v>59</v>
      </c>
      <c r="C14" t="str">
        <f>VLOOKUP(B14, Rankings!A$2:D$113, 4, FALSE)</f>
        <v>Nacrene City</v>
      </c>
      <c r="D14" t="str">
        <f>VLOOKUP(B14, Rankings!A$2:D$113, 2, FALSE)</f>
        <v>Vertress</v>
      </c>
      <c r="F14" s="1" t="s">
        <v>2092</v>
      </c>
      <c r="H14" s="1" t="s">
        <v>1372</v>
      </c>
      <c r="I14" s="233" t="s">
        <v>5</v>
      </c>
      <c r="J14" s="233" t="s">
        <v>6</v>
      </c>
      <c r="K14" s="233" t="s">
        <v>2089</v>
      </c>
      <c r="L14" s="235"/>
      <c r="M14" s="1" t="s">
        <v>2094</v>
      </c>
      <c r="O14" s="1" t="s">
        <v>1372</v>
      </c>
      <c r="P14" s="233" t="s">
        <v>5</v>
      </c>
      <c r="Q14" s="233" t="s">
        <v>6</v>
      </c>
      <c r="R14" s="233" t="s">
        <v>2089</v>
      </c>
      <c r="S14" s="235" t="s">
        <v>2673</v>
      </c>
      <c r="T14" s="180" t="s">
        <v>2313</v>
      </c>
      <c r="AB14" t="s">
        <v>2341</v>
      </c>
      <c r="AE14" t="s">
        <v>2337</v>
      </c>
    </row>
    <row r="15" spans="1:32" x14ac:dyDescent="0.35">
      <c r="A15" s="95" t="s">
        <v>921</v>
      </c>
      <c r="B15">
        <v>71</v>
      </c>
      <c r="C15" t="str">
        <f>VLOOKUP(B15, Rankings!A$2:D$113, 4, FALSE)</f>
        <v>Laverre City</v>
      </c>
      <c r="D15" t="str">
        <f>VLOOKUP(B15, Rankings!A$2:D$113, 2, FALSE)</f>
        <v>Kalosite</v>
      </c>
      <c r="E15" s="235" t="s">
        <v>396</v>
      </c>
      <c r="F15" t="str">
        <f>CONCATENATE(VLOOKUP(G15, Rankings!A$2:D$113, 4, FALSE), " (", VLOOKUP(G15, Rankings!A$2:D$113, 2, FALSE), ")")</f>
        <v>Striaton City (Vertress)</v>
      </c>
      <c r="G15">
        <v>60</v>
      </c>
      <c r="H15" t="e">
        <f>VLOOKUP(G15,Rankings!$A$2:$AJ$113,37,FALSE)</f>
        <v>#REF!</v>
      </c>
      <c r="I15" s="63">
        <v>3</v>
      </c>
      <c r="J15" s="63">
        <v>1</v>
      </c>
      <c r="K15" s="63">
        <f>5+15</f>
        <v>20</v>
      </c>
      <c r="L15" s="235" t="s">
        <v>396</v>
      </c>
      <c r="M15" t="str">
        <f>CONCATENATE(VLOOKUP(N15, Rankings!A$2:D$113, 4, FALSE), " (", VLOOKUP(N15, Rankings!A$2:D$113, 2, FALSE), ")")</f>
        <v>Veilstone City (Lily Valley)</v>
      </c>
      <c r="N15" s="63">
        <v>44</v>
      </c>
      <c r="O15" t="e">
        <f>VLOOKUP(N15,Rankings!$A$2:$AJ$113,37,FALSE)</f>
        <v>#REF!</v>
      </c>
      <c r="P15" s="63">
        <v>4</v>
      </c>
      <c r="Q15" s="63">
        <v>0</v>
      </c>
      <c r="R15" s="63">
        <f>18+35</f>
        <v>53</v>
      </c>
      <c r="S15" s="235" t="s">
        <v>2685</v>
      </c>
      <c r="T15" s="180" t="s">
        <v>2623</v>
      </c>
      <c r="AB15" t="s">
        <v>2352</v>
      </c>
      <c r="AE15" t="s">
        <v>2340</v>
      </c>
    </row>
    <row r="16" spans="1:32" x14ac:dyDescent="0.35">
      <c r="A16" s="95" t="s">
        <v>2079</v>
      </c>
      <c r="B16">
        <v>89</v>
      </c>
      <c r="C16" t="str">
        <f>VLOOKUP(B16, Rankings!A$2:D$113, 4, FALSE)</f>
        <v>Malie City</v>
      </c>
      <c r="D16" t="str">
        <f>VLOOKUP(B16, Rankings!A$2:D$113, 2, FALSE)</f>
        <v>Lanakila</v>
      </c>
      <c r="E16" s="235" t="s">
        <v>396</v>
      </c>
      <c r="F16" t="str">
        <f>CONCATENATE(VLOOKUP(G16, Rankings!A$2:D$113, 4, FALSE), " (", VLOOKUP(G16, Rankings!A$2:D$113, 2, FALSE), ")")</f>
        <v>Malie City (Lanakila)</v>
      </c>
      <c r="G16">
        <v>89</v>
      </c>
      <c r="H16" t="e">
        <f>VLOOKUP(G16,Rankings!$A$2:$AJ$113,37,FALSE)</f>
        <v>#REF!</v>
      </c>
      <c r="I16" s="63">
        <v>3</v>
      </c>
      <c r="J16" s="63">
        <v>1</v>
      </c>
      <c r="K16" s="63">
        <f>-1+11</f>
        <v>10</v>
      </c>
      <c r="L16" s="235" t="s">
        <v>396</v>
      </c>
      <c r="M16" t="str">
        <f>CONCATENATE(VLOOKUP(N16, Rankings!A$2:D$113, 4, FALSE), " (", VLOOKUP(N16, Rankings!A$2:D$113, 2, FALSE), ")")</f>
        <v>Fallarbor Town (Delta)</v>
      </c>
      <c r="N16" s="63">
        <v>21</v>
      </c>
      <c r="O16" t="e">
        <f>VLOOKUP(N16,Rankings!$A$2:$AJ$113,37,FALSE)</f>
        <v>#REF!</v>
      </c>
      <c r="P16" s="63">
        <v>2</v>
      </c>
      <c r="Q16" s="63">
        <v>2</v>
      </c>
      <c r="R16" s="63">
        <f>-2+7</f>
        <v>5</v>
      </c>
      <c r="AE16" t="s">
        <v>2343</v>
      </c>
    </row>
    <row r="17" spans="1:31" x14ac:dyDescent="0.35">
      <c r="A17" s="95" t="s">
        <v>1074</v>
      </c>
      <c r="B17">
        <v>21</v>
      </c>
      <c r="C17" t="str">
        <f>VLOOKUP(B17, Rankings!A$2:D$113, 4, FALSE)</f>
        <v>Fallarbor Town</v>
      </c>
      <c r="D17" t="str">
        <f>VLOOKUP(B17, Rankings!A$2:D$113, 2, FALSE)</f>
        <v>Delta</v>
      </c>
      <c r="E17" s="235" t="s">
        <v>836</v>
      </c>
      <c r="F17" t="str">
        <f>CONCATENATE(VLOOKUP(G17, Rankings!A$2:D$113, 4, FALSE), " (", VLOOKUP(G17, Rankings!A$2:D$113, 2, FALSE), ")")</f>
        <v>Wyndon South (Dynamax)</v>
      </c>
      <c r="G17">
        <v>100</v>
      </c>
      <c r="H17" t="e">
        <f>VLOOKUP(G17,Rankings!$A$2:$AJ$113,37,FALSE)</f>
        <v>#REF!</v>
      </c>
      <c r="I17" s="63">
        <v>1</v>
      </c>
      <c r="J17" s="63">
        <v>3</v>
      </c>
      <c r="K17" s="63">
        <f>1-15</f>
        <v>-14</v>
      </c>
      <c r="L17" s="235" t="s">
        <v>836</v>
      </c>
      <c r="M17" t="str">
        <f>CONCATENATE(VLOOKUP(N17, Rankings!A$2:D$113, 4, FALSE), " (", VLOOKUP(N17, Rankings!A$2:D$113, 2, FALSE), ")")</f>
        <v>Saffron City (Indigo)</v>
      </c>
      <c r="N17" s="63">
        <v>11</v>
      </c>
      <c r="O17" t="e">
        <f>VLOOKUP(N17,Rankings!$A$2:$AJ$113,37,FALSE)</f>
        <v>#REF!</v>
      </c>
      <c r="P17" s="63">
        <v>1</v>
      </c>
      <c r="Q17" s="63">
        <v>3</v>
      </c>
      <c r="R17" s="63">
        <f>-18-7</f>
        <v>-25</v>
      </c>
      <c r="X17" s="1" t="str">
        <f>IF(Y10=Y11, "Finalist", IF(Y10&gt;Y11, X10, X11))</f>
        <v>Finalist</v>
      </c>
      <c r="AA17">
        <v>4</v>
      </c>
      <c r="AB17" t="s">
        <v>2342</v>
      </c>
      <c r="AE17" t="s">
        <v>2346</v>
      </c>
    </row>
    <row r="18" spans="1:31" x14ac:dyDescent="0.35">
      <c r="A18" s="95"/>
      <c r="E18" s="235" t="s">
        <v>836</v>
      </c>
      <c r="F18" t="str">
        <f>CONCATENATE(VLOOKUP(G18, Rankings!A$2:D$113, 4, FALSE), " (", VLOOKUP(G18, Rankings!A$2:D$113, 2, FALSE), ")")</f>
        <v>Oldale Town (Delta)</v>
      </c>
      <c r="G18">
        <v>19</v>
      </c>
      <c r="H18" t="e">
        <f>VLOOKUP(G18,Rankings!$A$2:$AJ$113,37,FALSE)</f>
        <v>#REF!</v>
      </c>
      <c r="I18" s="63">
        <v>1</v>
      </c>
      <c r="J18" s="63">
        <v>3</v>
      </c>
      <c r="K18" s="63">
        <f>-5-11</f>
        <v>-16</v>
      </c>
      <c r="L18" s="235" t="s">
        <v>836</v>
      </c>
      <c r="M18" t="str">
        <f>CONCATENATE(VLOOKUP(N18, Rankings!A$2:D$113, 4, FALSE), " (", VLOOKUP(N18, Rankings!A$2:D$113, 2, FALSE), ")")</f>
        <v>Hau'oli City (Lanakila)</v>
      </c>
      <c r="N18" s="63">
        <v>85</v>
      </c>
      <c r="O18" t="e">
        <f>VLOOKUP(N18,Rankings!$A$2:$AJ$113,37,FALSE)</f>
        <v>#REF!</v>
      </c>
      <c r="P18" s="63">
        <v>1</v>
      </c>
      <c r="Q18" s="63">
        <v>3</v>
      </c>
      <c r="R18" s="63">
        <f>2-35</f>
        <v>-33</v>
      </c>
      <c r="X18" s="1" t="str">
        <f>IF(Y24=Y25, "Finalist", IF(Y24&gt;Y25, X24, X25))</f>
        <v>Finalist</v>
      </c>
      <c r="AB18" t="s">
        <v>2343</v>
      </c>
    </row>
    <row r="19" spans="1:31" x14ac:dyDescent="0.35">
      <c r="A19" s="95"/>
      <c r="AB19" t="s">
        <v>2344</v>
      </c>
    </row>
    <row r="20" spans="1:31" x14ac:dyDescent="0.35">
      <c r="A20" s="95"/>
      <c r="C20" s="1" t="s">
        <v>2072</v>
      </c>
      <c r="F20" s="1"/>
      <c r="H20" s="1"/>
      <c r="I20" s="233"/>
      <c r="J20" s="233"/>
      <c r="K20" s="233"/>
      <c r="M20" s="1"/>
      <c r="O20" s="1"/>
      <c r="P20" s="233"/>
      <c r="Q20" s="233"/>
      <c r="R20" s="233"/>
      <c r="S20" s="235" t="s">
        <v>2665</v>
      </c>
      <c r="T20" s="180" t="s">
        <v>2097</v>
      </c>
      <c r="AB20" t="s">
        <v>2353</v>
      </c>
      <c r="AE20" t="s">
        <v>792</v>
      </c>
    </row>
    <row r="21" spans="1:31" x14ac:dyDescent="0.35">
      <c r="A21" s="95" t="s">
        <v>396</v>
      </c>
      <c r="B21">
        <v>49</v>
      </c>
      <c r="C21" t="str">
        <f>VLOOKUP(B21, Rankings!A$2:D$113, 4, FALSE)</f>
        <v>Anville Town</v>
      </c>
      <c r="D21" t="str">
        <f>VLOOKUP(B21, Rankings!A$2:D$113, 2, FALSE)</f>
        <v>Vertress</v>
      </c>
      <c r="F21" s="1" t="s">
        <v>2356</v>
      </c>
      <c r="H21" s="1" t="s">
        <v>1372</v>
      </c>
      <c r="I21" s="233" t="s">
        <v>5</v>
      </c>
      <c r="J21" s="233" t="s">
        <v>6</v>
      </c>
      <c r="K21" s="233" t="s">
        <v>2089</v>
      </c>
      <c r="S21" s="235" t="s">
        <v>2686</v>
      </c>
      <c r="T21" s="180" t="s">
        <v>2624</v>
      </c>
      <c r="AE21" t="s">
        <v>1302</v>
      </c>
    </row>
    <row r="22" spans="1:31" x14ac:dyDescent="0.35">
      <c r="A22" s="95" t="s">
        <v>836</v>
      </c>
      <c r="B22">
        <v>38</v>
      </c>
      <c r="C22" t="str">
        <f>VLOOKUP(B22, Rankings!A$2:D$113, 4, FALSE)</f>
        <v>Floaroma City</v>
      </c>
      <c r="D22" t="str">
        <f>VLOOKUP(B22, Rankings!A$2:D$113, 2, FALSE)</f>
        <v>Lily Valley</v>
      </c>
      <c r="E22" s="235" t="s">
        <v>2079</v>
      </c>
      <c r="F22" t="str">
        <f t="shared" ref="F22:K22" si="0">F$16</f>
        <v>Malie City (Lanakila)</v>
      </c>
      <c r="G22">
        <f t="shared" si="0"/>
        <v>89</v>
      </c>
      <c r="H22" t="e">
        <f t="shared" si="0"/>
        <v>#REF!</v>
      </c>
      <c r="I22" s="63">
        <f t="shared" si="0"/>
        <v>3</v>
      </c>
      <c r="J22" s="63">
        <f t="shared" si="0"/>
        <v>1</v>
      </c>
      <c r="K22" s="63">
        <f t="shared" si="0"/>
        <v>10</v>
      </c>
      <c r="V22" s="1" t="str">
        <f>IF(U20=U21, "Quarterfinalist", IF(U20&gt;U21, T20, T21))</f>
        <v>Quarterfinalist</v>
      </c>
      <c r="AA22">
        <v>4</v>
      </c>
      <c r="AB22" t="s">
        <v>2345</v>
      </c>
      <c r="AE22" t="s">
        <v>2335</v>
      </c>
    </row>
    <row r="23" spans="1:31" x14ac:dyDescent="0.35">
      <c r="A23" s="95" t="s">
        <v>837</v>
      </c>
      <c r="B23">
        <v>77</v>
      </c>
      <c r="C23" t="str">
        <f>VLOOKUP(B23, Rankings!A$2:D$113, 4, FALSE)</f>
        <v>Aquacorde Town</v>
      </c>
      <c r="D23" t="str">
        <f>VLOOKUP(B23, Rankings!A$2:D$113, 2, FALSE)</f>
        <v>Kalosite</v>
      </c>
      <c r="E23" s="235" t="s">
        <v>921</v>
      </c>
      <c r="F23" t="str">
        <f t="shared" ref="F23:K23" si="1">M$10</f>
        <v>Mount Hokulani (Lanakila)</v>
      </c>
      <c r="G23">
        <f t="shared" si="1"/>
        <v>90</v>
      </c>
      <c r="H23" t="e">
        <f t="shared" si="1"/>
        <v>#REF!</v>
      </c>
      <c r="I23" s="63">
        <f t="shared" si="1"/>
        <v>2</v>
      </c>
      <c r="J23" s="63">
        <f t="shared" si="1"/>
        <v>2</v>
      </c>
      <c r="K23" s="63">
        <f t="shared" si="1"/>
        <v>12</v>
      </c>
      <c r="S23" s="235" t="s">
        <v>2675</v>
      </c>
      <c r="T23" s="180" t="s">
        <v>2318</v>
      </c>
      <c r="V23" s="1" t="str">
        <f>IF(U23=U24, "Quarterfinalist", IF(U23&gt;U24, T23, T24))</f>
        <v>Quarterfinalist</v>
      </c>
      <c r="AB23" t="s">
        <v>2346</v>
      </c>
      <c r="AE23" t="s">
        <v>2338</v>
      </c>
    </row>
    <row r="24" spans="1:31" x14ac:dyDescent="0.35">
      <c r="A24" s="95" t="s">
        <v>921</v>
      </c>
      <c r="B24">
        <v>5</v>
      </c>
      <c r="C24" t="str">
        <f>VLOOKUP(B24, Rankings!A$2:D$113, 4, FALSE)</f>
        <v>Azalea Town</v>
      </c>
      <c r="D24" t="str">
        <f>VLOOKUP(B24, Rankings!A$2:D$113, 2, FALSE)</f>
        <v>Indigo</v>
      </c>
      <c r="E24" s="235" t="s">
        <v>1074</v>
      </c>
      <c r="F24" t="str">
        <f t="shared" ref="F24:K24" si="2">M$16</f>
        <v>Fallarbor Town (Delta)</v>
      </c>
      <c r="G24">
        <f t="shared" si="2"/>
        <v>21</v>
      </c>
      <c r="H24" t="e">
        <f t="shared" si="2"/>
        <v>#REF!</v>
      </c>
      <c r="I24" s="63">
        <f t="shared" si="2"/>
        <v>2</v>
      </c>
      <c r="J24" s="63">
        <f t="shared" si="2"/>
        <v>2</v>
      </c>
      <c r="K24" s="63">
        <f t="shared" si="2"/>
        <v>5</v>
      </c>
      <c r="L24" s="233" t="s">
        <v>2358</v>
      </c>
      <c r="M24" s="252" t="str">
        <f>MRL!M35</f>
        <v>Seafolk Village (Lanakila)</v>
      </c>
      <c r="O24" t="s">
        <v>375</v>
      </c>
      <c r="S24" s="308" t="s">
        <v>3575</v>
      </c>
      <c r="T24" s="180" t="str">
        <f>MRL!M30</f>
        <v>Spikemuth (Dynamax)</v>
      </c>
      <c r="X24" s="1" t="str">
        <f>IF(W22=W23, "Semifinalist", IF(W22&gt;W23, V22, V23))</f>
        <v>Semifinalist</v>
      </c>
      <c r="AB24" t="s">
        <v>2347</v>
      </c>
      <c r="AE24" t="s">
        <v>2341</v>
      </c>
    </row>
    <row r="25" spans="1:31" x14ac:dyDescent="0.35">
      <c r="A25" s="95" t="s">
        <v>2079</v>
      </c>
      <c r="B25">
        <v>100</v>
      </c>
      <c r="C25" t="str">
        <f>VLOOKUP(B25, Rankings!A$2:D$113, 4, FALSE)</f>
        <v>Wyndon South</v>
      </c>
      <c r="D25" t="str">
        <f>VLOOKUP(B25, Rankings!A$2:D$113, 2, FALSE)</f>
        <v>Dynamax</v>
      </c>
      <c r="E25" s="235" t="s">
        <v>837</v>
      </c>
      <c r="F25" t="str">
        <f t="shared" ref="F25:K25" si="3">F$10</f>
        <v>Nacrene City (Vertress)</v>
      </c>
      <c r="G25">
        <f t="shared" si="3"/>
        <v>59</v>
      </c>
      <c r="H25" t="e">
        <f t="shared" si="3"/>
        <v>#REF!</v>
      </c>
      <c r="I25" s="63">
        <f t="shared" si="3"/>
        <v>2</v>
      </c>
      <c r="J25" s="63">
        <f t="shared" si="3"/>
        <v>2</v>
      </c>
      <c r="K25" s="63">
        <f t="shared" si="3"/>
        <v>2</v>
      </c>
      <c r="L25" s="233" t="s">
        <v>2358</v>
      </c>
      <c r="M25" s="252" t="str">
        <f>MRL!M34</f>
        <v>Twinleaf Town (Lily Valley)</v>
      </c>
      <c r="O25" t="s">
        <v>308</v>
      </c>
      <c r="X25" s="1" t="str">
        <f>IF(W27=W28, "Semifinalist", IF(W27&gt;W28, V27, V28))</f>
        <v>Semifinalist</v>
      </c>
      <c r="AE25" t="s">
        <v>2344</v>
      </c>
    </row>
    <row r="26" spans="1:31" x14ac:dyDescent="0.35">
      <c r="A26" s="95" t="s">
        <v>1074</v>
      </c>
      <c r="B26">
        <v>85</v>
      </c>
      <c r="C26" t="str">
        <f>VLOOKUP(B26, Rankings!A$2:D$113, 4, FALSE)</f>
        <v>Hau'oli City</v>
      </c>
      <c r="D26" t="str">
        <f>VLOOKUP(B26, Rankings!A$2:D$113, 2, FALSE)</f>
        <v>Lanakila</v>
      </c>
      <c r="E26" s="235" t="s">
        <v>836</v>
      </c>
      <c r="F26" t="str">
        <f t="shared" ref="F26:K26" si="4">M$4</f>
        <v>Floaroma City (Lily Valley)</v>
      </c>
      <c r="G26">
        <f t="shared" si="4"/>
        <v>38</v>
      </c>
      <c r="H26" t="e">
        <f t="shared" si="4"/>
        <v>#REF!</v>
      </c>
      <c r="I26" s="63">
        <f t="shared" si="4"/>
        <v>2</v>
      </c>
      <c r="J26" s="63">
        <f t="shared" si="4"/>
        <v>2</v>
      </c>
      <c r="K26" s="63">
        <f t="shared" si="4"/>
        <v>2</v>
      </c>
      <c r="L26" s="233" t="s">
        <v>2358</v>
      </c>
      <c r="M26" s="252" t="str">
        <f>MRL!M33</f>
        <v>Lilycove City (Delta)</v>
      </c>
      <c r="O26" t="s">
        <v>307</v>
      </c>
      <c r="S26" s="235" t="s">
        <v>2687</v>
      </c>
      <c r="T26" s="180" t="s">
        <v>2622</v>
      </c>
      <c r="AA26">
        <v>3</v>
      </c>
      <c r="AB26" t="s">
        <v>2348</v>
      </c>
    </row>
    <row r="27" spans="1:31" x14ac:dyDescent="0.35">
      <c r="A27" s="95"/>
      <c r="E27" s="235" t="s">
        <v>396</v>
      </c>
      <c r="F27" t="str">
        <f t="shared" ref="F27:K27" si="5">F$4</f>
        <v>Wedgehurst (Dynamax)</v>
      </c>
      <c r="G27">
        <f t="shared" si="5"/>
        <v>108</v>
      </c>
      <c r="H27" t="e">
        <f t="shared" si="5"/>
        <v>#REF!</v>
      </c>
      <c r="I27" s="63">
        <f t="shared" si="5"/>
        <v>2</v>
      </c>
      <c r="J27" s="63">
        <f t="shared" si="5"/>
        <v>2</v>
      </c>
      <c r="K27" s="63">
        <f t="shared" si="5"/>
        <v>1</v>
      </c>
      <c r="L27" s="233" t="s">
        <v>2358</v>
      </c>
      <c r="M27" s="246" t="str">
        <f>MRL!M32</f>
        <v>Oreburgh City (Lily Valley)</v>
      </c>
      <c r="O27" t="s">
        <v>306</v>
      </c>
      <c r="S27" s="308" t="s">
        <v>3574</v>
      </c>
      <c r="T27" s="180" t="str">
        <f>MRL!M29</f>
        <v>Anistar City (Kalosite)</v>
      </c>
      <c r="V27" s="1" t="str">
        <f>IF(U25=U26, "Quarterfinalist", IF(U25&gt;U26, T25, T26))</f>
        <v>Quarterfinalist</v>
      </c>
      <c r="AB27" t="s">
        <v>792</v>
      </c>
      <c r="AE27" t="s">
        <v>2347</v>
      </c>
    </row>
    <row r="28" spans="1:31" x14ac:dyDescent="0.35">
      <c r="A28" s="95"/>
      <c r="V28" s="1" t="str">
        <f>IF(U28=U29, "Quarterfinalist", IF(U28&gt;U29, T28, T29))</f>
        <v>Quarterfinalist</v>
      </c>
      <c r="AB28" t="s">
        <v>2349</v>
      </c>
      <c r="AE28" t="s">
        <v>2349</v>
      </c>
    </row>
    <row r="29" spans="1:31" x14ac:dyDescent="0.35">
      <c r="A29" s="95"/>
      <c r="C29" s="1" t="s">
        <v>2073</v>
      </c>
      <c r="S29" s="235" t="s">
        <v>2671</v>
      </c>
      <c r="T29" s="180" t="s">
        <v>2317</v>
      </c>
      <c r="AE29" t="s">
        <v>959</v>
      </c>
    </row>
    <row r="30" spans="1:31" x14ac:dyDescent="0.35">
      <c r="A30" s="95" t="s">
        <v>396</v>
      </c>
      <c r="B30">
        <v>108</v>
      </c>
      <c r="C30" t="str">
        <f>VLOOKUP(B30, Rankings!A$2:D$113, 4, FALSE)</f>
        <v>Wedgehurst</v>
      </c>
      <c r="D30" t="str">
        <f>VLOOKUP(B30, Rankings!A$2:D$113, 2, FALSE)</f>
        <v>Dynamax</v>
      </c>
      <c r="S30" s="235" t="s">
        <v>2688</v>
      </c>
      <c r="T30" s="180" t="s">
        <v>2625</v>
      </c>
      <c r="AA30">
        <v>3</v>
      </c>
      <c r="AB30" t="s">
        <v>961</v>
      </c>
      <c r="AE30" t="s">
        <v>2351</v>
      </c>
    </row>
    <row r="31" spans="1:31" x14ac:dyDescent="0.35">
      <c r="A31" s="95" t="s">
        <v>836</v>
      </c>
      <c r="B31">
        <v>109</v>
      </c>
      <c r="C31" t="str">
        <f>VLOOKUP(B31, Rankings!A$2:D$113, 4, FALSE)</f>
        <v>Hulbury</v>
      </c>
      <c r="D31" t="str">
        <f>VLOOKUP(B31, Rankings!A$2:D$113, 2, FALSE)</f>
        <v>Dynamax</v>
      </c>
      <c r="M31" s="1" t="s">
        <v>3351</v>
      </c>
      <c r="AB31" t="s">
        <v>1302</v>
      </c>
      <c r="AE31" t="s">
        <v>2350</v>
      </c>
    </row>
    <row r="32" spans="1:31" x14ac:dyDescent="0.35">
      <c r="A32" s="95" t="s">
        <v>837</v>
      </c>
      <c r="B32">
        <v>42</v>
      </c>
      <c r="C32" t="str">
        <f>VLOOKUP(B32, Rankings!A$2:D$113, 4, FALSE)</f>
        <v>Resort Area</v>
      </c>
      <c r="D32" t="str">
        <f>VLOOKUP(B32, Rankings!A$2:D$113, 2, FALSE)</f>
        <v>Lily Valley</v>
      </c>
      <c r="M32" t="s">
        <v>3352</v>
      </c>
      <c r="AB32" t="s">
        <v>959</v>
      </c>
      <c r="AE32" t="s">
        <v>962</v>
      </c>
    </row>
    <row r="33" spans="1:28" x14ac:dyDescent="0.35">
      <c r="A33" s="95" t="s">
        <v>921</v>
      </c>
      <c r="B33">
        <v>98</v>
      </c>
      <c r="C33" t="str">
        <f>VLOOKUP(B33, Rankings!A$2:D$113, 4, FALSE)</f>
        <v>Stow-on-Side</v>
      </c>
      <c r="D33" t="str">
        <f>VLOOKUP(B33, Rankings!A$2:D$113, 2, FALSE)</f>
        <v>Dynamax</v>
      </c>
      <c r="M33" t="s">
        <v>3353</v>
      </c>
      <c r="AB33" t="s">
        <v>2354</v>
      </c>
    </row>
    <row r="34" spans="1:28" x14ac:dyDescent="0.35">
      <c r="A34" s="95" t="s">
        <v>2079</v>
      </c>
      <c r="B34">
        <v>19</v>
      </c>
      <c r="C34" t="str">
        <f>VLOOKUP(B34, Rankings!A$2:D$113, 4, FALSE)</f>
        <v>Oldale Town</v>
      </c>
      <c r="D34" t="str">
        <f>VLOOKUP(B34, Rankings!A$2:D$113, 2, FALSE)</f>
        <v>Delta</v>
      </c>
      <c r="F34" t="s">
        <v>2539</v>
      </c>
      <c r="M34" t="s">
        <v>3354</v>
      </c>
      <c r="T34" s="180" t="s">
        <v>2810</v>
      </c>
    </row>
    <row r="35" spans="1:28" x14ac:dyDescent="0.35">
      <c r="A35" s="95" t="s">
        <v>1074</v>
      </c>
      <c r="B35">
        <v>11</v>
      </c>
      <c r="C35" t="str">
        <f>VLOOKUP(B35, Rankings!A$2:D$113, 4, FALSE)</f>
        <v>Saffron City</v>
      </c>
      <c r="D35" t="str">
        <f>VLOOKUP(B35, Rankings!A$2:D$113, 2, FALSE)</f>
        <v>Indigo</v>
      </c>
      <c r="F35" s="6" t="s">
        <v>2540</v>
      </c>
    </row>
    <row r="36" spans="1:28" x14ac:dyDescent="0.35">
      <c r="F36" s="1" t="s">
        <v>2541</v>
      </c>
    </row>
    <row r="38" spans="1:28" x14ac:dyDescent="0.35">
      <c r="F38" t="s">
        <v>2569</v>
      </c>
    </row>
  </sheetData>
  <sortState xmlns:xlrd2="http://schemas.microsoft.com/office/spreadsheetml/2017/richdata2" ref="E22:K27">
    <sortCondition ref="J22:J27"/>
    <sortCondition descending="1" ref="K22:K27"/>
    <sortCondition ref="H22:H2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Y118"/>
  <sheetViews>
    <sheetView topLeftCell="B1" zoomScale="86" zoomScaleNormal="86" workbookViewId="0">
      <pane ySplit="1" topLeftCell="A2" activePane="bottomLeft" state="frozen"/>
      <selection activeCell="B1" sqref="B1"/>
      <selection pane="bottomLeft" activeCell="R1" sqref="R1:S1048576"/>
    </sheetView>
  </sheetViews>
  <sheetFormatPr defaultRowHeight="14.5" x14ac:dyDescent="0.35"/>
  <cols>
    <col min="1" max="1" width="4.453125" hidden="1" customWidth="1"/>
    <col min="2" max="2" width="9.54296875" style="1" customWidth="1"/>
    <col min="3" max="3" width="13" style="1" bestFit="1" customWidth="1"/>
    <col min="4" max="4" width="16.6328125" style="1" bestFit="1" customWidth="1"/>
    <col min="5" max="5" width="3.1796875" style="20" customWidth="1"/>
    <col min="6" max="7" width="4.81640625" style="6" customWidth="1"/>
    <col min="8" max="8" width="1.54296875" style="6" customWidth="1"/>
    <col min="9" max="10" width="4.81640625" style="6" customWidth="1"/>
    <col min="11" max="11" width="1.54296875" customWidth="1"/>
    <col min="12" max="14" width="4.81640625" style="6" customWidth="1"/>
    <col min="15" max="15" width="1.54296875" customWidth="1"/>
    <col min="16" max="17" width="5.1796875" customWidth="1"/>
    <col min="18" max="19" width="6.6328125" style="54" hidden="1" customWidth="1"/>
    <col min="20" max="20" width="4.90625" style="54" customWidth="1"/>
    <col min="21" max="21" width="5.453125" customWidth="1"/>
    <col min="22" max="22" width="4" style="54" customWidth="1"/>
    <col min="23" max="23" width="5.90625" customWidth="1"/>
    <col min="24" max="24" width="5.36328125" customWidth="1"/>
    <col min="25" max="26" width="7.08984375" style="54" hidden="1" customWidth="1"/>
    <col min="27" max="27" width="5.36328125" style="54" hidden="1" customWidth="1"/>
    <col min="28" max="28" width="4.54296875" style="54" customWidth="1"/>
    <col min="29" max="29" width="6.36328125" style="9" customWidth="1"/>
    <col min="30" max="30" width="7.08984375" style="54" hidden="1" customWidth="1"/>
    <col min="31" max="31" width="6" style="54" customWidth="1"/>
    <col min="32" max="34" width="3.90625" style="9" customWidth="1"/>
    <col min="35" max="35" width="4.6328125" style="54" hidden="1" customWidth="1"/>
    <col min="36" max="36" width="1.54296875" style="9" customWidth="1"/>
    <col min="37" max="37" width="4.81640625" style="49" customWidth="1"/>
    <col min="38" max="38" width="4.1796875" style="48" customWidth="1"/>
    <col min="39" max="39" width="7.08984375" style="1" customWidth="1"/>
    <col min="40" max="49" width="6.6328125" customWidth="1"/>
    <col min="50" max="50" width="4.08984375" style="48" customWidth="1"/>
    <col min="51" max="51" width="3.36328125" style="218" customWidth="1"/>
    <col min="52" max="52" width="3.36328125" style="220" customWidth="1"/>
    <col min="53" max="53" width="4.36328125" style="220" customWidth="1"/>
    <col min="54" max="55" width="7.36328125" customWidth="1"/>
    <col min="56" max="58" width="8.90625" customWidth="1"/>
    <col min="59" max="61" width="7" customWidth="1"/>
    <col min="62" max="64" width="8.90625" customWidth="1"/>
    <col min="65" max="65" width="16.6328125" customWidth="1"/>
  </cols>
  <sheetData>
    <row r="1" spans="1:77" s="6" customFormat="1" x14ac:dyDescent="0.35">
      <c r="B1" s="286"/>
      <c r="C1" s="239" t="str">
        <f>IF(B1="AGG", INDEX(Archive!P:P, COUNT(Archive!C:C)+5), CONCATENATE("    ", ROUND(Archive!C1, 3), "     &gt;", ROUND(Archive!D1, 0), "&lt;     ", Archive!M1))</f>
        <v xml:space="preserve">    -872.047     &gt;647&lt;     {89.206-0}</v>
      </c>
      <c r="D1" s="1"/>
      <c r="E1" s="20"/>
      <c r="F1" s="1" t="s">
        <v>1780</v>
      </c>
      <c r="G1" s="1" t="s">
        <v>1781</v>
      </c>
      <c r="I1" s="1" t="s">
        <v>1778</v>
      </c>
      <c r="J1" s="1" t="s">
        <v>1779</v>
      </c>
      <c r="L1" s="6" t="s">
        <v>1775</v>
      </c>
      <c r="M1" s="6" t="s">
        <v>1777</v>
      </c>
      <c r="N1" s="6" t="s">
        <v>1776</v>
      </c>
      <c r="P1" s="6" t="s">
        <v>1362</v>
      </c>
      <c r="Q1" s="6" t="s">
        <v>1363</v>
      </c>
      <c r="R1" s="54" t="s">
        <v>1171</v>
      </c>
      <c r="S1" s="54" t="s">
        <v>1172</v>
      </c>
      <c r="T1" s="54" t="s">
        <v>2466</v>
      </c>
      <c r="U1" s="6" t="s">
        <v>177</v>
      </c>
      <c r="V1" s="54" t="s">
        <v>1773</v>
      </c>
      <c r="W1" s="6" t="s">
        <v>410</v>
      </c>
      <c r="X1" s="6" t="s">
        <v>2467</v>
      </c>
      <c r="Y1" s="54" t="s">
        <v>741</v>
      </c>
      <c r="Z1" s="54" t="s">
        <v>742</v>
      </c>
      <c r="AA1" s="54" t="s">
        <v>2467</v>
      </c>
      <c r="AB1" s="54" t="s">
        <v>2468</v>
      </c>
      <c r="AC1" s="9" t="s">
        <v>1813</v>
      </c>
      <c r="AD1" s="54" t="s">
        <v>1290</v>
      </c>
      <c r="AE1" s="54" t="s">
        <v>1470</v>
      </c>
      <c r="AF1" s="228" t="s">
        <v>1767</v>
      </c>
      <c r="AG1" s="228" t="s">
        <v>1774</v>
      </c>
      <c r="AH1" s="228" t="s">
        <v>2365</v>
      </c>
      <c r="AI1" s="229" t="s">
        <v>1782</v>
      </c>
      <c r="AJ1" s="9"/>
      <c r="AK1" s="61"/>
      <c r="AL1" s="48"/>
      <c r="AM1" s="6" t="s">
        <v>180</v>
      </c>
      <c r="AN1" s="171" t="s">
        <v>3251</v>
      </c>
      <c r="AO1" s="171" t="s">
        <v>3252</v>
      </c>
      <c r="AP1" s="171" t="s">
        <v>3253</v>
      </c>
      <c r="AQ1" s="171" t="s">
        <v>3254</v>
      </c>
      <c r="AR1" s="171" t="s">
        <v>3255</v>
      </c>
      <c r="AS1" s="171" t="s">
        <v>3256</v>
      </c>
      <c r="AT1" s="171" t="s">
        <v>3257</v>
      </c>
      <c r="AU1" s="171" t="s">
        <v>3874</v>
      </c>
      <c r="AV1" s="171" t="s">
        <v>3258</v>
      </c>
      <c r="AW1" s="171" t="s">
        <v>3259</v>
      </c>
      <c r="AX1" s="48" t="s">
        <v>737</v>
      </c>
      <c r="AY1" s="217" t="s">
        <v>2118</v>
      </c>
      <c r="AZ1" s="219" t="s">
        <v>2119</v>
      </c>
      <c r="BA1" s="219"/>
      <c r="BB1" s="204" t="s">
        <v>1899</v>
      </c>
      <c r="BC1" s="6" t="s">
        <v>2027</v>
      </c>
      <c r="BD1" s="6">
        <f>_xlfn.STDEV.P(BD2:BD113)</f>
        <v>0.18643535991413204</v>
      </c>
      <c r="BE1" s="6" t="s">
        <v>3010</v>
      </c>
      <c r="BF1" s="6" t="s">
        <v>1296</v>
      </c>
      <c r="BG1" s="6" t="s">
        <v>170</v>
      </c>
      <c r="BH1" s="6" t="s">
        <v>3011</v>
      </c>
      <c r="BI1" s="6" t="s">
        <v>3833</v>
      </c>
      <c r="BM1" s="289">
        <f>_xlfn.STDEV.P(AM2:AM113)-BD1</f>
        <v>4.3090290972933043E-4</v>
      </c>
      <c r="BN1" s="6" t="s">
        <v>3264</v>
      </c>
      <c r="BO1" s="6" t="s">
        <v>3464</v>
      </c>
      <c r="BP1" s="6" t="s">
        <v>3264</v>
      </c>
      <c r="BQ1" s="6" t="s">
        <v>3087</v>
      </c>
      <c r="BR1" s="6" t="s">
        <v>2845</v>
      </c>
      <c r="BS1" s="6" t="s">
        <v>2491</v>
      </c>
      <c r="BT1" s="6" t="s">
        <v>2224</v>
      </c>
      <c r="BU1" s="6" t="s">
        <v>1812</v>
      </c>
      <c r="BV1" s="6" t="s">
        <v>1811</v>
      </c>
      <c r="BW1" s="6" t="s">
        <v>1810</v>
      </c>
      <c r="BX1" s="6" t="s">
        <v>1809</v>
      </c>
      <c r="BY1" s="6" t="s">
        <v>1396</v>
      </c>
    </row>
    <row r="2" spans="1:77" x14ac:dyDescent="0.35">
      <c r="A2">
        <v>87</v>
      </c>
      <c r="B2" s="58" t="s">
        <v>799</v>
      </c>
      <c r="C2" s="58" t="s">
        <v>1104</v>
      </c>
      <c r="D2" s="58" t="s">
        <v>795</v>
      </c>
      <c r="E2" s="20">
        <v>1</v>
      </c>
      <c r="F2" s="6">
        <v>8</v>
      </c>
      <c r="G2" s="6">
        <v>1</v>
      </c>
      <c r="I2" s="6">
        <v>5</v>
      </c>
      <c r="J2" s="6">
        <v>1</v>
      </c>
      <c r="L2" s="6">
        <v>4</v>
      </c>
      <c r="M2" s="6">
        <v>2</v>
      </c>
      <c r="P2">
        <f>321+27</f>
        <v>348</v>
      </c>
      <c r="Q2">
        <f>174+12</f>
        <v>186</v>
      </c>
      <c r="R2" s="73">
        <f t="shared" ref="R2:R33" si="0">IFERROR(P2/(F2+G2+L2+M2+N2), 0)</f>
        <v>23.2</v>
      </c>
      <c r="S2" s="73">
        <f t="shared" ref="S2:S33" si="1">IFERROR(Q2/(F2+G2+L2+M2+N2), 0)</f>
        <v>12.4</v>
      </c>
      <c r="T2" s="73">
        <f t="shared" ref="T2:T33" si="2">R2-S2</f>
        <v>10.799999999999999</v>
      </c>
      <c r="U2">
        <f>134+9</f>
        <v>143</v>
      </c>
      <c r="V2" s="54">
        <f t="shared" ref="V2:V33" si="3">IFERROR(P2/U2, 0)</f>
        <v>2.4335664335664338</v>
      </c>
      <c r="W2" s="9">
        <f>1.25*(1.473-4.489-4.174+4.257+0.998+7.097+4.912)+5.642+0.69+9.187+9.586+7.989+9.984+8.314+6.238</f>
        <v>70.222499999999997</v>
      </c>
      <c r="X2" s="263">
        <f>605+97+69+64+81+77+80+89</f>
        <v>1162</v>
      </c>
      <c r="Y2" s="227">
        <f t="shared" ref="Y2:Y33" si="4">IF(W2&lt;0, (W2/2), W2)/(F2+G2+L2+M2+N2)</f>
        <v>4.6814999999999998</v>
      </c>
      <c r="Z2" s="227">
        <f t="shared" ref="Z2:Z33" si="5">T2-(IF(Y2&lt;0, Y2*2, Y2))</f>
        <v>6.1184999999999992</v>
      </c>
      <c r="AA2" s="89">
        <f t="shared" ref="AA2:AA33" si="6">(AVERAGE((T2-MIN(T:T))*AB2, SQRT((T2-MIN(T:T))*AB2))/100)*BI2</f>
        <v>6.8048928646966882</v>
      </c>
      <c r="AB2" s="73">
        <f t="shared" ref="AB2:AB33" si="7">(X2/SUM(F2,G2,L2,M2,N2))</f>
        <v>77.466666666666669</v>
      </c>
      <c r="AC2" s="203">
        <f>1.628+(134.76-17.38)+96.824+41.457+53.41+80.137+14.647+(155.012-27.506)+(534.956-300.7967)+(120.93-10.465)+62.834+90.721+42.942+67.591+(131.968-15.984)</f>
        <v>1257.6852999999999</v>
      </c>
      <c r="AD2" s="89">
        <f t="shared" ref="AD2:AD33" si="8">IFERROR(AC2/(F2+G2+L2+M2+N2),0)</f>
        <v>83.845686666666651</v>
      </c>
      <c r="AE2" s="89">
        <f t="shared" ref="AE2:AE33" si="9">IFERROR(IF(SQRT(AD2)&gt;10, 10, SQRT(AD2)), 0)</f>
        <v>9.156729037525718</v>
      </c>
      <c r="AF2" s="9">
        <v>35</v>
      </c>
      <c r="AG2" s="9">
        <v>24</v>
      </c>
      <c r="AH2" s="20">
        <v>26</v>
      </c>
      <c r="AI2" s="54">
        <f t="shared" ref="AI2:AI33" si="10">SUM(AF2:AH2)</f>
        <v>85</v>
      </c>
      <c r="AK2" s="49">
        <v>1</v>
      </c>
      <c r="AL2" s="48">
        <f t="shared" ref="AL2:AL33" si="11">_xlfn.RANK.EQ(AM2,AM:AM, 0)</f>
        <v>1</v>
      </c>
      <c r="AM2" s="36">
        <f t="shared" ref="AM2:AM33" si="12">((AN2*2.25)+(AO2*1.5)+(AP2*1)+(AQ2*1)+(AR2*0.75)+(AS2*1)+(AT2*1)+(AU2*0.75)+(AV2*1)+(AW2*0.75)+(AX2/LARGE(AX:AX,1))*(3/12))/(10+(3/24))</f>
        <v>0.97931220243934147</v>
      </c>
      <c r="AN2" s="34">
        <f t="shared" ref="AN2:AN33" si="13">IFERROR(IF((F2+G2)=1, IF(F2=0, 0.333, IF(F2=1, 0.666, 0)), IF((F2+G2)=2, IF(F2=0, 0.166, IF(F2=1, 0.5, IF(F2=2, 0.833, 0))),  (F2+(0.2*(L2+M2)))/(F2+G2))), 0)</f>
        <v>1.0222222222222221</v>
      </c>
      <c r="AO2" s="34">
        <f t="shared" ref="AO2:AO33" si="14">IFERROR(IF((I2+J2)=1, IF(I2=0, 0.333, IF(I2=1, 0.666, 0)), IF((I2+J2)=2, IF(I2=0, 0.166, IF(I2=1, 0.5, IF(I2=2, 0.833, 0))), (I2+(0.25*M2))/(I2+J2))), 0)</f>
        <v>0.91666666666666663</v>
      </c>
      <c r="AP2" s="34">
        <f t="shared" ref="AP2:AP33" si="15">(R2-(SMALL(R:R, 1)))/((LARGE(R:R, 1))-(SMALL(R:R, 1)))</f>
        <v>0.97509433962264147</v>
      </c>
      <c r="AQ2" s="34">
        <f t="shared" ref="AQ2:AQ33" si="16">1-(S2-SMALL(S:S,1))/(LARGE(S:S,1)-SMALL(S:S,1))</f>
        <v>0.92571428571428571</v>
      </c>
      <c r="AR2" s="34">
        <f t="shared" ref="AR2:AR33" si="17">(V2-SMALL(V:V,1))/(LARGE(V:V,1)-SMALL(V:V,1))</f>
        <v>0.83259588276636531</v>
      </c>
      <c r="AS2" s="34">
        <f t="shared" ref="AS2:AS33" si="18">1-(Y2-SMALL(Y:Y,1))/(LARGE(Y:Y,1)-SMALL(Y:Y,1))</f>
        <v>0.2250551461960858</v>
      </c>
      <c r="AT2" s="34">
        <f t="shared" ref="AT2:AT33" si="19">(Z2+ABS(MIN(Z:Z)))/(MAX(Z:Z)+ABS(MIN(Z:Z)))</f>
        <v>1</v>
      </c>
      <c r="AU2" s="34">
        <f t="shared" ref="AU2:AU33" si="20">AVERAGE(AA2/MAX(AA:AA), SQRT(AA2/MAX(AA:AA)))</f>
        <v>0.80862320574280733</v>
      </c>
      <c r="AV2" s="34">
        <f t="shared" ref="AV2:AV33" si="21">AVERAGE(AE2/MAX(AE:AE), (AE2-SMALL(AE:AE,1))/(LARGE(AE:AE,1)-SMALL(AE:AE,1)))</f>
        <v>1</v>
      </c>
      <c r="AW2" s="34">
        <f t="shared" ref="AW2:AW33" si="22">IFERROR(AI2/MAX(AI:AI), 0)</f>
        <v>1</v>
      </c>
      <c r="AX2" s="48">
        <v>84</v>
      </c>
      <c r="AY2" s="218">
        <v>3</v>
      </c>
      <c r="AZ2" s="220">
        <v>3</v>
      </c>
      <c r="BB2" s="205">
        <v>1.6666666666666665</v>
      </c>
      <c r="BC2" s="245">
        <f t="shared" ref="BC2:BC33" si="23">AK2-AL2</f>
        <v>0</v>
      </c>
      <c r="BD2" s="35">
        <v>0.98224634709089775</v>
      </c>
      <c r="BE2">
        <v>4</v>
      </c>
      <c r="BF2" s="205">
        <v>9.156729037525718</v>
      </c>
      <c r="BG2" s="34">
        <v>0.97509433962264147</v>
      </c>
      <c r="BH2" s="34">
        <v>0.92571428571428571</v>
      </c>
      <c r="BI2" s="34">
        <f>IF(A2&lt;17, SoC!O$3, IF(A2&lt;33, SoC!O$4, IF(A2&lt;49, SoC!O$5, IF(A2&lt;65, SoC!O$6, IF(A2&lt;81, SoC!O$7, IF(A2&lt;97, SoC!O$8, SoC!O$9))))))</f>
        <v>0.8076740483754814</v>
      </c>
      <c r="BJ2" s="34"/>
      <c r="BK2" s="34"/>
      <c r="BL2" s="34"/>
      <c r="BM2" s="58" t="s">
        <v>795</v>
      </c>
      <c r="BN2">
        <v>1</v>
      </c>
      <c r="BO2">
        <v>1</v>
      </c>
      <c r="BP2">
        <v>1</v>
      </c>
      <c r="BQ2">
        <v>1</v>
      </c>
      <c r="BR2">
        <v>4</v>
      </c>
      <c r="BS2">
        <v>6</v>
      </c>
      <c r="BT2">
        <v>9</v>
      </c>
      <c r="BU2">
        <v>13</v>
      </c>
      <c r="BV2">
        <v>16</v>
      </c>
      <c r="BW2" s="154">
        <v>32</v>
      </c>
      <c r="BX2">
        <v>73</v>
      </c>
      <c r="BY2">
        <v>29</v>
      </c>
    </row>
    <row r="3" spans="1:77" x14ac:dyDescent="0.35">
      <c r="A3">
        <v>13</v>
      </c>
      <c r="B3" s="15" t="s">
        <v>143</v>
      </c>
      <c r="C3" s="15" t="s">
        <v>1082</v>
      </c>
      <c r="D3" s="15" t="s">
        <v>87</v>
      </c>
      <c r="E3" s="20">
        <v>2</v>
      </c>
      <c r="F3" s="6">
        <v>8</v>
      </c>
      <c r="G3" s="6">
        <v>1</v>
      </c>
      <c r="I3" s="6">
        <v>6</v>
      </c>
      <c r="J3" s="6">
        <v>0</v>
      </c>
      <c r="L3" s="6">
        <v>3</v>
      </c>
      <c r="M3" s="6">
        <v>2</v>
      </c>
      <c r="P3">
        <f>310+18</f>
        <v>328</v>
      </c>
      <c r="Q3">
        <f>175+14</f>
        <v>189</v>
      </c>
      <c r="R3" s="73">
        <f t="shared" si="0"/>
        <v>23.428571428571427</v>
      </c>
      <c r="S3" s="73">
        <f t="shared" si="1"/>
        <v>13.5</v>
      </c>
      <c r="T3" s="73">
        <f t="shared" si="2"/>
        <v>9.928571428571427</v>
      </c>
      <c r="U3">
        <f>121+6</f>
        <v>127</v>
      </c>
      <c r="V3" s="54">
        <f t="shared" si="3"/>
        <v>2.5826771653543306</v>
      </c>
      <c r="W3" s="9">
        <f>1.25*(-0.414+6.498+5.736+11.18+2.274+10.39+3.811)+4.212+6.472+11.237+3.64+9.736+9.799+4.668</f>
        <v>99.10775000000001</v>
      </c>
      <c r="X3" s="263">
        <f>718+69+85+72+71+94</f>
        <v>1109</v>
      </c>
      <c r="Y3" s="227">
        <f t="shared" si="4"/>
        <v>7.0791250000000003</v>
      </c>
      <c r="Z3" s="227">
        <f t="shared" si="5"/>
        <v>2.8494464285714267</v>
      </c>
      <c r="AA3" s="89">
        <f t="shared" si="6"/>
        <v>9.0638346637980174</v>
      </c>
      <c r="AB3" s="73">
        <f t="shared" si="7"/>
        <v>79.214285714285708</v>
      </c>
      <c r="AC3" s="203">
        <f>73.604+77.722+(147.487-23.7435)+28.378+42.712+79.143+48.947+8.316+31.6+6.159+(164.671-32.3355)+99.125+(200.67-50.4467)+37.277</f>
        <v>939.28530000000001</v>
      </c>
      <c r="AD3" s="89">
        <f t="shared" si="8"/>
        <v>67.091807142857149</v>
      </c>
      <c r="AE3" s="89">
        <f t="shared" si="9"/>
        <v>8.1909588658994714</v>
      </c>
      <c r="AF3" s="9">
        <v>35</v>
      </c>
      <c r="AG3" s="9">
        <v>24</v>
      </c>
      <c r="AH3" s="20">
        <v>26</v>
      </c>
      <c r="AI3" s="54">
        <f t="shared" si="10"/>
        <v>85</v>
      </c>
      <c r="AK3" s="49">
        <v>2</v>
      </c>
      <c r="AL3" s="48">
        <f t="shared" si="11"/>
        <v>2</v>
      </c>
      <c r="AM3" s="36">
        <f t="shared" si="12"/>
        <v>0.9580650163557537</v>
      </c>
      <c r="AN3" s="34">
        <f t="shared" si="13"/>
        <v>1</v>
      </c>
      <c r="AO3" s="34">
        <f t="shared" si="14"/>
        <v>1.0833333333333333</v>
      </c>
      <c r="AP3" s="34">
        <f t="shared" si="15"/>
        <v>0.99407008086253357</v>
      </c>
      <c r="AQ3" s="34">
        <f t="shared" si="16"/>
        <v>0.83492063492063495</v>
      </c>
      <c r="AR3" s="34">
        <f t="shared" si="17"/>
        <v>0.97710667316122746</v>
      </c>
      <c r="AS3" s="34">
        <f t="shared" si="18"/>
        <v>0</v>
      </c>
      <c r="AT3" s="34">
        <f t="shared" si="19"/>
        <v>0.72734557098707975</v>
      </c>
      <c r="AU3" s="34">
        <f t="shared" si="20"/>
        <v>1</v>
      </c>
      <c r="AV3" s="34">
        <f t="shared" si="21"/>
        <v>0.86904454673153808</v>
      </c>
      <c r="AW3" s="34">
        <f t="shared" si="22"/>
        <v>1</v>
      </c>
      <c r="AX3" s="48">
        <v>105</v>
      </c>
      <c r="AY3" s="218">
        <v>3</v>
      </c>
      <c r="AZ3" s="220">
        <v>1</v>
      </c>
      <c r="BB3" s="205">
        <v>1.6666666666666665</v>
      </c>
      <c r="BC3" s="245">
        <f t="shared" si="23"/>
        <v>0</v>
      </c>
      <c r="BD3" s="35">
        <v>0.9580650163557537</v>
      </c>
      <c r="BE3">
        <v>5</v>
      </c>
      <c r="BF3" s="205">
        <v>8.1909588658994714</v>
      </c>
      <c r="BG3" s="34">
        <v>0.99407008086253357</v>
      </c>
      <c r="BH3" s="34">
        <v>0.83492063492063495</v>
      </c>
      <c r="BI3" s="34">
        <f>IF(A3&lt;17, SoC!O$3, IF(A3&lt;33, SoC!O$4, IF(A3&lt;49, SoC!O$5, IF(A3&lt;65, SoC!O$6, IF(A3&lt;81, SoC!O$7, IF(A3&lt;97, SoC!O$8, SoC!O$9))))))</f>
        <v>1.0968295917365127</v>
      </c>
      <c r="BJ3" s="34"/>
      <c r="BK3" s="34"/>
      <c r="BL3" s="34"/>
      <c r="BM3" s="15" t="s">
        <v>87</v>
      </c>
      <c r="BN3">
        <v>2</v>
      </c>
      <c r="BO3">
        <v>3</v>
      </c>
      <c r="BP3">
        <v>2</v>
      </c>
      <c r="BQ3">
        <v>2</v>
      </c>
      <c r="BR3">
        <v>3</v>
      </c>
      <c r="BS3">
        <v>1</v>
      </c>
      <c r="BT3">
        <v>1</v>
      </c>
      <c r="BU3">
        <v>1</v>
      </c>
      <c r="BV3">
        <v>1</v>
      </c>
      <c r="BW3" s="154">
        <v>3</v>
      </c>
      <c r="BX3">
        <v>3</v>
      </c>
      <c r="BY3">
        <v>8</v>
      </c>
    </row>
    <row r="4" spans="1:77" x14ac:dyDescent="0.35">
      <c r="A4">
        <v>72</v>
      </c>
      <c r="B4" s="21" t="s">
        <v>173</v>
      </c>
      <c r="C4" s="21" t="s">
        <v>1088</v>
      </c>
      <c r="D4" s="21" t="s">
        <v>26</v>
      </c>
      <c r="E4" s="20">
        <v>3</v>
      </c>
      <c r="F4" s="6">
        <v>9</v>
      </c>
      <c r="G4" s="6">
        <v>0</v>
      </c>
      <c r="I4" s="6">
        <v>6</v>
      </c>
      <c r="J4" s="6">
        <v>0</v>
      </c>
      <c r="L4" s="6">
        <v>3</v>
      </c>
      <c r="M4" s="6">
        <v>2</v>
      </c>
      <c r="P4">
        <f>309+20</f>
        <v>329</v>
      </c>
      <c r="Q4">
        <f>191+13</f>
        <v>204</v>
      </c>
      <c r="R4" s="73">
        <f t="shared" si="0"/>
        <v>23.5</v>
      </c>
      <c r="S4" s="73">
        <f t="shared" si="1"/>
        <v>14.571428571428571</v>
      </c>
      <c r="T4" s="73">
        <f t="shared" si="2"/>
        <v>8.9285714285714288</v>
      </c>
      <c r="U4">
        <f>130+8</f>
        <v>138</v>
      </c>
      <c r="V4" s="54">
        <f t="shared" si="3"/>
        <v>2.3840579710144927</v>
      </c>
      <c r="W4" s="9">
        <f>1.25*(6.16+2.919+3.944+6.327+6.436+2.055+8.408)+9.049+5.31+10.133+6.89+4.268+3.961+4.624</f>
        <v>89.546250000000001</v>
      </c>
      <c r="X4" s="263">
        <f>501+72+92+64+75+84+94+91</f>
        <v>1073</v>
      </c>
      <c r="Y4" s="227">
        <f t="shared" si="4"/>
        <v>6.3961607142857142</v>
      </c>
      <c r="Z4" s="227">
        <f t="shared" si="5"/>
        <v>2.5324107142857146</v>
      </c>
      <c r="AA4" s="89">
        <f t="shared" si="6"/>
        <v>6.6526040225899177</v>
      </c>
      <c r="AB4" s="73">
        <f t="shared" si="7"/>
        <v>76.642857142857139</v>
      </c>
      <c r="AC4" s="203">
        <f>49.33+28.17+91.221+77.432+93.926+24.96+55.07+31.198+42.12+14.704+64.889+(218.92-62.6133)+43.024+58.038</f>
        <v>830.38869999999997</v>
      </c>
      <c r="AD4" s="89">
        <f t="shared" si="8"/>
        <v>59.313478571428568</v>
      </c>
      <c r="AE4" s="89">
        <f t="shared" si="9"/>
        <v>7.7015244316582265</v>
      </c>
      <c r="AF4" s="9">
        <v>35</v>
      </c>
      <c r="AG4" s="9">
        <v>24</v>
      </c>
      <c r="AH4" s="20">
        <v>23</v>
      </c>
      <c r="AI4" s="54">
        <f t="shared" si="10"/>
        <v>82</v>
      </c>
      <c r="AK4" s="49">
        <v>3</v>
      </c>
      <c r="AL4" s="48">
        <f t="shared" si="11"/>
        <v>3</v>
      </c>
      <c r="AM4" s="36">
        <f t="shared" si="12"/>
        <v>0.93989777108762385</v>
      </c>
      <c r="AN4" s="34">
        <f t="shared" si="13"/>
        <v>1.1111111111111112</v>
      </c>
      <c r="AO4" s="34">
        <f t="shared" si="14"/>
        <v>1.0833333333333333</v>
      </c>
      <c r="AP4" s="34">
        <f t="shared" si="15"/>
        <v>1</v>
      </c>
      <c r="AQ4" s="34">
        <f t="shared" si="16"/>
        <v>0.7464852607709751</v>
      </c>
      <c r="AR4" s="34">
        <f t="shared" si="17"/>
        <v>0.78461471488642764</v>
      </c>
      <c r="AS4" s="34">
        <f t="shared" si="18"/>
        <v>6.4107033905691613E-2</v>
      </c>
      <c r="AT4" s="34">
        <f t="shared" si="19"/>
        <v>0.70090330267714207</v>
      </c>
      <c r="AU4" s="34">
        <f t="shared" si="20"/>
        <v>0.79534710585175261</v>
      </c>
      <c r="AV4" s="34">
        <f t="shared" si="21"/>
        <v>0.8026787486728465</v>
      </c>
      <c r="AW4" s="34">
        <f t="shared" si="22"/>
        <v>0.96470588235294119</v>
      </c>
      <c r="AX4" s="48">
        <v>106</v>
      </c>
      <c r="AY4" s="218">
        <v>3</v>
      </c>
      <c r="AZ4" s="220">
        <v>1</v>
      </c>
      <c r="BB4" s="205">
        <v>0.33333333333333331</v>
      </c>
      <c r="BC4" s="245">
        <f t="shared" si="23"/>
        <v>0</v>
      </c>
      <c r="BD4" s="35">
        <v>0.94148070944184425</v>
      </c>
      <c r="BE4">
        <v>5</v>
      </c>
      <c r="BF4" s="205">
        <v>7.7015244316582265</v>
      </c>
      <c r="BG4" s="34">
        <v>1</v>
      </c>
      <c r="BH4" s="34">
        <v>0.7464852607709751</v>
      </c>
      <c r="BI4" s="34">
        <f>IF(A4&lt;17, SoC!O$3, IF(A4&lt;33, SoC!O$4, IF(A4&lt;49, SoC!O$5, IF(A4&lt;65, SoC!O$6, IF(A4&lt;81, SoC!O$7, IF(A4&lt;97, SoC!O$8, SoC!O$9))))))</f>
        <v>0.87413259868968274</v>
      </c>
      <c r="BJ4" s="34"/>
      <c r="BK4" s="34"/>
      <c r="BL4" s="34"/>
      <c r="BM4" s="21" t="s">
        <v>26</v>
      </c>
      <c r="BN4">
        <v>3</v>
      </c>
      <c r="BO4">
        <v>2</v>
      </c>
      <c r="BP4">
        <v>3</v>
      </c>
      <c r="BQ4">
        <v>3</v>
      </c>
      <c r="BR4">
        <v>1</v>
      </c>
      <c r="BS4">
        <v>2</v>
      </c>
      <c r="BT4">
        <v>2</v>
      </c>
      <c r="BU4">
        <v>3</v>
      </c>
      <c r="BV4">
        <v>4</v>
      </c>
      <c r="BW4" s="154">
        <v>8</v>
      </c>
      <c r="BX4">
        <v>19</v>
      </c>
      <c r="BY4">
        <v>7</v>
      </c>
    </row>
    <row r="5" spans="1:77" x14ac:dyDescent="0.35">
      <c r="A5">
        <v>106</v>
      </c>
      <c r="B5" s="69" t="s">
        <v>1296</v>
      </c>
      <c r="C5" s="69" t="s">
        <v>918</v>
      </c>
      <c r="D5" s="69" t="s">
        <v>966</v>
      </c>
      <c r="E5" s="20">
        <v>4</v>
      </c>
      <c r="F5" s="6">
        <v>9</v>
      </c>
      <c r="G5" s="6">
        <v>0</v>
      </c>
      <c r="I5" s="6">
        <v>5</v>
      </c>
      <c r="J5" s="6">
        <v>0</v>
      </c>
      <c r="L5" s="6">
        <v>2</v>
      </c>
      <c r="M5" s="6">
        <v>2</v>
      </c>
      <c r="N5" s="6">
        <v>1</v>
      </c>
      <c r="P5">
        <f>257+29</f>
        <v>286</v>
      </c>
      <c r="Q5">
        <f>170+19</f>
        <v>189</v>
      </c>
      <c r="R5" s="73">
        <f t="shared" si="0"/>
        <v>20.428571428571427</v>
      </c>
      <c r="S5" s="73">
        <f t="shared" si="1"/>
        <v>13.5</v>
      </c>
      <c r="T5" s="73">
        <f t="shared" si="2"/>
        <v>6.928571428571427</v>
      </c>
      <c r="U5">
        <f>109+11</f>
        <v>120</v>
      </c>
      <c r="V5" s="54">
        <f t="shared" si="3"/>
        <v>2.3833333333333333</v>
      </c>
      <c r="W5" s="9">
        <f>1.25*(4.53+3.957-1.7+2.997+4.066+7.885+3.605)-4.212-0.69+4.874+12.245+5.669+8.984+8.199</f>
        <v>66.744</v>
      </c>
      <c r="X5" s="263">
        <f>485+101+97+89+54+78+73+82</f>
        <v>1059</v>
      </c>
      <c r="Y5" s="227">
        <f t="shared" si="4"/>
        <v>4.7674285714285718</v>
      </c>
      <c r="Z5" s="227">
        <f t="shared" si="5"/>
        <v>2.1611428571428553</v>
      </c>
      <c r="AA5" s="89">
        <f t="shared" si="6"/>
        <v>5.6862602473949933</v>
      </c>
      <c r="AB5" s="73">
        <f t="shared" si="7"/>
        <v>75.642857142857139</v>
      </c>
      <c r="AC5" s="203">
        <f>12.881+11.597+(116.565-8.2825)+29.537+61.466+74.6+40.9+77.779+0.107+(186.849-43.4245)+72.208+87.537+87.682+84.516</f>
        <v>892.51700000000005</v>
      </c>
      <c r="AD5" s="89">
        <f t="shared" si="8"/>
        <v>63.75121428571429</v>
      </c>
      <c r="AE5" s="89">
        <f t="shared" si="9"/>
        <v>7.9844357524946172</v>
      </c>
      <c r="AF5" s="9">
        <v>35</v>
      </c>
      <c r="AG5" s="9">
        <v>24</v>
      </c>
      <c r="AH5" s="20">
        <v>23</v>
      </c>
      <c r="AI5" s="54">
        <f t="shared" si="10"/>
        <v>82</v>
      </c>
      <c r="AK5" s="49">
        <v>4</v>
      </c>
      <c r="AL5" s="48">
        <f t="shared" si="11"/>
        <v>4</v>
      </c>
      <c r="AM5" s="36">
        <f t="shared" si="12"/>
        <v>0.92868350498730501</v>
      </c>
      <c r="AN5" s="34">
        <f t="shared" si="13"/>
        <v>1.088888888888889</v>
      </c>
      <c r="AO5" s="34">
        <f t="shared" si="14"/>
        <v>1.1000000000000001</v>
      </c>
      <c r="AP5" s="34">
        <f t="shared" si="15"/>
        <v>0.74501347708894861</v>
      </c>
      <c r="AQ5" s="34">
        <f t="shared" si="16"/>
        <v>0.83492063492063495</v>
      </c>
      <c r="AR5" s="34">
        <f t="shared" si="17"/>
        <v>0.78391243167180835</v>
      </c>
      <c r="AS5" s="34">
        <f t="shared" si="18"/>
        <v>0.21698938645247368</v>
      </c>
      <c r="AT5" s="34">
        <f t="shared" si="19"/>
        <v>0.66993781881818504</v>
      </c>
      <c r="AU5" s="34">
        <f t="shared" si="20"/>
        <v>0.7097078661507279</v>
      </c>
      <c r="AV5" s="34">
        <f t="shared" si="21"/>
        <v>0.84104065023429442</v>
      </c>
      <c r="AW5" s="34">
        <f t="shared" si="22"/>
        <v>0.96470588235294119</v>
      </c>
      <c r="AX5" s="48">
        <v>95</v>
      </c>
      <c r="AY5" s="218">
        <v>3</v>
      </c>
      <c r="AZ5" s="220">
        <v>1</v>
      </c>
      <c r="BB5" s="205">
        <v>0</v>
      </c>
      <c r="BC5" s="245">
        <f t="shared" si="23"/>
        <v>0</v>
      </c>
      <c r="BD5" s="35">
        <v>0.9300272167687117</v>
      </c>
      <c r="BE5">
        <v>5</v>
      </c>
      <c r="BF5" s="205">
        <v>7.9844357524946172</v>
      </c>
      <c r="BG5" s="34">
        <v>0.74501347708894861</v>
      </c>
      <c r="BH5" s="34">
        <v>0.83492063492063495</v>
      </c>
      <c r="BI5" s="34">
        <f>IF(A5&lt;17, SoC!O$3, IF(A5&lt;33, SoC!O$4, IF(A5&lt;49, SoC!O$5, IF(A5&lt;65, SoC!O$6, IF(A5&lt;81, SoC!O$7, IF(A5&lt;97, SoC!O$8, SoC!O$9))))))</f>
        <v>0.84292189346881985</v>
      </c>
      <c r="BJ5" s="34"/>
      <c r="BK5" s="34"/>
      <c r="BL5" s="34"/>
      <c r="BM5" s="69" t="s">
        <v>966</v>
      </c>
      <c r="BN5">
        <v>4</v>
      </c>
      <c r="BO5">
        <v>5</v>
      </c>
      <c r="BP5">
        <v>4</v>
      </c>
      <c r="BQ5">
        <v>4</v>
      </c>
      <c r="BR5">
        <v>5</v>
      </c>
      <c r="BS5">
        <v>5</v>
      </c>
      <c r="BT5">
        <v>5</v>
      </c>
      <c r="BU5">
        <v>7</v>
      </c>
      <c r="BV5">
        <v>6</v>
      </c>
      <c r="BW5" s="154">
        <v>24</v>
      </c>
      <c r="BX5">
        <v>43</v>
      </c>
      <c r="BY5">
        <v>18</v>
      </c>
    </row>
    <row r="6" spans="1:77" x14ac:dyDescent="0.35">
      <c r="A6">
        <v>80</v>
      </c>
      <c r="B6" s="21" t="s">
        <v>173</v>
      </c>
      <c r="C6" s="21" t="s">
        <v>3203</v>
      </c>
      <c r="D6" s="21" t="s">
        <v>119</v>
      </c>
      <c r="E6" s="20">
        <v>5</v>
      </c>
      <c r="F6" s="6">
        <v>7</v>
      </c>
      <c r="G6" s="6">
        <v>2</v>
      </c>
      <c r="I6" s="6">
        <v>6</v>
      </c>
      <c r="J6" s="6">
        <v>0</v>
      </c>
      <c r="L6" s="6">
        <v>4</v>
      </c>
      <c r="M6" s="6">
        <v>2</v>
      </c>
      <c r="P6">
        <f>304+27</f>
        <v>331</v>
      </c>
      <c r="Q6">
        <f>183+12</f>
        <v>195</v>
      </c>
      <c r="R6" s="73">
        <f t="shared" si="0"/>
        <v>22.066666666666666</v>
      </c>
      <c r="S6" s="73">
        <f t="shared" si="1"/>
        <v>13</v>
      </c>
      <c r="T6" s="73">
        <f t="shared" si="2"/>
        <v>9.0666666666666664</v>
      </c>
      <c r="U6">
        <f>119+8</f>
        <v>127</v>
      </c>
      <c r="V6" s="54">
        <f t="shared" si="3"/>
        <v>2.606299212598425</v>
      </c>
      <c r="W6" s="9">
        <f>1.25*(-1.203+2.959+4.174+8.416+0.364-0.57+3.228)+10.95+4.701+9.936+8.777+11.022+12.151+7.479+12.614</f>
        <v>99.34</v>
      </c>
      <c r="X6" s="263">
        <f>598+63+84+69+60+64+50+82+62</f>
        <v>1132</v>
      </c>
      <c r="Y6" s="227">
        <f t="shared" si="4"/>
        <v>6.6226666666666665</v>
      </c>
      <c r="Z6" s="227">
        <f t="shared" si="5"/>
        <v>2.444</v>
      </c>
      <c r="AA6" s="89">
        <f t="shared" si="6"/>
        <v>6.5979414460380017</v>
      </c>
      <c r="AB6" s="73">
        <f t="shared" si="7"/>
        <v>75.466666666666669</v>
      </c>
      <c r="AC6" s="203">
        <f>(144.2-22.1)+(235.692-73.7947)+8.154+50.978+77.85+0+33.235+30.628+34.113+18.928+(307.464-122.2647)+67.5+72.345+72.982+85.023</f>
        <v>1020.9326</v>
      </c>
      <c r="AD6" s="89">
        <f t="shared" si="8"/>
        <v>68.062173333333334</v>
      </c>
      <c r="AE6" s="89">
        <f t="shared" si="9"/>
        <v>8.249980201996447</v>
      </c>
      <c r="AF6" s="9">
        <v>35</v>
      </c>
      <c r="AG6" s="9">
        <v>24</v>
      </c>
      <c r="AH6" s="20">
        <v>26</v>
      </c>
      <c r="AI6" s="54">
        <f t="shared" si="10"/>
        <v>85</v>
      </c>
      <c r="AK6" s="49">
        <v>5</v>
      </c>
      <c r="AL6" s="48">
        <f t="shared" si="11"/>
        <v>5</v>
      </c>
      <c r="AM6" s="36">
        <f t="shared" si="12"/>
        <v>0.91861394966388688</v>
      </c>
      <c r="AN6" s="34">
        <f t="shared" si="13"/>
        <v>0.91111111111111098</v>
      </c>
      <c r="AO6" s="34">
        <f t="shared" si="14"/>
        <v>1.0833333333333333</v>
      </c>
      <c r="AP6" s="34">
        <f t="shared" si="15"/>
        <v>0.88100628930817604</v>
      </c>
      <c r="AQ6" s="34">
        <f t="shared" si="16"/>
        <v>0.87619047619047619</v>
      </c>
      <c r="AR6" s="34">
        <f t="shared" si="17"/>
        <v>1</v>
      </c>
      <c r="AS6" s="34">
        <f t="shared" si="18"/>
        <v>4.2845856604245891E-2</v>
      </c>
      <c r="AT6" s="34">
        <f t="shared" si="19"/>
        <v>0.69352943366720055</v>
      </c>
      <c r="AU6" s="34">
        <f t="shared" si="20"/>
        <v>0.79056819299302217</v>
      </c>
      <c r="AV6" s="34">
        <f t="shared" si="21"/>
        <v>0.87704765766638371</v>
      </c>
      <c r="AW6" s="34">
        <f t="shared" si="22"/>
        <v>1</v>
      </c>
      <c r="AX6" s="48">
        <v>102</v>
      </c>
      <c r="AY6" s="218">
        <v>3</v>
      </c>
      <c r="AZ6" s="220">
        <v>3</v>
      </c>
      <c r="BB6" s="205">
        <v>0.33333333333333331</v>
      </c>
      <c r="BC6" s="245">
        <f t="shared" si="23"/>
        <v>0</v>
      </c>
      <c r="BD6" s="35">
        <v>0.92018625947913524</v>
      </c>
      <c r="BE6">
        <v>4</v>
      </c>
      <c r="BF6" s="205">
        <v>8.249980201996447</v>
      </c>
      <c r="BG6" s="34">
        <v>0.88100628930817604</v>
      </c>
      <c r="BH6" s="34">
        <v>0.87619047619047619</v>
      </c>
      <c r="BI6" s="34">
        <f>IF(A6&lt;17, SoC!O$3, IF(A6&lt;33, SoC!O$4, IF(A6&lt;49, SoC!O$5, IF(A6&lt;65, SoC!O$6, IF(A6&lt;81, SoC!O$7, IF(A6&lt;97, SoC!O$8, SoC!O$9))))))</f>
        <v>0.87413259868968274</v>
      </c>
      <c r="BJ6" s="34"/>
      <c r="BK6" s="34"/>
      <c r="BL6" s="34"/>
      <c r="BM6" s="21" t="s">
        <v>119</v>
      </c>
      <c r="BN6">
        <v>5</v>
      </c>
      <c r="BO6">
        <v>4</v>
      </c>
      <c r="BP6">
        <v>5</v>
      </c>
      <c r="BQ6">
        <v>5</v>
      </c>
      <c r="BR6">
        <v>9</v>
      </c>
      <c r="BS6">
        <v>9</v>
      </c>
      <c r="BT6">
        <v>3</v>
      </c>
      <c r="BU6">
        <v>6</v>
      </c>
      <c r="BV6">
        <v>7</v>
      </c>
      <c r="BW6" s="154">
        <v>1</v>
      </c>
      <c r="BX6">
        <v>1</v>
      </c>
      <c r="BY6">
        <v>11</v>
      </c>
    </row>
    <row r="7" spans="1:77" x14ac:dyDescent="0.35">
      <c r="A7">
        <v>61</v>
      </c>
      <c r="B7" s="19" t="s">
        <v>172</v>
      </c>
      <c r="C7" s="19" t="s">
        <v>1100</v>
      </c>
      <c r="D7" s="19" t="s">
        <v>46</v>
      </c>
      <c r="E7" s="20">
        <v>6</v>
      </c>
      <c r="F7" s="6">
        <v>7</v>
      </c>
      <c r="G7" s="6">
        <v>2</v>
      </c>
      <c r="I7" s="6">
        <v>5</v>
      </c>
      <c r="J7" s="6">
        <v>1</v>
      </c>
      <c r="L7" s="6">
        <v>3</v>
      </c>
      <c r="M7" s="6">
        <v>3</v>
      </c>
      <c r="N7" s="6">
        <v>1</v>
      </c>
      <c r="P7">
        <f>347+15</f>
        <v>362</v>
      </c>
      <c r="Q7">
        <f>228+8</f>
        <v>236</v>
      </c>
      <c r="R7" s="73">
        <f t="shared" si="0"/>
        <v>22.625</v>
      </c>
      <c r="S7" s="73">
        <f t="shared" si="1"/>
        <v>14.75</v>
      </c>
      <c r="T7" s="73">
        <f t="shared" si="2"/>
        <v>7.875</v>
      </c>
      <c r="U7">
        <f>148+6</f>
        <v>154</v>
      </c>
      <c r="V7" s="54">
        <f t="shared" si="3"/>
        <v>2.3506493506493507</v>
      </c>
      <c r="W7" s="9">
        <f>1.25*(4.019-1.329-3.416+1.859+3.638+3.717+6.216+2.697)+9.397+5.335+6.856+8.479+10.924+7.181+10.687+0.325</f>
        <v>80.935249999999996</v>
      </c>
      <c r="X7" s="263">
        <f>604+87+71+65+60+75+60+93</f>
        <v>1115</v>
      </c>
      <c r="Y7" s="227">
        <f t="shared" si="4"/>
        <v>5.0584531249999998</v>
      </c>
      <c r="Z7" s="227">
        <f t="shared" si="5"/>
        <v>2.8165468750000002</v>
      </c>
      <c r="AA7" s="89">
        <f t="shared" si="6"/>
        <v>7.7318227299720572</v>
      </c>
      <c r="AB7" s="73">
        <f t="shared" si="7"/>
        <v>69.6875</v>
      </c>
      <c r="AC7" s="203">
        <f>3.082+46.639+49.244+89.816+36.855+44.184+68.817+49.704+91.815+23.931+72.758+21.284+36.996+18.481+96.18+84.111</f>
        <v>833.89700000000005</v>
      </c>
      <c r="AD7" s="89">
        <f t="shared" si="8"/>
        <v>52.118562500000003</v>
      </c>
      <c r="AE7" s="89">
        <f t="shared" si="9"/>
        <v>7.2193187005423169</v>
      </c>
      <c r="AF7" s="9">
        <v>35</v>
      </c>
      <c r="AG7" s="9">
        <v>24</v>
      </c>
      <c r="AH7" s="20">
        <v>26</v>
      </c>
      <c r="AI7" s="54">
        <f t="shared" si="10"/>
        <v>85</v>
      </c>
      <c r="AK7" s="49">
        <v>6</v>
      </c>
      <c r="AL7" s="48">
        <f t="shared" si="11"/>
        <v>6</v>
      </c>
      <c r="AM7" s="36">
        <f t="shared" si="12"/>
        <v>0.88180460702272578</v>
      </c>
      <c r="AN7" s="34">
        <f t="shared" si="13"/>
        <v>0.91111111111111098</v>
      </c>
      <c r="AO7" s="34">
        <f t="shared" si="14"/>
        <v>0.95833333333333337</v>
      </c>
      <c r="AP7" s="34">
        <f t="shared" si="15"/>
        <v>0.9273584905660377</v>
      </c>
      <c r="AQ7" s="34">
        <f t="shared" si="16"/>
        <v>0.73174603174603181</v>
      </c>
      <c r="AR7" s="34">
        <f t="shared" si="17"/>
        <v>0.752236722524107</v>
      </c>
      <c r="AS7" s="34">
        <f t="shared" si="18"/>
        <v>0.18967211479795365</v>
      </c>
      <c r="AT7" s="34">
        <f t="shared" si="19"/>
        <v>0.72460159362549814</v>
      </c>
      <c r="AU7" s="34">
        <f t="shared" si="20"/>
        <v>0.88832160583488162</v>
      </c>
      <c r="AV7" s="34">
        <f t="shared" si="21"/>
        <v>0.73729314043791727</v>
      </c>
      <c r="AW7" s="34">
        <f t="shared" si="22"/>
        <v>1</v>
      </c>
      <c r="AX7" s="48">
        <v>94</v>
      </c>
      <c r="AY7" s="218">
        <v>3</v>
      </c>
      <c r="AZ7" s="220">
        <v>3</v>
      </c>
      <c r="BB7" s="205">
        <v>1.6666666666666665</v>
      </c>
      <c r="BC7" s="245">
        <f t="shared" si="23"/>
        <v>0</v>
      </c>
      <c r="BD7" s="35">
        <v>0.87777431681997031</v>
      </c>
      <c r="BE7">
        <v>4</v>
      </c>
      <c r="BF7" s="205">
        <v>7.2193187005423169</v>
      </c>
      <c r="BG7" s="34">
        <v>0.9273584905660377</v>
      </c>
      <c r="BH7" s="34">
        <v>0.73174603174603181</v>
      </c>
      <c r="BI7" s="34">
        <f>IF(A7&lt;17, SoC!O$3, IF(A7&lt;33, SoC!O$4, IF(A7&lt;49, SoC!O$5, IF(A7&lt;65, SoC!O$6, IF(A7&lt;81, SoC!O$7, IF(A7&lt;97, SoC!O$8, SoC!O$9))))))</f>
        <v>1.1793104273940098</v>
      </c>
      <c r="BJ7" s="34"/>
      <c r="BK7" s="34"/>
      <c r="BL7" s="34"/>
      <c r="BM7" s="19" t="s">
        <v>46</v>
      </c>
      <c r="BN7">
        <v>6</v>
      </c>
      <c r="BO7">
        <v>10</v>
      </c>
      <c r="BP7">
        <v>6</v>
      </c>
      <c r="BQ7">
        <v>7</v>
      </c>
      <c r="BR7">
        <v>6</v>
      </c>
      <c r="BS7">
        <v>11</v>
      </c>
      <c r="BT7">
        <v>12</v>
      </c>
      <c r="BU7">
        <v>16</v>
      </c>
      <c r="BV7">
        <v>25</v>
      </c>
      <c r="BW7" s="154">
        <v>43</v>
      </c>
      <c r="BX7">
        <v>67</v>
      </c>
      <c r="BY7">
        <v>19</v>
      </c>
    </row>
    <row r="8" spans="1:77" x14ac:dyDescent="0.35">
      <c r="A8">
        <v>56</v>
      </c>
      <c r="B8" s="19" t="s">
        <v>172</v>
      </c>
      <c r="C8" s="19" t="s">
        <v>3201</v>
      </c>
      <c r="D8" s="19" t="s">
        <v>36</v>
      </c>
      <c r="E8" s="20">
        <v>7</v>
      </c>
      <c r="F8" s="6">
        <v>7</v>
      </c>
      <c r="G8" s="6">
        <v>2</v>
      </c>
      <c r="I8" s="6">
        <v>5</v>
      </c>
      <c r="J8" s="6">
        <v>1</v>
      </c>
      <c r="L8" s="6">
        <v>3</v>
      </c>
      <c r="M8" s="6">
        <v>2</v>
      </c>
      <c r="P8">
        <f>264+20</f>
        <v>284</v>
      </c>
      <c r="Q8">
        <f>159+17</f>
        <v>176</v>
      </c>
      <c r="R8" s="73">
        <f t="shared" si="0"/>
        <v>20.285714285714285</v>
      </c>
      <c r="S8" s="73">
        <f t="shared" si="1"/>
        <v>12.571428571428571</v>
      </c>
      <c r="T8" s="73">
        <f t="shared" si="2"/>
        <v>7.7142857142857135</v>
      </c>
      <c r="U8">
        <f>114+7</f>
        <v>121</v>
      </c>
      <c r="V8" s="54">
        <f t="shared" si="3"/>
        <v>2.3471074380165291</v>
      </c>
      <c r="W8" s="9">
        <f>1.25*(6.02+1.19-0.914+0.279+2.279+7.223-0.733)+7.625+10.971+5.558+7.402+8.96+12.9+10.054</f>
        <v>82.65</v>
      </c>
      <c r="X8" s="263">
        <f>489+67+62+87+69+68+59+80</f>
        <v>981</v>
      </c>
      <c r="Y8" s="227">
        <f t="shared" si="4"/>
        <v>5.9035714285714294</v>
      </c>
      <c r="Z8" s="227">
        <f t="shared" si="5"/>
        <v>1.8107142857142842</v>
      </c>
      <c r="AA8" s="89">
        <f t="shared" si="6"/>
        <v>7.7065056275048525</v>
      </c>
      <c r="AB8" s="73">
        <f t="shared" si="7"/>
        <v>70.071428571428569</v>
      </c>
      <c r="AC8" s="203">
        <f>(186.896-43.448)+16.619+0+(146.619-23.3095)+81.69+15.794+92.734+(119.466-9.733)+97.66+55.23+14.427+77.646+73.752+17.502</f>
        <v>919.54449999999974</v>
      </c>
      <c r="AD8" s="89">
        <f t="shared" si="8"/>
        <v>65.68174999999998</v>
      </c>
      <c r="AE8" s="89">
        <f t="shared" si="9"/>
        <v>8.1044278021338414</v>
      </c>
      <c r="AF8" s="9">
        <v>35</v>
      </c>
      <c r="AG8" s="9">
        <v>24</v>
      </c>
      <c r="AH8" s="20">
        <v>26</v>
      </c>
      <c r="AI8" s="54">
        <f t="shared" si="10"/>
        <v>85</v>
      </c>
      <c r="AK8" s="49">
        <v>7</v>
      </c>
      <c r="AL8" s="48">
        <f t="shared" si="11"/>
        <v>7</v>
      </c>
      <c r="AM8" s="36">
        <f t="shared" si="12"/>
        <v>0.86616480438566879</v>
      </c>
      <c r="AN8" s="34">
        <f t="shared" si="13"/>
        <v>0.88888888888888884</v>
      </c>
      <c r="AO8" s="34">
        <f t="shared" si="14"/>
        <v>0.91666666666666663</v>
      </c>
      <c r="AP8" s="34">
        <f t="shared" si="15"/>
        <v>0.73315363881401607</v>
      </c>
      <c r="AQ8" s="34">
        <f t="shared" si="16"/>
        <v>0.91156462585034015</v>
      </c>
      <c r="AR8" s="34">
        <f t="shared" si="17"/>
        <v>0.74880407493435019</v>
      </c>
      <c r="AS8" s="34">
        <f t="shared" si="18"/>
        <v>0.11034435363294415</v>
      </c>
      <c r="AT8" s="34">
        <f t="shared" si="19"/>
        <v>0.64071042931079414</v>
      </c>
      <c r="AU8" s="34">
        <f t="shared" si="20"/>
        <v>0.88616832451754113</v>
      </c>
      <c r="AV8" s="34">
        <f t="shared" si="21"/>
        <v>0.85731120166648089</v>
      </c>
      <c r="AW8" s="34">
        <f t="shared" si="22"/>
        <v>1</v>
      </c>
      <c r="AX8" s="48">
        <v>104</v>
      </c>
      <c r="AY8" s="218">
        <v>3</v>
      </c>
      <c r="AZ8" s="220">
        <v>1</v>
      </c>
      <c r="BB8" s="205">
        <v>1.3333333333333333</v>
      </c>
      <c r="BC8" s="245">
        <f t="shared" si="23"/>
        <v>0</v>
      </c>
      <c r="BD8" s="35">
        <v>0.8621453634298234</v>
      </c>
      <c r="BE8">
        <v>5</v>
      </c>
      <c r="BF8" s="205">
        <v>8.1044278021338414</v>
      </c>
      <c r="BG8" s="34">
        <v>0.73315363881401607</v>
      </c>
      <c r="BH8" s="34">
        <v>0.91156462585034015</v>
      </c>
      <c r="BI8" s="34">
        <f>IF(A8&lt;17, SoC!O$3, IF(A8&lt;33, SoC!O$4, IF(A8&lt;49, SoC!O$5, IF(A8&lt;65, SoC!O$6, IF(A8&lt;81, SoC!O$7, IF(A8&lt;97, SoC!O$8, SoC!O$9))))))</f>
        <v>1.1793104273940098</v>
      </c>
      <c r="BJ8" s="34"/>
      <c r="BK8" s="34"/>
      <c r="BL8" s="34"/>
      <c r="BM8" s="19" t="s">
        <v>36</v>
      </c>
      <c r="BN8">
        <v>7</v>
      </c>
      <c r="BO8">
        <v>7</v>
      </c>
      <c r="BP8">
        <v>9</v>
      </c>
      <c r="BQ8">
        <v>9</v>
      </c>
      <c r="BR8">
        <v>8</v>
      </c>
      <c r="BS8">
        <v>15</v>
      </c>
      <c r="BT8">
        <v>11</v>
      </c>
      <c r="BU8">
        <v>20</v>
      </c>
      <c r="BV8">
        <v>53</v>
      </c>
      <c r="BW8" s="154">
        <v>37</v>
      </c>
      <c r="BX8">
        <v>8</v>
      </c>
      <c r="BY8">
        <v>13</v>
      </c>
    </row>
    <row r="9" spans="1:77" x14ac:dyDescent="0.35">
      <c r="A9">
        <v>32</v>
      </c>
      <c r="B9" s="16" t="s">
        <v>144</v>
      </c>
      <c r="C9" s="16" t="s">
        <v>1369</v>
      </c>
      <c r="D9" s="16" t="s">
        <v>60</v>
      </c>
      <c r="E9" s="20">
        <v>8</v>
      </c>
      <c r="F9" s="6">
        <v>8</v>
      </c>
      <c r="G9" s="6">
        <v>1</v>
      </c>
      <c r="I9" s="6">
        <v>5</v>
      </c>
      <c r="J9" s="6">
        <v>1</v>
      </c>
      <c r="L9" s="6">
        <v>2</v>
      </c>
      <c r="N9" s="6">
        <v>3</v>
      </c>
      <c r="P9">
        <f>242+25</f>
        <v>267</v>
      </c>
      <c r="Q9">
        <f>150+11</f>
        <v>161</v>
      </c>
      <c r="R9" s="73">
        <f t="shared" si="0"/>
        <v>19.071428571428573</v>
      </c>
      <c r="S9" s="73">
        <f t="shared" si="1"/>
        <v>11.5</v>
      </c>
      <c r="T9" s="73">
        <f t="shared" si="2"/>
        <v>7.571428571428573</v>
      </c>
      <c r="U9">
        <f>121+10</f>
        <v>131</v>
      </c>
      <c r="V9" s="54">
        <f t="shared" si="3"/>
        <v>2.0381679389312977</v>
      </c>
      <c r="W9" s="9">
        <f>1.25*(-0.562+1.369+3.97+3.023+2.537+3.318+2.375+6.402)+5.541+2.948+1.181+5.544+2.493+6.732</f>
        <v>52.478999999999999</v>
      </c>
      <c r="X9" s="263">
        <f>676+94+71+88+81</f>
        <v>1010</v>
      </c>
      <c r="Y9" s="227">
        <f t="shared" si="4"/>
        <v>3.7484999999999999</v>
      </c>
      <c r="Z9" s="227">
        <f t="shared" si="5"/>
        <v>3.822928571428573</v>
      </c>
      <c r="AA9" s="89">
        <f t="shared" si="6"/>
        <v>7.6616752868371689</v>
      </c>
      <c r="AB9" s="73">
        <f t="shared" si="7"/>
        <v>72.142857142857139</v>
      </c>
      <c r="AC9" s="203">
        <f>46.293+7.35+52.894+70.328+(259.438-89.6253)+66.177+8.877+94.686+65.992+11.059+24.092+64.11+(182.46-41.23)+(189.042-44.521)</f>
        <v>967.4217000000001</v>
      </c>
      <c r="AD9" s="89">
        <f t="shared" si="8"/>
        <v>69.101550000000003</v>
      </c>
      <c r="AE9" s="89">
        <f t="shared" si="9"/>
        <v>8.3127342072268853</v>
      </c>
      <c r="AF9" s="9">
        <v>21</v>
      </c>
      <c r="AG9" s="9">
        <v>12</v>
      </c>
      <c r="AH9" s="20">
        <v>23</v>
      </c>
      <c r="AI9" s="54">
        <f t="shared" si="10"/>
        <v>56</v>
      </c>
      <c r="AK9" s="49">
        <v>8</v>
      </c>
      <c r="AL9" s="48">
        <f t="shared" si="11"/>
        <v>9</v>
      </c>
      <c r="AM9" s="36">
        <f t="shared" si="12"/>
        <v>0.84968096898712686</v>
      </c>
      <c r="AN9" s="34">
        <f t="shared" si="13"/>
        <v>0.93333333333333335</v>
      </c>
      <c r="AO9" s="34">
        <f t="shared" si="14"/>
        <v>0.83333333333333337</v>
      </c>
      <c r="AP9" s="34">
        <f t="shared" si="15"/>
        <v>0.63234501347708905</v>
      </c>
      <c r="AQ9" s="34">
        <f t="shared" si="16"/>
        <v>1</v>
      </c>
      <c r="AR9" s="34">
        <f t="shared" si="17"/>
        <v>0.449395101068504</v>
      </c>
      <c r="AS9" s="34">
        <f t="shared" si="18"/>
        <v>0.31263199887360971</v>
      </c>
      <c r="AT9" s="34">
        <f t="shared" si="19"/>
        <v>0.80853855605614944</v>
      </c>
      <c r="AU9" s="34">
        <f t="shared" si="20"/>
        <v>0.88235233924929635</v>
      </c>
      <c r="AV9" s="34">
        <f t="shared" si="21"/>
        <v>0.8855569070103817</v>
      </c>
      <c r="AW9" s="34">
        <f t="shared" si="22"/>
        <v>0.6588235294117647</v>
      </c>
      <c r="AX9" s="48">
        <v>76</v>
      </c>
      <c r="AY9" s="218">
        <v>2</v>
      </c>
      <c r="AZ9" s="220">
        <v>1</v>
      </c>
      <c r="BB9" s="205">
        <v>2</v>
      </c>
      <c r="BC9" s="245">
        <f t="shared" si="23"/>
        <v>-1</v>
      </c>
      <c r="BD9" s="35">
        <v>0.84930406772625977</v>
      </c>
      <c r="BE9">
        <v>3</v>
      </c>
      <c r="BF9" s="205">
        <v>8.3127342072268853</v>
      </c>
      <c r="BG9" s="34">
        <v>0.63234501347708905</v>
      </c>
      <c r="BH9" s="34">
        <v>1</v>
      </c>
      <c r="BI9" s="34">
        <f>IF(A9&lt;17, SoC!O$3, IF(A9&lt;33, SoC!O$4, IF(A9&lt;49, SoC!O$5, IF(A9&lt;65, SoC!O$6, IF(A9&lt;81, SoC!O$7, IF(A9&lt;97, SoC!O$8, SoC!O$9))))))</f>
        <v>1.148154410748077</v>
      </c>
      <c r="BJ9" s="34"/>
      <c r="BK9" s="34"/>
      <c r="BL9" s="34"/>
      <c r="BM9" s="16" t="s">
        <v>60</v>
      </c>
      <c r="BN9">
        <v>8</v>
      </c>
      <c r="BO9">
        <v>11</v>
      </c>
      <c r="BP9">
        <v>13</v>
      </c>
      <c r="BQ9">
        <v>11</v>
      </c>
      <c r="BR9">
        <v>10</v>
      </c>
      <c r="BS9">
        <v>12</v>
      </c>
      <c r="BT9">
        <v>10</v>
      </c>
      <c r="BU9">
        <v>30</v>
      </c>
      <c r="BV9">
        <v>46</v>
      </c>
      <c r="BW9" s="154">
        <v>54</v>
      </c>
      <c r="BX9">
        <v>24</v>
      </c>
      <c r="BY9">
        <v>41</v>
      </c>
    </row>
    <row r="10" spans="1:77" x14ac:dyDescent="0.35">
      <c r="A10">
        <v>44</v>
      </c>
      <c r="B10" s="17" t="s">
        <v>171</v>
      </c>
      <c r="C10" s="17" t="s">
        <v>1098</v>
      </c>
      <c r="D10" s="17" t="s">
        <v>145</v>
      </c>
      <c r="E10" s="20">
        <v>9</v>
      </c>
      <c r="F10" s="6">
        <v>7</v>
      </c>
      <c r="G10" s="6">
        <v>2</v>
      </c>
      <c r="I10" s="6">
        <v>5</v>
      </c>
      <c r="J10" s="6">
        <v>1</v>
      </c>
      <c r="L10" s="6">
        <v>4</v>
      </c>
      <c r="M10" s="6">
        <v>3</v>
      </c>
      <c r="P10">
        <f>288+22</f>
        <v>310</v>
      </c>
      <c r="Q10">
        <f>191+21</f>
        <v>212</v>
      </c>
      <c r="R10" s="73">
        <f t="shared" si="0"/>
        <v>19.375</v>
      </c>
      <c r="S10" s="73">
        <f t="shared" si="1"/>
        <v>13.25</v>
      </c>
      <c r="T10" s="73">
        <f t="shared" si="2"/>
        <v>6.125</v>
      </c>
      <c r="U10">
        <f>139+11</f>
        <v>150</v>
      </c>
      <c r="V10" s="54">
        <f t="shared" si="3"/>
        <v>2.0666666666666669</v>
      </c>
      <c r="W10" s="9">
        <f>1.25*(3.077+3.105-2.029+0.315-1.801+3.754+4.354+5.52+4.409)-4.412+1.553+7.126+9.443+9.237+3.587-0.501</f>
        <v>51.913000000000011</v>
      </c>
      <c r="X10" s="263">
        <f>606+92+80+52+60+57+75+95</f>
        <v>1117</v>
      </c>
      <c r="Y10" s="227">
        <f t="shared" si="4"/>
        <v>3.2445625000000007</v>
      </c>
      <c r="Z10" s="227">
        <f t="shared" si="5"/>
        <v>2.8804374999999993</v>
      </c>
      <c r="AA10" s="89">
        <f t="shared" si="6"/>
        <v>6.2514268332944214</v>
      </c>
      <c r="AB10" s="73">
        <f t="shared" si="7"/>
        <v>69.8125</v>
      </c>
      <c r="AC10" s="203">
        <f>15.521+16.236+4.42+(123.723-11.8615)+34.405+(113.974-6.987)+85.817+67.103+79.542+1.37+38.823+33.371+35.001+76.616+(145.501-22.7505)+35.792</f>
        <v>865.61599999999999</v>
      </c>
      <c r="AD10" s="89">
        <f t="shared" si="8"/>
        <v>54.100999999999999</v>
      </c>
      <c r="AE10" s="89">
        <f t="shared" si="9"/>
        <v>7.3553381975270176</v>
      </c>
      <c r="AF10" s="9">
        <v>35</v>
      </c>
      <c r="AG10" s="9">
        <v>24</v>
      </c>
      <c r="AH10" s="9">
        <v>17</v>
      </c>
      <c r="AI10" s="54">
        <f t="shared" si="10"/>
        <v>76</v>
      </c>
      <c r="AK10" s="49">
        <v>9</v>
      </c>
      <c r="AL10" s="48">
        <f t="shared" si="11"/>
        <v>8</v>
      </c>
      <c r="AM10" s="36">
        <f t="shared" si="12"/>
        <v>0.85014182256507231</v>
      </c>
      <c r="AN10" s="34">
        <f t="shared" si="13"/>
        <v>0.93333333333333335</v>
      </c>
      <c r="AO10" s="34">
        <f t="shared" si="14"/>
        <v>0.95833333333333337</v>
      </c>
      <c r="AP10" s="34">
        <f t="shared" si="15"/>
        <v>0.65754716981132078</v>
      </c>
      <c r="AQ10" s="34">
        <f t="shared" si="16"/>
        <v>0.85555555555555562</v>
      </c>
      <c r="AR10" s="34">
        <f t="shared" si="17"/>
        <v>0.47701466688315231</v>
      </c>
      <c r="AS10" s="34">
        <f t="shared" si="18"/>
        <v>0.35993452855868957</v>
      </c>
      <c r="AT10" s="34">
        <f t="shared" si="19"/>
        <v>0.72993037197006372</v>
      </c>
      <c r="AU10" s="34">
        <f t="shared" si="20"/>
        <v>0.76009973738160608</v>
      </c>
      <c r="AV10" s="34">
        <f t="shared" si="21"/>
        <v>0.75573696424227599</v>
      </c>
      <c r="AW10" s="34">
        <f t="shared" si="22"/>
        <v>0.89411764705882357</v>
      </c>
      <c r="AX10" s="48">
        <v>71</v>
      </c>
      <c r="AY10" s="218">
        <v>2</v>
      </c>
      <c r="AZ10" s="220">
        <v>5</v>
      </c>
      <c r="BB10" s="205">
        <v>-0.33333333333333331</v>
      </c>
      <c r="BC10" s="245">
        <f t="shared" si="23"/>
        <v>1</v>
      </c>
      <c r="BD10" s="35">
        <v>0.84643700191637727</v>
      </c>
      <c r="BE10">
        <v>3</v>
      </c>
      <c r="BF10" s="205">
        <v>7.3553381975270176</v>
      </c>
      <c r="BG10" s="34">
        <v>0.65754716981132078</v>
      </c>
      <c r="BH10" s="34">
        <v>0.85555555555555562</v>
      </c>
      <c r="BI10" s="34">
        <f>IF(A10&lt;17, SoC!O$3, IF(A10&lt;33, SoC!O$4, IF(A10&lt;49, SoC!O$5, IF(A10&lt;65, SoC!O$6, IF(A10&lt;81, SoC!O$7, IF(A10&lt;97, SoC!O$8, SoC!O$9))))))</f>
        <v>1.0509770295874163</v>
      </c>
      <c r="BJ10" s="34"/>
      <c r="BK10" s="34"/>
      <c r="BL10" s="34"/>
      <c r="BM10" s="17" t="s">
        <v>145</v>
      </c>
      <c r="BN10">
        <v>9</v>
      </c>
      <c r="BO10">
        <v>8</v>
      </c>
      <c r="BP10">
        <v>11</v>
      </c>
      <c r="BQ10">
        <v>15</v>
      </c>
      <c r="BR10">
        <v>15</v>
      </c>
      <c r="BS10">
        <v>14</v>
      </c>
      <c r="BT10">
        <v>24</v>
      </c>
      <c r="BU10">
        <v>23</v>
      </c>
      <c r="BV10">
        <v>39</v>
      </c>
      <c r="BW10" s="154">
        <v>28</v>
      </c>
      <c r="BX10">
        <v>46</v>
      </c>
      <c r="BY10">
        <v>42</v>
      </c>
    </row>
    <row r="11" spans="1:77" x14ac:dyDescent="0.35">
      <c r="A11">
        <v>42</v>
      </c>
      <c r="B11" s="17" t="s">
        <v>171</v>
      </c>
      <c r="C11" s="17" t="s">
        <v>1098</v>
      </c>
      <c r="D11" s="17" t="s">
        <v>118</v>
      </c>
      <c r="E11" s="20">
        <v>10</v>
      </c>
      <c r="F11" s="6">
        <v>8</v>
      </c>
      <c r="G11" s="6">
        <v>1</v>
      </c>
      <c r="I11" s="6">
        <v>5</v>
      </c>
      <c r="J11" s="6">
        <v>1</v>
      </c>
      <c r="L11" s="6">
        <v>3</v>
      </c>
      <c r="M11" s="6">
        <v>2</v>
      </c>
      <c r="N11" s="6">
        <v>2</v>
      </c>
      <c r="P11">
        <f>280+22+21</f>
        <v>323</v>
      </c>
      <c r="Q11">
        <f>203+22</f>
        <v>225</v>
      </c>
      <c r="R11" s="73">
        <f t="shared" si="0"/>
        <v>20.1875</v>
      </c>
      <c r="S11" s="73">
        <f t="shared" si="1"/>
        <v>14.0625</v>
      </c>
      <c r="T11" s="73">
        <f t="shared" si="2"/>
        <v>6.125</v>
      </c>
      <c r="U11">
        <f>120+10</f>
        <v>130</v>
      </c>
      <c r="V11" s="54">
        <f t="shared" si="3"/>
        <v>2.4846153846153847</v>
      </c>
      <c r="W11" s="9">
        <f>1.25*(1.834-0.677+1.793+10.502+3.665+10.183+0.57+4.7+2.631)+4.412+3.719+6.001+5.872+3.128+11.957+0.501</f>
        <v>79.591250000000002</v>
      </c>
      <c r="X11" s="263">
        <f>695+92+89+89+83+86+55+95</f>
        <v>1284</v>
      </c>
      <c r="Y11" s="227">
        <f t="shared" si="4"/>
        <v>4.9744531250000001</v>
      </c>
      <c r="Z11" s="227">
        <f t="shared" si="5"/>
        <v>1.1505468749999999</v>
      </c>
      <c r="AA11" s="89">
        <f t="shared" si="6"/>
        <v>7.1722438148205843</v>
      </c>
      <c r="AB11" s="73">
        <f t="shared" si="7"/>
        <v>80.25</v>
      </c>
      <c r="AC11" s="203">
        <f>80.334+47.513+(127.864-13.932)+51.019+32.914+41.359+94.566+47.593+27.679+(106.67-3.335)+47.996+12.503+8.862+77.921+17.494+28.446</f>
        <v>833.46600000000012</v>
      </c>
      <c r="AD11" s="89">
        <f t="shared" si="8"/>
        <v>52.091625000000008</v>
      </c>
      <c r="AE11" s="89">
        <f t="shared" si="9"/>
        <v>7.2174528055263378</v>
      </c>
      <c r="AF11" s="9">
        <v>28</v>
      </c>
      <c r="AG11" s="9">
        <v>18</v>
      </c>
      <c r="AH11" s="9">
        <v>14</v>
      </c>
      <c r="AI11" s="54">
        <f t="shared" si="10"/>
        <v>60</v>
      </c>
      <c r="AK11" s="49">
        <v>10</v>
      </c>
      <c r="AL11" s="48">
        <f t="shared" si="11"/>
        <v>10</v>
      </c>
      <c r="AM11" s="36">
        <f t="shared" si="12"/>
        <v>0.84807027480715191</v>
      </c>
      <c r="AN11" s="34">
        <f t="shared" si="13"/>
        <v>1</v>
      </c>
      <c r="AO11" s="34">
        <f t="shared" si="14"/>
        <v>0.91666666666666663</v>
      </c>
      <c r="AP11" s="34">
        <f t="shared" si="15"/>
        <v>0.72499999999999998</v>
      </c>
      <c r="AQ11" s="34">
        <f t="shared" si="16"/>
        <v>0.78849206349206358</v>
      </c>
      <c r="AR11" s="34">
        <f t="shared" si="17"/>
        <v>0.88207001636129767</v>
      </c>
      <c r="AS11" s="34">
        <f t="shared" si="18"/>
        <v>0.1975568475149011</v>
      </c>
      <c r="AT11" s="34">
        <f t="shared" si="19"/>
        <v>0.5856493651561977</v>
      </c>
      <c r="AU11" s="34">
        <f t="shared" si="20"/>
        <v>0.84042793381087522</v>
      </c>
      <c r="AV11" s="34">
        <f t="shared" si="21"/>
        <v>0.73704013083506603</v>
      </c>
      <c r="AW11" s="34">
        <f t="shared" si="22"/>
        <v>0.70588235294117652</v>
      </c>
      <c r="AX11" s="48">
        <v>67</v>
      </c>
      <c r="AY11" s="218">
        <v>2</v>
      </c>
      <c r="AZ11" s="220">
        <v>5</v>
      </c>
      <c r="BB11" s="205">
        <v>0.66666666666666663</v>
      </c>
      <c r="BC11" s="245">
        <f t="shared" si="23"/>
        <v>0</v>
      </c>
      <c r="BD11" s="35">
        <v>0.84392734740265518</v>
      </c>
      <c r="BE11">
        <v>3</v>
      </c>
      <c r="BF11" s="205">
        <v>7.2174528055263378</v>
      </c>
      <c r="BG11" s="34">
        <v>0.72499999999999998</v>
      </c>
      <c r="BH11" s="34">
        <v>0.78849206349206358</v>
      </c>
      <c r="BI11" s="34">
        <f>IF(A11&lt;17, SoC!O$3, IF(A11&lt;33, SoC!O$4, IF(A11&lt;49, SoC!O$5, IF(A11&lt;65, SoC!O$6, IF(A11&lt;81, SoC!O$7, IF(A11&lt;97, SoC!O$8, SoC!O$9))))))</f>
        <v>1.0509770295874163</v>
      </c>
      <c r="BJ11" s="34"/>
      <c r="BK11" s="34"/>
      <c r="BL11" s="34"/>
      <c r="BM11" s="17" t="s">
        <v>118</v>
      </c>
      <c r="BN11">
        <v>10</v>
      </c>
      <c r="BO11">
        <v>6</v>
      </c>
      <c r="BP11">
        <v>8</v>
      </c>
      <c r="BQ11">
        <v>6</v>
      </c>
      <c r="BR11">
        <v>2</v>
      </c>
      <c r="BS11">
        <v>3</v>
      </c>
      <c r="BT11">
        <v>4</v>
      </c>
      <c r="BU11">
        <v>5</v>
      </c>
      <c r="BV11">
        <v>3</v>
      </c>
      <c r="BW11" s="154">
        <v>6</v>
      </c>
      <c r="BX11">
        <v>14</v>
      </c>
      <c r="BY11">
        <v>46</v>
      </c>
    </row>
    <row r="12" spans="1:77" x14ac:dyDescent="0.35">
      <c r="A12">
        <v>107</v>
      </c>
      <c r="B12" s="69" t="s">
        <v>1296</v>
      </c>
      <c r="C12" s="69" t="s">
        <v>918</v>
      </c>
      <c r="D12" s="69" t="s">
        <v>1344</v>
      </c>
      <c r="E12" s="20">
        <v>11</v>
      </c>
      <c r="F12" s="6">
        <v>8</v>
      </c>
      <c r="G12" s="6">
        <v>1</v>
      </c>
      <c r="I12" s="6">
        <v>5</v>
      </c>
      <c r="J12" s="6">
        <v>0</v>
      </c>
      <c r="L12" s="6">
        <v>3</v>
      </c>
      <c r="M12" s="6">
        <v>1</v>
      </c>
      <c r="N12" s="6">
        <v>1</v>
      </c>
      <c r="P12">
        <f>260+32</f>
        <v>292</v>
      </c>
      <c r="Q12">
        <f>180+16</f>
        <v>196</v>
      </c>
      <c r="R12" s="73">
        <f t="shared" si="0"/>
        <v>20.857142857142858</v>
      </c>
      <c r="S12" s="73">
        <f t="shared" si="1"/>
        <v>14</v>
      </c>
      <c r="T12" s="73">
        <f t="shared" si="2"/>
        <v>6.8571428571428577</v>
      </c>
      <c r="U12">
        <f>124+9</f>
        <v>133</v>
      </c>
      <c r="V12" s="54">
        <f t="shared" si="3"/>
        <v>2.1954887218045114</v>
      </c>
      <c r="W12" s="9">
        <f>1.25*(-2.064-0.515+3.076+4.206+7.641+1.855+5.914+2.736+7.655+4.79)+11.144-0.654+1.736+9.265</f>
        <v>65.608499999999992</v>
      </c>
      <c r="X12" s="263">
        <f>786+92+87+61</f>
        <v>1026</v>
      </c>
      <c r="Y12" s="227">
        <f t="shared" si="4"/>
        <v>4.6863214285714276</v>
      </c>
      <c r="Z12" s="227">
        <f t="shared" si="5"/>
        <v>2.17082142857143</v>
      </c>
      <c r="AA12" s="89">
        <f t="shared" si="6"/>
        <v>5.489056773843382</v>
      </c>
      <c r="AB12" s="73">
        <f t="shared" si="7"/>
        <v>73.285714285714292</v>
      </c>
      <c r="AC12" s="203">
        <f>55.575+74.82+19.664+(177.912-38.956)+92.574+36.171+96.267+4.748+60.862+24.125+0+28.936+34.068+86.79</f>
        <v>753.55600000000004</v>
      </c>
      <c r="AD12" s="89">
        <f t="shared" si="8"/>
        <v>53.825428571428574</v>
      </c>
      <c r="AE12" s="89">
        <f t="shared" si="9"/>
        <v>7.3365815317100225</v>
      </c>
      <c r="AF12" s="9">
        <v>35</v>
      </c>
      <c r="AG12" s="9">
        <v>6</v>
      </c>
      <c r="AI12" s="54">
        <f t="shared" si="10"/>
        <v>41</v>
      </c>
      <c r="AK12" s="49">
        <v>11</v>
      </c>
      <c r="AL12" s="48">
        <f t="shared" si="11"/>
        <v>11</v>
      </c>
      <c r="AM12" s="36">
        <f t="shared" si="12"/>
        <v>0.82930881712969284</v>
      </c>
      <c r="AN12" s="34">
        <f t="shared" si="13"/>
        <v>0.97777777777777786</v>
      </c>
      <c r="AO12" s="34">
        <f t="shared" si="14"/>
        <v>1.05</v>
      </c>
      <c r="AP12" s="34">
        <f t="shared" si="15"/>
        <v>0.78059299191374665</v>
      </c>
      <c r="AQ12" s="34">
        <f t="shared" si="16"/>
        <v>0.79365079365079372</v>
      </c>
      <c r="AR12" s="34">
        <f t="shared" si="17"/>
        <v>0.60186266933773813</v>
      </c>
      <c r="AS12" s="34">
        <f t="shared" si="18"/>
        <v>0.22460257862942445</v>
      </c>
      <c r="AT12" s="34">
        <f t="shared" si="19"/>
        <v>0.67074505715455957</v>
      </c>
      <c r="AU12" s="34">
        <f t="shared" si="20"/>
        <v>0.6919013933865068</v>
      </c>
      <c r="AV12" s="34">
        <f t="shared" si="21"/>
        <v>0.75319361827236109</v>
      </c>
      <c r="AW12" s="34">
        <f t="shared" si="22"/>
        <v>0.4823529411764706</v>
      </c>
      <c r="AX12" s="48">
        <v>42</v>
      </c>
      <c r="AY12" s="218">
        <v>1</v>
      </c>
      <c r="AZ12" s="220">
        <v>3</v>
      </c>
      <c r="BB12" s="205">
        <v>-0.33333333333333331</v>
      </c>
      <c r="BC12" s="245">
        <f t="shared" si="23"/>
        <v>0</v>
      </c>
      <c r="BD12" s="35">
        <v>0.83061481723489694</v>
      </c>
      <c r="BE12">
        <v>2</v>
      </c>
      <c r="BF12" s="205">
        <v>7.3365815317100225</v>
      </c>
      <c r="BG12" s="34">
        <v>0.78059299191374665</v>
      </c>
      <c r="BH12" s="34">
        <v>0.79365079365079372</v>
      </c>
      <c r="BI12" s="34">
        <f>IF(A12&lt;17, SoC!O$3, IF(A12&lt;33, SoC!O$4, IF(A12&lt;49, SoC!O$5, IF(A12&lt;65, SoC!O$6, IF(A12&lt;81, SoC!O$7, IF(A12&lt;97, SoC!O$8, SoC!O$9))))))</f>
        <v>0.84292189346881985</v>
      </c>
      <c r="BJ12" s="34"/>
      <c r="BK12" s="34"/>
      <c r="BL12" s="34"/>
      <c r="BM12" s="69" t="s">
        <v>1344</v>
      </c>
      <c r="BN12">
        <v>11</v>
      </c>
      <c r="BO12">
        <v>9</v>
      </c>
      <c r="BP12">
        <v>10</v>
      </c>
      <c r="BQ12">
        <v>12</v>
      </c>
      <c r="BR12">
        <v>13</v>
      </c>
      <c r="BS12">
        <v>7</v>
      </c>
      <c r="BT12">
        <v>6</v>
      </c>
      <c r="BU12">
        <v>10</v>
      </c>
      <c r="BV12">
        <v>13</v>
      </c>
      <c r="BW12" s="154">
        <v>12</v>
      </c>
      <c r="BX12">
        <v>26</v>
      </c>
      <c r="BY12">
        <v>71</v>
      </c>
    </row>
    <row r="13" spans="1:77" x14ac:dyDescent="0.35">
      <c r="A13">
        <v>17</v>
      </c>
      <c r="B13" s="16" t="s">
        <v>144</v>
      </c>
      <c r="C13" s="16" t="s">
        <v>1086</v>
      </c>
      <c r="D13" s="16" t="s">
        <v>59</v>
      </c>
      <c r="E13" s="20">
        <v>12</v>
      </c>
      <c r="F13" s="6">
        <v>6</v>
      </c>
      <c r="G13" s="6">
        <v>3</v>
      </c>
      <c r="I13" s="6">
        <v>4</v>
      </c>
      <c r="J13" s="6">
        <v>2</v>
      </c>
      <c r="L13" s="6">
        <v>3</v>
      </c>
      <c r="M13" s="6">
        <v>3</v>
      </c>
      <c r="N13" s="6">
        <v>1</v>
      </c>
      <c r="P13">
        <f>300+19</f>
        <v>319</v>
      </c>
      <c r="Q13">
        <f>198+16</f>
        <v>214</v>
      </c>
      <c r="R13" s="73">
        <f t="shared" si="0"/>
        <v>19.9375</v>
      </c>
      <c r="S13" s="73">
        <f t="shared" si="1"/>
        <v>13.375</v>
      </c>
      <c r="T13" s="73">
        <f t="shared" si="2"/>
        <v>6.5625</v>
      </c>
      <c r="U13">
        <f>129+8</f>
        <v>137</v>
      </c>
      <c r="V13" s="54">
        <f t="shared" si="3"/>
        <v>2.3284671532846715</v>
      </c>
      <c r="W13" s="9">
        <f>1.25*(0.501+1.655+3.682+2.614+7.657+4.809+1.775+0.733)+5.98+9.846-1.181+7.687+6.985+4.932+10.969+2.121</f>
        <v>76.621499999999997</v>
      </c>
      <c r="X13" s="263">
        <f>693+81+63+94+56+76+85+59+90</f>
        <v>1297</v>
      </c>
      <c r="Y13" s="227">
        <f t="shared" si="4"/>
        <v>4.7888437499999998</v>
      </c>
      <c r="Z13" s="227">
        <f t="shared" si="5"/>
        <v>1.7736562500000002</v>
      </c>
      <c r="AA13" s="89">
        <f t="shared" si="6"/>
        <v>8.1200421621032319</v>
      </c>
      <c r="AB13" s="73">
        <f t="shared" si="7"/>
        <v>81.0625</v>
      </c>
      <c r="AC13" s="203">
        <f>(102.091-1.0455)+(358.554-160.5822)+98.295+(106.939-3.4695)+0+(164.96-32.48)+15.718+7.275+64.818+(128.806-14.403)+43.784+42.333+34.328+0+83.989+42.249</f>
        <v>1082.1587999999999</v>
      </c>
      <c r="AD13" s="89">
        <f t="shared" si="8"/>
        <v>67.634924999999996</v>
      </c>
      <c r="AE13" s="89">
        <f t="shared" si="9"/>
        <v>8.2240455373252885</v>
      </c>
      <c r="AF13" s="9">
        <v>35</v>
      </c>
      <c r="AG13" s="9">
        <v>24</v>
      </c>
      <c r="AH13" s="20">
        <v>26</v>
      </c>
      <c r="AI13" s="54">
        <f t="shared" si="10"/>
        <v>85</v>
      </c>
      <c r="AK13" s="49">
        <v>12</v>
      </c>
      <c r="AL13" s="48">
        <f t="shared" si="11"/>
        <v>12</v>
      </c>
      <c r="AM13" s="36">
        <f t="shared" si="12"/>
        <v>0.82885793309045797</v>
      </c>
      <c r="AN13" s="34">
        <f t="shared" si="13"/>
        <v>0.8</v>
      </c>
      <c r="AO13" s="34">
        <f t="shared" si="14"/>
        <v>0.79166666666666663</v>
      </c>
      <c r="AP13" s="34">
        <f t="shared" si="15"/>
        <v>0.70424528301886791</v>
      </c>
      <c r="AQ13" s="34">
        <f t="shared" si="16"/>
        <v>0.84523809523809523</v>
      </c>
      <c r="AR13" s="34">
        <f t="shared" si="17"/>
        <v>0.73073882739993579</v>
      </c>
      <c r="AS13" s="34">
        <f t="shared" si="18"/>
        <v>0.21497923217721893</v>
      </c>
      <c r="AT13" s="34">
        <f t="shared" si="19"/>
        <v>0.63761961499795217</v>
      </c>
      <c r="AU13" s="34">
        <f t="shared" si="20"/>
        <v>0.92118912107793571</v>
      </c>
      <c r="AV13" s="34">
        <f t="shared" si="21"/>
        <v>0.87353099721531779</v>
      </c>
      <c r="AW13" s="34">
        <f t="shared" si="22"/>
        <v>1</v>
      </c>
      <c r="AX13" s="48">
        <v>88</v>
      </c>
      <c r="AY13" s="218">
        <v>3</v>
      </c>
      <c r="AZ13" s="220">
        <v>3</v>
      </c>
      <c r="BB13" s="205">
        <v>1.6666666666666665</v>
      </c>
      <c r="BC13" s="245">
        <f t="shared" si="23"/>
        <v>0</v>
      </c>
      <c r="BD13" s="35">
        <v>0.8284625176177105</v>
      </c>
      <c r="BE13">
        <v>4</v>
      </c>
      <c r="BF13" s="205">
        <v>8.2240455373252885</v>
      </c>
      <c r="BG13" s="34">
        <v>0.70424528301886791</v>
      </c>
      <c r="BH13" s="34">
        <v>0.84523809523809523</v>
      </c>
      <c r="BI13" s="34">
        <f>IF(A13&lt;17, SoC!O$3, IF(A13&lt;33, SoC!O$4, IF(A13&lt;49, SoC!O$5, IF(A13&lt;65, SoC!O$6, IF(A13&lt;81, SoC!O$7, IF(A13&lt;97, SoC!O$8, SoC!O$9))))))</f>
        <v>1.148154410748077</v>
      </c>
      <c r="BJ13" s="34"/>
      <c r="BK13" s="34"/>
      <c r="BL13" s="34"/>
      <c r="BM13" s="16" t="s">
        <v>59</v>
      </c>
      <c r="BN13">
        <v>12</v>
      </c>
      <c r="BO13">
        <v>12</v>
      </c>
      <c r="BP13">
        <v>7</v>
      </c>
      <c r="BQ13">
        <v>8</v>
      </c>
      <c r="BR13">
        <v>12</v>
      </c>
      <c r="BS13">
        <v>10</v>
      </c>
      <c r="BT13">
        <v>8</v>
      </c>
      <c r="BU13">
        <v>2</v>
      </c>
      <c r="BV13">
        <v>2</v>
      </c>
      <c r="BW13" s="154">
        <v>2</v>
      </c>
      <c r="BX13">
        <v>4</v>
      </c>
      <c r="BY13">
        <v>25</v>
      </c>
    </row>
    <row r="14" spans="1:77" x14ac:dyDescent="0.35">
      <c r="A14">
        <v>58</v>
      </c>
      <c r="B14" s="19" t="s">
        <v>172</v>
      </c>
      <c r="C14" s="19" t="s">
        <v>1099</v>
      </c>
      <c r="D14" s="19" t="s">
        <v>41</v>
      </c>
      <c r="F14" s="6">
        <v>7</v>
      </c>
      <c r="G14" s="6">
        <v>2</v>
      </c>
      <c r="I14" s="6">
        <v>5</v>
      </c>
      <c r="J14" s="6">
        <v>1</v>
      </c>
      <c r="L14" s="6">
        <v>3</v>
      </c>
      <c r="M14" s="6">
        <v>1</v>
      </c>
      <c r="N14" s="6">
        <v>1</v>
      </c>
      <c r="P14">
        <f>247+8</f>
        <v>255</v>
      </c>
      <c r="Q14">
        <f>167+15</f>
        <v>182</v>
      </c>
      <c r="R14" s="73">
        <f t="shared" si="0"/>
        <v>18.214285714285715</v>
      </c>
      <c r="S14" s="73">
        <f t="shared" si="1"/>
        <v>13</v>
      </c>
      <c r="T14" s="73">
        <f t="shared" si="2"/>
        <v>5.2142857142857153</v>
      </c>
      <c r="U14">
        <f>110+5</f>
        <v>115</v>
      </c>
      <c r="V14" s="54">
        <f t="shared" si="3"/>
        <v>2.2173913043478262</v>
      </c>
      <c r="W14" s="9">
        <f>1.25*(3.4+1.721+4.978+3.783+7.7+2.266-0.956)+4.259-2.948-2.351+6.202+10.389+12.947-0.325</f>
        <v>56.787999999999997</v>
      </c>
      <c r="X14" s="263">
        <f>553+60+90+93+50+53+53+93</f>
        <v>1045</v>
      </c>
      <c r="Y14" s="227">
        <f t="shared" si="4"/>
        <v>4.0562857142857141</v>
      </c>
      <c r="Z14" s="227">
        <f t="shared" si="5"/>
        <v>1.1580000000000013</v>
      </c>
      <c r="AA14" s="89">
        <f t="shared" si="6"/>
        <v>7.0864652525572716</v>
      </c>
      <c r="AB14" s="73">
        <f t="shared" si="7"/>
        <v>74.642857142857139</v>
      </c>
      <c r="AC14" s="203">
        <f>16.028+31.146+30.752+42.144+0+16.545+64.959+29.848+40.507+95.435+(170.229-37.1145)+(143.224-21.612)+(229.773-69.8487)+7.611</f>
        <v>789.62580000000003</v>
      </c>
      <c r="AD14" s="89">
        <f t="shared" si="8"/>
        <v>56.40184285714286</v>
      </c>
      <c r="AE14" s="89">
        <f t="shared" si="9"/>
        <v>7.5101160348654306</v>
      </c>
      <c r="AF14" s="9">
        <v>35</v>
      </c>
      <c r="AG14" s="9">
        <v>18</v>
      </c>
      <c r="AH14" s="20">
        <v>26</v>
      </c>
      <c r="AI14" s="54">
        <f t="shared" si="10"/>
        <v>79</v>
      </c>
      <c r="AK14" s="49">
        <v>13</v>
      </c>
      <c r="AL14" s="48">
        <f t="shared" si="11"/>
        <v>13</v>
      </c>
      <c r="AM14" s="36">
        <f t="shared" si="12"/>
        <v>0.82649328868251126</v>
      </c>
      <c r="AN14" s="34">
        <f t="shared" si="13"/>
        <v>0.8666666666666667</v>
      </c>
      <c r="AO14" s="34">
        <f t="shared" si="14"/>
        <v>0.875</v>
      </c>
      <c r="AP14" s="34">
        <f t="shared" si="15"/>
        <v>0.5611859838274933</v>
      </c>
      <c r="AQ14" s="34">
        <f t="shared" si="16"/>
        <v>0.87619047619047619</v>
      </c>
      <c r="AR14" s="34">
        <f t="shared" si="17"/>
        <v>0.62308957552397715</v>
      </c>
      <c r="AS14" s="34">
        <f t="shared" si="18"/>
        <v>0.28374142635887611</v>
      </c>
      <c r="AT14" s="34">
        <f t="shared" si="19"/>
        <v>0.58627099080314271</v>
      </c>
      <c r="AU14" s="34">
        <f t="shared" si="20"/>
        <v>0.83302830406181982</v>
      </c>
      <c r="AV14" s="34">
        <f t="shared" si="21"/>
        <v>0.77672436107855791</v>
      </c>
      <c r="AW14" s="34">
        <f t="shared" si="22"/>
        <v>0.92941176470588238</v>
      </c>
      <c r="AX14" s="48">
        <v>146</v>
      </c>
      <c r="AY14" s="218">
        <v>3</v>
      </c>
      <c r="AZ14" s="220">
        <v>1</v>
      </c>
      <c r="BB14" s="205">
        <v>0.66666666666666663</v>
      </c>
      <c r="BC14" s="245">
        <f t="shared" si="23"/>
        <v>0</v>
      </c>
      <c r="BD14" s="35">
        <v>0.82274081196499482</v>
      </c>
      <c r="BE14">
        <v>5</v>
      </c>
      <c r="BF14" s="205">
        <v>7.5101160348654306</v>
      </c>
      <c r="BG14" s="34">
        <v>0.5611859838274933</v>
      </c>
      <c r="BH14" s="34">
        <v>0.87619047619047619</v>
      </c>
      <c r="BI14" s="34">
        <f>IF(A14&lt;17, SoC!O$3, IF(A14&lt;33, SoC!O$4, IF(A14&lt;49, SoC!O$5, IF(A14&lt;65, SoC!O$6, IF(A14&lt;81, SoC!O$7, IF(A14&lt;97, SoC!O$8, SoC!O$9))))))</f>
        <v>1.1793104273940098</v>
      </c>
      <c r="BJ14" s="34"/>
      <c r="BK14" s="34"/>
      <c r="BL14" s="34"/>
      <c r="BM14" s="19" t="s">
        <v>41</v>
      </c>
      <c r="BN14">
        <v>13</v>
      </c>
      <c r="BO14">
        <v>13</v>
      </c>
      <c r="BP14">
        <v>15</v>
      </c>
      <c r="BQ14">
        <v>10</v>
      </c>
      <c r="BR14">
        <v>21</v>
      </c>
      <c r="BS14">
        <v>27</v>
      </c>
      <c r="BT14">
        <v>21</v>
      </c>
      <c r="BU14">
        <v>4</v>
      </c>
      <c r="BV14">
        <v>5</v>
      </c>
      <c r="BW14" s="154">
        <v>4</v>
      </c>
      <c r="BX14">
        <v>9</v>
      </c>
      <c r="BY14">
        <v>2</v>
      </c>
    </row>
    <row r="15" spans="1:77" x14ac:dyDescent="0.35">
      <c r="A15">
        <v>1</v>
      </c>
      <c r="B15" s="15" t="s">
        <v>143</v>
      </c>
      <c r="C15" s="15" t="s">
        <v>1085</v>
      </c>
      <c r="D15" s="15" t="s">
        <v>78</v>
      </c>
      <c r="F15" s="6">
        <v>7</v>
      </c>
      <c r="G15" s="6">
        <v>2</v>
      </c>
      <c r="I15" s="6">
        <v>4</v>
      </c>
      <c r="J15" s="6">
        <v>2</v>
      </c>
      <c r="L15" s="6">
        <v>4</v>
      </c>
      <c r="M15" s="6">
        <v>2</v>
      </c>
      <c r="N15" s="6">
        <v>2</v>
      </c>
      <c r="P15">
        <f>295+25</f>
        <v>320</v>
      </c>
      <c r="Q15">
        <f>227+14</f>
        <v>241</v>
      </c>
      <c r="R15" s="73">
        <f t="shared" si="0"/>
        <v>18.823529411764707</v>
      </c>
      <c r="S15" s="73">
        <f t="shared" si="1"/>
        <v>14.176470588235293</v>
      </c>
      <c r="T15" s="73">
        <f t="shared" si="2"/>
        <v>4.647058823529413</v>
      </c>
      <c r="U15">
        <f>135+8</f>
        <v>143</v>
      </c>
      <c r="V15" s="54">
        <f t="shared" si="3"/>
        <v>2.2377622377622379</v>
      </c>
      <c r="W15" s="9">
        <f>1.25*(-1.266+1.659+0.96+4.828+5.86+5.424+7.913+4.213+1.209)+4.382+10.931+2.859+2.864+3.243-1.958-3.961+11.301</f>
        <v>68.161000000000001</v>
      </c>
      <c r="X15" s="263">
        <f>678+56+89+79+80+90+94+54</f>
        <v>1220</v>
      </c>
      <c r="Y15" s="227">
        <f t="shared" si="4"/>
        <v>4.0094705882352946</v>
      </c>
      <c r="Z15" s="227">
        <f t="shared" si="5"/>
        <v>0.63758823529411845</v>
      </c>
      <c r="AA15" s="89">
        <f t="shared" si="6"/>
        <v>6.1136754502197199</v>
      </c>
      <c r="AB15" s="73">
        <f t="shared" si="7"/>
        <v>71.764705882352942</v>
      </c>
      <c r="AC15" s="203">
        <f>57.218+37.13+(126.813-13.4065)+18.329+30.216+29.562+(113.681-6.8405)+35.22+(121.352-10.676)+29.673+32.502+32.131+4.061+20.035+(106.724-3.362)+32.579+60.913</f>
        <v>853.85399999999993</v>
      </c>
      <c r="AD15" s="89">
        <f t="shared" si="8"/>
        <v>50.226705882352938</v>
      </c>
      <c r="AE15" s="89">
        <f t="shared" si="9"/>
        <v>7.0870802085451903</v>
      </c>
      <c r="AF15" s="9">
        <v>28</v>
      </c>
      <c r="AG15" s="9">
        <v>24</v>
      </c>
      <c r="AH15" s="20">
        <v>26</v>
      </c>
      <c r="AI15" s="54">
        <f t="shared" si="10"/>
        <v>78</v>
      </c>
      <c r="AK15" s="49">
        <v>19</v>
      </c>
      <c r="AL15" s="48">
        <f t="shared" si="11"/>
        <v>14</v>
      </c>
      <c r="AM15" s="36">
        <f t="shared" si="12"/>
        <v>0.78434047243810878</v>
      </c>
      <c r="AN15" s="34">
        <f t="shared" si="13"/>
        <v>0.91111111111111098</v>
      </c>
      <c r="AO15" s="34">
        <f t="shared" si="14"/>
        <v>0.75</v>
      </c>
      <c r="AP15" s="34">
        <f t="shared" si="15"/>
        <v>0.61176470588235299</v>
      </c>
      <c r="AQ15" s="34">
        <f t="shared" si="16"/>
        <v>0.77908496732026156</v>
      </c>
      <c r="AR15" s="34">
        <f t="shared" si="17"/>
        <v>0.6428320826762135</v>
      </c>
      <c r="AS15" s="34">
        <f t="shared" si="18"/>
        <v>0.28813576869242086</v>
      </c>
      <c r="AT15" s="34">
        <f t="shared" si="19"/>
        <v>0.54286620423200016</v>
      </c>
      <c r="AU15" s="34">
        <f t="shared" si="20"/>
        <v>0.74790030315031986</v>
      </c>
      <c r="AV15" s="34">
        <f t="shared" si="21"/>
        <v>0.71936200923528237</v>
      </c>
      <c r="AW15" s="34">
        <f t="shared" si="22"/>
        <v>0.91764705882352937</v>
      </c>
      <c r="AX15" s="48">
        <v>59</v>
      </c>
      <c r="AY15" s="218">
        <v>3</v>
      </c>
      <c r="AZ15" s="220">
        <v>3</v>
      </c>
      <c r="BB15" s="205">
        <v>1.6666666666666665</v>
      </c>
      <c r="BC15" s="245">
        <f t="shared" si="23"/>
        <v>5</v>
      </c>
      <c r="BD15" s="35">
        <v>0.75817774416098416</v>
      </c>
      <c r="BE15">
        <v>2</v>
      </c>
      <c r="BF15" s="205">
        <v>6.8874039618228675</v>
      </c>
      <c r="BG15" s="34">
        <v>0.52494758909853256</v>
      </c>
      <c r="BH15" s="34">
        <v>0.84409171075837741</v>
      </c>
      <c r="BI15" s="34">
        <f>IF(A15&lt;17, SoC!O$3, IF(A15&lt;33, SoC!O$4, IF(A15&lt;49, SoC!O$5, IF(A15&lt;65, SoC!O$6, IF(A15&lt;81, SoC!O$7, IF(A15&lt;97, SoC!O$8, SoC!O$9))))))</f>
        <v>1.0968295917365127</v>
      </c>
      <c r="BJ15" s="34"/>
      <c r="BK15" s="34"/>
      <c r="BL15" s="34"/>
      <c r="BM15" s="15" t="s">
        <v>78</v>
      </c>
      <c r="BN15">
        <v>19</v>
      </c>
      <c r="BO15">
        <v>17</v>
      </c>
      <c r="BP15">
        <v>20</v>
      </c>
      <c r="BQ15">
        <v>18</v>
      </c>
      <c r="BR15">
        <v>11</v>
      </c>
      <c r="BS15">
        <v>13</v>
      </c>
      <c r="BT15">
        <v>20</v>
      </c>
      <c r="BU15">
        <v>29</v>
      </c>
      <c r="BV15">
        <v>9</v>
      </c>
      <c r="BW15" s="154">
        <v>21</v>
      </c>
      <c r="BX15">
        <v>23</v>
      </c>
      <c r="BY15">
        <v>54</v>
      </c>
    </row>
    <row r="16" spans="1:77" x14ac:dyDescent="0.35">
      <c r="A16">
        <v>12</v>
      </c>
      <c r="B16" s="15" t="s">
        <v>143</v>
      </c>
      <c r="C16" s="15" t="s">
        <v>1083</v>
      </c>
      <c r="D16" s="15" t="s">
        <v>83</v>
      </c>
      <c r="F16" s="6">
        <v>7</v>
      </c>
      <c r="G16" s="6">
        <v>2</v>
      </c>
      <c r="I16" s="6">
        <v>4</v>
      </c>
      <c r="J16" s="6">
        <v>2</v>
      </c>
      <c r="L16" s="6">
        <v>3</v>
      </c>
      <c r="M16" s="6">
        <v>2</v>
      </c>
      <c r="N16" s="6">
        <v>1</v>
      </c>
      <c r="P16">
        <f>240+23</f>
        <v>263</v>
      </c>
      <c r="Q16">
        <f>181+10</f>
        <v>191</v>
      </c>
      <c r="R16" s="73">
        <f t="shared" si="0"/>
        <v>17.533333333333335</v>
      </c>
      <c r="S16" s="73">
        <f t="shared" si="1"/>
        <v>12.733333333333333</v>
      </c>
      <c r="T16" s="73">
        <f t="shared" si="2"/>
        <v>4.8000000000000025</v>
      </c>
      <c r="U16">
        <v>139</v>
      </c>
      <c r="V16" s="54">
        <f t="shared" si="3"/>
        <v>1.8920863309352518</v>
      </c>
      <c r="W16" s="9">
        <f>1.25*(-0.695+2.68+3.05+5.012+7.052-2.236+3.781-2.199-2.447-2.375)-4.397-2.859+7.723-0.183+2.203</f>
        <v>17.015750000000001</v>
      </c>
      <c r="X16" s="263">
        <f>754+89+56+83+71</f>
        <v>1053</v>
      </c>
      <c r="Y16" s="227">
        <f t="shared" si="4"/>
        <v>1.1343833333333333</v>
      </c>
      <c r="Z16" s="227">
        <f t="shared" si="5"/>
        <v>3.6656166666666694</v>
      </c>
      <c r="AA16" s="89">
        <f t="shared" si="6"/>
        <v>6.0421160241229561</v>
      </c>
      <c r="AB16" s="73">
        <f t="shared" si="7"/>
        <v>70.2</v>
      </c>
      <c r="AC16" s="203">
        <f>82.299+28.752+52.797+3.071+80.039+1.044+(126.626-13.313)+29.206+37.423+44.025+46.339+21.991+34.768+14.767+(113.64-6.82)</f>
        <v>696.654</v>
      </c>
      <c r="AD16" s="89">
        <f t="shared" si="8"/>
        <v>46.443599999999996</v>
      </c>
      <c r="AE16" s="89">
        <f t="shared" si="9"/>
        <v>6.8149541451135232</v>
      </c>
      <c r="AF16" s="9">
        <v>35</v>
      </c>
      <c r="AG16" s="9">
        <v>12</v>
      </c>
      <c r="AI16" s="54">
        <f t="shared" si="10"/>
        <v>47</v>
      </c>
      <c r="AK16" s="49">
        <v>14</v>
      </c>
      <c r="AL16" s="48">
        <f t="shared" si="11"/>
        <v>15</v>
      </c>
      <c r="AM16" s="36">
        <f t="shared" si="12"/>
        <v>0.77419458246404127</v>
      </c>
      <c r="AN16" s="34">
        <f t="shared" si="13"/>
        <v>0.88888888888888884</v>
      </c>
      <c r="AO16" s="34">
        <f t="shared" si="14"/>
        <v>0.75</v>
      </c>
      <c r="AP16" s="34">
        <f t="shared" si="15"/>
        <v>0.50465408805031453</v>
      </c>
      <c r="AQ16" s="34">
        <f t="shared" si="16"/>
        <v>0.89820105820105822</v>
      </c>
      <c r="AR16" s="34">
        <f t="shared" si="17"/>
        <v>0.30781998852939085</v>
      </c>
      <c r="AS16" s="34">
        <f t="shared" si="18"/>
        <v>0.5580083227734236</v>
      </c>
      <c r="AT16" s="34">
        <f t="shared" si="19"/>
        <v>0.79541800399647555</v>
      </c>
      <c r="AU16" s="34">
        <f t="shared" si="20"/>
        <v>0.74154245034336574</v>
      </c>
      <c r="AV16" s="34">
        <f t="shared" si="21"/>
        <v>0.68246255527632582</v>
      </c>
      <c r="AW16" s="34">
        <f t="shared" si="22"/>
        <v>0.55294117647058827</v>
      </c>
      <c r="AX16" s="48">
        <v>46</v>
      </c>
      <c r="AY16" s="218">
        <v>1</v>
      </c>
      <c r="AZ16" s="220">
        <v>3</v>
      </c>
      <c r="BB16" s="205">
        <v>1</v>
      </c>
      <c r="BC16" s="245">
        <f t="shared" si="23"/>
        <v>-1</v>
      </c>
      <c r="BD16" s="35">
        <v>0.77419458246404127</v>
      </c>
      <c r="BE16">
        <v>2</v>
      </c>
      <c r="BF16" s="205">
        <v>6.8149541451135232</v>
      </c>
      <c r="BG16" s="34">
        <v>0.50465408805031453</v>
      </c>
      <c r="BH16" s="34">
        <v>0.89820105820105822</v>
      </c>
      <c r="BI16" s="34">
        <f>IF(A16&lt;17, SoC!O$3, IF(A16&lt;33, SoC!O$4, IF(A16&lt;49, SoC!O$5, IF(A16&lt;65, SoC!O$6, IF(A16&lt;81, SoC!O$7, IF(A16&lt;97, SoC!O$8, SoC!O$9))))))</f>
        <v>1.0968295917365127</v>
      </c>
      <c r="BJ16" s="34"/>
      <c r="BK16" s="34"/>
      <c r="BL16" s="34"/>
      <c r="BM16" s="15" t="s">
        <v>83</v>
      </c>
      <c r="BN16">
        <v>14</v>
      </c>
      <c r="BO16">
        <v>15</v>
      </c>
      <c r="BP16">
        <v>22</v>
      </c>
      <c r="BQ16">
        <v>20</v>
      </c>
      <c r="BR16">
        <v>19</v>
      </c>
      <c r="BS16">
        <v>24</v>
      </c>
      <c r="BT16">
        <v>43</v>
      </c>
      <c r="BU16">
        <v>39</v>
      </c>
      <c r="BV16">
        <v>14</v>
      </c>
      <c r="BW16" s="154">
        <v>22</v>
      </c>
      <c r="BX16">
        <v>21</v>
      </c>
      <c r="BY16">
        <v>67</v>
      </c>
    </row>
    <row r="17" spans="1:77" x14ac:dyDescent="0.35">
      <c r="A17">
        <v>4</v>
      </c>
      <c r="B17" s="15" t="s">
        <v>143</v>
      </c>
      <c r="C17" s="15" t="s">
        <v>1085</v>
      </c>
      <c r="D17" s="15" t="s">
        <v>77</v>
      </c>
      <c r="F17" s="6">
        <v>7</v>
      </c>
      <c r="G17" s="6">
        <v>2</v>
      </c>
      <c r="I17" s="6">
        <v>5</v>
      </c>
      <c r="J17" s="6">
        <v>1</v>
      </c>
      <c r="M17" s="6">
        <v>2</v>
      </c>
      <c r="N17" s="6">
        <v>4</v>
      </c>
      <c r="P17">
        <f>276+14</f>
        <v>290</v>
      </c>
      <c r="Q17">
        <f>214+18</f>
        <v>232</v>
      </c>
      <c r="R17" s="73">
        <f t="shared" si="0"/>
        <v>19.333333333333332</v>
      </c>
      <c r="S17" s="73">
        <f t="shared" si="1"/>
        <v>15.466666666666667</v>
      </c>
      <c r="T17" s="73">
        <f t="shared" si="2"/>
        <v>3.8666666666666654</v>
      </c>
      <c r="U17">
        <f>123+9</f>
        <v>132</v>
      </c>
      <c r="V17" s="54">
        <f t="shared" si="3"/>
        <v>2.1969696969696968</v>
      </c>
      <c r="W17" s="9">
        <f>1.25*(3.919+3.101-1.805+3.737+2.236+3.681+1.069+2.425-2.631)+7.501+0.538+2.33+7.07+4.19-4.668</f>
        <v>36.625999999999998</v>
      </c>
      <c r="X17" s="263">
        <f>688+83+75+73+68+94</f>
        <v>1081</v>
      </c>
      <c r="Y17" s="227">
        <f t="shared" si="4"/>
        <v>2.4417333333333331</v>
      </c>
      <c r="Z17" s="227">
        <f t="shared" si="5"/>
        <v>1.4249333333333323</v>
      </c>
      <c r="AA17" s="89">
        <f t="shared" si="6"/>
        <v>5.825849016646071</v>
      </c>
      <c r="AB17" s="73">
        <f t="shared" si="7"/>
        <v>72.066666666666663</v>
      </c>
      <c r="AC17" s="203">
        <f>18.725+35.517+6.725+55.577+83.986+(153.324-26.662)+8.044+28.1+31.591+51.859+36.44+(169.373-34.6865)+14.924+25.489+33.165</f>
        <v>691.4905</v>
      </c>
      <c r="AD17" s="89">
        <f t="shared" si="8"/>
        <v>46.099366666666668</v>
      </c>
      <c r="AE17" s="89">
        <f t="shared" si="9"/>
        <v>6.7896514392615668</v>
      </c>
      <c r="AF17" s="9">
        <v>21</v>
      </c>
      <c r="AG17" s="9">
        <v>18</v>
      </c>
      <c r="AH17" s="9">
        <v>11</v>
      </c>
      <c r="AI17" s="54">
        <f t="shared" si="10"/>
        <v>50</v>
      </c>
      <c r="AK17" s="49">
        <v>15</v>
      </c>
      <c r="AL17" s="48">
        <f t="shared" si="11"/>
        <v>16</v>
      </c>
      <c r="AM17" s="36">
        <f t="shared" si="12"/>
        <v>0.77342106564516266</v>
      </c>
      <c r="AN17" s="34">
        <f t="shared" si="13"/>
        <v>0.8222222222222223</v>
      </c>
      <c r="AO17" s="34">
        <f t="shared" si="14"/>
        <v>0.91666666666666663</v>
      </c>
      <c r="AP17" s="34">
        <f t="shared" si="15"/>
        <v>0.65408805031446526</v>
      </c>
      <c r="AQ17" s="34">
        <f t="shared" si="16"/>
        <v>0.67259259259259263</v>
      </c>
      <c r="AR17" s="34">
        <f t="shared" si="17"/>
        <v>0.60329795765743155</v>
      </c>
      <c r="AS17" s="34">
        <f t="shared" si="18"/>
        <v>0.43529278327936061</v>
      </c>
      <c r="AT17" s="34">
        <f t="shared" si="19"/>
        <v>0.6085344851125094</v>
      </c>
      <c r="AU17" s="34">
        <f t="shared" si="20"/>
        <v>0.72223965967590764</v>
      </c>
      <c r="AV17" s="34">
        <f t="shared" si="21"/>
        <v>0.67903158648984752</v>
      </c>
      <c r="AW17" s="34">
        <f t="shared" si="22"/>
        <v>0.58823529411764708</v>
      </c>
      <c r="AX17" s="48">
        <v>76</v>
      </c>
      <c r="AY17" s="218">
        <v>2</v>
      </c>
      <c r="AZ17" s="220">
        <v>3</v>
      </c>
      <c r="BB17" s="205">
        <v>0.66666666666666663</v>
      </c>
      <c r="BC17" s="245">
        <f t="shared" si="23"/>
        <v>-1</v>
      </c>
      <c r="BD17" s="35">
        <v>0.77342106564516266</v>
      </c>
      <c r="BE17">
        <v>3</v>
      </c>
      <c r="BF17" s="205">
        <v>6.7896514392615668</v>
      </c>
      <c r="BG17" s="34">
        <v>0.65408805031446526</v>
      </c>
      <c r="BH17" s="34">
        <v>0.67259259259259263</v>
      </c>
      <c r="BI17" s="34">
        <f>IF(A17&lt;17, SoC!O$3, IF(A17&lt;33, SoC!O$4, IF(A17&lt;49, SoC!O$5, IF(A17&lt;65, SoC!O$6, IF(A17&lt;81, SoC!O$7, IF(A17&lt;97, SoC!O$8, SoC!O$9))))))</f>
        <v>1.0968295917365127</v>
      </c>
      <c r="BJ17" s="34"/>
      <c r="BK17" s="34"/>
      <c r="BL17" s="34"/>
      <c r="BM17" s="15" t="s">
        <v>77</v>
      </c>
      <c r="BN17">
        <v>15</v>
      </c>
      <c r="BO17">
        <v>14</v>
      </c>
      <c r="BP17">
        <v>12</v>
      </c>
      <c r="BQ17">
        <v>13</v>
      </c>
      <c r="BR17">
        <v>17</v>
      </c>
      <c r="BS17">
        <v>17</v>
      </c>
      <c r="BT17">
        <v>18</v>
      </c>
      <c r="BU17">
        <v>22</v>
      </c>
      <c r="BV17">
        <v>30</v>
      </c>
      <c r="BW17" s="154">
        <v>23</v>
      </c>
      <c r="BX17">
        <v>48</v>
      </c>
      <c r="BY17">
        <v>37</v>
      </c>
    </row>
    <row r="18" spans="1:77" x14ac:dyDescent="0.35">
      <c r="A18">
        <v>21</v>
      </c>
      <c r="B18" s="16" t="s">
        <v>144</v>
      </c>
      <c r="C18" s="16" t="s">
        <v>1087</v>
      </c>
      <c r="D18" s="16" t="s">
        <v>67</v>
      </c>
      <c r="F18" s="6">
        <v>7</v>
      </c>
      <c r="G18" s="6">
        <v>2</v>
      </c>
      <c r="I18" s="6">
        <v>5</v>
      </c>
      <c r="J18" s="6">
        <v>1</v>
      </c>
      <c r="L18" s="6">
        <v>3</v>
      </c>
      <c r="M18" s="6">
        <v>2</v>
      </c>
      <c r="N18" s="6">
        <v>2</v>
      </c>
      <c r="P18">
        <f>277+16</f>
        <v>293</v>
      </c>
      <c r="Q18">
        <f>222+19</f>
        <v>241</v>
      </c>
      <c r="R18" s="73">
        <f t="shared" si="0"/>
        <v>18.3125</v>
      </c>
      <c r="S18" s="73">
        <f t="shared" si="1"/>
        <v>15.0625</v>
      </c>
      <c r="T18" s="73">
        <f t="shared" si="2"/>
        <v>3.25</v>
      </c>
      <c r="U18">
        <f>132+7</f>
        <v>139</v>
      </c>
      <c r="V18" s="54">
        <f t="shared" si="3"/>
        <v>2.1079136690647484</v>
      </c>
      <c r="W18" s="9">
        <f>1.25*(-2.826-1.655-3.05-0.972+1.36+5.127+0.024+2.12+3.986)+7.418+6.052+4.303+7.849+6.221+2.633-2.121</f>
        <v>37.497500000000002</v>
      </c>
      <c r="X18" s="263">
        <f>591+42+50+61+70+81+90</f>
        <v>985</v>
      </c>
      <c r="Y18" s="227">
        <f t="shared" si="4"/>
        <v>2.3435937500000001</v>
      </c>
      <c r="Z18" s="227">
        <f t="shared" si="5"/>
        <v>0.90640624999999986</v>
      </c>
      <c r="AA18" s="89">
        <f t="shared" si="6"/>
        <v>5.0008197740607123</v>
      </c>
      <c r="AB18" s="73">
        <f t="shared" si="7"/>
        <v>61.5625</v>
      </c>
      <c r="AC18" s="203">
        <f>63.449+0.416+19.994+40.413+19.813+23.301+63.077+37.518+13.255+21.021+66.6+(244.599-79.7327)+32.866+11.385+24.422+31.406</f>
        <v>633.80229999999995</v>
      </c>
      <c r="AD18" s="89">
        <f t="shared" si="8"/>
        <v>39.612643749999997</v>
      </c>
      <c r="AE18" s="89">
        <f t="shared" si="9"/>
        <v>6.2938576207283239</v>
      </c>
      <c r="AF18" s="9">
        <v>35</v>
      </c>
      <c r="AG18" s="9">
        <v>18</v>
      </c>
      <c r="AH18" s="9">
        <v>11</v>
      </c>
      <c r="AI18" s="54">
        <f t="shared" si="10"/>
        <v>64</v>
      </c>
      <c r="AK18" s="49">
        <v>16</v>
      </c>
      <c r="AL18" s="48">
        <f t="shared" si="11"/>
        <v>17</v>
      </c>
      <c r="AM18" s="36">
        <f t="shared" si="12"/>
        <v>0.77136777490928488</v>
      </c>
      <c r="AN18" s="34">
        <f t="shared" si="13"/>
        <v>0.88888888888888884</v>
      </c>
      <c r="AO18" s="34">
        <f t="shared" si="14"/>
        <v>0.91666666666666663</v>
      </c>
      <c r="AP18" s="34">
        <f t="shared" si="15"/>
        <v>0.56933962264150939</v>
      </c>
      <c r="AQ18" s="34">
        <f t="shared" si="16"/>
        <v>0.705952380952381</v>
      </c>
      <c r="AR18" s="34">
        <f t="shared" si="17"/>
        <v>0.51698923374695305</v>
      </c>
      <c r="AS18" s="34">
        <f t="shared" si="18"/>
        <v>0.44450474022621678</v>
      </c>
      <c r="AT18" s="34">
        <f t="shared" si="19"/>
        <v>0.56528688982388209</v>
      </c>
      <c r="AU18" s="34">
        <f t="shared" si="20"/>
        <v>0.6472604436730458</v>
      </c>
      <c r="AV18" s="34">
        <f t="shared" si="21"/>
        <v>0.6118034755570021</v>
      </c>
      <c r="AW18" s="34">
        <f t="shared" si="22"/>
        <v>0.75294117647058822</v>
      </c>
      <c r="AX18" s="48">
        <v>63</v>
      </c>
      <c r="AY18" s="218">
        <v>2</v>
      </c>
      <c r="AZ18" s="220">
        <v>5</v>
      </c>
      <c r="BB18" s="205">
        <v>-1.6666666666666665</v>
      </c>
      <c r="BC18" s="245">
        <f t="shared" si="23"/>
        <v>-1</v>
      </c>
      <c r="BD18" s="35">
        <v>0.77110113816029413</v>
      </c>
      <c r="BE18">
        <v>3</v>
      </c>
      <c r="BF18" s="205">
        <v>6.2938576207283239</v>
      </c>
      <c r="BG18" s="34">
        <v>0.56933962264150939</v>
      </c>
      <c r="BH18" s="34">
        <v>0.705952380952381</v>
      </c>
      <c r="BI18" s="34">
        <f>IF(A18&lt;17, SoC!O$3, IF(A18&lt;33, SoC!O$4, IF(A18&lt;49, SoC!O$5, IF(A18&lt;65, SoC!O$6, IF(A18&lt;81, SoC!O$7, IF(A18&lt;97, SoC!O$8, SoC!O$9))))))</f>
        <v>1.148154410748077</v>
      </c>
      <c r="BJ18" s="34"/>
      <c r="BK18" s="34"/>
      <c r="BL18" s="34"/>
      <c r="BM18" s="16" t="s">
        <v>67</v>
      </c>
      <c r="BN18">
        <v>16</v>
      </c>
      <c r="BO18">
        <v>16</v>
      </c>
      <c r="BP18">
        <v>16</v>
      </c>
      <c r="BQ18">
        <v>19</v>
      </c>
      <c r="BR18">
        <v>36</v>
      </c>
      <c r="BS18">
        <v>37</v>
      </c>
      <c r="BT18">
        <v>49</v>
      </c>
      <c r="BU18">
        <v>48</v>
      </c>
      <c r="BV18">
        <v>71</v>
      </c>
      <c r="BW18" s="154">
        <v>57</v>
      </c>
      <c r="BX18">
        <v>16</v>
      </c>
      <c r="BY18">
        <v>50</v>
      </c>
    </row>
    <row r="19" spans="1:77" x14ac:dyDescent="0.35">
      <c r="A19">
        <v>109</v>
      </c>
      <c r="B19" s="69" t="s">
        <v>1296</v>
      </c>
      <c r="C19" s="69" t="s">
        <v>1109</v>
      </c>
      <c r="D19" s="69" t="s">
        <v>962</v>
      </c>
      <c r="F19" s="6">
        <v>6</v>
      </c>
      <c r="G19" s="6">
        <v>3</v>
      </c>
      <c r="I19" s="6">
        <v>4</v>
      </c>
      <c r="J19" s="6">
        <v>1</v>
      </c>
      <c r="L19" s="6">
        <v>2</v>
      </c>
      <c r="M19" s="6">
        <v>3</v>
      </c>
      <c r="N19" s="6">
        <v>1</v>
      </c>
      <c r="P19">
        <f>284+27</f>
        <v>311</v>
      </c>
      <c r="Q19">
        <f>208+20</f>
        <v>228</v>
      </c>
      <c r="R19" s="73">
        <f t="shared" si="0"/>
        <v>20.733333333333334</v>
      </c>
      <c r="S19" s="73">
        <f t="shared" si="1"/>
        <v>15.2</v>
      </c>
      <c r="T19" s="73">
        <f t="shared" si="2"/>
        <v>5.533333333333335</v>
      </c>
      <c r="U19">
        <f>126+8</f>
        <v>134</v>
      </c>
      <c r="V19" s="54">
        <f t="shared" si="3"/>
        <v>2.3208955223880596</v>
      </c>
      <c r="W19" s="9">
        <f>1.25*(2.452+4.007+2.284-0.668+5.509+6.422-1.775+2.713)+4.397+10.491+0.654+4.538+6.33+11.623+10.968</f>
        <v>75.181000000000012</v>
      </c>
      <c r="X19" s="263">
        <f>578+93+54+92+81+72+47+62</f>
        <v>1079</v>
      </c>
      <c r="Y19" s="227">
        <f t="shared" si="4"/>
        <v>5.0120666666666676</v>
      </c>
      <c r="Z19" s="227">
        <f t="shared" si="5"/>
        <v>0.52126666666666743</v>
      </c>
      <c r="AA19" s="89">
        <f t="shared" si="6"/>
        <v>4.9819971838321555</v>
      </c>
      <c r="AB19" s="73">
        <f t="shared" si="7"/>
        <v>71.933333333333337</v>
      </c>
      <c r="AC19" s="203">
        <f>52.927+24.167+10.249+(112.729-6.3645)+63.57+99.303+37.873+31.604+3.877+(113.835-6.9175)+31.299+5.814+9.366+30.934+34.251</f>
        <v>648.51599999999985</v>
      </c>
      <c r="AD19" s="89">
        <f t="shared" si="8"/>
        <v>43.234399999999987</v>
      </c>
      <c r="AE19" s="89">
        <f t="shared" si="9"/>
        <v>6.5752870659766627</v>
      </c>
      <c r="AF19" s="9">
        <v>28</v>
      </c>
      <c r="AG19" s="9">
        <v>24</v>
      </c>
      <c r="AH19" s="9">
        <v>14</v>
      </c>
      <c r="AI19" s="54">
        <f t="shared" si="10"/>
        <v>66</v>
      </c>
      <c r="AK19" s="49">
        <v>17</v>
      </c>
      <c r="AL19" s="48">
        <f t="shared" si="11"/>
        <v>18</v>
      </c>
      <c r="AM19" s="36">
        <f t="shared" si="12"/>
        <v>0.76593570677765288</v>
      </c>
      <c r="AN19" s="34">
        <f t="shared" si="13"/>
        <v>0.77777777777777779</v>
      </c>
      <c r="AO19" s="34">
        <f t="shared" si="14"/>
        <v>0.95</v>
      </c>
      <c r="AP19" s="34">
        <f t="shared" si="15"/>
        <v>0.7703144654088051</v>
      </c>
      <c r="AQ19" s="34">
        <f t="shared" si="16"/>
        <v>0.69460317460317467</v>
      </c>
      <c r="AR19" s="34">
        <f t="shared" si="17"/>
        <v>0.72340077498527822</v>
      </c>
      <c r="AS19" s="34">
        <f t="shared" si="18"/>
        <v>0.19402621986514612</v>
      </c>
      <c r="AT19" s="34">
        <f t="shared" si="19"/>
        <v>0.53316443881793707</v>
      </c>
      <c r="AU19" s="34">
        <f t="shared" si="20"/>
        <v>0.64552250523894217</v>
      </c>
      <c r="AV19" s="34">
        <f t="shared" si="21"/>
        <v>0.64996443936429071</v>
      </c>
      <c r="AW19" s="34">
        <f t="shared" si="22"/>
        <v>0.77647058823529413</v>
      </c>
      <c r="AX19" s="48">
        <v>81</v>
      </c>
      <c r="AY19" s="218">
        <v>2</v>
      </c>
      <c r="AZ19" s="220">
        <v>5</v>
      </c>
      <c r="BB19" s="205">
        <v>1</v>
      </c>
      <c r="BC19" s="245">
        <f t="shared" si="23"/>
        <v>-1</v>
      </c>
      <c r="BD19" s="35">
        <v>0.76714396499703574</v>
      </c>
      <c r="BE19">
        <v>4</v>
      </c>
      <c r="BF19" s="205">
        <v>6.5752870659766627</v>
      </c>
      <c r="BG19" s="34">
        <v>0.7703144654088051</v>
      </c>
      <c r="BH19" s="34">
        <v>0.69460317460317467</v>
      </c>
      <c r="BI19" s="34">
        <f>IF(A19&lt;17, SoC!O$3, IF(A19&lt;33, SoC!O$4, IF(A19&lt;49, SoC!O$5, IF(A19&lt;65, SoC!O$6, IF(A19&lt;81, SoC!O$7, IF(A19&lt;97, SoC!O$8, SoC!O$9))))))</f>
        <v>0.84292189346881985</v>
      </c>
      <c r="BJ19" s="34"/>
      <c r="BK19" s="34"/>
      <c r="BL19" s="34"/>
      <c r="BM19" s="69" t="s">
        <v>962</v>
      </c>
      <c r="BN19">
        <v>17</v>
      </c>
      <c r="BO19">
        <v>19</v>
      </c>
      <c r="BP19">
        <v>17</v>
      </c>
      <c r="BQ19">
        <v>14</v>
      </c>
      <c r="BR19">
        <v>14</v>
      </c>
      <c r="BS19">
        <v>8</v>
      </c>
      <c r="BT19">
        <v>13</v>
      </c>
      <c r="BU19">
        <v>15</v>
      </c>
      <c r="BV19">
        <v>36</v>
      </c>
      <c r="BW19" s="154">
        <v>18</v>
      </c>
      <c r="BX19">
        <v>18</v>
      </c>
      <c r="BY19">
        <v>32</v>
      </c>
    </row>
    <row r="20" spans="1:77" x14ac:dyDescent="0.35">
      <c r="A20">
        <v>25</v>
      </c>
      <c r="B20" s="16" t="s">
        <v>144</v>
      </c>
      <c r="C20" s="16" t="s">
        <v>1366</v>
      </c>
      <c r="D20" s="16" t="s">
        <v>115</v>
      </c>
      <c r="F20" s="6">
        <v>8</v>
      </c>
      <c r="G20" s="6">
        <v>1</v>
      </c>
      <c r="I20" s="6">
        <v>5</v>
      </c>
      <c r="J20" s="6">
        <v>1</v>
      </c>
      <c r="L20" s="6">
        <v>3</v>
      </c>
      <c r="M20" s="6">
        <v>1</v>
      </c>
      <c r="N20" s="6">
        <v>2</v>
      </c>
      <c r="P20">
        <f>253+26</f>
        <v>279</v>
      </c>
      <c r="Q20">
        <f>199+18</f>
        <v>217</v>
      </c>
      <c r="R20" s="73">
        <f t="shared" si="0"/>
        <v>18.600000000000001</v>
      </c>
      <c r="S20" s="73">
        <f t="shared" si="1"/>
        <v>14.466666666666667</v>
      </c>
      <c r="T20" s="73">
        <f t="shared" si="2"/>
        <v>4.1333333333333346</v>
      </c>
      <c r="U20">
        <f>120+8</f>
        <v>128</v>
      </c>
      <c r="V20" s="54">
        <f t="shared" si="3"/>
        <v>2.1796875</v>
      </c>
      <c r="W20" s="9">
        <f>1.25*(-0.16-1.369-0.616+3.474+4.098+3.965+4.549+4.137-4.809+5.009+2.995)+7.674-0.126+0.931+8.626</f>
        <v>43.696249999999999</v>
      </c>
      <c r="X20" s="263">
        <f>708+81+82+53</f>
        <v>924</v>
      </c>
      <c r="Y20" s="227">
        <f t="shared" si="4"/>
        <v>2.9130833333333332</v>
      </c>
      <c r="Z20" s="227">
        <f t="shared" si="5"/>
        <v>1.2202500000000014</v>
      </c>
      <c r="AA20" s="89">
        <f t="shared" si="6"/>
        <v>5.3214862370976173</v>
      </c>
      <c r="AB20" s="73">
        <f t="shared" si="7"/>
        <v>61.6</v>
      </c>
      <c r="AC20" s="203">
        <f>23.824+70.036+(107.683-3.8415)+33.886+37.067+70.5+1.206+71.591+1.43+79.547+20.971+35.43+29.229+5.631+32.656</f>
        <v>616.8454999999999</v>
      </c>
      <c r="AD20" s="89">
        <f t="shared" si="8"/>
        <v>41.123033333333325</v>
      </c>
      <c r="AE20" s="89">
        <f t="shared" si="9"/>
        <v>6.4127243300592083</v>
      </c>
      <c r="AF20" s="9">
        <v>28</v>
      </c>
      <c r="AG20" s="9">
        <v>6</v>
      </c>
      <c r="AI20" s="54">
        <f t="shared" si="10"/>
        <v>34</v>
      </c>
      <c r="AK20" s="49">
        <v>18</v>
      </c>
      <c r="AL20" s="48">
        <f t="shared" si="11"/>
        <v>19</v>
      </c>
      <c r="AM20" s="36">
        <f t="shared" si="12"/>
        <v>0.76391236327533718</v>
      </c>
      <c r="AN20" s="34">
        <f t="shared" si="13"/>
        <v>0.97777777777777786</v>
      </c>
      <c r="AO20" s="34">
        <f t="shared" si="14"/>
        <v>0.875</v>
      </c>
      <c r="AP20" s="34">
        <f t="shared" si="15"/>
        <v>0.59320754716981139</v>
      </c>
      <c r="AQ20" s="34">
        <f t="shared" si="16"/>
        <v>0.7551322751322751</v>
      </c>
      <c r="AR20" s="34">
        <f t="shared" si="17"/>
        <v>0.58654890201331389</v>
      </c>
      <c r="AS20" s="34">
        <f t="shared" si="18"/>
        <v>0.39104910749206057</v>
      </c>
      <c r="AT20" s="34">
        <f t="shared" si="19"/>
        <v>0.59146293331347533</v>
      </c>
      <c r="AU20" s="34">
        <f t="shared" si="20"/>
        <v>0.67667218313081845</v>
      </c>
      <c r="AV20" s="34">
        <f t="shared" si="21"/>
        <v>0.62792143431808578</v>
      </c>
      <c r="AW20" s="34">
        <f t="shared" si="22"/>
        <v>0.4</v>
      </c>
      <c r="AX20" s="48">
        <v>10</v>
      </c>
      <c r="AY20" s="218">
        <v>1</v>
      </c>
      <c r="AZ20" s="220">
        <v>3</v>
      </c>
      <c r="BB20" s="205">
        <v>0.33333333333333331</v>
      </c>
      <c r="BC20" s="245">
        <f t="shared" si="23"/>
        <v>-1</v>
      </c>
      <c r="BD20" s="35">
        <v>0.76363212589441476</v>
      </c>
      <c r="BE20">
        <v>1</v>
      </c>
      <c r="BF20" s="205">
        <v>6.4127243300592083</v>
      </c>
      <c r="BG20" s="34">
        <v>0.59320754716981139</v>
      </c>
      <c r="BH20" s="34">
        <v>0.7551322751322751</v>
      </c>
      <c r="BI20" s="34">
        <f>IF(A20&lt;17, SoC!O$3, IF(A20&lt;33, SoC!O$4, IF(A20&lt;49, SoC!O$5, IF(A20&lt;65, SoC!O$6, IF(A20&lt;81, SoC!O$7, IF(A20&lt;97, SoC!O$8, SoC!O$9))))))</f>
        <v>1.148154410748077</v>
      </c>
      <c r="BJ20" s="34"/>
      <c r="BK20" s="34"/>
      <c r="BL20" s="34"/>
      <c r="BM20" s="16" t="s">
        <v>115</v>
      </c>
      <c r="BN20">
        <v>18</v>
      </c>
      <c r="BO20">
        <v>20</v>
      </c>
      <c r="BP20">
        <v>21</v>
      </c>
      <c r="BQ20">
        <v>21</v>
      </c>
      <c r="BR20">
        <v>23</v>
      </c>
      <c r="BS20">
        <v>25</v>
      </c>
      <c r="BT20">
        <v>31</v>
      </c>
      <c r="BU20">
        <v>25</v>
      </c>
      <c r="BV20">
        <v>15</v>
      </c>
      <c r="BW20" s="154">
        <v>36</v>
      </c>
      <c r="BX20">
        <v>55</v>
      </c>
      <c r="BY20">
        <v>103</v>
      </c>
    </row>
    <row r="21" spans="1:77" x14ac:dyDescent="0.35">
      <c r="A21">
        <v>14</v>
      </c>
      <c r="B21" s="15" t="s">
        <v>143</v>
      </c>
      <c r="C21" s="15" t="s">
        <v>1082</v>
      </c>
      <c r="D21" s="15" t="s">
        <v>85</v>
      </c>
      <c r="F21" s="6">
        <v>6</v>
      </c>
      <c r="G21" s="6">
        <v>3</v>
      </c>
      <c r="I21" s="6">
        <v>5</v>
      </c>
      <c r="J21" s="6">
        <v>1</v>
      </c>
      <c r="L21" s="6">
        <v>4</v>
      </c>
      <c r="M21" s="6">
        <v>1</v>
      </c>
      <c r="N21" s="6">
        <v>1</v>
      </c>
      <c r="P21">
        <f>244+18</f>
        <v>262</v>
      </c>
      <c r="Q21">
        <f>194+7</f>
        <v>201</v>
      </c>
      <c r="R21" s="73">
        <f t="shared" si="0"/>
        <v>17.466666666666665</v>
      </c>
      <c r="S21" s="73">
        <f t="shared" si="1"/>
        <v>13.4</v>
      </c>
      <c r="T21" s="73">
        <f t="shared" si="2"/>
        <v>4.0666666666666647</v>
      </c>
      <c r="U21">
        <f>122+6</f>
        <v>128</v>
      </c>
      <c r="V21" s="54">
        <f t="shared" si="3"/>
        <v>2.046875</v>
      </c>
      <c r="W21" s="9">
        <f>1.25*(-1.281-0.376-3.682-0.763-1.823+1.963+4.118+0.592-3.681+3.672+0.773)+2.661+1.994+9.159+6.236</f>
        <v>19.440000000000001</v>
      </c>
      <c r="X21" s="263">
        <f>674+66+54+42+62</f>
        <v>898</v>
      </c>
      <c r="Y21" s="227">
        <f t="shared" si="4"/>
        <v>1.296</v>
      </c>
      <c r="Z21" s="227">
        <f t="shared" si="5"/>
        <v>2.7706666666666644</v>
      </c>
      <c r="AA21" s="89">
        <f t="shared" si="6"/>
        <v>4.9205953793732116</v>
      </c>
      <c r="AB21" s="73">
        <f t="shared" si="7"/>
        <v>59.866666666666667</v>
      </c>
      <c r="AC21" s="203">
        <f>35.999+45.35+0.386+50.318+(274.526-99.684)+26.784+7.389+50.41+1.896+61.226+46.854+5.759+(135.898-17.949)+85.656+85.512</f>
        <v>796.32999999999993</v>
      </c>
      <c r="AD21" s="89">
        <f t="shared" si="8"/>
        <v>53.088666666666661</v>
      </c>
      <c r="AE21" s="89">
        <f t="shared" si="9"/>
        <v>7.2861969961473498</v>
      </c>
      <c r="AF21" s="9">
        <v>35</v>
      </c>
      <c r="AG21" s="9">
        <v>6</v>
      </c>
      <c r="AI21" s="54">
        <f t="shared" si="10"/>
        <v>41</v>
      </c>
      <c r="AK21" s="49">
        <v>20</v>
      </c>
      <c r="AL21" s="48">
        <f t="shared" si="11"/>
        <v>20</v>
      </c>
      <c r="AM21" s="36">
        <f t="shared" si="12"/>
        <v>0.75468570792046652</v>
      </c>
      <c r="AN21" s="34">
        <f t="shared" si="13"/>
        <v>0.77777777777777779</v>
      </c>
      <c r="AO21" s="34">
        <f t="shared" si="14"/>
        <v>0.875</v>
      </c>
      <c r="AP21" s="34">
        <f t="shared" si="15"/>
        <v>0.49911949685534573</v>
      </c>
      <c r="AQ21" s="34">
        <f t="shared" si="16"/>
        <v>0.84317460317460313</v>
      </c>
      <c r="AR21" s="34">
        <f t="shared" si="17"/>
        <v>0.45783355658386105</v>
      </c>
      <c r="AS21" s="34">
        <f t="shared" si="18"/>
        <v>0.54283803444877277</v>
      </c>
      <c r="AT21" s="34">
        <f t="shared" si="19"/>
        <v>0.72077496866118074</v>
      </c>
      <c r="AU21" s="34">
        <f t="shared" si="20"/>
        <v>0.63984388203608622</v>
      </c>
      <c r="AV21" s="34">
        <f t="shared" si="21"/>
        <v>0.74636163082215823</v>
      </c>
      <c r="AW21" s="34">
        <f t="shared" si="22"/>
        <v>0.4823529411764706</v>
      </c>
      <c r="AX21" s="48">
        <v>26</v>
      </c>
      <c r="AY21" s="218">
        <v>1</v>
      </c>
      <c r="AZ21" s="220">
        <v>3</v>
      </c>
      <c r="BB21" s="205">
        <v>1</v>
      </c>
      <c r="BC21" s="245">
        <f t="shared" si="23"/>
        <v>0</v>
      </c>
      <c r="BD21" s="35">
        <v>0.75468570792046652</v>
      </c>
      <c r="BE21">
        <v>1</v>
      </c>
      <c r="BF21" s="205">
        <v>7.2861969961473498</v>
      </c>
      <c r="BG21" s="34">
        <v>0.49911949685534573</v>
      </c>
      <c r="BH21" s="34">
        <v>0.84317460317460313</v>
      </c>
      <c r="BI21" s="34">
        <f>IF(A21&lt;17, SoC!O$3, IF(A21&lt;33, SoC!O$4, IF(A21&lt;49, SoC!O$5, IF(A21&lt;65, SoC!O$6, IF(A21&lt;81, SoC!O$7, IF(A21&lt;97, SoC!O$8, SoC!O$9))))))</f>
        <v>1.0968295917365127</v>
      </c>
      <c r="BJ21" s="34"/>
      <c r="BK21" s="34"/>
      <c r="BL21" s="34"/>
      <c r="BM21" s="15" t="s">
        <v>85</v>
      </c>
      <c r="BN21">
        <v>20</v>
      </c>
      <c r="BO21">
        <v>21</v>
      </c>
      <c r="BP21">
        <v>23</v>
      </c>
      <c r="BQ21">
        <v>35</v>
      </c>
      <c r="BR21">
        <v>44</v>
      </c>
      <c r="BS21">
        <v>38</v>
      </c>
      <c r="BT21">
        <v>42</v>
      </c>
      <c r="BU21">
        <v>40</v>
      </c>
      <c r="BV21">
        <v>54</v>
      </c>
      <c r="BW21" s="154">
        <v>35</v>
      </c>
      <c r="BX21">
        <v>50</v>
      </c>
      <c r="BY21">
        <v>87</v>
      </c>
    </row>
    <row r="22" spans="1:77" x14ac:dyDescent="0.35">
      <c r="A22">
        <v>71</v>
      </c>
      <c r="B22" s="21" t="s">
        <v>173</v>
      </c>
      <c r="C22" s="21" t="s">
        <v>1088</v>
      </c>
      <c r="D22" s="21" t="s">
        <v>33</v>
      </c>
      <c r="F22" s="6">
        <v>6</v>
      </c>
      <c r="G22" s="6">
        <v>3</v>
      </c>
      <c r="I22" s="6">
        <v>5</v>
      </c>
      <c r="J22" s="6">
        <v>1</v>
      </c>
      <c r="L22" s="6">
        <v>2</v>
      </c>
      <c r="M22" s="6">
        <v>2</v>
      </c>
      <c r="N22" s="6">
        <v>2</v>
      </c>
      <c r="P22">
        <f>265+13</f>
        <v>278</v>
      </c>
      <c r="Q22">
        <f>188+20</f>
        <v>208</v>
      </c>
      <c r="R22" s="73">
        <f t="shared" si="0"/>
        <v>18.533333333333335</v>
      </c>
      <c r="S22" s="73">
        <f t="shared" si="1"/>
        <v>13.866666666666667</v>
      </c>
      <c r="T22" s="73">
        <f t="shared" si="2"/>
        <v>4.6666666666666679</v>
      </c>
      <c r="U22">
        <f>116+8</f>
        <v>124</v>
      </c>
      <c r="V22" s="54">
        <f t="shared" si="3"/>
        <v>2.2419354838709675</v>
      </c>
      <c r="W22" s="9">
        <f>1.25*(1.943+1.591+3.416+2.011+6.614+5.466+1.181+1.507+2.075)+4.728+9.17+8.401+11.205-0.785-4.624</f>
        <v>60.35</v>
      </c>
      <c r="X22" s="263">
        <f>705+54+70+50+82+91</f>
        <v>1052</v>
      </c>
      <c r="Y22" s="227">
        <f t="shared" si="4"/>
        <v>4.0233333333333334</v>
      </c>
      <c r="Z22" s="227">
        <f t="shared" si="5"/>
        <v>0.64333333333333442</v>
      </c>
      <c r="AA22" s="89">
        <f t="shared" si="6"/>
        <v>4.7693405292095745</v>
      </c>
      <c r="AB22" s="73">
        <f t="shared" si="7"/>
        <v>70.13333333333334</v>
      </c>
      <c r="AC22" s="203">
        <f>(565.499-326.2485)+19.411+3.243+(108.841-4.4205)+23.613+32.837+20.455+32.597+58.878+23.87+77.821+7.019+44.047+76.329+14.09</f>
        <v>777.88100000000009</v>
      </c>
      <c r="AD22" s="89">
        <f t="shared" si="8"/>
        <v>51.85873333333334</v>
      </c>
      <c r="AE22" s="89">
        <f t="shared" si="9"/>
        <v>7.2013008084188055</v>
      </c>
      <c r="AF22" s="9">
        <v>21</v>
      </c>
      <c r="AG22" s="9">
        <v>18</v>
      </c>
      <c r="AH22" s="9">
        <v>14</v>
      </c>
      <c r="AI22" s="54">
        <f t="shared" si="10"/>
        <v>53</v>
      </c>
      <c r="AK22" s="49">
        <v>21</v>
      </c>
      <c r="AL22" s="48">
        <f t="shared" si="11"/>
        <v>21</v>
      </c>
      <c r="AM22" s="36">
        <f t="shared" si="12"/>
        <v>0.74662757300427018</v>
      </c>
      <c r="AN22" s="34">
        <f t="shared" si="13"/>
        <v>0.75555555555555554</v>
      </c>
      <c r="AO22" s="34">
        <f t="shared" si="14"/>
        <v>0.91666666666666663</v>
      </c>
      <c r="AP22" s="34">
        <f t="shared" si="15"/>
        <v>0.58767295597484293</v>
      </c>
      <c r="AQ22" s="34">
        <f t="shared" si="16"/>
        <v>0.80465608465608462</v>
      </c>
      <c r="AR22" s="34">
        <f t="shared" si="17"/>
        <v>0.64687658763205158</v>
      </c>
      <c r="AS22" s="34">
        <f t="shared" si="18"/>
        <v>0.28683453012312077</v>
      </c>
      <c r="AT22" s="34">
        <f t="shared" si="19"/>
        <v>0.54334537240446334</v>
      </c>
      <c r="AU22" s="34">
        <f t="shared" si="20"/>
        <v>0.62579363021486945</v>
      </c>
      <c r="AV22" s="34">
        <f t="shared" si="21"/>
        <v>0.73484996989973062</v>
      </c>
      <c r="AW22" s="34">
        <f t="shared" si="22"/>
        <v>0.62352941176470589</v>
      </c>
      <c r="AX22" s="48">
        <v>66</v>
      </c>
      <c r="AY22" s="218">
        <v>2</v>
      </c>
      <c r="AZ22" s="220">
        <v>3</v>
      </c>
      <c r="BB22" s="205">
        <v>-0.33333333333333331</v>
      </c>
      <c r="BC22" s="245">
        <f t="shared" si="23"/>
        <v>0</v>
      </c>
      <c r="BD22" s="35">
        <v>0.74783768589750299</v>
      </c>
      <c r="BE22">
        <v>3</v>
      </c>
      <c r="BF22" s="205">
        <v>7.2013008084188055</v>
      </c>
      <c r="BG22" s="34">
        <v>0.58767295597484293</v>
      </c>
      <c r="BH22" s="34">
        <v>0.80465608465608462</v>
      </c>
      <c r="BI22" s="34">
        <f>IF(A22&lt;17, SoC!O$3, IF(A22&lt;33, SoC!O$4, IF(A22&lt;49, SoC!O$5, IF(A22&lt;65, SoC!O$6, IF(A22&lt;81, SoC!O$7, IF(A22&lt;97, SoC!O$8, SoC!O$9))))))</f>
        <v>0.87413259868968274</v>
      </c>
      <c r="BJ22" s="34"/>
      <c r="BK22" s="34"/>
      <c r="BL22" s="34"/>
      <c r="BM22" s="21" t="s">
        <v>33</v>
      </c>
      <c r="BN22">
        <v>21</v>
      </c>
      <c r="BO22">
        <v>18</v>
      </c>
      <c r="BP22">
        <v>25</v>
      </c>
      <c r="BQ22">
        <v>22</v>
      </c>
      <c r="BR22">
        <v>16</v>
      </c>
      <c r="BS22">
        <v>18</v>
      </c>
      <c r="BT22">
        <v>17</v>
      </c>
      <c r="BU22">
        <v>17</v>
      </c>
      <c r="BV22">
        <v>26</v>
      </c>
      <c r="BW22" s="154">
        <v>9</v>
      </c>
      <c r="BX22">
        <v>13</v>
      </c>
      <c r="BY22">
        <v>47</v>
      </c>
    </row>
    <row r="23" spans="1:77" x14ac:dyDescent="0.35">
      <c r="A23">
        <v>45</v>
      </c>
      <c r="B23" s="17" t="s">
        <v>171</v>
      </c>
      <c r="C23" s="17" t="s">
        <v>1097</v>
      </c>
      <c r="D23" s="17" t="s">
        <v>53</v>
      </c>
      <c r="F23" s="6">
        <v>7</v>
      </c>
      <c r="G23" s="6">
        <v>2</v>
      </c>
      <c r="I23" s="6">
        <v>4</v>
      </c>
      <c r="J23" s="6">
        <v>2</v>
      </c>
      <c r="L23" s="6">
        <v>1</v>
      </c>
      <c r="M23" s="6">
        <v>3</v>
      </c>
      <c r="N23" s="6">
        <v>2</v>
      </c>
      <c r="P23">
        <f>216+29</f>
        <v>245</v>
      </c>
      <c r="Q23">
        <f>193+15</f>
        <v>208</v>
      </c>
      <c r="R23" s="73">
        <f t="shared" si="0"/>
        <v>16.333333333333332</v>
      </c>
      <c r="S23" s="73">
        <f t="shared" si="1"/>
        <v>13.866666666666667</v>
      </c>
      <c r="T23" s="73">
        <f t="shared" si="2"/>
        <v>2.466666666666665</v>
      </c>
      <c r="U23">
        <f>116+13</f>
        <v>129</v>
      </c>
      <c r="V23" s="54">
        <f t="shared" si="3"/>
        <v>1.8992248062015504</v>
      </c>
      <c r="W23" s="9">
        <f>1.25*(1.005+3.507-2.515+1.51+1.487+4.535+0.95-4.243)+6.392-2.933-6.001-1.736+1.43+1.306+2.336</f>
        <v>8.5889999999999969</v>
      </c>
      <c r="X23" s="263">
        <f>490+75+89+87+74+73+69</f>
        <v>957</v>
      </c>
      <c r="Y23" s="227">
        <f t="shared" si="4"/>
        <v>0.57259999999999978</v>
      </c>
      <c r="Z23" s="227">
        <f t="shared" si="5"/>
        <v>1.8940666666666652</v>
      </c>
      <c r="AA23" s="89">
        <f t="shared" si="6"/>
        <v>4.4740051168588577</v>
      </c>
      <c r="AB23" s="73">
        <f t="shared" si="7"/>
        <v>63.8</v>
      </c>
      <c r="AC23" s="203">
        <f>17.214+0+23.237+9.043+30.514+33.831+20.422+7.642+27.391+(101.353-0.6765)+47.985+19.794+18.635+62.293+(119.011-9.5055)</f>
        <v>528.18299999999999</v>
      </c>
      <c r="AD23" s="89">
        <f t="shared" si="8"/>
        <v>35.212200000000003</v>
      </c>
      <c r="AE23" s="89">
        <f t="shared" si="9"/>
        <v>5.933986855394946</v>
      </c>
      <c r="AF23" s="9">
        <v>28</v>
      </c>
      <c r="AG23" s="9">
        <v>24</v>
      </c>
      <c r="AH23" s="9">
        <v>11</v>
      </c>
      <c r="AI23" s="54">
        <f t="shared" si="10"/>
        <v>63</v>
      </c>
      <c r="AK23" s="49">
        <v>22</v>
      </c>
      <c r="AL23" s="48">
        <f t="shared" si="11"/>
        <v>22</v>
      </c>
      <c r="AM23" s="36">
        <f t="shared" si="12"/>
        <v>0.74465928723417341</v>
      </c>
      <c r="AN23" s="34">
        <f t="shared" si="13"/>
        <v>0.8666666666666667</v>
      </c>
      <c r="AO23" s="34">
        <f t="shared" si="14"/>
        <v>0.79166666666666663</v>
      </c>
      <c r="AP23" s="34">
        <f t="shared" si="15"/>
        <v>0.40503144654088036</v>
      </c>
      <c r="AQ23" s="34">
        <f t="shared" si="16"/>
        <v>0.80465608465608462</v>
      </c>
      <c r="AR23" s="34">
        <f t="shared" si="17"/>
        <v>0.31473824780273657</v>
      </c>
      <c r="AS23" s="34">
        <f t="shared" si="18"/>
        <v>0.61074060168019906</v>
      </c>
      <c r="AT23" s="34">
        <f t="shared" si="19"/>
        <v>0.64766240955182386</v>
      </c>
      <c r="AU23" s="34">
        <f t="shared" si="20"/>
        <v>0.59809245688941892</v>
      </c>
      <c r="AV23" s="34">
        <f t="shared" si="21"/>
        <v>0.56300611094908071</v>
      </c>
      <c r="AW23" s="34">
        <f t="shared" si="22"/>
        <v>0.74117647058823533</v>
      </c>
      <c r="AX23" s="48">
        <v>82</v>
      </c>
      <c r="AY23" s="218">
        <v>2</v>
      </c>
      <c r="AZ23" s="220">
        <v>5</v>
      </c>
      <c r="BB23" s="205">
        <v>-1.3333333333333333</v>
      </c>
      <c r="BC23" s="245">
        <f t="shared" si="23"/>
        <v>0</v>
      </c>
      <c r="BD23" s="35">
        <v>0.74182377924246712</v>
      </c>
      <c r="BE23">
        <v>4</v>
      </c>
      <c r="BF23" s="205">
        <v>5.933986855394946</v>
      </c>
      <c r="BG23" s="34">
        <v>0.40503144654088036</v>
      </c>
      <c r="BH23" s="34">
        <v>0.80465608465608462</v>
      </c>
      <c r="BI23" s="34">
        <f>IF(A23&lt;17, SoC!O$3, IF(A23&lt;33, SoC!O$4, IF(A23&lt;49, SoC!O$5, IF(A23&lt;65, SoC!O$6, IF(A23&lt;81, SoC!O$7, IF(A23&lt;97, SoC!O$8, SoC!O$9))))))</f>
        <v>1.0509770295874163</v>
      </c>
      <c r="BJ23" s="34"/>
      <c r="BK23" s="34"/>
      <c r="BL23" s="34"/>
      <c r="BM23" s="17" t="s">
        <v>53</v>
      </c>
      <c r="BN23">
        <v>22</v>
      </c>
      <c r="BO23">
        <v>27</v>
      </c>
      <c r="BP23">
        <v>29</v>
      </c>
      <c r="BQ23">
        <v>27</v>
      </c>
      <c r="BR23">
        <v>42</v>
      </c>
      <c r="BS23">
        <v>45</v>
      </c>
      <c r="BT23">
        <v>53</v>
      </c>
      <c r="BU23">
        <v>54</v>
      </c>
      <c r="BV23">
        <v>41</v>
      </c>
      <c r="BW23" s="154">
        <v>56</v>
      </c>
      <c r="BX23">
        <v>31</v>
      </c>
      <c r="BY23">
        <v>31</v>
      </c>
    </row>
    <row r="24" spans="1:77" x14ac:dyDescent="0.35">
      <c r="A24">
        <v>40</v>
      </c>
      <c r="B24" s="17" t="s">
        <v>171</v>
      </c>
      <c r="C24" s="17" t="s">
        <v>1096</v>
      </c>
      <c r="D24" s="17" t="s">
        <v>51</v>
      </c>
      <c r="F24" s="6">
        <v>6</v>
      </c>
      <c r="G24" s="6">
        <v>3</v>
      </c>
      <c r="I24" s="6">
        <v>4</v>
      </c>
      <c r="J24" s="6">
        <v>2</v>
      </c>
      <c r="L24" s="6">
        <v>4</v>
      </c>
      <c r="M24" s="6">
        <v>2</v>
      </c>
      <c r="N24" s="6">
        <v>1</v>
      </c>
      <c r="P24">
        <f>268+17</f>
        <v>285</v>
      </c>
      <c r="Q24">
        <f>223+8</f>
        <v>231</v>
      </c>
      <c r="R24" s="73">
        <f t="shared" si="0"/>
        <v>17.8125</v>
      </c>
      <c r="S24" s="73">
        <f t="shared" si="1"/>
        <v>14.4375</v>
      </c>
      <c r="T24" s="73">
        <f t="shared" si="2"/>
        <v>3.375</v>
      </c>
      <c r="U24">
        <f>138+6</f>
        <v>144</v>
      </c>
      <c r="V24" s="54">
        <f t="shared" si="3"/>
        <v>1.9791666666666667</v>
      </c>
      <c r="W24" s="9">
        <f>1.25*(-4.059-0.734+3.367-3.312-0.955+1.711-3.665+4.273-4.081-2.625+2.442)-1.097-0.052+5.542+3.914-0.39</f>
        <v>-1.6304999999999987</v>
      </c>
      <c r="X24" s="263">
        <f>579+76+72+56+59+86</f>
        <v>928</v>
      </c>
      <c r="Y24" s="227">
        <f t="shared" si="4"/>
        <v>-5.095312499999996E-2</v>
      </c>
      <c r="Z24" s="227">
        <f t="shared" si="5"/>
        <v>3.4769062499999999</v>
      </c>
      <c r="AA24" s="89">
        <f t="shared" si="6"/>
        <v>4.3557855705373063</v>
      </c>
      <c r="AB24" s="73">
        <f t="shared" si="7"/>
        <v>58</v>
      </c>
      <c r="AC24" s="203">
        <f>14.173+54.638+17.415+52.733+38.15+54.209+52.452+28.283+(108.397-4.1985)+6.568+39.434+(113.818-6.909)+0+12.822+49.012+91.086</f>
        <v>722.08249999999998</v>
      </c>
      <c r="AD24" s="89">
        <f t="shared" si="8"/>
        <v>45.130156249999999</v>
      </c>
      <c r="AE24" s="89">
        <f t="shared" si="9"/>
        <v>6.7178982018187803</v>
      </c>
      <c r="AF24" s="9">
        <v>35</v>
      </c>
      <c r="AG24" s="9">
        <v>12</v>
      </c>
      <c r="AI24" s="54">
        <f t="shared" si="10"/>
        <v>47</v>
      </c>
      <c r="AK24" s="49">
        <v>23</v>
      </c>
      <c r="AL24" s="48">
        <f t="shared" si="11"/>
        <v>23</v>
      </c>
      <c r="AM24" s="36">
        <f t="shared" si="12"/>
        <v>0.73932086567683919</v>
      </c>
      <c r="AN24" s="34">
        <f t="shared" si="13"/>
        <v>0.8</v>
      </c>
      <c r="AO24" s="34">
        <f t="shared" si="14"/>
        <v>0.75</v>
      </c>
      <c r="AP24" s="34">
        <f t="shared" si="15"/>
        <v>0.52783018867924525</v>
      </c>
      <c r="AQ24" s="34">
        <f t="shared" si="16"/>
        <v>0.75753968253968251</v>
      </c>
      <c r="AR24" s="34">
        <f t="shared" si="17"/>
        <v>0.39221396871786557</v>
      </c>
      <c r="AS24" s="34">
        <f t="shared" si="18"/>
        <v>0.66927095555451266</v>
      </c>
      <c r="AT24" s="34">
        <f t="shared" si="19"/>
        <v>0.77967866850355605</v>
      </c>
      <c r="AU24" s="34">
        <f t="shared" si="20"/>
        <v>0.58689874443390089</v>
      </c>
      <c r="AV24" s="34">
        <f t="shared" si="21"/>
        <v>0.66930206904474243</v>
      </c>
      <c r="AW24" s="34">
        <f t="shared" si="22"/>
        <v>0.55294117647058827</v>
      </c>
      <c r="AX24" s="48">
        <v>5</v>
      </c>
      <c r="AY24" s="218">
        <v>1</v>
      </c>
      <c r="AZ24" s="220">
        <v>3</v>
      </c>
      <c r="BB24" s="205">
        <v>-2</v>
      </c>
      <c r="BC24" s="245">
        <f t="shared" si="23"/>
        <v>0</v>
      </c>
      <c r="BD24" s="35">
        <v>0.73654460021434676</v>
      </c>
      <c r="BE24">
        <v>1</v>
      </c>
      <c r="BF24" s="205">
        <v>6.7178982018187803</v>
      </c>
      <c r="BG24" s="34">
        <v>0.52783018867924525</v>
      </c>
      <c r="BH24" s="34">
        <v>0.75753968253968251</v>
      </c>
      <c r="BI24" s="34">
        <f>IF(A24&lt;17, SoC!O$3, IF(A24&lt;33, SoC!O$4, IF(A24&lt;49, SoC!O$5, IF(A24&lt;65, SoC!O$6, IF(A24&lt;81, SoC!O$7, IF(A24&lt;97, SoC!O$8, SoC!O$9))))))</f>
        <v>1.0509770295874163</v>
      </c>
      <c r="BJ24" s="34"/>
      <c r="BK24" s="34"/>
      <c r="BL24" s="34"/>
      <c r="BM24" s="17" t="s">
        <v>51</v>
      </c>
      <c r="BN24">
        <v>23</v>
      </c>
      <c r="BO24">
        <v>23</v>
      </c>
      <c r="BP24">
        <v>27</v>
      </c>
      <c r="BQ24">
        <v>38</v>
      </c>
      <c r="BR24">
        <v>29</v>
      </c>
      <c r="BS24">
        <v>47</v>
      </c>
      <c r="BT24">
        <v>44</v>
      </c>
      <c r="BU24">
        <v>46</v>
      </c>
      <c r="BV24">
        <v>60</v>
      </c>
      <c r="BW24" s="154">
        <v>70</v>
      </c>
      <c r="BX24">
        <v>100</v>
      </c>
      <c r="BY24">
        <v>108</v>
      </c>
    </row>
    <row r="25" spans="1:77" x14ac:dyDescent="0.35">
      <c r="A25">
        <v>89</v>
      </c>
      <c r="B25" s="58" t="s">
        <v>799</v>
      </c>
      <c r="C25" s="58" t="s">
        <v>1106</v>
      </c>
      <c r="D25" s="58" t="s">
        <v>790</v>
      </c>
      <c r="F25" s="6">
        <v>8</v>
      </c>
      <c r="G25" s="6">
        <v>1</v>
      </c>
      <c r="I25" s="6">
        <v>5</v>
      </c>
      <c r="J25" s="6">
        <v>1</v>
      </c>
      <c r="L25" s="6">
        <v>1</v>
      </c>
      <c r="M25" s="6">
        <v>1</v>
      </c>
      <c r="N25" s="6">
        <v>3</v>
      </c>
      <c r="P25">
        <f>237+28</f>
        <v>265</v>
      </c>
      <c r="Q25">
        <f>186+24</f>
        <v>210</v>
      </c>
      <c r="R25" s="73">
        <f t="shared" si="0"/>
        <v>18.928571428571427</v>
      </c>
      <c r="S25" s="73">
        <f t="shared" si="1"/>
        <v>15</v>
      </c>
      <c r="T25" s="73">
        <f t="shared" si="2"/>
        <v>3.928571428571427</v>
      </c>
      <c r="U25">
        <f>107+10</f>
        <v>117</v>
      </c>
      <c r="V25" s="54">
        <f t="shared" si="3"/>
        <v>2.2649572649572649</v>
      </c>
      <c r="W25" s="9">
        <f>1.25*(-2.092+5.756+1.805+4.801-0.998+3.657+6.836+3.712+1.217)+8.639+2.154+5.25+3.515+8.444</f>
        <v>58.869500000000002</v>
      </c>
      <c r="X25" s="263">
        <f>751+58+71+50</f>
        <v>930</v>
      </c>
      <c r="Y25" s="227">
        <f t="shared" si="4"/>
        <v>4.2049642857142855</v>
      </c>
      <c r="Z25" s="227">
        <f t="shared" si="5"/>
        <v>-0.27639285714285844</v>
      </c>
      <c r="AA25" s="89">
        <f t="shared" si="6"/>
        <v>3.9762072853140431</v>
      </c>
      <c r="AB25" s="73">
        <f t="shared" si="7"/>
        <v>66.428571428571431</v>
      </c>
      <c r="AC25" s="203">
        <f>(108.543-4.2715)+49.706+39.711+20.413+6.827+4.338+73.016+55.724+20.679+36.282+0.375+39.694+47.903+43.275</f>
        <v>542.21450000000004</v>
      </c>
      <c r="AD25" s="89">
        <f t="shared" si="8"/>
        <v>38.729607142857148</v>
      </c>
      <c r="AE25" s="89">
        <f t="shared" si="9"/>
        <v>6.2233115897291489</v>
      </c>
      <c r="AF25" s="9">
        <v>14</v>
      </c>
      <c r="AG25" s="9">
        <v>12</v>
      </c>
      <c r="AH25" s="9">
        <v>14</v>
      </c>
      <c r="AI25" s="54">
        <f t="shared" si="10"/>
        <v>40</v>
      </c>
      <c r="AK25" s="49">
        <v>24</v>
      </c>
      <c r="AL25" s="48">
        <f t="shared" si="11"/>
        <v>24</v>
      </c>
      <c r="AM25" s="36">
        <f t="shared" si="12"/>
        <v>0.73430787084508153</v>
      </c>
      <c r="AN25" s="34">
        <f t="shared" si="13"/>
        <v>0.93333333333333335</v>
      </c>
      <c r="AO25" s="34">
        <f t="shared" si="14"/>
        <v>0.875</v>
      </c>
      <c r="AP25" s="34">
        <f t="shared" si="15"/>
        <v>0.62048517520215618</v>
      </c>
      <c r="AQ25" s="34">
        <f t="shared" si="16"/>
        <v>0.71111111111111114</v>
      </c>
      <c r="AR25" s="34">
        <f t="shared" si="17"/>
        <v>0.66918816602206765</v>
      </c>
      <c r="AS25" s="34">
        <f t="shared" si="18"/>
        <v>0.26978558354397286</v>
      </c>
      <c r="AT25" s="34">
        <f t="shared" si="19"/>
        <v>0.46663588636109765</v>
      </c>
      <c r="AU25" s="34">
        <f t="shared" si="20"/>
        <v>0.55051277208561389</v>
      </c>
      <c r="AV25" s="34">
        <f t="shared" si="21"/>
        <v>0.60223765157816511</v>
      </c>
      <c r="AW25" s="34">
        <f t="shared" si="22"/>
        <v>0.47058823529411764</v>
      </c>
      <c r="AX25" s="48">
        <v>53</v>
      </c>
      <c r="AY25" s="218">
        <v>1</v>
      </c>
      <c r="AZ25" s="220">
        <v>3</v>
      </c>
      <c r="BB25" s="205">
        <v>0.33333333333333331</v>
      </c>
      <c r="BC25" s="245">
        <f t="shared" si="23"/>
        <v>0</v>
      </c>
      <c r="BD25" s="35">
        <v>0.73621367781303126</v>
      </c>
      <c r="BE25">
        <v>2</v>
      </c>
      <c r="BF25" s="205">
        <v>6.2233115897291489</v>
      </c>
      <c r="BG25" s="34">
        <v>0.62048517520215618</v>
      </c>
      <c r="BH25" s="34">
        <v>0.71111111111111114</v>
      </c>
      <c r="BI25" s="34">
        <f>IF(A25&lt;17, SoC!O$3, IF(A25&lt;33, SoC!O$4, IF(A25&lt;49, SoC!O$5, IF(A25&lt;65, SoC!O$6, IF(A25&lt;81, SoC!O$7, IF(A25&lt;97, SoC!O$8, SoC!O$9))))))</f>
        <v>0.8076740483754814</v>
      </c>
      <c r="BJ25" s="34"/>
      <c r="BK25" s="34"/>
      <c r="BL25" s="34"/>
      <c r="BM25" s="58" t="s">
        <v>790</v>
      </c>
      <c r="BN25">
        <v>24</v>
      </c>
      <c r="BO25">
        <v>22</v>
      </c>
      <c r="BP25">
        <v>24</v>
      </c>
      <c r="BQ25">
        <v>23</v>
      </c>
      <c r="BR25">
        <v>20</v>
      </c>
      <c r="BS25">
        <v>22</v>
      </c>
      <c r="BT25">
        <v>29</v>
      </c>
      <c r="BU25">
        <v>14</v>
      </c>
      <c r="BV25">
        <v>10</v>
      </c>
      <c r="BW25" s="154">
        <v>10</v>
      </c>
      <c r="BX25">
        <v>10</v>
      </c>
      <c r="BY25">
        <v>60</v>
      </c>
    </row>
    <row r="26" spans="1:77" x14ac:dyDescent="0.35">
      <c r="A26">
        <v>49</v>
      </c>
      <c r="B26" s="19" t="s">
        <v>172</v>
      </c>
      <c r="C26" s="19" t="s">
        <v>1090</v>
      </c>
      <c r="D26" s="19" t="s">
        <v>40</v>
      </c>
      <c r="F26" s="6">
        <v>7</v>
      </c>
      <c r="G26" s="6">
        <v>2</v>
      </c>
      <c r="I26" s="6">
        <v>5</v>
      </c>
      <c r="J26" s="6">
        <v>1</v>
      </c>
      <c r="L26" s="6">
        <v>2</v>
      </c>
      <c r="M26" s="6">
        <v>1</v>
      </c>
      <c r="N26" s="6">
        <v>2</v>
      </c>
      <c r="P26">
        <f>229+6</f>
        <v>235</v>
      </c>
      <c r="Q26">
        <f>170+15</f>
        <v>185</v>
      </c>
      <c r="R26" s="73">
        <f t="shared" si="0"/>
        <v>16.785714285714285</v>
      </c>
      <c r="S26" s="73">
        <f t="shared" si="1"/>
        <v>13.214285714285714</v>
      </c>
      <c r="T26" s="73">
        <f t="shared" si="2"/>
        <v>3.5714285714285712</v>
      </c>
      <c r="U26">
        <f>104+2</f>
        <v>106</v>
      </c>
      <c r="V26" s="54">
        <f t="shared" si="3"/>
        <v>2.2169811320754715</v>
      </c>
      <c r="W26" s="9">
        <f>1.25*(1.39-1.19+2.029+0.023+7.065+9.688+3.645+3.617+4.243)+11.922+2.351+7.759+6.203+1.958</f>
        <v>68.330500000000001</v>
      </c>
      <c r="X26" s="263">
        <f>755+93+80+67+90</f>
        <v>1085</v>
      </c>
      <c r="Y26" s="227">
        <f t="shared" si="4"/>
        <v>4.8807499999999999</v>
      </c>
      <c r="Z26" s="227">
        <f t="shared" si="5"/>
        <v>-1.3093214285714287</v>
      </c>
      <c r="AA26" s="89">
        <f t="shared" si="6"/>
        <v>6.591987593571754</v>
      </c>
      <c r="AB26" s="73">
        <f t="shared" si="7"/>
        <v>77.5</v>
      </c>
      <c r="AC26" s="203">
        <f>26.172+80.334+58.771+75.975+72.552+(190.349-45.1745)+63.401+6.246+47.679+29.049+0.661+0.806+71.368+3.775</f>
        <v>681.96349999999973</v>
      </c>
      <c r="AD26" s="89">
        <f t="shared" si="8"/>
        <v>48.71167857142855</v>
      </c>
      <c r="AE26" s="89">
        <f t="shared" si="9"/>
        <v>6.9793752278716576</v>
      </c>
      <c r="AF26" s="9">
        <v>21</v>
      </c>
      <c r="AG26" s="9">
        <v>12</v>
      </c>
      <c r="AH26" s="9">
        <v>14</v>
      </c>
      <c r="AI26" s="54">
        <f t="shared" si="10"/>
        <v>47</v>
      </c>
      <c r="AK26" s="49">
        <v>25</v>
      </c>
      <c r="AL26" s="48">
        <f t="shared" si="11"/>
        <v>25</v>
      </c>
      <c r="AM26" s="36">
        <f t="shared" si="12"/>
        <v>0.73106740994558128</v>
      </c>
      <c r="AN26" s="34">
        <f t="shared" si="13"/>
        <v>0.84444444444444444</v>
      </c>
      <c r="AO26" s="34">
        <f t="shared" si="14"/>
        <v>0.875</v>
      </c>
      <c r="AP26" s="34">
        <f t="shared" si="15"/>
        <v>0.44258760107816703</v>
      </c>
      <c r="AQ26" s="34">
        <f t="shared" si="16"/>
        <v>0.85850340136054426</v>
      </c>
      <c r="AR26" s="34">
        <f t="shared" si="17"/>
        <v>0.6226920567232489</v>
      </c>
      <c r="AS26" s="34">
        <f t="shared" si="18"/>
        <v>0.20635237245975502</v>
      </c>
      <c r="AT26" s="34">
        <f t="shared" si="19"/>
        <v>0.38048478981271183</v>
      </c>
      <c r="AU26" s="34">
        <f t="shared" si="20"/>
        <v>0.79004723294424228</v>
      </c>
      <c r="AV26" s="34">
        <f t="shared" si="21"/>
        <v>0.7047575464161181</v>
      </c>
      <c r="AW26" s="34">
        <f t="shared" si="22"/>
        <v>0.55294117647058827</v>
      </c>
      <c r="AX26" s="48">
        <v>77</v>
      </c>
      <c r="AY26" s="218">
        <v>1</v>
      </c>
      <c r="AZ26" s="220">
        <v>3</v>
      </c>
      <c r="BB26" s="205">
        <v>-1</v>
      </c>
      <c r="BC26" s="245">
        <f t="shared" si="23"/>
        <v>0</v>
      </c>
      <c r="BD26" s="35">
        <v>0.72752970689159335</v>
      </c>
      <c r="BE26">
        <v>3</v>
      </c>
      <c r="BF26" s="205">
        <v>6.9793752278716576</v>
      </c>
      <c r="BG26" s="34">
        <v>0.44258760107816703</v>
      </c>
      <c r="BH26" s="34">
        <v>0.85850340136054426</v>
      </c>
      <c r="BI26" s="34">
        <f>IF(A26&lt;17, SoC!O$3, IF(A26&lt;33, SoC!O$4, IF(A26&lt;49, SoC!O$5, IF(A26&lt;65, SoC!O$6, IF(A26&lt;81, SoC!O$7, IF(A26&lt;97, SoC!O$8, SoC!O$9))))))</f>
        <v>1.1793104273940098</v>
      </c>
      <c r="BJ26" s="34"/>
      <c r="BK26" s="34"/>
      <c r="BL26" s="34"/>
      <c r="BM26" s="19" t="s">
        <v>40</v>
      </c>
      <c r="BN26">
        <v>25</v>
      </c>
      <c r="BO26">
        <v>25</v>
      </c>
      <c r="BP26">
        <v>18</v>
      </c>
      <c r="BQ26">
        <v>17</v>
      </c>
      <c r="BR26">
        <v>7</v>
      </c>
      <c r="BS26">
        <v>4</v>
      </c>
      <c r="BT26">
        <v>7</v>
      </c>
      <c r="BU26">
        <v>8</v>
      </c>
      <c r="BV26">
        <v>8</v>
      </c>
      <c r="BW26" s="154">
        <v>11</v>
      </c>
      <c r="BX26">
        <v>36</v>
      </c>
      <c r="BY26">
        <v>36</v>
      </c>
    </row>
    <row r="27" spans="1:77" x14ac:dyDescent="0.35">
      <c r="A27">
        <v>48</v>
      </c>
      <c r="B27" s="17" t="s">
        <v>171</v>
      </c>
      <c r="C27" s="17" t="s">
        <v>1097</v>
      </c>
      <c r="D27" s="17" t="s">
        <v>300</v>
      </c>
      <c r="F27" s="6">
        <v>6</v>
      </c>
      <c r="G27" s="6">
        <v>3</v>
      </c>
      <c r="I27" s="6">
        <v>4</v>
      </c>
      <c r="J27" s="6">
        <v>2</v>
      </c>
      <c r="L27" s="6">
        <v>1</v>
      </c>
      <c r="N27" s="6">
        <v>3</v>
      </c>
      <c r="P27">
        <f>221+33</f>
        <v>254</v>
      </c>
      <c r="Q27">
        <f>183+12</f>
        <v>195</v>
      </c>
      <c r="R27" s="73">
        <f t="shared" si="0"/>
        <v>19.53846153846154</v>
      </c>
      <c r="S27" s="73">
        <f t="shared" si="1"/>
        <v>15</v>
      </c>
      <c r="T27" s="73">
        <f t="shared" si="2"/>
        <v>4.5384615384615401</v>
      </c>
      <c r="U27">
        <f>114+10</f>
        <v>124</v>
      </c>
      <c r="V27" s="54">
        <f t="shared" si="3"/>
        <v>2.0483870967741935</v>
      </c>
      <c r="W27" s="9">
        <f>1.25*(4.294+0.677+0.914+3.312+7.102+3.695-1.209)+9.525-5.31-3.719+7.43+2.281+7.825</f>
        <v>41.513250000000006</v>
      </c>
      <c r="X27" s="263">
        <f>558+92+89+48+71+53</f>
        <v>911</v>
      </c>
      <c r="Y27" s="227">
        <f t="shared" si="4"/>
        <v>3.1933269230769237</v>
      </c>
      <c r="Z27" s="227">
        <f t="shared" si="5"/>
        <v>1.3451346153846164</v>
      </c>
      <c r="AA27" s="89">
        <f t="shared" si="6"/>
        <v>5.6817366998847811</v>
      </c>
      <c r="AB27" s="73">
        <f t="shared" si="7"/>
        <v>70.07692307692308</v>
      </c>
      <c r="AC27" s="203">
        <f>(155.062-27.531)+9.578+48.537+3.857+89.716+12.592+5.89+76.412+24.694+3+(100.875-0.4375)+51.63+(133.872-16.936)</f>
        <v>670.81050000000005</v>
      </c>
      <c r="AD27" s="89">
        <f t="shared" si="8"/>
        <v>51.600807692307697</v>
      </c>
      <c r="AE27" s="89">
        <f t="shared" si="9"/>
        <v>7.183370218240718</v>
      </c>
      <c r="AF27" s="9">
        <v>35</v>
      </c>
      <c r="AG27" s="9">
        <v>12</v>
      </c>
      <c r="AH27" s="20">
        <v>20</v>
      </c>
      <c r="AI27" s="54">
        <f t="shared" si="10"/>
        <v>67</v>
      </c>
      <c r="AK27" s="49">
        <v>26</v>
      </c>
      <c r="AL27" s="48">
        <f t="shared" si="11"/>
        <v>26</v>
      </c>
      <c r="AM27" s="36">
        <f t="shared" si="12"/>
        <v>0.7228287935147456</v>
      </c>
      <c r="AN27" s="34">
        <f t="shared" si="13"/>
        <v>0.68888888888888888</v>
      </c>
      <c r="AO27" s="34">
        <f t="shared" si="14"/>
        <v>0.66666666666666663</v>
      </c>
      <c r="AP27" s="34">
        <f t="shared" si="15"/>
        <v>0.67111756168359959</v>
      </c>
      <c r="AQ27" s="34">
        <f t="shared" si="16"/>
        <v>0.71111111111111114</v>
      </c>
      <c r="AR27" s="34">
        <f t="shared" si="17"/>
        <v>0.45929900643694777</v>
      </c>
      <c r="AS27" s="34">
        <f t="shared" si="18"/>
        <v>0.36474380034008325</v>
      </c>
      <c r="AT27" s="34">
        <f t="shared" si="19"/>
        <v>0.60187889706450992</v>
      </c>
      <c r="AU27" s="34">
        <f t="shared" si="20"/>
        <v>0.7093007714077757</v>
      </c>
      <c r="AV27" s="34">
        <f t="shared" si="21"/>
        <v>0.73241863723578171</v>
      </c>
      <c r="AW27" s="34">
        <f t="shared" si="22"/>
        <v>0.78823529411764703</v>
      </c>
      <c r="AX27" s="48">
        <v>138</v>
      </c>
      <c r="AY27" s="218">
        <v>2</v>
      </c>
      <c r="AZ27" s="220">
        <v>1</v>
      </c>
      <c r="BB27" s="205">
        <v>-1</v>
      </c>
      <c r="BC27" s="245">
        <f t="shared" si="23"/>
        <v>0</v>
      </c>
      <c r="BD27" s="35">
        <v>0.71939876758681787</v>
      </c>
      <c r="BE27">
        <v>5</v>
      </c>
      <c r="BF27" s="205">
        <v>7.183370218240718</v>
      </c>
      <c r="BG27" s="34">
        <v>0.67111756168359959</v>
      </c>
      <c r="BH27" s="34">
        <v>0.71111111111111114</v>
      </c>
      <c r="BI27" s="34">
        <f>IF(A27&lt;17, SoC!O$3, IF(A27&lt;33, SoC!O$4, IF(A27&lt;49, SoC!O$5, IF(A27&lt;65, SoC!O$6, IF(A27&lt;81, SoC!O$7, IF(A27&lt;97, SoC!O$8, SoC!O$9))))))</f>
        <v>1.0509770295874163</v>
      </c>
      <c r="BJ27" s="34"/>
      <c r="BK27" s="34"/>
      <c r="BL27" s="34"/>
      <c r="BM27" s="17" t="s">
        <v>300</v>
      </c>
      <c r="BN27">
        <v>26</v>
      </c>
      <c r="BO27">
        <v>29</v>
      </c>
      <c r="BP27">
        <v>32</v>
      </c>
      <c r="BQ27">
        <v>24</v>
      </c>
      <c r="BR27">
        <v>25</v>
      </c>
      <c r="BS27">
        <v>28</v>
      </c>
      <c r="BT27">
        <v>22</v>
      </c>
      <c r="BU27">
        <v>32</v>
      </c>
      <c r="BV27">
        <v>17</v>
      </c>
      <c r="BW27" s="154">
        <v>27</v>
      </c>
      <c r="BX27">
        <v>2</v>
      </c>
      <c r="BY27">
        <v>3</v>
      </c>
    </row>
    <row r="28" spans="1:77" x14ac:dyDescent="0.35">
      <c r="A28">
        <v>59</v>
      </c>
      <c r="B28" s="19" t="s">
        <v>172</v>
      </c>
      <c r="C28" s="19" t="s">
        <v>1099</v>
      </c>
      <c r="D28" s="19" t="s">
        <v>45</v>
      </c>
      <c r="F28" s="6">
        <v>6</v>
      </c>
      <c r="G28" s="6">
        <v>3</v>
      </c>
      <c r="I28" s="6">
        <v>4</v>
      </c>
      <c r="J28" s="6">
        <v>2</v>
      </c>
      <c r="L28" s="6">
        <v>2</v>
      </c>
      <c r="M28" s="6">
        <v>1</v>
      </c>
      <c r="N28" s="6">
        <v>3</v>
      </c>
      <c r="P28">
        <f>218+28</f>
        <v>246</v>
      </c>
      <c r="Q28">
        <f>193+11</f>
        <v>204</v>
      </c>
      <c r="R28" s="73">
        <f t="shared" si="0"/>
        <v>16.399999999999999</v>
      </c>
      <c r="S28" s="73">
        <f t="shared" si="1"/>
        <v>13.6</v>
      </c>
      <c r="T28" s="73">
        <f t="shared" si="2"/>
        <v>2.7999999999999989</v>
      </c>
      <c r="U28">
        <f>118+12</f>
        <v>130</v>
      </c>
      <c r="V28" s="54">
        <f t="shared" si="3"/>
        <v>1.8923076923076922</v>
      </c>
      <c r="W28" s="9">
        <f>1.25*(2.158+2.212-1.827-0.023-2.279+4.48+1.368-3.318-4.7+2.122)+1.759-5.558+1.243-3.128+6.885</f>
        <v>1.4422499999999996</v>
      </c>
      <c r="X28" s="263">
        <f>676+65+87+72+86+48</f>
        <v>1034</v>
      </c>
      <c r="Y28" s="227">
        <f t="shared" si="4"/>
        <v>9.6149999999999972E-2</v>
      </c>
      <c r="Z28" s="227">
        <f t="shared" si="5"/>
        <v>2.7038499999999988</v>
      </c>
      <c r="AA28" s="89">
        <f t="shared" si="6"/>
        <v>5.5550653039867433</v>
      </c>
      <c r="AB28" s="73">
        <f t="shared" si="7"/>
        <v>68.933333333333337</v>
      </c>
      <c r="AC28" s="203">
        <f>22.523+17.35+76.276+0+6.825+41.137+(188.75-44.375)+9.044+15.266+(134.577-17.2885)+66.701+10.927+40.248+4.042+95.915</f>
        <v>667.91750000000002</v>
      </c>
      <c r="AD28" s="89">
        <f t="shared" si="8"/>
        <v>44.527833333333334</v>
      </c>
      <c r="AE28" s="89">
        <f t="shared" si="9"/>
        <v>6.6729179024871375</v>
      </c>
      <c r="AF28" s="9">
        <v>21</v>
      </c>
      <c r="AG28" s="9">
        <v>12</v>
      </c>
      <c r="AH28" s="9">
        <v>11</v>
      </c>
      <c r="AI28" s="54">
        <f t="shared" si="10"/>
        <v>44</v>
      </c>
      <c r="AK28" s="49">
        <v>27</v>
      </c>
      <c r="AL28" s="48">
        <f t="shared" si="11"/>
        <v>27</v>
      </c>
      <c r="AM28" s="36">
        <f t="shared" si="12"/>
        <v>0.71295062275615328</v>
      </c>
      <c r="AN28" s="34">
        <f t="shared" si="13"/>
        <v>0.73333333333333328</v>
      </c>
      <c r="AO28" s="34">
        <f t="shared" si="14"/>
        <v>0.70833333333333337</v>
      </c>
      <c r="AP28" s="34">
        <f t="shared" si="15"/>
        <v>0.41056603773584893</v>
      </c>
      <c r="AQ28" s="34">
        <f t="shared" si="16"/>
        <v>0.82666666666666666</v>
      </c>
      <c r="AR28" s="34">
        <f t="shared" si="17"/>
        <v>0.30803452108858825</v>
      </c>
      <c r="AS28" s="34">
        <f t="shared" si="18"/>
        <v>0.6554629933824565</v>
      </c>
      <c r="AT28" s="34">
        <f t="shared" si="19"/>
        <v>0.71520214469225896</v>
      </c>
      <c r="AU28" s="34">
        <f t="shared" si="20"/>
        <v>0.69787528100774843</v>
      </c>
      <c r="AV28" s="34">
        <f t="shared" si="21"/>
        <v>0.66320287934083222</v>
      </c>
      <c r="AW28" s="34">
        <f t="shared" si="22"/>
        <v>0.51764705882352946</v>
      </c>
      <c r="AX28" s="48">
        <v>58</v>
      </c>
      <c r="AY28" s="218">
        <v>1</v>
      </c>
      <c r="AZ28" s="220">
        <v>3</v>
      </c>
      <c r="BB28" s="205">
        <v>0.33333333333333331</v>
      </c>
      <c r="BC28" s="245">
        <f t="shared" si="23"/>
        <v>0</v>
      </c>
      <c r="BD28" s="35">
        <v>0.70986964184835077</v>
      </c>
      <c r="BE28">
        <v>2</v>
      </c>
      <c r="BF28" s="205">
        <v>6.6729179024871375</v>
      </c>
      <c r="BG28" s="34">
        <v>0.41056603773584893</v>
      </c>
      <c r="BH28" s="34">
        <v>0.82666666666666666</v>
      </c>
      <c r="BI28" s="34">
        <f>IF(A28&lt;17, SoC!O$3, IF(A28&lt;33, SoC!O$4, IF(A28&lt;49, SoC!O$5, IF(A28&lt;65, SoC!O$6, IF(A28&lt;81, SoC!O$7, IF(A28&lt;97, SoC!O$8, SoC!O$9))))))</f>
        <v>1.1793104273940098</v>
      </c>
      <c r="BJ28" s="34"/>
      <c r="BK28" s="34"/>
      <c r="BL28" s="34"/>
      <c r="BM28" s="19" t="s">
        <v>45</v>
      </c>
      <c r="BN28">
        <v>27</v>
      </c>
      <c r="BO28">
        <v>26</v>
      </c>
      <c r="BP28">
        <v>28</v>
      </c>
      <c r="BQ28">
        <v>30</v>
      </c>
      <c r="BR28">
        <v>24</v>
      </c>
      <c r="BS28">
        <v>35</v>
      </c>
      <c r="BT28">
        <v>51</v>
      </c>
      <c r="BU28">
        <v>33</v>
      </c>
      <c r="BV28">
        <v>11</v>
      </c>
      <c r="BW28" s="154">
        <v>25</v>
      </c>
      <c r="BX28">
        <v>41</v>
      </c>
      <c r="BY28">
        <v>55</v>
      </c>
    </row>
    <row r="29" spans="1:77" x14ac:dyDescent="0.35">
      <c r="A29">
        <v>86</v>
      </c>
      <c r="B29" s="58" t="s">
        <v>799</v>
      </c>
      <c r="C29" s="58" t="s">
        <v>1104</v>
      </c>
      <c r="D29" s="58" t="s">
        <v>785</v>
      </c>
      <c r="F29" s="6">
        <v>7</v>
      </c>
      <c r="G29" s="6">
        <v>2</v>
      </c>
      <c r="I29" s="6">
        <v>5</v>
      </c>
      <c r="J29" s="6">
        <v>1</v>
      </c>
      <c r="M29" s="6">
        <v>3</v>
      </c>
      <c r="N29" s="6">
        <v>2</v>
      </c>
      <c r="P29">
        <f>233+12</f>
        <v>245</v>
      </c>
      <c r="Q29">
        <f>184+27</f>
        <v>211</v>
      </c>
      <c r="R29" s="73">
        <f t="shared" si="0"/>
        <v>17.5</v>
      </c>
      <c r="S29" s="73">
        <f t="shared" si="1"/>
        <v>15.071428571428571</v>
      </c>
      <c r="T29" s="73">
        <f t="shared" si="2"/>
        <v>2.4285714285714288</v>
      </c>
      <c r="U29">
        <f>104+9</f>
        <v>113</v>
      </c>
      <c r="V29" s="54">
        <f t="shared" si="3"/>
        <v>2.168141592920354</v>
      </c>
      <c r="W29" s="9">
        <f>1.25*(-1.473+4.016+2.931+0.441+1.823+4.901+3.603+1.916+4.903)+6.904+7+3.454+0.39-6.238</f>
        <v>40.33625</v>
      </c>
      <c r="X29" s="263">
        <f>708+61+79+86+89</f>
        <v>1023</v>
      </c>
      <c r="Y29" s="227">
        <f t="shared" si="4"/>
        <v>2.8811607142857141</v>
      </c>
      <c r="Z29" s="227">
        <f t="shared" si="5"/>
        <v>-0.45258928571428525</v>
      </c>
      <c r="AA29" s="89">
        <f t="shared" si="6"/>
        <v>3.917788115592491</v>
      </c>
      <c r="AB29" s="73">
        <f t="shared" si="7"/>
        <v>73.071428571428569</v>
      </c>
      <c r="AC29" s="203">
        <f>71.446+36.505+31.074+(165.966-32.983)+0+57.174+(102.745-1.3725)+30.37+0+54.063+28.701+53.185+3.511+6.209</f>
        <v>606.59350000000006</v>
      </c>
      <c r="AD29" s="89">
        <f t="shared" si="8"/>
        <v>43.328107142857149</v>
      </c>
      <c r="AE29" s="89">
        <f t="shared" si="9"/>
        <v>6.5824089164117678</v>
      </c>
      <c r="AF29" s="9">
        <v>7</v>
      </c>
      <c r="AG29" s="9">
        <v>18</v>
      </c>
      <c r="AI29" s="54">
        <f t="shared" si="10"/>
        <v>25</v>
      </c>
      <c r="AK29" s="49">
        <v>28</v>
      </c>
      <c r="AL29" s="48">
        <f t="shared" si="11"/>
        <v>28</v>
      </c>
      <c r="AM29" s="36">
        <f t="shared" si="12"/>
        <v>0.70759150160184059</v>
      </c>
      <c r="AN29" s="34">
        <f t="shared" si="13"/>
        <v>0.84444444444444444</v>
      </c>
      <c r="AO29" s="34">
        <f t="shared" si="14"/>
        <v>0.95833333333333337</v>
      </c>
      <c r="AP29" s="34">
        <f t="shared" si="15"/>
        <v>0.50188679245283019</v>
      </c>
      <c r="AQ29" s="34">
        <f t="shared" si="16"/>
        <v>0.70521541950113387</v>
      </c>
      <c r="AR29" s="34">
        <f t="shared" si="17"/>
        <v>0.57535917651267965</v>
      </c>
      <c r="AS29" s="34">
        <f t="shared" si="18"/>
        <v>0.39404555176367273</v>
      </c>
      <c r="AT29" s="34">
        <f t="shared" si="19"/>
        <v>0.45194027627806538</v>
      </c>
      <c r="AU29" s="34">
        <f t="shared" si="20"/>
        <v>0.54484832656412552</v>
      </c>
      <c r="AV29" s="34">
        <f t="shared" si="21"/>
        <v>0.65093014029318652</v>
      </c>
      <c r="AW29" s="34">
        <f t="shared" si="22"/>
        <v>0.29411764705882354</v>
      </c>
      <c r="AX29" s="48">
        <v>39</v>
      </c>
      <c r="AY29" s="218">
        <v>2</v>
      </c>
      <c r="AZ29" s="220">
        <v>1</v>
      </c>
      <c r="BB29" s="205">
        <v>0.33333333333333331</v>
      </c>
      <c r="BC29" s="245">
        <f t="shared" si="23"/>
        <v>0</v>
      </c>
      <c r="BD29" s="35">
        <v>0.70947525220258068</v>
      </c>
      <c r="BE29">
        <v>1</v>
      </c>
      <c r="BF29" s="205">
        <v>6.5824089164117678</v>
      </c>
      <c r="BG29" s="34">
        <v>0.50188679245283019</v>
      </c>
      <c r="BH29" s="34">
        <v>0.70521541950113387</v>
      </c>
      <c r="BI29" s="34">
        <f>IF(A29&lt;17, SoC!O$3, IF(A29&lt;33, SoC!O$4, IF(A29&lt;49, SoC!O$5, IF(A29&lt;65, SoC!O$6, IF(A29&lt;81, SoC!O$7, IF(A29&lt;97, SoC!O$8, SoC!O$9))))))</f>
        <v>0.8076740483754814</v>
      </c>
      <c r="BJ29" s="34"/>
      <c r="BK29" s="34"/>
      <c r="BL29" s="34"/>
      <c r="BM29" s="58" t="s">
        <v>785</v>
      </c>
      <c r="BN29">
        <v>28</v>
      </c>
      <c r="BO29">
        <v>24</v>
      </c>
      <c r="BP29">
        <v>14</v>
      </c>
      <c r="BQ29">
        <v>16</v>
      </c>
      <c r="BR29">
        <v>18</v>
      </c>
      <c r="BS29">
        <v>23</v>
      </c>
      <c r="BT29">
        <v>14</v>
      </c>
      <c r="BU29">
        <v>12</v>
      </c>
      <c r="BV29">
        <v>12</v>
      </c>
      <c r="BW29" s="154">
        <v>17</v>
      </c>
      <c r="BX29">
        <v>25</v>
      </c>
      <c r="BY29">
        <v>74</v>
      </c>
    </row>
    <row r="30" spans="1:77" x14ac:dyDescent="0.35">
      <c r="A30">
        <v>23</v>
      </c>
      <c r="B30" s="16" t="s">
        <v>144</v>
      </c>
      <c r="C30" s="16" t="s">
        <v>1087</v>
      </c>
      <c r="D30" s="16" t="s">
        <v>69</v>
      </c>
      <c r="F30" s="6">
        <v>4</v>
      </c>
      <c r="G30" s="6">
        <v>5</v>
      </c>
      <c r="I30" s="6">
        <v>3</v>
      </c>
      <c r="J30" s="6">
        <v>3</v>
      </c>
      <c r="L30" s="6">
        <v>2</v>
      </c>
      <c r="M30" s="6">
        <v>2</v>
      </c>
      <c r="N30" s="6">
        <v>1</v>
      </c>
      <c r="P30">
        <f>231+25</f>
        <v>256</v>
      </c>
      <c r="Q30">
        <f>200+11</f>
        <v>211</v>
      </c>
      <c r="R30" s="73">
        <f t="shared" si="0"/>
        <v>18.285714285714285</v>
      </c>
      <c r="S30" s="73">
        <f t="shared" si="1"/>
        <v>15.071428571428571</v>
      </c>
      <c r="T30" s="73">
        <f t="shared" si="2"/>
        <v>3.2142857142857135</v>
      </c>
      <c r="U30">
        <f>120+12</f>
        <v>132</v>
      </c>
      <c r="V30" s="54">
        <f t="shared" si="3"/>
        <v>1.9393939393939394</v>
      </c>
      <c r="W30" s="9">
        <f>1.25*(6.628+5.374+2.336-2.205+4.823-0.824+3.666)-5.642-6.472+1.967+1.481-2.633+1.297+0.737</f>
        <v>15.4825</v>
      </c>
      <c r="X30" s="263">
        <f>434+85+88+66+65+81+67+69</f>
        <v>955</v>
      </c>
      <c r="Y30" s="227">
        <f t="shared" si="4"/>
        <v>1.1058928571428572</v>
      </c>
      <c r="Z30" s="227">
        <f t="shared" si="5"/>
        <v>2.1083928571428565</v>
      </c>
      <c r="AA30" s="89">
        <f t="shared" si="6"/>
        <v>5.5177092525097313</v>
      </c>
      <c r="AB30" s="73">
        <f t="shared" si="7"/>
        <v>68.214285714285708</v>
      </c>
      <c r="AC30" s="203">
        <f>71.598+22.683+10.327+0+64.696+63.96+63.003+0+37.677+37.91+(102.426-1.213)+37.092+42.822+(156.686-28.343)</f>
        <v>681.32400000000007</v>
      </c>
      <c r="AD30" s="89">
        <f t="shared" si="8"/>
        <v>48.666000000000004</v>
      </c>
      <c r="AE30" s="89">
        <f t="shared" si="9"/>
        <v>6.9761020634735562</v>
      </c>
      <c r="AF30" s="9">
        <v>35</v>
      </c>
      <c r="AG30" s="9">
        <v>24</v>
      </c>
      <c r="AH30" s="20">
        <v>26</v>
      </c>
      <c r="AI30" s="54">
        <f t="shared" si="10"/>
        <v>85</v>
      </c>
      <c r="AK30" s="49">
        <v>29</v>
      </c>
      <c r="AL30" s="48">
        <f t="shared" si="11"/>
        <v>29</v>
      </c>
      <c r="AM30" s="36">
        <f t="shared" si="12"/>
        <v>0.69421800689211999</v>
      </c>
      <c r="AN30" s="34">
        <f t="shared" si="13"/>
        <v>0.53333333333333333</v>
      </c>
      <c r="AO30" s="34">
        <f t="shared" si="14"/>
        <v>0.58333333333333337</v>
      </c>
      <c r="AP30" s="34">
        <f t="shared" si="15"/>
        <v>0.56711590296495951</v>
      </c>
      <c r="AQ30" s="34">
        <f t="shared" si="16"/>
        <v>0.70521541950113387</v>
      </c>
      <c r="AR30" s="34">
        <f t="shared" si="17"/>
        <v>0.35366819682455347</v>
      </c>
      <c r="AS30" s="34">
        <f t="shared" si="18"/>
        <v>0.5606826059846195</v>
      </c>
      <c r="AT30" s="34">
        <f t="shared" si="19"/>
        <v>0.66553822094798376</v>
      </c>
      <c r="AU30" s="34">
        <f t="shared" si="20"/>
        <v>0.69449620595878858</v>
      </c>
      <c r="AV30" s="34">
        <f t="shared" si="21"/>
        <v>0.70431371543026999</v>
      </c>
      <c r="AW30" s="34">
        <f t="shared" si="22"/>
        <v>1</v>
      </c>
      <c r="AX30" s="48">
        <v>135</v>
      </c>
      <c r="AY30" s="218">
        <v>3</v>
      </c>
      <c r="AZ30" s="220">
        <v>1</v>
      </c>
      <c r="BB30" s="205">
        <v>0</v>
      </c>
      <c r="BC30" s="245">
        <f t="shared" si="23"/>
        <v>0</v>
      </c>
      <c r="BD30" s="35">
        <v>0.69392949720376396</v>
      </c>
      <c r="BE30">
        <v>5</v>
      </c>
      <c r="BF30" s="205">
        <v>6.9761020634735562</v>
      </c>
      <c r="BG30" s="34">
        <v>0.56711590296495951</v>
      </c>
      <c r="BH30" s="34">
        <v>0.70521541950113387</v>
      </c>
      <c r="BI30" s="34">
        <f>IF(A30&lt;17, SoC!O$3, IF(A30&lt;33, SoC!O$4, IF(A30&lt;49, SoC!O$5, IF(A30&lt;65, SoC!O$6, IF(A30&lt;81, SoC!O$7, IF(A30&lt;97, SoC!O$8, SoC!O$9))))))</f>
        <v>1.148154410748077</v>
      </c>
      <c r="BJ30" s="34"/>
      <c r="BK30" s="34"/>
      <c r="BL30" s="34"/>
      <c r="BM30" s="16" t="s">
        <v>69</v>
      </c>
      <c r="BN30">
        <v>29</v>
      </c>
      <c r="BO30">
        <v>38</v>
      </c>
      <c r="BP30">
        <v>34</v>
      </c>
      <c r="BQ30">
        <v>25</v>
      </c>
      <c r="BR30">
        <v>38</v>
      </c>
      <c r="BS30">
        <v>26</v>
      </c>
      <c r="BT30">
        <v>33</v>
      </c>
      <c r="BU30">
        <v>49</v>
      </c>
      <c r="BV30">
        <v>52</v>
      </c>
      <c r="BW30" s="154">
        <v>34</v>
      </c>
      <c r="BX30">
        <v>6</v>
      </c>
      <c r="BY30">
        <v>6</v>
      </c>
    </row>
    <row r="31" spans="1:77" x14ac:dyDescent="0.35">
      <c r="A31">
        <v>99</v>
      </c>
      <c r="B31" s="69" t="s">
        <v>1296</v>
      </c>
      <c r="C31" s="69" t="s">
        <v>1107</v>
      </c>
      <c r="D31" s="69" t="s">
        <v>1301</v>
      </c>
      <c r="F31" s="6">
        <v>7</v>
      </c>
      <c r="G31" s="6">
        <v>2</v>
      </c>
      <c r="I31" s="6">
        <v>4</v>
      </c>
      <c r="J31" s="6">
        <v>1</v>
      </c>
      <c r="L31" s="6">
        <v>1</v>
      </c>
      <c r="M31" s="6">
        <v>2</v>
      </c>
      <c r="N31" s="6">
        <v>2</v>
      </c>
      <c r="P31">
        <f>219+16</f>
        <v>235</v>
      </c>
      <c r="Q31">
        <f>194+14</f>
        <v>208</v>
      </c>
      <c r="R31" s="73">
        <f t="shared" si="0"/>
        <v>16.785714285714285</v>
      </c>
      <c r="S31" s="73">
        <f t="shared" si="1"/>
        <v>14.857142857142858</v>
      </c>
      <c r="T31" s="73">
        <f t="shared" si="2"/>
        <v>1.928571428571427</v>
      </c>
      <c r="U31">
        <f>103+11</f>
        <v>114</v>
      </c>
      <c r="V31" s="54">
        <f t="shared" si="3"/>
        <v>2.0614035087719298</v>
      </c>
      <c r="W31" s="9">
        <f>1.25*(-0.9+3.42+2.74-2.997+0.389+6.406+7.3-0.692+6.213+1.07)+10.226-4.874+6.966+0.111</f>
        <v>41.115249999999996</v>
      </c>
      <c r="X31" s="263">
        <f>703+89+50+73</f>
        <v>915</v>
      </c>
      <c r="Y31" s="227">
        <f t="shared" si="4"/>
        <v>2.936803571428571</v>
      </c>
      <c r="Z31" s="227">
        <f t="shared" si="5"/>
        <v>-1.0082321428571439</v>
      </c>
      <c r="AA31" s="89">
        <f t="shared" si="6"/>
        <v>3.5236088185125314</v>
      </c>
      <c r="AB31" s="73">
        <f t="shared" si="7"/>
        <v>65.357142857142861</v>
      </c>
      <c r="AC31" s="203">
        <f>28.654+(110.291-5.1455)+0+7.311+(225.416-66.944)+22.325+61.835+57.21+4.75+15.133+21.743+3.733+17.235+43.929</f>
        <v>547.4754999999999</v>
      </c>
      <c r="AD31" s="89">
        <f t="shared" si="8"/>
        <v>39.105392857142853</v>
      </c>
      <c r="AE31" s="89">
        <f t="shared" si="9"/>
        <v>6.253430487112082</v>
      </c>
      <c r="AF31" s="9">
        <v>21</v>
      </c>
      <c r="AG31" s="9">
        <v>12</v>
      </c>
      <c r="AI31" s="54">
        <f t="shared" si="10"/>
        <v>33</v>
      </c>
      <c r="AK31" s="49">
        <v>30</v>
      </c>
      <c r="AL31" s="48">
        <f t="shared" si="11"/>
        <v>30</v>
      </c>
      <c r="AM31" s="36">
        <f t="shared" si="12"/>
        <v>0.68508454093497795</v>
      </c>
      <c r="AN31" s="34">
        <f t="shared" si="13"/>
        <v>0.84444444444444444</v>
      </c>
      <c r="AO31" s="34">
        <f t="shared" si="14"/>
        <v>0.9</v>
      </c>
      <c r="AP31" s="34">
        <f t="shared" si="15"/>
        <v>0.44258760107816703</v>
      </c>
      <c r="AQ31" s="34">
        <f t="shared" si="16"/>
        <v>0.72290249433106579</v>
      </c>
      <c r="AR31" s="34">
        <f t="shared" si="17"/>
        <v>0.47191387300854837</v>
      </c>
      <c r="AS31" s="34">
        <f t="shared" si="18"/>
        <v>0.38882258680916415</v>
      </c>
      <c r="AT31" s="34">
        <f t="shared" si="19"/>
        <v>0.40559705104814381</v>
      </c>
      <c r="AU31" s="34">
        <f t="shared" si="20"/>
        <v>0.50612838135502392</v>
      </c>
      <c r="AV31" s="34">
        <f t="shared" si="21"/>
        <v>0.60632168106531181</v>
      </c>
      <c r="AW31" s="34">
        <f t="shared" si="22"/>
        <v>0.38823529411764707</v>
      </c>
      <c r="AX31" s="48">
        <v>60</v>
      </c>
      <c r="AY31" s="218">
        <v>1</v>
      </c>
      <c r="AZ31" s="220">
        <v>1</v>
      </c>
      <c r="BB31" s="205">
        <v>1</v>
      </c>
      <c r="BC31" s="245">
        <f t="shared" si="23"/>
        <v>0</v>
      </c>
      <c r="BD31" s="35">
        <v>0.68600384054706876</v>
      </c>
      <c r="BE31">
        <v>2</v>
      </c>
      <c r="BF31" s="205">
        <v>6.253430487112082</v>
      </c>
      <c r="BG31" s="34">
        <v>0.44258760107816703</v>
      </c>
      <c r="BH31" s="34">
        <v>0.72290249433106579</v>
      </c>
      <c r="BI31" s="34">
        <f>IF(A31&lt;17, SoC!O$3, IF(A31&lt;33, SoC!O$4, IF(A31&lt;49, SoC!O$5, IF(A31&lt;65, SoC!O$6, IF(A31&lt;81, SoC!O$7, IF(A31&lt;97, SoC!O$8, SoC!O$9))))))</f>
        <v>0.84292189346881985</v>
      </c>
      <c r="BJ31" s="34"/>
      <c r="BK31" s="34"/>
      <c r="BL31" s="34"/>
      <c r="BM31" s="69" t="s">
        <v>1301</v>
      </c>
      <c r="BN31">
        <v>30</v>
      </c>
      <c r="BO31">
        <v>28</v>
      </c>
      <c r="BP31">
        <v>31</v>
      </c>
      <c r="BQ31">
        <v>31</v>
      </c>
      <c r="BR31">
        <v>22</v>
      </c>
      <c r="BS31">
        <v>16</v>
      </c>
      <c r="BT31">
        <v>25</v>
      </c>
      <c r="BU31">
        <v>51</v>
      </c>
      <c r="BV31">
        <v>37</v>
      </c>
      <c r="BW31" s="154">
        <v>14</v>
      </c>
      <c r="BX31">
        <v>33</v>
      </c>
      <c r="BY31">
        <v>53</v>
      </c>
    </row>
    <row r="32" spans="1:77" x14ac:dyDescent="0.35">
      <c r="A32">
        <v>31</v>
      </c>
      <c r="B32" s="16" t="s">
        <v>144</v>
      </c>
      <c r="C32" s="16" t="s">
        <v>1369</v>
      </c>
      <c r="D32" s="16" t="s">
        <v>71</v>
      </c>
      <c r="F32" s="6">
        <v>7</v>
      </c>
      <c r="G32" s="6">
        <v>2</v>
      </c>
      <c r="I32" s="6">
        <v>5</v>
      </c>
      <c r="J32" s="6">
        <v>1</v>
      </c>
      <c r="L32" s="6">
        <v>4</v>
      </c>
      <c r="N32" s="6">
        <v>1</v>
      </c>
      <c r="P32">
        <f>240+10</f>
        <v>250</v>
      </c>
      <c r="Q32">
        <f>196+28</f>
        <v>224</v>
      </c>
      <c r="R32" s="73">
        <f t="shared" si="0"/>
        <v>17.857142857142858</v>
      </c>
      <c r="S32" s="73">
        <f t="shared" si="1"/>
        <v>16</v>
      </c>
      <c r="T32" s="73">
        <f t="shared" si="2"/>
        <v>1.8571428571428577</v>
      </c>
      <c r="U32">
        <f>119+7</f>
        <v>126</v>
      </c>
      <c r="V32" s="54">
        <f t="shared" si="3"/>
        <v>1.9841269841269842</v>
      </c>
      <c r="W32" s="9">
        <f>1.25*(-1.551+4.406+0.474+6.032+7.962+2.481+0.978+1.429+1.228-2.425)+2.761+7.773+0.198-2.493</f>
        <v>34.506500000000003</v>
      </c>
      <c r="X32" s="263">
        <f>656+43+75+88</f>
        <v>862</v>
      </c>
      <c r="Y32" s="227">
        <f t="shared" si="4"/>
        <v>2.46475</v>
      </c>
      <c r="Z32" s="227">
        <f t="shared" si="5"/>
        <v>-0.60760714285714235</v>
      </c>
      <c r="AA32" s="89">
        <f t="shared" si="6"/>
        <v>4.5004931612600449</v>
      </c>
      <c r="AB32" s="73">
        <f t="shared" si="7"/>
        <v>61.571428571428569</v>
      </c>
      <c r="AC32" s="203">
        <f>62.275+11.142+38.479+24.498+29.588+0+53.665+66.06+9.849+32.632+63.956+69.419+57.79+3.67</f>
        <v>523.02299999999991</v>
      </c>
      <c r="AD32" s="89">
        <f t="shared" si="8"/>
        <v>37.358785714285709</v>
      </c>
      <c r="AE32" s="89">
        <f t="shared" si="9"/>
        <v>6.1121833835615327</v>
      </c>
      <c r="AF32" s="9">
        <v>35</v>
      </c>
      <c r="AG32" s="9">
        <v>0</v>
      </c>
      <c r="AI32" s="54">
        <f t="shared" si="10"/>
        <v>35</v>
      </c>
      <c r="AK32" s="49">
        <v>31</v>
      </c>
      <c r="AL32" s="48">
        <f t="shared" si="11"/>
        <v>31</v>
      </c>
      <c r="AM32" s="36">
        <f t="shared" si="12"/>
        <v>0.68434582117682863</v>
      </c>
      <c r="AN32" s="34">
        <f t="shared" si="13"/>
        <v>0.8666666666666667</v>
      </c>
      <c r="AO32" s="34">
        <f t="shared" si="14"/>
        <v>0.83333333333333337</v>
      </c>
      <c r="AP32" s="34">
        <f t="shared" si="15"/>
        <v>0.5315363881401618</v>
      </c>
      <c r="AQ32" s="34">
        <f t="shared" si="16"/>
        <v>0.62857142857142856</v>
      </c>
      <c r="AR32" s="34">
        <f t="shared" si="17"/>
        <v>0.39702126453222419</v>
      </c>
      <c r="AS32" s="34">
        <f t="shared" si="18"/>
        <v>0.43313230393767321</v>
      </c>
      <c r="AT32" s="34">
        <f t="shared" si="19"/>
        <v>0.43901105856946054</v>
      </c>
      <c r="AU32" s="34">
        <f t="shared" si="20"/>
        <v>0.60059200231095522</v>
      </c>
      <c r="AV32" s="34">
        <f t="shared" si="21"/>
        <v>0.58716900995188048</v>
      </c>
      <c r="AW32" s="34">
        <f t="shared" si="22"/>
        <v>0.41176470588235292</v>
      </c>
      <c r="AX32" s="48">
        <v>33</v>
      </c>
      <c r="AY32" s="218">
        <v>1</v>
      </c>
      <c r="AZ32" s="220">
        <v>3</v>
      </c>
      <c r="BB32" s="205">
        <v>0</v>
      </c>
      <c r="BC32" s="245">
        <f t="shared" si="23"/>
        <v>0</v>
      </c>
      <c r="BD32" s="35">
        <v>0.6841006301259559</v>
      </c>
      <c r="BE32">
        <v>1</v>
      </c>
      <c r="BF32" s="205">
        <v>6.1121833835615327</v>
      </c>
      <c r="BG32" s="34">
        <v>0.5315363881401618</v>
      </c>
      <c r="BH32" s="34">
        <v>0.62857142857142856</v>
      </c>
      <c r="BI32" s="34">
        <f>IF(A32&lt;17, SoC!O$3, IF(A32&lt;33, SoC!O$4, IF(A32&lt;49, SoC!O$5, IF(A32&lt;65, SoC!O$6, IF(A32&lt;81, SoC!O$7, IF(A32&lt;97, SoC!O$8, SoC!O$9))))))</f>
        <v>1.148154410748077</v>
      </c>
      <c r="BJ32" s="34"/>
      <c r="BK32" s="34"/>
      <c r="BL32" s="34"/>
      <c r="BM32" s="16" t="s">
        <v>71</v>
      </c>
      <c r="BN32">
        <v>31</v>
      </c>
      <c r="BO32">
        <v>31</v>
      </c>
      <c r="BP32">
        <v>19</v>
      </c>
      <c r="BQ32">
        <v>28</v>
      </c>
      <c r="BR32">
        <v>27</v>
      </c>
      <c r="BS32">
        <v>43</v>
      </c>
      <c r="BT32">
        <v>35</v>
      </c>
      <c r="BU32">
        <v>31</v>
      </c>
      <c r="BV32">
        <v>21</v>
      </c>
      <c r="BW32" s="154">
        <v>30</v>
      </c>
      <c r="BX32">
        <v>34</v>
      </c>
      <c r="BY32">
        <v>80</v>
      </c>
    </row>
    <row r="33" spans="1:77" x14ac:dyDescent="0.35">
      <c r="A33">
        <v>103</v>
      </c>
      <c r="B33" s="69" t="s">
        <v>1296</v>
      </c>
      <c r="C33" s="69" t="s">
        <v>1108</v>
      </c>
      <c r="D33" s="69" t="s">
        <v>960</v>
      </c>
      <c r="F33" s="6">
        <v>6</v>
      </c>
      <c r="G33" s="6">
        <v>3</v>
      </c>
      <c r="I33" s="6">
        <v>4</v>
      </c>
      <c r="J33" s="6">
        <v>1</v>
      </c>
      <c r="L33" s="6">
        <v>4</v>
      </c>
      <c r="N33" s="6">
        <v>1</v>
      </c>
      <c r="P33">
        <f>206+15</f>
        <v>221</v>
      </c>
      <c r="Q33">
        <f>167+24</f>
        <v>191</v>
      </c>
      <c r="R33" s="73">
        <f t="shared" si="0"/>
        <v>15.785714285714286</v>
      </c>
      <c r="S33" s="73">
        <f t="shared" si="1"/>
        <v>13.642857142857142</v>
      </c>
      <c r="T33" s="73">
        <f t="shared" si="2"/>
        <v>2.1428571428571441</v>
      </c>
      <c r="U33">
        <f>107+8</f>
        <v>115</v>
      </c>
      <c r="V33" s="54">
        <f t="shared" si="3"/>
        <v>1.9217391304347826</v>
      </c>
      <c r="W33" s="9">
        <f>1.25*(-2.123+2.446-0.474-0.694+6.593-0.389-1.855-0.49-2.276+2.64)-0.067+7.004-0.931+0.785</f>
        <v>11.013500000000001</v>
      </c>
      <c r="X33" s="263">
        <f>549+60+38+82+82</f>
        <v>811</v>
      </c>
      <c r="Y33" s="227">
        <f t="shared" si="4"/>
        <v>0.78667857142857145</v>
      </c>
      <c r="Z33" s="227">
        <f t="shared" si="5"/>
        <v>1.3561785714285728</v>
      </c>
      <c r="AA33" s="89">
        <f t="shared" si="6"/>
        <v>3.1830033473847079</v>
      </c>
      <c r="AB33" s="73">
        <f t="shared" si="7"/>
        <v>57.928571428571431</v>
      </c>
      <c r="AC33" s="203">
        <f>39.491+58.524+8.872+45.918+19.55+0+6.406+35.032+31.53+35.342+57.376+(509.628-279.69)+36.813+13.607</f>
        <v>618.399</v>
      </c>
      <c r="AD33" s="89">
        <f t="shared" si="8"/>
        <v>44.17135714285714</v>
      </c>
      <c r="AE33" s="89">
        <f t="shared" si="9"/>
        <v>6.6461535599816788</v>
      </c>
      <c r="AF33" s="9">
        <v>35</v>
      </c>
      <c r="AG33" s="9">
        <v>0</v>
      </c>
      <c r="AI33" s="54">
        <f t="shared" si="10"/>
        <v>35</v>
      </c>
      <c r="AK33" s="49">
        <v>32</v>
      </c>
      <c r="AL33" s="48">
        <f t="shared" si="11"/>
        <v>32</v>
      </c>
      <c r="AM33" s="36">
        <f t="shared" si="12"/>
        <v>0.67883153038483623</v>
      </c>
      <c r="AN33" s="34">
        <f t="shared" si="13"/>
        <v>0.75555555555555554</v>
      </c>
      <c r="AO33" s="34">
        <f t="shared" si="14"/>
        <v>0.8</v>
      </c>
      <c r="AP33" s="34">
        <f t="shared" si="15"/>
        <v>0.35956873315363885</v>
      </c>
      <c r="AQ33" s="34">
        <f t="shared" si="16"/>
        <v>0.8231292517006803</v>
      </c>
      <c r="AR33" s="34">
        <f t="shared" si="17"/>
        <v>0.33655802395928197</v>
      </c>
      <c r="AS33" s="34">
        <f t="shared" si="18"/>
        <v>0.59064593124995812</v>
      </c>
      <c r="AT33" s="34">
        <f t="shared" si="19"/>
        <v>0.60280001489369639</v>
      </c>
      <c r="AU33" s="34">
        <f t="shared" si="20"/>
        <v>0.47188874133262004</v>
      </c>
      <c r="AV33" s="34">
        <f t="shared" si="21"/>
        <v>0.65957371713722757</v>
      </c>
      <c r="AW33" s="34">
        <f t="shared" si="22"/>
        <v>0.41176470588235292</v>
      </c>
      <c r="AX33" s="48">
        <v>14</v>
      </c>
      <c r="AY33" s="218">
        <v>1</v>
      </c>
      <c r="AZ33" s="220">
        <v>3</v>
      </c>
      <c r="BB33" s="205">
        <v>0.33333333333333331</v>
      </c>
      <c r="BC33" s="245">
        <f t="shared" si="23"/>
        <v>0</v>
      </c>
      <c r="BD33" s="35">
        <v>0.67968114439447291</v>
      </c>
      <c r="BE33">
        <v>1</v>
      </c>
      <c r="BF33" s="205">
        <v>6.6461535599816788</v>
      </c>
      <c r="BG33" s="34">
        <v>0.35956873315363885</v>
      </c>
      <c r="BH33" s="34">
        <v>0.8231292517006803</v>
      </c>
      <c r="BI33" s="34">
        <f>IF(A33&lt;17, SoC!O$3, IF(A33&lt;33, SoC!O$4, IF(A33&lt;49, SoC!O$5, IF(A33&lt;65, SoC!O$6, IF(A33&lt;81, SoC!O$7, IF(A33&lt;97, SoC!O$8, SoC!O$9))))))</f>
        <v>0.84292189346881985</v>
      </c>
      <c r="BJ33" s="34"/>
      <c r="BK33" s="34"/>
      <c r="BL33" s="34"/>
      <c r="BM33" s="69" t="s">
        <v>960</v>
      </c>
      <c r="BN33">
        <v>32</v>
      </c>
      <c r="BO33">
        <v>30</v>
      </c>
      <c r="BP33">
        <v>26</v>
      </c>
      <c r="BQ33">
        <v>33</v>
      </c>
      <c r="BR33">
        <v>48</v>
      </c>
      <c r="BS33">
        <v>54</v>
      </c>
      <c r="BT33">
        <v>61</v>
      </c>
      <c r="BU33">
        <v>38</v>
      </c>
      <c r="BV33">
        <v>45</v>
      </c>
      <c r="BW33" s="154">
        <v>33</v>
      </c>
      <c r="BX33">
        <v>47</v>
      </c>
      <c r="BY33">
        <v>99</v>
      </c>
    </row>
    <row r="34" spans="1:77" x14ac:dyDescent="0.35">
      <c r="A34">
        <v>100</v>
      </c>
      <c r="B34" s="69" t="s">
        <v>1296</v>
      </c>
      <c r="C34" s="69" t="s">
        <v>1107</v>
      </c>
      <c r="D34" s="69" t="s">
        <v>1302</v>
      </c>
      <c r="F34" s="6">
        <v>6</v>
      </c>
      <c r="G34" s="6">
        <v>3</v>
      </c>
      <c r="I34" s="6">
        <v>4</v>
      </c>
      <c r="J34" s="6">
        <v>1</v>
      </c>
      <c r="L34" s="6">
        <v>1</v>
      </c>
      <c r="M34" s="6">
        <v>2</v>
      </c>
      <c r="N34" s="6">
        <v>3</v>
      </c>
      <c r="P34">
        <f>204+19</f>
        <v>223</v>
      </c>
      <c r="Q34">
        <f>198+29</f>
        <v>227</v>
      </c>
      <c r="R34" s="73">
        <f t="shared" ref="R34:R65" si="24">IFERROR(P34/(F34+G34+L34+M34+N34), 0)</f>
        <v>14.866666666666667</v>
      </c>
      <c r="S34" s="73">
        <f t="shared" ref="S34:S65" si="25">IFERROR(Q34/(F34+G34+L34+M34+N34), 0)</f>
        <v>15.133333333333333</v>
      </c>
      <c r="T34" s="73">
        <f t="shared" ref="T34:T65" si="26">R34-S34</f>
        <v>-0.26666666666666572</v>
      </c>
      <c r="U34">
        <f>106+9</f>
        <v>115</v>
      </c>
      <c r="V34" s="54">
        <f t="shared" ref="V34:V65" si="27">IFERROR(P34/U34, 0)</f>
        <v>1.9391304347826086</v>
      </c>
      <c r="W34" s="9">
        <f>1.25*(3.323+4.054+0.616-2.07+1.885-2.736+2.528-1.217)-2.044-1.5+4.439+0.183+2.628+3.59-8.199</f>
        <v>7.0757499999999993</v>
      </c>
      <c r="X34" s="263">
        <f>660+47+83+70+53+82</f>
        <v>995</v>
      </c>
      <c r="Y34" s="227">
        <f t="shared" ref="Y34:Y65" si="28">IF(W34&lt;0, (W34/2), W34)/(F34+G34+L34+M34+N34)</f>
        <v>0.47171666666666662</v>
      </c>
      <c r="Z34" s="227">
        <f t="shared" ref="Z34:Z65" si="29">T34-(IF(Y34&lt;0, Y34*2, Y34))</f>
        <v>-0.73838333333333228</v>
      </c>
      <c r="AA34" s="89">
        <f t="shared" ref="AA34:AA65" si="30">(AVERAGE((T34-MIN(T:T))*AB34, SQRT((T34-MIN(T:T))*AB34))/100)*BI34</f>
        <v>2.9503780666551442</v>
      </c>
      <c r="AB34" s="73">
        <f t="shared" ref="AB34:AB65" si="31">(X34/SUM(F34,G34,L34,M34,N34))</f>
        <v>66.333333333333329</v>
      </c>
      <c r="AC34" s="203">
        <f>13.827+7.981+3.056+3.285+75.528+94.833+6.989+34.61+33.208+93.206+27.295+26.287+6.849+18.396+22.151</f>
        <v>467.50100000000003</v>
      </c>
      <c r="AD34" s="89">
        <f t="shared" ref="AD34:AD65" si="32">IFERROR(AC34/(F34+G34+L34+M34+N34),0)</f>
        <v>31.166733333333337</v>
      </c>
      <c r="AE34" s="89">
        <f t="shared" ref="AE34:AE65" si="33">IFERROR(IF(SQRT(AD34)&gt;10, 10, SQRT(AD34)), 0)</f>
        <v>5.5827173789592228</v>
      </c>
      <c r="AF34" s="9">
        <v>28</v>
      </c>
      <c r="AG34" s="9">
        <v>18</v>
      </c>
      <c r="AH34" s="9">
        <v>8</v>
      </c>
      <c r="AI34" s="54">
        <f t="shared" ref="AI34:AI65" si="34">SUM(AF34:AH34)</f>
        <v>54</v>
      </c>
      <c r="AK34" s="49">
        <v>33</v>
      </c>
      <c r="AL34" s="48">
        <f t="shared" ref="AL34:AL65" si="35">_xlfn.RANK.EQ(AM34,AM:AM, 0)</f>
        <v>33</v>
      </c>
      <c r="AM34" s="36">
        <f t="shared" ref="AM34:AM65" si="36">((AN34*2.25)+(AO34*1.5)+(AP34*1)+(AQ34*1)+(AR34*0.75)+(AS34*1)+(AT34*1)+(AU34*0.75)+(AV34*1)+(AW34*0.75)+(AX34/LARGE(AX:AX,1))*(3/12))/(10+(3/24))</f>
        <v>0.66843703360810403</v>
      </c>
      <c r="AN34" s="34">
        <f t="shared" ref="AN34:AN65" si="37">IFERROR(IF((F34+G34)=1, IF(F34=0, 0.333, IF(F34=1, 0.666, 0)), IF((F34+G34)=2, IF(F34=0, 0.166, IF(F34=1, 0.5, IF(F34=2, 0.833, 0))),  (F34+(0.2*(L34+M34)))/(F34+G34))), 0)</f>
        <v>0.73333333333333328</v>
      </c>
      <c r="AO34" s="34">
        <f t="shared" ref="AO34:AO65" si="38">IFERROR(IF((I34+J34)=1, IF(I34=0, 0.333, IF(I34=1, 0.666, 0)), IF((I34+J34)=2, IF(I34=0, 0.166, IF(I34=1, 0.5, IF(I34=2, 0.833, 0))), (I34+(0.25*M34))/(I34+J34))), 0)</f>
        <v>0.9</v>
      </c>
      <c r="AP34" s="34">
        <f t="shared" ref="AP34:AP65" si="39">(R34-(SMALL(R:R, 1)))/((LARGE(R:R, 1))-(SMALL(R:R, 1)))</f>
        <v>0.28327044025157233</v>
      </c>
      <c r="AQ34" s="34">
        <f t="shared" ref="AQ34:AQ65" si="40">1-(S34-SMALL(S:S,1))/(LARGE(S:S,1)-SMALL(S:S,1))</f>
        <v>0.70010582010582012</v>
      </c>
      <c r="AR34" s="34">
        <f t="shared" ref="AR34:AR65" si="41">(V34-SMALL(V:V,1))/(LARGE(V:V,1)-SMALL(V:V,1))</f>
        <v>0.35341282111014627</v>
      </c>
      <c r="AS34" s="34">
        <f t="shared" ref="AS34:AS65" si="42">1-(Y34-SMALL(Y:Y,1))/(LARGE(Y:Y,1)-SMALL(Y:Y,1))</f>
        <v>0.62021010309600921</v>
      </c>
      <c r="AT34" s="34">
        <f t="shared" ref="AT34:AT65" si="43">(Z34+ABS(MIN(Z:Z)))/(MAX(Z:Z)+ABS(MIN(Z:Z)))</f>
        <v>0.42810370977150602</v>
      </c>
      <c r="AU34" s="34">
        <f t="shared" ref="AU34:AU65" si="44">AVERAGE(AA34/MAX(AA:AA), SQRT(AA34/MAX(AA:AA)))</f>
        <v>0.44802337536119002</v>
      </c>
      <c r="AV34" s="34">
        <f t="shared" ref="AV34:AV65" si="45">AVERAGE(AE34/MAX(AE:AE), (AE34-SMALL(AE:AE,1))/(LARGE(AE:AE,1)-SMALL(AE:AE,1)))</f>
        <v>0.51537505455752164</v>
      </c>
      <c r="AW34" s="34">
        <f t="shared" ref="AW34:AW65" si="46">IFERROR(AI34/MAX(AI:AI), 0)</f>
        <v>0.63529411764705879</v>
      </c>
      <c r="AX34" s="48">
        <v>90</v>
      </c>
      <c r="AY34" s="218">
        <v>2</v>
      </c>
      <c r="AZ34" s="220">
        <v>5</v>
      </c>
      <c r="BB34" s="205">
        <v>1</v>
      </c>
      <c r="BC34" s="245">
        <f t="shared" ref="BC34:BC65" si="47">AK34-AL34</f>
        <v>0</v>
      </c>
      <c r="BD34" s="35">
        <v>0.66923842650385257</v>
      </c>
      <c r="BE34">
        <v>4</v>
      </c>
      <c r="BF34" s="205">
        <v>5.5827173789592228</v>
      </c>
      <c r="BG34" s="34">
        <v>0.28327044025157233</v>
      </c>
      <c r="BH34" s="34">
        <v>0.70010582010582012</v>
      </c>
      <c r="BI34" s="34">
        <f>IF(A34&lt;17, SoC!O$3, IF(A34&lt;33, SoC!O$4, IF(A34&lt;49, SoC!O$5, IF(A34&lt;65, SoC!O$6, IF(A34&lt;81, SoC!O$7, IF(A34&lt;97, SoC!O$8, SoC!O$9))))))</f>
        <v>0.84292189346881985</v>
      </c>
      <c r="BJ34" s="34"/>
      <c r="BK34" s="34"/>
      <c r="BL34" s="34"/>
      <c r="BM34" s="69" t="s">
        <v>1302</v>
      </c>
      <c r="BN34">
        <v>33</v>
      </c>
      <c r="BO34">
        <v>32</v>
      </c>
      <c r="BP34">
        <v>30</v>
      </c>
      <c r="BQ34">
        <v>29</v>
      </c>
      <c r="BR34">
        <v>37</v>
      </c>
      <c r="BS34">
        <v>41</v>
      </c>
      <c r="BT34">
        <v>47</v>
      </c>
      <c r="BU34">
        <v>55</v>
      </c>
      <c r="BV34">
        <v>47</v>
      </c>
      <c r="BW34" s="154">
        <v>26</v>
      </c>
      <c r="BX34">
        <v>37</v>
      </c>
      <c r="BY34">
        <v>23</v>
      </c>
    </row>
    <row r="35" spans="1:77" x14ac:dyDescent="0.35">
      <c r="A35">
        <v>18</v>
      </c>
      <c r="B35" s="16" t="s">
        <v>144</v>
      </c>
      <c r="C35" s="16" t="s">
        <v>1086</v>
      </c>
      <c r="D35" s="16" t="s">
        <v>72</v>
      </c>
      <c r="F35" s="6">
        <v>6</v>
      </c>
      <c r="G35" s="6">
        <v>3</v>
      </c>
      <c r="I35" s="6">
        <v>3</v>
      </c>
      <c r="J35" s="6">
        <v>3</v>
      </c>
      <c r="L35" s="6">
        <v>1</v>
      </c>
      <c r="M35" s="6">
        <v>1</v>
      </c>
      <c r="N35" s="6">
        <v>2</v>
      </c>
      <c r="P35">
        <f>218+19</f>
        <v>237</v>
      </c>
      <c r="Q35">
        <f>170+15</f>
        <v>185</v>
      </c>
      <c r="R35" s="73">
        <f t="shared" si="24"/>
        <v>18.23076923076923</v>
      </c>
      <c r="S35" s="73">
        <f t="shared" si="25"/>
        <v>14.23076923076923</v>
      </c>
      <c r="T35" s="73">
        <f t="shared" si="26"/>
        <v>4</v>
      </c>
      <c r="U35">
        <f>116+7</f>
        <v>123</v>
      </c>
      <c r="V35" s="54">
        <f t="shared" si="27"/>
        <v>1.9268292682926829</v>
      </c>
      <c r="W35" s="9">
        <f>1.25*(-1.077-5.374+1.703+1.423+1.379-2.481-1.36+2.757+1.621+3.927)+3.722+9.488-4.932</f>
        <v>11.425500000000001</v>
      </c>
      <c r="X35" s="263">
        <f>561+49+85</f>
        <v>695</v>
      </c>
      <c r="Y35" s="227">
        <f t="shared" si="28"/>
        <v>0.87888461538461549</v>
      </c>
      <c r="Z35" s="227">
        <f t="shared" si="29"/>
        <v>3.1211153846153845</v>
      </c>
      <c r="AA35" s="89">
        <f t="shared" si="30"/>
        <v>4.5877221435083033</v>
      </c>
      <c r="AB35" s="73">
        <f t="shared" si="31"/>
        <v>53.46153846153846</v>
      </c>
      <c r="AC35" s="203">
        <f>14.759+59.719+58.549+(131.402-15.701)+(101.643-0.8215)+(147.838-23.919)+11.699+14.115+0.667+46.503+(134.703-17.3515)+0+67.367</f>
        <v>731.17099999999994</v>
      </c>
      <c r="AD35" s="89">
        <f t="shared" si="32"/>
        <v>56.243923076923075</v>
      </c>
      <c r="AE35" s="89">
        <f t="shared" si="33"/>
        <v>7.4995948608523566</v>
      </c>
      <c r="AF35" s="9">
        <v>14</v>
      </c>
      <c r="AG35" s="9">
        <v>6</v>
      </c>
      <c r="AI35" s="54">
        <f t="shared" si="34"/>
        <v>20</v>
      </c>
      <c r="AK35" s="49">
        <v>34</v>
      </c>
      <c r="AL35" s="48">
        <f t="shared" si="35"/>
        <v>34</v>
      </c>
      <c r="AM35" s="36">
        <f t="shared" si="36"/>
        <v>0.66675730973082192</v>
      </c>
      <c r="AN35" s="34">
        <f t="shared" si="37"/>
        <v>0.71111111111111114</v>
      </c>
      <c r="AO35" s="34">
        <f t="shared" si="38"/>
        <v>0.54166666666666663</v>
      </c>
      <c r="AP35" s="34">
        <f t="shared" si="39"/>
        <v>0.56255442670537004</v>
      </c>
      <c r="AQ35" s="34">
        <f t="shared" si="40"/>
        <v>0.77460317460317474</v>
      </c>
      <c r="AR35" s="34">
        <f t="shared" si="41"/>
        <v>0.34149113532051051</v>
      </c>
      <c r="AS35" s="34">
        <f t="shared" si="42"/>
        <v>0.58199093111328537</v>
      </c>
      <c r="AT35" s="34">
        <f t="shared" si="43"/>
        <v>0.75000403848301977</v>
      </c>
      <c r="AU35" s="34">
        <f t="shared" si="44"/>
        <v>0.60880194394904719</v>
      </c>
      <c r="AV35" s="34">
        <f t="shared" si="45"/>
        <v>0.77529772236856498</v>
      </c>
      <c r="AW35" s="34">
        <f t="shared" si="46"/>
        <v>0.23529411764705882</v>
      </c>
      <c r="AX35" s="48">
        <v>3</v>
      </c>
      <c r="AY35" s="218">
        <v>1</v>
      </c>
      <c r="AZ35" s="220">
        <v>1</v>
      </c>
      <c r="BB35" s="205">
        <v>0.33333333333333331</v>
      </c>
      <c r="BC35" s="245">
        <f t="shared" si="47"/>
        <v>0</v>
      </c>
      <c r="BD35" s="35">
        <v>0.66650835847312406</v>
      </c>
      <c r="BE35">
        <v>1</v>
      </c>
      <c r="BF35" s="205">
        <v>7.4995948608523566</v>
      </c>
      <c r="BG35" s="34">
        <v>0.56255442670537004</v>
      </c>
      <c r="BH35" s="34">
        <v>0.77460317460317474</v>
      </c>
      <c r="BI35" s="34">
        <f>IF(A35&lt;17, SoC!O$3, IF(A35&lt;33, SoC!O$4, IF(A35&lt;49, SoC!O$5, IF(A35&lt;65, SoC!O$6, IF(A35&lt;81, SoC!O$7, IF(A35&lt;97, SoC!O$8, SoC!O$9))))))</f>
        <v>1.148154410748077</v>
      </c>
      <c r="BJ35" s="34"/>
      <c r="BK35" s="34"/>
      <c r="BL35" s="34"/>
      <c r="BM35" s="16" t="s">
        <v>72</v>
      </c>
      <c r="BN35">
        <v>34</v>
      </c>
      <c r="BO35">
        <v>34</v>
      </c>
      <c r="BP35">
        <v>45</v>
      </c>
      <c r="BQ35">
        <v>50</v>
      </c>
      <c r="BR35">
        <v>40</v>
      </c>
      <c r="BS35">
        <v>48</v>
      </c>
      <c r="BT35">
        <v>37</v>
      </c>
      <c r="BU35">
        <v>45</v>
      </c>
      <c r="BV35">
        <v>62</v>
      </c>
      <c r="BW35" s="154">
        <v>69</v>
      </c>
      <c r="BX35">
        <v>104</v>
      </c>
      <c r="BY35">
        <v>110</v>
      </c>
    </row>
    <row r="36" spans="1:77" x14ac:dyDescent="0.35">
      <c r="A36">
        <v>37</v>
      </c>
      <c r="B36" s="17" t="s">
        <v>171</v>
      </c>
      <c r="C36" s="17" t="s">
        <v>1096</v>
      </c>
      <c r="D36" s="17" t="s">
        <v>52</v>
      </c>
      <c r="F36" s="6">
        <v>7</v>
      </c>
      <c r="G36" s="6">
        <v>2</v>
      </c>
      <c r="I36" s="6">
        <v>5</v>
      </c>
      <c r="J36" s="6">
        <v>1</v>
      </c>
      <c r="M36" s="6">
        <v>1</v>
      </c>
      <c r="N36" s="6">
        <v>2</v>
      </c>
      <c r="P36">
        <f>161+19</f>
        <v>180</v>
      </c>
      <c r="Q36">
        <f>145+12</f>
        <v>157</v>
      </c>
      <c r="R36" s="73">
        <f t="shared" si="24"/>
        <v>15</v>
      </c>
      <c r="S36" s="73">
        <f t="shared" si="25"/>
        <v>13.083333333333334</v>
      </c>
      <c r="T36" s="73">
        <f t="shared" si="26"/>
        <v>1.9166666666666661</v>
      </c>
      <c r="U36">
        <f>87+5</f>
        <v>92</v>
      </c>
      <c r="V36" s="54">
        <f t="shared" si="27"/>
        <v>1.9565217391304348</v>
      </c>
      <c r="W36" s="9">
        <f>1.25*(-7.153-2.029+2.3-1.51+0.075+4.328+3.718-3.754+2.218)-1.049+8.908+9.955</f>
        <v>15.555249999999999</v>
      </c>
      <c r="X36" s="263">
        <f>407+62+17+37</f>
        <v>523</v>
      </c>
      <c r="Y36" s="227">
        <f t="shared" si="28"/>
        <v>1.2962708333333333</v>
      </c>
      <c r="Z36" s="227">
        <f t="shared" si="29"/>
        <v>0.62039583333333281</v>
      </c>
      <c r="AA36" s="89">
        <f t="shared" si="30"/>
        <v>2.9492646626524306</v>
      </c>
      <c r="AB36" s="73">
        <f t="shared" si="31"/>
        <v>43.583333333333336</v>
      </c>
      <c r="AC36" s="203">
        <f>5.388+37.785+81.927+51.403+0.158+65.747+28.129+2.653+11.121+29.808+(166.883-33.4415)+41.108</f>
        <v>488.66849999999999</v>
      </c>
      <c r="AD36" s="89">
        <f t="shared" si="32"/>
        <v>40.722375</v>
      </c>
      <c r="AE36" s="89">
        <f t="shared" si="33"/>
        <v>6.38140854357406</v>
      </c>
      <c r="AF36" s="9">
        <v>7</v>
      </c>
      <c r="AG36" s="9">
        <v>6</v>
      </c>
      <c r="AI36" s="54">
        <f t="shared" si="34"/>
        <v>13</v>
      </c>
      <c r="AK36" s="49">
        <v>35</v>
      </c>
      <c r="AL36" s="48">
        <f t="shared" si="35"/>
        <v>35</v>
      </c>
      <c r="AM36" s="36">
        <f t="shared" si="36"/>
        <v>0.66484126032083257</v>
      </c>
      <c r="AN36" s="34">
        <f t="shared" si="37"/>
        <v>0.8</v>
      </c>
      <c r="AO36" s="34">
        <f t="shared" si="38"/>
        <v>0.875</v>
      </c>
      <c r="AP36" s="34">
        <f t="shared" si="39"/>
        <v>0.29433962264150942</v>
      </c>
      <c r="AQ36" s="34">
        <f t="shared" si="40"/>
        <v>0.86931216931216926</v>
      </c>
      <c r="AR36" s="34">
        <f t="shared" si="41"/>
        <v>0.37026761826101079</v>
      </c>
      <c r="AS36" s="34">
        <f t="shared" si="42"/>
        <v>0.54281261244348489</v>
      </c>
      <c r="AT36" s="34">
        <f t="shared" si="43"/>
        <v>0.54143227712204145</v>
      </c>
      <c r="AU36" s="34">
        <f t="shared" si="44"/>
        <v>0.44790812341525632</v>
      </c>
      <c r="AV36" s="34">
        <f t="shared" si="45"/>
        <v>0.62367511036430767</v>
      </c>
      <c r="AW36" s="34">
        <f t="shared" si="46"/>
        <v>0.15294117647058825</v>
      </c>
      <c r="AX36" s="48">
        <v>12</v>
      </c>
      <c r="AY36" s="218">
        <v>1</v>
      </c>
      <c r="AZ36" s="220">
        <v>1</v>
      </c>
      <c r="BB36" s="205">
        <v>-1</v>
      </c>
      <c r="BC36" s="245">
        <f t="shared" si="47"/>
        <v>0</v>
      </c>
      <c r="BD36" s="35">
        <v>0.66278960889246974</v>
      </c>
      <c r="BE36">
        <v>1</v>
      </c>
      <c r="BF36" s="205">
        <v>6.38140854357406</v>
      </c>
      <c r="BG36" s="34">
        <v>0.29433962264150942</v>
      </c>
      <c r="BH36" s="34">
        <v>0.86931216931216926</v>
      </c>
      <c r="BI36" s="34">
        <f>IF(A36&lt;17, SoC!O$3, IF(A36&lt;33, SoC!O$4, IF(A36&lt;49, SoC!O$5, IF(A36&lt;65, SoC!O$6, IF(A36&lt;81, SoC!O$7, IF(A36&lt;97, SoC!O$8, SoC!O$9))))))</f>
        <v>1.0509770295874163</v>
      </c>
      <c r="BJ36" s="34"/>
      <c r="BK36" s="34"/>
      <c r="BL36" s="34"/>
      <c r="BM36" s="17" t="s">
        <v>52</v>
      </c>
      <c r="BN36">
        <v>35</v>
      </c>
      <c r="BO36">
        <v>33</v>
      </c>
      <c r="BP36">
        <v>37</v>
      </c>
      <c r="BQ36">
        <v>44</v>
      </c>
      <c r="BR36">
        <v>60</v>
      </c>
      <c r="BS36">
        <v>62</v>
      </c>
      <c r="BT36">
        <v>50</v>
      </c>
      <c r="BU36">
        <v>52</v>
      </c>
      <c r="BV36">
        <v>63</v>
      </c>
      <c r="BW36" s="154">
        <v>73</v>
      </c>
      <c r="BX36">
        <v>108</v>
      </c>
      <c r="BY36">
        <v>101</v>
      </c>
    </row>
    <row r="37" spans="1:77" x14ac:dyDescent="0.35">
      <c r="A37">
        <v>8</v>
      </c>
      <c r="B37" s="15" t="s">
        <v>143</v>
      </c>
      <c r="C37" s="15" t="s">
        <v>1084</v>
      </c>
      <c r="D37" s="15" t="s">
        <v>73</v>
      </c>
      <c r="F37" s="6">
        <v>6</v>
      </c>
      <c r="G37" s="6">
        <v>3</v>
      </c>
      <c r="I37" s="6">
        <v>4</v>
      </c>
      <c r="J37" s="6">
        <v>2</v>
      </c>
      <c r="M37" s="6">
        <v>2</v>
      </c>
      <c r="N37" s="6">
        <v>2</v>
      </c>
      <c r="P37">
        <v>224</v>
      </c>
      <c r="Q37">
        <f>179+12</f>
        <v>191</v>
      </c>
      <c r="R37" s="73">
        <f t="shared" si="24"/>
        <v>17.23076923076923</v>
      </c>
      <c r="S37" s="73">
        <f t="shared" si="25"/>
        <v>14.692307692307692</v>
      </c>
      <c r="T37" s="73">
        <f t="shared" si="26"/>
        <v>2.5384615384615383</v>
      </c>
      <c r="U37">
        <f>117+8</f>
        <v>125</v>
      </c>
      <c r="V37" s="54">
        <f t="shared" si="27"/>
        <v>1.792</v>
      </c>
      <c r="W37" s="9">
        <f>1.25*(-1.511-3.101-3.592-5.012+2.153+5.663+1.981-1.037+2.527)-1.134+4.032-2.864+1.545</f>
        <v>-0.83225000000000016</v>
      </c>
      <c r="X37" s="263">
        <f>398+65+48+79+57</f>
        <v>647</v>
      </c>
      <c r="Y37" s="227">
        <f t="shared" si="28"/>
        <v>-3.2009615384615393E-2</v>
      </c>
      <c r="Z37" s="227">
        <f t="shared" si="29"/>
        <v>2.6024807692307692</v>
      </c>
      <c r="AA37" s="89">
        <f t="shared" si="30"/>
        <v>3.6785645144323893</v>
      </c>
      <c r="AB37" s="73">
        <f t="shared" si="31"/>
        <v>49.769230769230766</v>
      </c>
      <c r="AC37" s="203">
        <f>26.952+22.038+44.302+35.91+12.897+52.95+92.452+31.013+23.116+11.637+9.709+74.986+70.279</f>
        <v>508.24099999999993</v>
      </c>
      <c r="AD37" s="89">
        <f t="shared" si="32"/>
        <v>39.095461538461535</v>
      </c>
      <c r="AE37" s="89">
        <f t="shared" si="33"/>
        <v>6.2526363670424283</v>
      </c>
      <c r="AF37" s="9">
        <v>7</v>
      </c>
      <c r="AG37" s="9">
        <v>12</v>
      </c>
      <c r="AI37" s="54">
        <f t="shared" si="34"/>
        <v>19</v>
      </c>
      <c r="AK37" s="49">
        <v>36</v>
      </c>
      <c r="AL37" s="48">
        <f t="shared" si="35"/>
        <v>36</v>
      </c>
      <c r="AM37" s="36">
        <f t="shared" si="36"/>
        <v>0.66161614242517219</v>
      </c>
      <c r="AN37" s="34">
        <f t="shared" si="37"/>
        <v>0.71111111111111114</v>
      </c>
      <c r="AO37" s="34">
        <f t="shared" si="38"/>
        <v>0.75</v>
      </c>
      <c r="AP37" s="34">
        <f t="shared" si="39"/>
        <v>0.4795355587808417</v>
      </c>
      <c r="AQ37" s="34">
        <f t="shared" si="40"/>
        <v>0.73650793650793656</v>
      </c>
      <c r="AR37" s="34">
        <f t="shared" si="41"/>
        <v>0.21082123721383345</v>
      </c>
      <c r="AS37" s="34">
        <f t="shared" si="42"/>
        <v>0.66749280662548616</v>
      </c>
      <c r="AT37" s="34">
        <f t="shared" si="43"/>
        <v>0.7067474745160266</v>
      </c>
      <c r="AU37" s="34">
        <f t="shared" si="44"/>
        <v>0.52145749855290369</v>
      </c>
      <c r="AV37" s="34">
        <f t="shared" si="45"/>
        <v>0.60621400083586763</v>
      </c>
      <c r="AW37" s="34">
        <f t="shared" si="46"/>
        <v>0.22352941176470589</v>
      </c>
      <c r="AX37" s="48">
        <v>38</v>
      </c>
      <c r="AY37" s="218">
        <v>1</v>
      </c>
      <c r="AZ37" s="220">
        <v>1</v>
      </c>
      <c r="BB37" s="205">
        <v>0</v>
      </c>
      <c r="BC37" s="245">
        <f t="shared" si="47"/>
        <v>0</v>
      </c>
      <c r="BD37" s="35">
        <v>0.66161614242517219</v>
      </c>
      <c r="BE37">
        <v>1</v>
      </c>
      <c r="BF37" s="205">
        <v>6.2526363670424283</v>
      </c>
      <c r="BG37" s="34">
        <v>0.4795355587808417</v>
      </c>
      <c r="BH37" s="34">
        <v>0.73650793650793656</v>
      </c>
      <c r="BI37" s="34">
        <f>IF(A37&lt;17, SoC!O$3, IF(A37&lt;33, SoC!O$4, IF(A37&lt;49, SoC!O$5, IF(A37&lt;65, SoC!O$6, IF(A37&lt;81, SoC!O$7, IF(A37&lt;97, SoC!O$8, SoC!O$9))))))</f>
        <v>1.0968295917365127</v>
      </c>
      <c r="BJ37" s="34"/>
      <c r="BK37" s="34"/>
      <c r="BL37" s="34"/>
      <c r="BM37" s="15" t="s">
        <v>73</v>
      </c>
      <c r="BN37">
        <v>36</v>
      </c>
      <c r="BO37">
        <v>36</v>
      </c>
      <c r="BP37">
        <v>43</v>
      </c>
      <c r="BQ37">
        <v>46</v>
      </c>
      <c r="BR37">
        <v>53</v>
      </c>
      <c r="BS37">
        <v>44</v>
      </c>
      <c r="BT37">
        <v>46</v>
      </c>
      <c r="BU37">
        <v>70</v>
      </c>
      <c r="BV37">
        <v>79</v>
      </c>
      <c r="BW37" s="154">
        <v>94</v>
      </c>
      <c r="BX37">
        <v>78</v>
      </c>
      <c r="BY37">
        <v>75</v>
      </c>
    </row>
    <row r="38" spans="1:77" x14ac:dyDescent="0.35">
      <c r="A38">
        <v>3</v>
      </c>
      <c r="B38" s="15" t="s">
        <v>143</v>
      </c>
      <c r="C38" s="15" t="s">
        <v>1085</v>
      </c>
      <c r="D38" s="15" t="s">
        <v>75</v>
      </c>
      <c r="F38" s="6">
        <v>6</v>
      </c>
      <c r="G38" s="6">
        <v>3</v>
      </c>
      <c r="I38" s="6">
        <v>4</v>
      </c>
      <c r="J38" s="6">
        <v>2</v>
      </c>
      <c r="L38" s="6">
        <v>2</v>
      </c>
      <c r="N38" s="6">
        <v>4</v>
      </c>
      <c r="P38">
        <f>210+17</f>
        <v>227</v>
      </c>
      <c r="Q38">
        <f>197+16</f>
        <v>213</v>
      </c>
      <c r="R38" s="73">
        <f t="shared" si="24"/>
        <v>15.133333333333333</v>
      </c>
      <c r="S38" s="73">
        <f t="shared" si="25"/>
        <v>14.2</v>
      </c>
      <c r="T38" s="73">
        <f t="shared" si="26"/>
        <v>0.93333333333333357</v>
      </c>
      <c r="U38">
        <f>111+10</f>
        <v>121</v>
      </c>
      <c r="V38" s="54">
        <f t="shared" si="27"/>
        <v>1.8760330578512396</v>
      </c>
      <c r="W38" s="9">
        <f>1.25*(1.266+0.72+4.709+0.763-0.676-1.069+0.032)+2.044-4.701-0.538-0.01+1.587+0.578+0.494</f>
        <v>6.6352499999999992</v>
      </c>
      <c r="X38" s="263">
        <f>449+73+84+83+67+66+67+72</f>
        <v>961</v>
      </c>
      <c r="Y38" s="227">
        <f t="shared" si="28"/>
        <v>0.44234999999999997</v>
      </c>
      <c r="Z38" s="227">
        <f t="shared" si="29"/>
        <v>0.4909833333333336</v>
      </c>
      <c r="AA38" s="89">
        <f t="shared" si="30"/>
        <v>4.1399797068280373</v>
      </c>
      <c r="AB38" s="73">
        <f t="shared" si="31"/>
        <v>64.066666666666663</v>
      </c>
      <c r="AC38" s="203">
        <f>4.979+33.433+57.965+12.526+19.331+53.381+54.973+26.926+24.3859+28.04+34.91+20.623+81.943+30.187</f>
        <v>483.60290000000003</v>
      </c>
      <c r="AD38" s="89">
        <f t="shared" si="32"/>
        <v>32.240193333333337</v>
      </c>
      <c r="AE38" s="89">
        <f t="shared" si="33"/>
        <v>5.6780448512963808</v>
      </c>
      <c r="AF38" s="9">
        <v>28</v>
      </c>
      <c r="AG38" s="9">
        <v>12</v>
      </c>
      <c r="AH38" s="20">
        <v>20</v>
      </c>
      <c r="AI38" s="54">
        <f t="shared" si="34"/>
        <v>60</v>
      </c>
      <c r="AK38" s="49">
        <v>37</v>
      </c>
      <c r="AL38" s="48">
        <f t="shared" si="35"/>
        <v>37</v>
      </c>
      <c r="AM38" s="36">
        <f t="shared" si="36"/>
        <v>0.66033376284552492</v>
      </c>
      <c r="AN38" s="34">
        <f t="shared" si="37"/>
        <v>0.71111111111111114</v>
      </c>
      <c r="AO38" s="34">
        <f t="shared" si="38"/>
        <v>0.66666666666666663</v>
      </c>
      <c r="AP38" s="34">
        <f t="shared" si="39"/>
        <v>0.30540880503144646</v>
      </c>
      <c r="AQ38" s="34">
        <f t="shared" si="40"/>
        <v>0.77714285714285725</v>
      </c>
      <c r="AR38" s="34">
        <f t="shared" si="41"/>
        <v>0.29226194549667955</v>
      </c>
      <c r="AS38" s="34">
        <f t="shared" si="42"/>
        <v>0.62296663068475155</v>
      </c>
      <c r="AT38" s="34">
        <f t="shared" si="43"/>
        <v>0.53063866651772973</v>
      </c>
      <c r="AU38" s="34">
        <f t="shared" si="44"/>
        <v>0.56629843755599085</v>
      </c>
      <c r="AV38" s="34">
        <f t="shared" si="45"/>
        <v>0.52830116546424832</v>
      </c>
      <c r="AW38" s="34">
        <f t="shared" si="46"/>
        <v>0.70588235294117652</v>
      </c>
      <c r="AX38" s="48">
        <v>93</v>
      </c>
      <c r="AY38" s="218">
        <v>2</v>
      </c>
      <c r="AZ38" s="220">
        <v>3</v>
      </c>
      <c r="BB38" s="205">
        <v>0.33333333333333331</v>
      </c>
      <c r="BC38" s="245">
        <f t="shared" si="47"/>
        <v>0</v>
      </c>
      <c r="BD38" s="35">
        <v>0.66033376284552492</v>
      </c>
      <c r="BE38">
        <v>4</v>
      </c>
      <c r="BF38" s="205">
        <v>5.6780448512963808</v>
      </c>
      <c r="BG38" s="34">
        <v>0.30540880503144646</v>
      </c>
      <c r="BH38" s="34">
        <v>0.77714285714285725</v>
      </c>
      <c r="BI38" s="34">
        <f>IF(A38&lt;17, SoC!O$3, IF(A38&lt;33, SoC!O$4, IF(A38&lt;49, SoC!O$5, IF(A38&lt;65, SoC!O$6, IF(A38&lt;81, SoC!O$7, IF(A38&lt;97, SoC!O$8, SoC!O$9))))))</f>
        <v>1.0968295917365127</v>
      </c>
      <c r="BJ38" s="34"/>
      <c r="BK38" s="34"/>
      <c r="BL38" s="34"/>
      <c r="BM38" s="15" t="s">
        <v>75</v>
      </c>
      <c r="BN38">
        <v>37</v>
      </c>
      <c r="BO38">
        <v>35</v>
      </c>
      <c r="BP38">
        <v>40</v>
      </c>
      <c r="BQ38">
        <v>36</v>
      </c>
      <c r="BR38">
        <v>32</v>
      </c>
      <c r="BS38">
        <v>31</v>
      </c>
      <c r="BT38">
        <v>40</v>
      </c>
      <c r="BU38">
        <v>42</v>
      </c>
      <c r="BV38">
        <v>32</v>
      </c>
      <c r="BW38" s="154">
        <v>48</v>
      </c>
      <c r="BX38">
        <v>61</v>
      </c>
      <c r="BY38">
        <v>24</v>
      </c>
    </row>
    <row r="39" spans="1:77" x14ac:dyDescent="0.35">
      <c r="A39">
        <v>29</v>
      </c>
      <c r="B39" s="16" t="s">
        <v>144</v>
      </c>
      <c r="C39" s="16" t="s">
        <v>1369</v>
      </c>
      <c r="D39" s="16" t="s">
        <v>66</v>
      </c>
      <c r="F39" s="6">
        <v>5</v>
      </c>
      <c r="G39" s="6">
        <v>4</v>
      </c>
      <c r="I39" s="6">
        <v>4</v>
      </c>
      <c r="J39" s="6">
        <v>2</v>
      </c>
      <c r="L39" s="6">
        <v>3</v>
      </c>
      <c r="N39" s="6">
        <v>2</v>
      </c>
      <c r="P39">
        <f>209+22</f>
        <v>231</v>
      </c>
      <c r="Q39">
        <f>194+16</f>
        <v>210</v>
      </c>
      <c r="R39" s="73">
        <f t="shared" si="24"/>
        <v>16.5</v>
      </c>
      <c r="S39" s="73">
        <f t="shared" si="25"/>
        <v>15</v>
      </c>
      <c r="T39" s="73">
        <f t="shared" si="26"/>
        <v>1.5</v>
      </c>
      <c r="U39">
        <f>105+12</f>
        <v>117</v>
      </c>
      <c r="V39" s="54">
        <f t="shared" si="27"/>
        <v>1.9743589743589745</v>
      </c>
      <c r="W39" s="9">
        <f>1.25*(0.562+0.594-4.335+2.205+1.36+6.531+4.584-3.617-2.713)+3.491+7.606-5.872-0.248-2.531</f>
        <v>8.9097499999999989</v>
      </c>
      <c r="X39" s="263">
        <f>712+48+83+65+67</f>
        <v>975</v>
      </c>
      <c r="Y39" s="227">
        <f t="shared" si="28"/>
        <v>0.63641071428571416</v>
      </c>
      <c r="Z39" s="227">
        <f t="shared" si="29"/>
        <v>0.86358928571428584</v>
      </c>
      <c r="AA39" s="89">
        <f t="shared" si="30"/>
        <v>4.9345515344694997</v>
      </c>
      <c r="AB39" s="73">
        <f t="shared" si="31"/>
        <v>69.642857142857139</v>
      </c>
      <c r="AC39" s="203">
        <f>2.626+45.853+82.796+83.885+58.023+0+9.016+60.204+20.226+1.114+6.883+28.039+23.916+47.887</f>
        <v>470.46800000000002</v>
      </c>
      <c r="AD39" s="89">
        <f t="shared" si="32"/>
        <v>33.604857142857142</v>
      </c>
      <c r="AE39" s="89">
        <f t="shared" si="33"/>
        <v>5.7969696517108957</v>
      </c>
      <c r="AF39" s="9">
        <v>35</v>
      </c>
      <c r="AG39" s="9">
        <v>6</v>
      </c>
      <c r="AH39" s="9">
        <v>8</v>
      </c>
      <c r="AI39" s="54">
        <f t="shared" si="34"/>
        <v>49</v>
      </c>
      <c r="AK39" s="49">
        <v>38</v>
      </c>
      <c r="AL39" s="48">
        <f t="shared" si="35"/>
        <v>38</v>
      </c>
      <c r="AM39" s="36">
        <f t="shared" si="36"/>
        <v>0.64815584217041933</v>
      </c>
      <c r="AN39" s="34">
        <f t="shared" si="37"/>
        <v>0.62222222222222223</v>
      </c>
      <c r="AO39" s="34">
        <f t="shared" si="38"/>
        <v>0.66666666666666663</v>
      </c>
      <c r="AP39" s="34">
        <f t="shared" si="39"/>
        <v>0.41886792452830185</v>
      </c>
      <c r="AQ39" s="34">
        <f t="shared" si="40"/>
        <v>0.71111111111111114</v>
      </c>
      <c r="AR39" s="34">
        <f t="shared" si="41"/>
        <v>0.38755458969779488</v>
      </c>
      <c r="AS39" s="34">
        <f t="shared" si="42"/>
        <v>0.60475095374424237</v>
      </c>
      <c r="AT39" s="34">
        <f t="shared" si="43"/>
        <v>0.56171575380720118</v>
      </c>
      <c r="AU39" s="34">
        <f t="shared" si="44"/>
        <v>0.64113583897794535</v>
      </c>
      <c r="AV39" s="34">
        <f t="shared" si="45"/>
        <v>0.54442700119690457</v>
      </c>
      <c r="AW39" s="34">
        <f t="shared" si="46"/>
        <v>0.57647058823529407</v>
      </c>
      <c r="AX39" s="48">
        <v>74</v>
      </c>
      <c r="AY39" s="218">
        <v>1</v>
      </c>
      <c r="AZ39" s="220">
        <v>5</v>
      </c>
      <c r="BB39" s="205">
        <v>-1.6666666666666665</v>
      </c>
      <c r="BC39" s="245">
        <f t="shared" si="47"/>
        <v>0</v>
      </c>
      <c r="BD39" s="35">
        <v>0.64789202952755909</v>
      </c>
      <c r="BE39">
        <v>3</v>
      </c>
      <c r="BF39" s="205">
        <v>5.7969696517108957</v>
      </c>
      <c r="BG39" s="34">
        <v>0.41886792452830185</v>
      </c>
      <c r="BH39" s="34">
        <v>0.71111111111111114</v>
      </c>
      <c r="BI39" s="34">
        <f>IF(A39&lt;17, SoC!O$3, IF(A39&lt;33, SoC!O$4, IF(A39&lt;49, SoC!O$5, IF(A39&lt;65, SoC!O$6, IF(A39&lt;81, SoC!O$7, IF(A39&lt;97, SoC!O$8, SoC!O$9))))))</f>
        <v>1.148154410748077</v>
      </c>
      <c r="BJ39" s="34"/>
      <c r="BK39" s="34"/>
      <c r="BL39" s="34"/>
      <c r="BM39" s="16" t="s">
        <v>66</v>
      </c>
      <c r="BN39">
        <v>38</v>
      </c>
      <c r="BO39">
        <v>37</v>
      </c>
      <c r="BP39">
        <v>49</v>
      </c>
      <c r="BQ39">
        <v>49</v>
      </c>
      <c r="BR39">
        <v>34</v>
      </c>
      <c r="BS39">
        <v>29</v>
      </c>
      <c r="BT39">
        <v>16</v>
      </c>
      <c r="BU39">
        <v>18</v>
      </c>
      <c r="BV39">
        <v>24</v>
      </c>
      <c r="BW39" s="154">
        <v>49</v>
      </c>
      <c r="BX39">
        <v>66</v>
      </c>
      <c r="BY39">
        <v>39</v>
      </c>
    </row>
    <row r="40" spans="1:77" x14ac:dyDescent="0.35">
      <c r="A40">
        <v>94</v>
      </c>
      <c r="B40" s="58" t="s">
        <v>799</v>
      </c>
      <c r="C40" s="58" t="s">
        <v>1105</v>
      </c>
      <c r="D40" s="58" t="s">
        <v>787</v>
      </c>
      <c r="F40" s="6">
        <v>4</v>
      </c>
      <c r="G40" s="6">
        <v>5</v>
      </c>
      <c r="I40" s="6">
        <v>3</v>
      </c>
      <c r="J40" s="6">
        <v>3</v>
      </c>
      <c r="L40" s="6">
        <v>3</v>
      </c>
      <c r="M40" s="6">
        <v>2</v>
      </c>
      <c r="N40" s="6">
        <v>1</v>
      </c>
      <c r="P40">
        <f>274+20</f>
        <v>294</v>
      </c>
      <c r="Q40">
        <f>212+21</f>
        <v>233</v>
      </c>
      <c r="R40" s="73">
        <f t="shared" si="24"/>
        <v>19.600000000000001</v>
      </c>
      <c r="S40" s="73">
        <f t="shared" si="25"/>
        <v>15.533333333333333</v>
      </c>
      <c r="T40" s="73">
        <f t="shared" si="26"/>
        <v>4.0666666666666682</v>
      </c>
      <c r="U40">
        <f>138+10</f>
        <v>148</v>
      </c>
      <c r="V40" s="54">
        <f t="shared" si="27"/>
        <v>1.9864864864864864</v>
      </c>
      <c r="W40" s="9">
        <f>1.25*(0.623+1.426+2.059+6.6+1.476-3.299+6.455+0.016+0.992+3.731)-1.603+0.188+5.847-4.538-1.306</f>
        <v>23.68675</v>
      </c>
      <c r="X40" s="263">
        <f>504+69+60+46+81+73</f>
        <v>833</v>
      </c>
      <c r="Y40" s="227">
        <f t="shared" si="28"/>
        <v>1.5791166666666667</v>
      </c>
      <c r="Z40" s="227">
        <f t="shared" si="29"/>
        <v>2.4875500000000015</v>
      </c>
      <c r="AA40" s="89">
        <f t="shared" si="30"/>
        <v>3.3653389406240897</v>
      </c>
      <c r="AB40" s="73">
        <f t="shared" si="31"/>
        <v>55.533333333333331</v>
      </c>
      <c r="AC40" s="203">
        <f>(101.269-0.6345)+7.332+25.956+4.838+69.767+21.608+21.659+60.27+59.033+38.489+23.159+29.92+42.883+52.01+8.123</f>
        <v>565.68150000000003</v>
      </c>
      <c r="AD40" s="89">
        <f t="shared" si="32"/>
        <v>37.7121</v>
      </c>
      <c r="AE40" s="89">
        <f t="shared" si="33"/>
        <v>6.1410178309462671</v>
      </c>
      <c r="AF40" s="9">
        <v>35</v>
      </c>
      <c r="AG40" s="9">
        <v>12</v>
      </c>
      <c r="AI40" s="54">
        <f t="shared" si="34"/>
        <v>47</v>
      </c>
      <c r="AK40" s="49">
        <v>39</v>
      </c>
      <c r="AL40" s="48">
        <f t="shared" si="35"/>
        <v>39</v>
      </c>
      <c r="AM40" s="36">
        <f t="shared" si="36"/>
        <v>0.63517794602310418</v>
      </c>
      <c r="AN40" s="34">
        <f t="shared" si="37"/>
        <v>0.55555555555555558</v>
      </c>
      <c r="AO40" s="34">
        <f t="shared" si="38"/>
        <v>0.58333333333333337</v>
      </c>
      <c r="AP40" s="34">
        <f t="shared" si="39"/>
        <v>0.67622641509433967</v>
      </c>
      <c r="AQ40" s="34">
        <f t="shared" si="40"/>
        <v>0.66708994708994718</v>
      </c>
      <c r="AR40" s="34">
        <f t="shared" si="41"/>
        <v>0.39930797821689196</v>
      </c>
      <c r="AS40" s="34">
        <f t="shared" si="42"/>
        <v>0.51626304344425156</v>
      </c>
      <c r="AT40" s="34">
        <f t="shared" si="43"/>
        <v>0.69716170830695923</v>
      </c>
      <c r="AU40" s="34">
        <f t="shared" si="44"/>
        <v>0.49031564070460132</v>
      </c>
      <c r="AV40" s="34">
        <f t="shared" si="45"/>
        <v>0.59107887198526177</v>
      </c>
      <c r="AW40" s="34">
        <f t="shared" si="46"/>
        <v>0.55294117647058827</v>
      </c>
      <c r="AX40" s="48">
        <v>48</v>
      </c>
      <c r="AY40" s="218">
        <v>1</v>
      </c>
      <c r="AZ40" s="220">
        <v>3</v>
      </c>
      <c r="BB40" s="205">
        <v>0.33333333333333331</v>
      </c>
      <c r="BC40" s="245">
        <f t="shared" si="47"/>
        <v>0</v>
      </c>
      <c r="BD40" s="35">
        <v>0.63685074830885313</v>
      </c>
      <c r="BE40">
        <v>2</v>
      </c>
      <c r="BF40" s="205">
        <v>6.1410178309462671</v>
      </c>
      <c r="BG40" s="34">
        <v>0.67622641509433967</v>
      </c>
      <c r="BH40" s="34">
        <v>0.66708994708994718</v>
      </c>
      <c r="BI40" s="34">
        <f>IF(A40&lt;17, SoC!O$3, IF(A40&lt;33, SoC!O$4, IF(A40&lt;49, SoC!O$5, IF(A40&lt;65, SoC!O$6, IF(A40&lt;81, SoC!O$7, IF(A40&lt;97, SoC!O$8, SoC!O$9))))))</f>
        <v>0.8076740483754814</v>
      </c>
      <c r="BJ40" s="34"/>
      <c r="BK40" s="34"/>
      <c r="BL40" s="34"/>
      <c r="BM40" s="58" t="s">
        <v>787</v>
      </c>
      <c r="BN40">
        <v>39</v>
      </c>
      <c r="BO40">
        <v>39</v>
      </c>
      <c r="BP40">
        <v>35</v>
      </c>
      <c r="BQ40">
        <v>42</v>
      </c>
      <c r="BR40">
        <v>45</v>
      </c>
      <c r="BS40">
        <v>39</v>
      </c>
      <c r="BT40">
        <v>54</v>
      </c>
      <c r="BU40">
        <v>60</v>
      </c>
      <c r="BV40">
        <v>33</v>
      </c>
      <c r="BW40" s="154">
        <v>41</v>
      </c>
      <c r="BX40">
        <v>11</v>
      </c>
      <c r="BY40">
        <v>65</v>
      </c>
    </row>
    <row r="41" spans="1:77" x14ac:dyDescent="0.35">
      <c r="A41">
        <v>67</v>
      </c>
      <c r="B41" s="21" t="s">
        <v>173</v>
      </c>
      <c r="C41" s="21" t="s">
        <v>166</v>
      </c>
      <c r="D41" s="21" t="s">
        <v>34</v>
      </c>
      <c r="F41" s="6">
        <v>5</v>
      </c>
      <c r="G41" s="6">
        <v>4</v>
      </c>
      <c r="I41" s="6">
        <v>4</v>
      </c>
      <c r="J41" s="6">
        <v>2</v>
      </c>
      <c r="L41" s="6">
        <v>3</v>
      </c>
      <c r="N41" s="6">
        <v>1</v>
      </c>
      <c r="P41">
        <f>174+18</f>
        <v>192</v>
      </c>
      <c r="Q41">
        <f>166+12</f>
        <v>178</v>
      </c>
      <c r="R41" s="73">
        <f t="shared" si="24"/>
        <v>14.76923076923077</v>
      </c>
      <c r="S41" s="73">
        <f t="shared" si="25"/>
        <v>13.692307692307692</v>
      </c>
      <c r="T41" s="73">
        <f t="shared" si="26"/>
        <v>1.0769230769230784</v>
      </c>
      <c r="U41">
        <f>82+9</f>
        <v>91</v>
      </c>
      <c r="V41" s="54">
        <f t="shared" si="27"/>
        <v>2.1098901098901099</v>
      </c>
      <c r="W41" s="9">
        <f>1.25*(5.313+6.027+1.827+2.252-0.364+2.625+4.665)+5.274-5.335+5.127+1.549-0.111-0.637</f>
        <v>33.798250000000003</v>
      </c>
      <c r="X41" s="263">
        <f>522+74+87+59+61+73+69</f>
        <v>945</v>
      </c>
      <c r="Y41" s="227">
        <f t="shared" si="28"/>
        <v>2.5998653846153847</v>
      </c>
      <c r="Z41" s="227">
        <f t="shared" si="29"/>
        <v>-1.5229423076923063</v>
      </c>
      <c r="AA41" s="89">
        <f t="shared" si="30"/>
        <v>3.7818510008025594</v>
      </c>
      <c r="AB41" s="73">
        <f t="shared" si="31"/>
        <v>72.692307692307693</v>
      </c>
      <c r="AC41" s="203">
        <f>26.588+3.147+1.255+52.217+0+46.065+28.16+5.362+46.47+0+87.041+0+68.5</f>
        <v>364.80499999999995</v>
      </c>
      <c r="AD41" s="89">
        <f t="shared" si="32"/>
        <v>28.061923076923073</v>
      </c>
      <c r="AE41" s="89">
        <f t="shared" si="33"/>
        <v>5.2973505714576863</v>
      </c>
      <c r="AF41" s="9">
        <v>35</v>
      </c>
      <c r="AG41" s="9">
        <v>12</v>
      </c>
      <c r="AH41" s="20">
        <v>23</v>
      </c>
      <c r="AI41" s="54">
        <f t="shared" si="34"/>
        <v>70</v>
      </c>
      <c r="AK41" s="49">
        <v>40</v>
      </c>
      <c r="AL41" s="48">
        <f t="shared" si="35"/>
        <v>40</v>
      </c>
      <c r="AM41" s="36">
        <f t="shared" si="36"/>
        <v>0.63304190682360084</v>
      </c>
      <c r="AN41" s="34">
        <f t="shared" si="37"/>
        <v>0.62222222222222223</v>
      </c>
      <c r="AO41" s="34">
        <f t="shared" si="38"/>
        <v>0.66666666666666663</v>
      </c>
      <c r="AP41" s="34">
        <f t="shared" si="39"/>
        <v>0.27518142235123372</v>
      </c>
      <c r="AQ41" s="34">
        <f t="shared" si="40"/>
        <v>0.81904761904761914</v>
      </c>
      <c r="AR41" s="34">
        <f t="shared" si="41"/>
        <v>0.51890470302550196</v>
      </c>
      <c r="AS41" s="34">
        <f t="shared" si="42"/>
        <v>0.4204495813943413</v>
      </c>
      <c r="AT41" s="34">
        <f t="shared" si="43"/>
        <v>0.36266780469781573</v>
      </c>
      <c r="AU41" s="34">
        <f t="shared" si="44"/>
        <v>0.53159612855895744</v>
      </c>
      <c r="AV41" s="34">
        <f t="shared" si="45"/>
        <v>0.47668019658607463</v>
      </c>
      <c r="AW41" s="34">
        <f t="shared" si="46"/>
        <v>0.82352941176470584</v>
      </c>
      <c r="AX41" s="48">
        <v>157</v>
      </c>
      <c r="AY41" s="218">
        <v>2</v>
      </c>
      <c r="AZ41" s="220">
        <v>1</v>
      </c>
      <c r="BB41" s="205">
        <v>0</v>
      </c>
      <c r="BC41" s="245">
        <f t="shared" si="47"/>
        <v>0</v>
      </c>
      <c r="BD41" s="35">
        <v>0.63404936285597924</v>
      </c>
      <c r="BE41">
        <v>5</v>
      </c>
      <c r="BF41" s="205">
        <v>5.2973505714576863</v>
      </c>
      <c r="BG41" s="34">
        <v>0.27518142235123372</v>
      </c>
      <c r="BH41" s="34">
        <v>0.81904761904761914</v>
      </c>
      <c r="BI41" s="34">
        <f>IF(A41&lt;17, SoC!O$3, IF(A41&lt;33, SoC!O$4, IF(A41&lt;49, SoC!O$5, IF(A41&lt;65, SoC!O$6, IF(A41&lt;81, SoC!O$7, IF(A41&lt;97, SoC!O$8, SoC!O$9))))))</f>
        <v>0.87413259868968274</v>
      </c>
      <c r="BJ41" s="34"/>
      <c r="BK41" s="34"/>
      <c r="BL41" s="34"/>
      <c r="BM41" s="21" t="s">
        <v>34</v>
      </c>
      <c r="BN41">
        <v>40</v>
      </c>
      <c r="BO41">
        <v>42</v>
      </c>
      <c r="BP41">
        <v>36</v>
      </c>
      <c r="BQ41">
        <v>26</v>
      </c>
      <c r="BR41">
        <v>30</v>
      </c>
      <c r="BS41">
        <v>19</v>
      </c>
      <c r="BT41">
        <v>26</v>
      </c>
      <c r="BU41">
        <v>9</v>
      </c>
      <c r="BV41">
        <v>23</v>
      </c>
      <c r="BW41" s="154">
        <v>7</v>
      </c>
      <c r="BX41">
        <v>7</v>
      </c>
      <c r="BY41">
        <v>1</v>
      </c>
    </row>
    <row r="42" spans="1:77" x14ac:dyDescent="0.35">
      <c r="A42">
        <v>108</v>
      </c>
      <c r="B42" s="69" t="s">
        <v>1296</v>
      </c>
      <c r="C42" s="69" t="s">
        <v>918</v>
      </c>
      <c r="D42" s="69" t="s">
        <v>965</v>
      </c>
      <c r="F42" s="6">
        <v>6</v>
      </c>
      <c r="G42" s="6">
        <v>3</v>
      </c>
      <c r="I42" s="6">
        <v>3</v>
      </c>
      <c r="J42" s="6">
        <v>2</v>
      </c>
      <c r="L42" s="6">
        <v>1</v>
      </c>
      <c r="N42" s="6">
        <v>3</v>
      </c>
      <c r="P42">
        <f>175+17</f>
        <v>192</v>
      </c>
      <c r="Q42">
        <f>163+2</f>
        <v>165</v>
      </c>
      <c r="R42" s="73">
        <f t="shared" si="24"/>
        <v>14.76923076923077</v>
      </c>
      <c r="S42" s="73">
        <f t="shared" si="25"/>
        <v>12.692307692307692</v>
      </c>
      <c r="T42" s="73">
        <f t="shared" si="26"/>
        <v>2.0769230769230784</v>
      </c>
      <c r="U42">
        <f>81+9</f>
        <v>90</v>
      </c>
      <c r="V42" s="54">
        <f t="shared" si="27"/>
        <v>2.1333333333333333</v>
      </c>
      <c r="W42" s="9">
        <f>1.25*(2.064+0.623+5.051+2.07+7.084+0.692+0.824+1.681+2.018)-2.661+5.539-1.43+2.468</f>
        <v>31.54975</v>
      </c>
      <c r="X42" s="263">
        <f>518+66+31+74+45</f>
        <v>734</v>
      </c>
      <c r="Y42" s="227">
        <f t="shared" si="28"/>
        <v>2.4269038461538459</v>
      </c>
      <c r="Z42" s="227">
        <f t="shared" si="29"/>
        <v>-0.34998076923076749</v>
      </c>
      <c r="AA42" s="89">
        <f t="shared" si="30"/>
        <v>3.0878404316265313</v>
      </c>
      <c r="AB42" s="73">
        <f t="shared" si="31"/>
        <v>56.46153846153846</v>
      </c>
      <c r="AC42" s="203">
        <f>1.659+44.472+(146.004-23.002)+71.194+3.167+12.041+6.083+9.043+23.466+29.282+32.792+6.83+(415.863-204.3571)</f>
        <v>574.53690000000006</v>
      </c>
      <c r="AD42" s="89">
        <f t="shared" si="32"/>
        <v>44.19514615384616</v>
      </c>
      <c r="AE42" s="89">
        <f t="shared" si="33"/>
        <v>6.6479430016995602</v>
      </c>
      <c r="AF42" s="9">
        <v>21</v>
      </c>
      <c r="AG42" s="9">
        <v>6</v>
      </c>
      <c r="AH42" s="9">
        <v>11</v>
      </c>
      <c r="AI42" s="54">
        <f t="shared" si="34"/>
        <v>38</v>
      </c>
      <c r="AK42" s="49">
        <v>41</v>
      </c>
      <c r="AL42" s="48">
        <f t="shared" si="35"/>
        <v>41</v>
      </c>
      <c r="AM42" s="36">
        <f t="shared" si="36"/>
        <v>0.63202978221908757</v>
      </c>
      <c r="AN42" s="34">
        <f t="shared" si="37"/>
        <v>0.68888888888888888</v>
      </c>
      <c r="AO42" s="34">
        <f t="shared" si="38"/>
        <v>0.6</v>
      </c>
      <c r="AP42" s="34">
        <f t="shared" si="39"/>
        <v>0.27518142235123372</v>
      </c>
      <c r="AQ42" s="34">
        <f t="shared" si="40"/>
        <v>0.90158730158730171</v>
      </c>
      <c r="AR42" s="34">
        <f t="shared" si="41"/>
        <v>0.54162472262813233</v>
      </c>
      <c r="AS42" s="34">
        <f t="shared" si="42"/>
        <v>0.43668476593102312</v>
      </c>
      <c r="AT42" s="34">
        <f t="shared" si="43"/>
        <v>0.46049830870622493</v>
      </c>
      <c r="AU42" s="34">
        <f t="shared" si="44"/>
        <v>0.46217625577806737</v>
      </c>
      <c r="AV42" s="34">
        <f t="shared" si="45"/>
        <v>0.65981635990892151</v>
      </c>
      <c r="AW42" s="34">
        <f t="shared" si="46"/>
        <v>0.44705882352941179</v>
      </c>
      <c r="AX42" s="48">
        <v>80</v>
      </c>
      <c r="AY42" s="218">
        <v>1</v>
      </c>
      <c r="AZ42" s="220">
        <v>3</v>
      </c>
      <c r="BB42" s="205">
        <v>0</v>
      </c>
      <c r="BC42" s="245">
        <f t="shared" si="47"/>
        <v>0</v>
      </c>
      <c r="BD42" s="35">
        <v>0.63285973565937093</v>
      </c>
      <c r="BE42">
        <v>3</v>
      </c>
      <c r="BF42" s="205">
        <v>6.6479430016995602</v>
      </c>
      <c r="BG42" s="34">
        <v>0.27518142235123372</v>
      </c>
      <c r="BH42" s="34">
        <v>0.90158730158730171</v>
      </c>
      <c r="BI42" s="34">
        <f>IF(A42&lt;17, SoC!O$3, IF(A42&lt;33, SoC!O$4, IF(A42&lt;49, SoC!O$5, IF(A42&lt;65, SoC!O$6, IF(A42&lt;81, SoC!O$7, IF(A42&lt;97, SoC!O$8, SoC!O$9))))))</f>
        <v>0.84292189346881985</v>
      </c>
      <c r="BJ42" s="34"/>
      <c r="BK42" s="34"/>
      <c r="BL42" s="34"/>
      <c r="BM42" s="69" t="s">
        <v>965</v>
      </c>
      <c r="BN42">
        <v>41</v>
      </c>
      <c r="BO42">
        <v>40</v>
      </c>
      <c r="BP42">
        <v>50</v>
      </c>
      <c r="BQ42">
        <v>43</v>
      </c>
      <c r="BR42">
        <v>51</v>
      </c>
      <c r="BS42">
        <v>52</v>
      </c>
      <c r="BT42">
        <v>32</v>
      </c>
      <c r="BU42">
        <v>19</v>
      </c>
      <c r="BV42">
        <v>27</v>
      </c>
      <c r="BW42" s="154">
        <v>51</v>
      </c>
      <c r="BX42">
        <v>71</v>
      </c>
      <c r="BY42">
        <v>33</v>
      </c>
    </row>
    <row r="43" spans="1:77" x14ac:dyDescent="0.35">
      <c r="A43">
        <v>38</v>
      </c>
      <c r="B43" s="17" t="s">
        <v>171</v>
      </c>
      <c r="C43" s="17" t="s">
        <v>1096</v>
      </c>
      <c r="D43" s="17" t="s">
        <v>50</v>
      </c>
      <c r="F43" s="6">
        <v>5</v>
      </c>
      <c r="G43" s="6">
        <v>4</v>
      </c>
      <c r="I43" s="6">
        <v>5</v>
      </c>
      <c r="J43" s="6">
        <v>1</v>
      </c>
      <c r="L43" s="6">
        <v>2</v>
      </c>
      <c r="N43" s="6">
        <v>3</v>
      </c>
      <c r="P43">
        <f>201+23</f>
        <v>224</v>
      </c>
      <c r="Q43">
        <f>195+24</f>
        <v>219</v>
      </c>
      <c r="R43" s="73">
        <f t="shared" si="24"/>
        <v>16</v>
      </c>
      <c r="S43" s="73">
        <f t="shared" si="25"/>
        <v>15.642857142857142</v>
      </c>
      <c r="T43" s="73">
        <f t="shared" si="26"/>
        <v>0.35714285714285765</v>
      </c>
      <c r="U43">
        <f>98+11</f>
        <v>109</v>
      </c>
      <c r="V43" s="54">
        <f t="shared" si="27"/>
        <v>2.0550458715596331</v>
      </c>
      <c r="W43" s="9">
        <f>1.25*(4.059-1.364+2.426+3.735+6.95+4.081+3.976+0.409+2.295)+1.049-0.148-0.198+0.248-9.984</f>
        <v>24.175749999999994</v>
      </c>
      <c r="X43" s="263">
        <f>573+62+70+75+65+77</f>
        <v>922</v>
      </c>
      <c r="Y43" s="227">
        <f t="shared" si="28"/>
        <v>1.7268392857142854</v>
      </c>
      <c r="Z43" s="227">
        <f t="shared" si="29"/>
        <v>-1.3696964285714277</v>
      </c>
      <c r="AA43" s="89">
        <f t="shared" si="30"/>
        <v>3.8726826539347754</v>
      </c>
      <c r="AB43" s="73">
        <f t="shared" si="31"/>
        <v>65.857142857142861</v>
      </c>
      <c r="AC43" s="203">
        <f>41.945+60.459+18.622+28.093+57.033+2.128+0+27.702+26.658+15.358+97.871+1.394+15.294+26.912</f>
        <v>419.46899999999994</v>
      </c>
      <c r="AD43" s="89">
        <f t="shared" si="32"/>
        <v>29.962071428571424</v>
      </c>
      <c r="AE43" s="89">
        <f t="shared" si="33"/>
        <v>5.4737620909728459</v>
      </c>
      <c r="AF43" s="9">
        <v>28</v>
      </c>
      <c r="AG43" s="9">
        <v>6</v>
      </c>
      <c r="AH43" s="9">
        <v>11</v>
      </c>
      <c r="AI43" s="54">
        <f t="shared" si="34"/>
        <v>45</v>
      </c>
      <c r="AK43" s="49">
        <v>42</v>
      </c>
      <c r="AL43" s="48">
        <f t="shared" si="35"/>
        <v>42</v>
      </c>
      <c r="AM43" s="36">
        <f t="shared" si="36"/>
        <v>0.61995460770384692</v>
      </c>
      <c r="AN43" s="34">
        <f t="shared" si="37"/>
        <v>0.60000000000000009</v>
      </c>
      <c r="AO43" s="34">
        <f t="shared" si="38"/>
        <v>0.83333333333333337</v>
      </c>
      <c r="AP43" s="34">
        <f t="shared" si="39"/>
        <v>0.37735849056603771</v>
      </c>
      <c r="AQ43" s="34">
        <f t="shared" si="40"/>
        <v>0.65804988662131525</v>
      </c>
      <c r="AR43" s="34">
        <f t="shared" si="41"/>
        <v>0.46575236358815564</v>
      </c>
      <c r="AS43" s="34">
        <f t="shared" si="42"/>
        <v>0.50239693192713331</v>
      </c>
      <c r="AT43" s="34">
        <f t="shared" si="43"/>
        <v>0.3754492311129316</v>
      </c>
      <c r="AU43" s="34">
        <f t="shared" si="44"/>
        <v>0.54046232596444455</v>
      </c>
      <c r="AV43" s="34">
        <f t="shared" si="45"/>
        <v>0.50060105392730381</v>
      </c>
      <c r="AW43" s="34">
        <f t="shared" si="46"/>
        <v>0.52941176470588236</v>
      </c>
      <c r="AX43" s="48">
        <v>70</v>
      </c>
      <c r="AY43" s="218">
        <v>1</v>
      </c>
      <c r="AZ43" s="220">
        <v>5</v>
      </c>
      <c r="BB43" s="205">
        <v>-0.33333333333333331</v>
      </c>
      <c r="BC43" s="245">
        <f t="shared" si="47"/>
        <v>0</v>
      </c>
      <c r="BD43" s="35">
        <v>0.61742279503095665</v>
      </c>
      <c r="BE43">
        <v>3</v>
      </c>
      <c r="BF43" s="205">
        <v>5.4737620909728459</v>
      </c>
      <c r="BG43" s="34">
        <v>0.37735849056603771</v>
      </c>
      <c r="BH43" s="34">
        <v>0.65804988662131525</v>
      </c>
      <c r="BI43" s="34">
        <f>IF(A43&lt;17, SoC!O$3, IF(A43&lt;33, SoC!O$4, IF(A43&lt;49, SoC!O$5, IF(A43&lt;65, SoC!O$6, IF(A43&lt;81, SoC!O$7, IF(A43&lt;97, SoC!O$8, SoC!O$9))))))</f>
        <v>1.0509770295874163</v>
      </c>
      <c r="BJ43" s="34"/>
      <c r="BK43" s="34"/>
      <c r="BL43" s="34"/>
      <c r="BM43" s="17" t="s">
        <v>50</v>
      </c>
      <c r="BN43">
        <v>42</v>
      </c>
      <c r="BO43">
        <v>43</v>
      </c>
      <c r="BP43">
        <v>44</v>
      </c>
      <c r="BQ43">
        <v>40</v>
      </c>
      <c r="BR43">
        <v>46</v>
      </c>
      <c r="BS43">
        <v>34</v>
      </c>
      <c r="BT43">
        <v>19</v>
      </c>
      <c r="BU43">
        <v>24</v>
      </c>
      <c r="BV43">
        <v>31</v>
      </c>
      <c r="BW43" s="154">
        <v>19</v>
      </c>
      <c r="BX43">
        <v>42</v>
      </c>
      <c r="BY43">
        <v>43</v>
      </c>
    </row>
    <row r="44" spans="1:77" x14ac:dyDescent="0.35">
      <c r="A44">
        <v>76</v>
      </c>
      <c r="B44" s="21" t="s">
        <v>173</v>
      </c>
      <c r="C44" s="21" t="s">
        <v>167</v>
      </c>
      <c r="D44" s="21" t="s">
        <v>30</v>
      </c>
      <c r="F44" s="6">
        <v>6</v>
      </c>
      <c r="G44" s="6">
        <v>3</v>
      </c>
      <c r="I44" s="6">
        <v>4</v>
      </c>
      <c r="J44" s="6">
        <v>2</v>
      </c>
      <c r="L44" s="6">
        <v>2</v>
      </c>
      <c r="N44" s="6">
        <v>2</v>
      </c>
      <c r="P44">
        <f>201+21</f>
        <v>222</v>
      </c>
      <c r="Q44">
        <f>204+16</f>
        <v>220</v>
      </c>
      <c r="R44" s="73">
        <f t="shared" si="24"/>
        <v>17.076923076923077</v>
      </c>
      <c r="S44" s="73">
        <f t="shared" si="25"/>
        <v>16.923076923076923</v>
      </c>
      <c r="T44" s="73">
        <f t="shared" si="26"/>
        <v>0.1538461538461533</v>
      </c>
      <c r="U44">
        <f>100+8</f>
        <v>108</v>
      </c>
      <c r="V44" s="54">
        <f t="shared" si="27"/>
        <v>2.0555555555555554</v>
      </c>
      <c r="W44" s="9">
        <f>1.25*(0.059-0.151-4.136+5.577+0.253+2.881-6.436-2.757+4.427+0.633)+0.566+0.856+1.926</f>
        <v>3.7855000000000008</v>
      </c>
      <c r="X44" s="263">
        <f>574+40+48</f>
        <v>662</v>
      </c>
      <c r="Y44" s="227">
        <f t="shared" si="28"/>
        <v>0.29119230769230775</v>
      </c>
      <c r="Z44" s="227">
        <f t="shared" si="29"/>
        <v>-0.13734615384615445</v>
      </c>
      <c r="AA44" s="89">
        <f t="shared" si="30"/>
        <v>2.4567638869762658</v>
      </c>
      <c r="AB44" s="73">
        <f t="shared" si="31"/>
        <v>50.92307692307692</v>
      </c>
      <c r="AC44" s="203">
        <f>11.54+44.708+58.589+19.821+67.483+12.332+21.074+30.54+10.363+10.257+55.098+43.077+73.359</f>
        <v>458.24099999999999</v>
      </c>
      <c r="AD44" s="89">
        <f t="shared" si="32"/>
        <v>35.249307692307688</v>
      </c>
      <c r="AE44" s="89">
        <f t="shared" si="33"/>
        <v>5.9371127404073851</v>
      </c>
      <c r="AF44" s="9">
        <v>21</v>
      </c>
      <c r="AG44" s="9">
        <v>0</v>
      </c>
      <c r="AI44" s="54">
        <f t="shared" si="34"/>
        <v>21</v>
      </c>
      <c r="AK44" s="49">
        <v>43</v>
      </c>
      <c r="AL44" s="48">
        <f t="shared" si="35"/>
        <v>43</v>
      </c>
      <c r="AM44" s="36">
        <f t="shared" si="36"/>
        <v>0.61091879744584976</v>
      </c>
      <c r="AN44" s="34">
        <f t="shared" si="37"/>
        <v>0.71111111111111114</v>
      </c>
      <c r="AO44" s="34">
        <f t="shared" si="38"/>
        <v>0.66666666666666663</v>
      </c>
      <c r="AP44" s="34">
        <f t="shared" si="39"/>
        <v>0.46676342525399123</v>
      </c>
      <c r="AQ44" s="34">
        <f t="shared" si="40"/>
        <v>0.55238095238095242</v>
      </c>
      <c r="AR44" s="34">
        <f t="shared" si="41"/>
        <v>0.46624632425898854</v>
      </c>
      <c r="AS44" s="34">
        <f t="shared" si="42"/>
        <v>0.63715517832709367</v>
      </c>
      <c r="AT44" s="34">
        <f t="shared" si="43"/>
        <v>0.47823303479110163</v>
      </c>
      <c r="AU44" s="34">
        <f t="shared" si="44"/>
        <v>0.39583855621782393</v>
      </c>
      <c r="AV44" s="34">
        <f t="shared" si="45"/>
        <v>0.56342997130498695</v>
      </c>
      <c r="AW44" s="34">
        <f t="shared" si="46"/>
        <v>0.24705882352941178</v>
      </c>
      <c r="AX44" s="48">
        <v>35</v>
      </c>
      <c r="AY44" s="218">
        <v>1</v>
      </c>
      <c r="AZ44" s="220">
        <v>1</v>
      </c>
      <c r="BB44" s="205">
        <v>-1.6666666666666665</v>
      </c>
      <c r="BC44" s="245">
        <f t="shared" si="47"/>
        <v>0</v>
      </c>
      <c r="BD44" s="35">
        <v>0.61164164445555025</v>
      </c>
      <c r="BE44">
        <v>1</v>
      </c>
      <c r="BF44" s="205">
        <v>5.9371127404073851</v>
      </c>
      <c r="BG44" s="34">
        <v>0.46676342525399123</v>
      </c>
      <c r="BH44" s="34">
        <v>0.55238095238095242</v>
      </c>
      <c r="BI44" s="34">
        <f>IF(A44&lt;17, SoC!O$3, IF(A44&lt;33, SoC!O$4, IF(A44&lt;49, SoC!O$5, IF(A44&lt;65, SoC!O$6, IF(A44&lt;81, SoC!O$7, IF(A44&lt;97, SoC!O$8, SoC!O$9))))))</f>
        <v>0.87413259868968274</v>
      </c>
      <c r="BJ44" s="34"/>
      <c r="BK44" s="34"/>
      <c r="BL44" s="34"/>
      <c r="BM44" s="21" t="s">
        <v>30</v>
      </c>
      <c r="BN44">
        <v>43</v>
      </c>
      <c r="BO44">
        <v>46</v>
      </c>
      <c r="BP44">
        <v>51</v>
      </c>
      <c r="BQ44">
        <v>54</v>
      </c>
      <c r="BR44">
        <v>58</v>
      </c>
      <c r="BS44">
        <v>59</v>
      </c>
      <c r="BT44">
        <v>58</v>
      </c>
      <c r="BU44">
        <v>41</v>
      </c>
      <c r="BV44">
        <v>44</v>
      </c>
      <c r="BW44" s="154">
        <v>60</v>
      </c>
      <c r="BX44">
        <v>87</v>
      </c>
      <c r="BY44">
        <v>78</v>
      </c>
    </row>
    <row r="45" spans="1:77" x14ac:dyDescent="0.35">
      <c r="A45">
        <v>104</v>
      </c>
      <c r="B45" s="69" t="s">
        <v>1296</v>
      </c>
      <c r="C45" s="69" t="s">
        <v>1108</v>
      </c>
      <c r="D45" s="69" t="s">
        <v>961</v>
      </c>
      <c r="F45" s="6">
        <v>5</v>
      </c>
      <c r="G45" s="6">
        <v>4</v>
      </c>
      <c r="I45" s="6">
        <v>4</v>
      </c>
      <c r="J45" s="6">
        <v>1</v>
      </c>
      <c r="L45" s="6">
        <v>2</v>
      </c>
      <c r="N45" s="6">
        <v>3</v>
      </c>
      <c r="P45">
        <f>190+12</f>
        <v>202</v>
      </c>
      <c r="Q45">
        <f>206+18</f>
        <v>224</v>
      </c>
      <c r="R45" s="73">
        <f t="shared" si="24"/>
        <v>14.428571428571429</v>
      </c>
      <c r="S45" s="73">
        <f t="shared" si="25"/>
        <v>16</v>
      </c>
      <c r="T45" s="73">
        <f t="shared" si="26"/>
        <v>-1.5714285714285712</v>
      </c>
      <c r="U45">
        <f>98+6</f>
        <v>104</v>
      </c>
      <c r="V45" s="54">
        <f t="shared" si="27"/>
        <v>1.9423076923076923</v>
      </c>
      <c r="W45" s="9">
        <f>1.25*(-0.57+3.89+4.335+0.668+3.149-3.645-2.697)+1.134+4.85+1.5+3.091+1.909-4.268+0.637</f>
        <v>15.265499999999999</v>
      </c>
      <c r="X45" s="263">
        <f>548+65+53+71+53+68+84+69</f>
        <v>1011</v>
      </c>
      <c r="Y45" s="227">
        <f t="shared" si="28"/>
        <v>1.0903928571428572</v>
      </c>
      <c r="Z45" s="227">
        <f t="shared" si="29"/>
        <v>-2.6618214285714283</v>
      </c>
      <c r="AA45" s="89">
        <f t="shared" si="30"/>
        <v>2.8023056413703382</v>
      </c>
      <c r="AB45" s="73">
        <f t="shared" si="31"/>
        <v>72.214285714285708</v>
      </c>
      <c r="AC45" s="203">
        <f>68.982+81.803+0+5.778+54.384+3.911+10.58+68.86+(259.491-89.6607)+4.908+20.929+37.153+0.881+10.427</f>
        <v>538.42629999999997</v>
      </c>
      <c r="AD45" s="89">
        <f t="shared" si="32"/>
        <v>38.459021428571425</v>
      </c>
      <c r="AE45" s="89">
        <f t="shared" si="33"/>
        <v>6.2015337964548278</v>
      </c>
      <c r="AF45" s="9">
        <v>35</v>
      </c>
      <c r="AG45" s="9">
        <v>12</v>
      </c>
      <c r="AH45" s="20">
        <v>20</v>
      </c>
      <c r="AI45" s="54">
        <f t="shared" si="34"/>
        <v>67</v>
      </c>
      <c r="AK45" s="49">
        <v>44</v>
      </c>
      <c r="AL45" s="48">
        <f t="shared" si="35"/>
        <v>44</v>
      </c>
      <c r="AM45" s="36">
        <f t="shared" si="36"/>
        <v>0.61061502567288239</v>
      </c>
      <c r="AN45" s="34">
        <f t="shared" si="37"/>
        <v>0.60000000000000009</v>
      </c>
      <c r="AO45" s="34">
        <f t="shared" si="38"/>
        <v>0.8</v>
      </c>
      <c r="AP45" s="34">
        <f t="shared" si="39"/>
        <v>0.24690026954177896</v>
      </c>
      <c r="AQ45" s="34">
        <f t="shared" si="40"/>
        <v>0.62857142857142856</v>
      </c>
      <c r="AR45" s="34">
        <f t="shared" si="41"/>
        <v>0.35649206289732349</v>
      </c>
      <c r="AS45" s="34">
        <f t="shared" si="42"/>
        <v>0.56213752690262764</v>
      </c>
      <c r="AT45" s="34">
        <f t="shared" si="43"/>
        <v>0.26767993446773664</v>
      </c>
      <c r="AU45" s="34">
        <f t="shared" si="44"/>
        <v>0.43260446538806835</v>
      </c>
      <c r="AV45" s="34">
        <f t="shared" si="45"/>
        <v>0.59928465005335796</v>
      </c>
      <c r="AW45" s="34">
        <f t="shared" si="46"/>
        <v>0.78823529411764703</v>
      </c>
      <c r="AX45" s="48">
        <v>91</v>
      </c>
      <c r="AY45" s="218">
        <v>2</v>
      </c>
      <c r="AZ45" s="220">
        <v>3</v>
      </c>
      <c r="BB45" s="205">
        <v>0.33333333333333331</v>
      </c>
      <c r="BC45" s="245">
        <f t="shared" si="47"/>
        <v>0</v>
      </c>
      <c r="BD45" s="35">
        <v>0.61138542681227381</v>
      </c>
      <c r="BE45">
        <v>4</v>
      </c>
      <c r="BF45" s="205">
        <v>6.2015337964548278</v>
      </c>
      <c r="BG45" s="34">
        <v>0.24690026954177896</v>
      </c>
      <c r="BH45" s="34">
        <v>0.62857142857142856</v>
      </c>
      <c r="BI45" s="34">
        <f>IF(A45&lt;17, SoC!O$3, IF(A45&lt;33, SoC!O$4, IF(A45&lt;49, SoC!O$5, IF(A45&lt;65, SoC!O$6, IF(A45&lt;81, SoC!O$7, IF(A45&lt;97, SoC!O$8, SoC!O$9))))))</f>
        <v>0.84292189346881985</v>
      </c>
      <c r="BJ45" s="34"/>
      <c r="BK45" s="34"/>
      <c r="BL45" s="34"/>
      <c r="BM45" s="69" t="s">
        <v>961</v>
      </c>
      <c r="BN45">
        <v>44</v>
      </c>
      <c r="BO45">
        <v>41</v>
      </c>
      <c r="BP45">
        <v>33</v>
      </c>
      <c r="BQ45">
        <v>32</v>
      </c>
      <c r="BR45">
        <v>41</v>
      </c>
      <c r="BS45">
        <v>42</v>
      </c>
      <c r="BT45">
        <v>34</v>
      </c>
      <c r="BU45">
        <v>34</v>
      </c>
      <c r="BV45">
        <v>18</v>
      </c>
      <c r="BW45" s="154">
        <v>5</v>
      </c>
      <c r="BX45">
        <v>5</v>
      </c>
      <c r="BY45">
        <v>22</v>
      </c>
    </row>
    <row r="46" spans="1:77" x14ac:dyDescent="0.35">
      <c r="A46">
        <v>90</v>
      </c>
      <c r="B46" s="58" t="s">
        <v>799</v>
      </c>
      <c r="C46" s="58" t="s">
        <v>1106</v>
      </c>
      <c r="D46" s="58" t="s">
        <v>794</v>
      </c>
      <c r="F46" s="6">
        <v>4</v>
      </c>
      <c r="G46" s="6">
        <v>5</v>
      </c>
      <c r="I46" s="6">
        <v>3</v>
      </c>
      <c r="J46" s="6">
        <v>3</v>
      </c>
      <c r="L46" s="6">
        <v>2</v>
      </c>
      <c r="M46" s="6">
        <v>2</v>
      </c>
      <c r="N46" s="6">
        <v>2</v>
      </c>
      <c r="P46">
        <f>245+19</f>
        <v>264</v>
      </c>
      <c r="Q46">
        <f>256+10</f>
        <v>266</v>
      </c>
      <c r="R46" s="73">
        <f t="shared" si="24"/>
        <v>17.600000000000001</v>
      </c>
      <c r="S46" s="73">
        <f t="shared" si="25"/>
        <v>17.733333333333334</v>
      </c>
      <c r="T46" s="73">
        <f t="shared" si="26"/>
        <v>-0.13333333333333286</v>
      </c>
      <c r="U46">
        <f>130+8</f>
        <v>138</v>
      </c>
      <c r="V46" s="54">
        <f t="shared" si="27"/>
        <v>1.9130434782608696</v>
      </c>
      <c r="W46" s="9">
        <f>1.25*(1.288+1.906-4.709+0.282-5.05-0.888-0.633+0.896)+3.022-0.188-0.289-6.985+1.238-3.587-1.622</f>
        <v>-17.045999999999999</v>
      </c>
      <c r="X46" s="263">
        <f>264+60+42+76+56+75+64</f>
        <v>637</v>
      </c>
      <c r="Y46" s="227">
        <f t="shared" si="28"/>
        <v>-0.56819999999999993</v>
      </c>
      <c r="Z46" s="227">
        <f t="shared" si="29"/>
        <v>1.003066666666667</v>
      </c>
      <c r="AA46" s="89">
        <f t="shared" si="30"/>
        <v>1.8500334554766134</v>
      </c>
      <c r="AB46" s="73">
        <f t="shared" si="31"/>
        <v>42.466666666666669</v>
      </c>
      <c r="AC46" s="203">
        <f>9.946+3.136+7.809+2.211+61.837+45.69+44.601+10.912+(111.713-5.8565)+36.086+36.412+12.878+84.525+4.105+(104.073-2.0365)</f>
        <v>568.04099999999994</v>
      </c>
      <c r="AD46" s="89">
        <f t="shared" si="32"/>
        <v>37.869399999999999</v>
      </c>
      <c r="AE46" s="89">
        <f t="shared" si="33"/>
        <v>6.1538118268273365</v>
      </c>
      <c r="AF46" s="9">
        <v>28</v>
      </c>
      <c r="AG46" s="9">
        <v>24</v>
      </c>
      <c r="AH46" s="9">
        <v>11</v>
      </c>
      <c r="AI46" s="54">
        <f t="shared" si="34"/>
        <v>63</v>
      </c>
      <c r="AK46" s="49">
        <v>45</v>
      </c>
      <c r="AL46" s="48">
        <f t="shared" si="35"/>
        <v>46</v>
      </c>
      <c r="AM46" s="36">
        <f t="shared" si="36"/>
        <v>0.60307378996690741</v>
      </c>
      <c r="AN46" s="34">
        <f t="shared" si="37"/>
        <v>0.53333333333333333</v>
      </c>
      <c r="AO46" s="34">
        <f t="shared" si="38"/>
        <v>0.58333333333333337</v>
      </c>
      <c r="AP46" s="34">
        <f t="shared" si="39"/>
        <v>0.51018867924528311</v>
      </c>
      <c r="AQ46" s="34">
        <f t="shared" si="40"/>
        <v>0.48550264550264544</v>
      </c>
      <c r="AR46" s="34">
        <f t="shared" si="41"/>
        <v>0.32813062538384979</v>
      </c>
      <c r="AS46" s="34">
        <f t="shared" si="42"/>
        <v>0.71782278124560017</v>
      </c>
      <c r="AT46" s="34">
        <f t="shared" si="43"/>
        <v>0.57334882277742627</v>
      </c>
      <c r="AU46" s="34">
        <f t="shared" si="44"/>
        <v>0.32794931950502576</v>
      </c>
      <c r="AV46" s="34">
        <f t="shared" si="45"/>
        <v>0.59281369832277331</v>
      </c>
      <c r="AW46" s="34">
        <f t="shared" si="46"/>
        <v>0.74117647058823533</v>
      </c>
      <c r="AX46" s="48">
        <v>65</v>
      </c>
      <c r="AY46" s="218">
        <v>2</v>
      </c>
      <c r="AZ46" s="220">
        <v>5</v>
      </c>
      <c r="BB46" s="205">
        <v>-2</v>
      </c>
      <c r="BC46" s="245">
        <f t="shared" si="47"/>
        <v>-1</v>
      </c>
      <c r="BD46" s="35">
        <v>0.60413662035168447</v>
      </c>
      <c r="BE46">
        <v>3</v>
      </c>
      <c r="BF46" s="205">
        <v>6.1538118268273365</v>
      </c>
      <c r="BG46" s="34">
        <v>0.51018867924528311</v>
      </c>
      <c r="BH46" s="34">
        <v>0.48550264550264544</v>
      </c>
      <c r="BI46" s="34">
        <f>IF(A46&lt;17, SoC!O$3, IF(A46&lt;33, SoC!O$4, IF(A46&lt;49, SoC!O$5, IF(A46&lt;65, SoC!O$6, IF(A46&lt;81, SoC!O$7, IF(A46&lt;97, SoC!O$8, SoC!O$9))))))</f>
        <v>0.8076740483754814</v>
      </c>
      <c r="BJ46" s="34"/>
      <c r="BK46" s="34"/>
      <c r="BL46" s="34"/>
      <c r="BM46" s="58" t="s">
        <v>794</v>
      </c>
      <c r="BN46">
        <v>45</v>
      </c>
      <c r="BO46">
        <v>55</v>
      </c>
      <c r="BP46">
        <v>53</v>
      </c>
      <c r="BQ46">
        <v>53</v>
      </c>
      <c r="BR46">
        <v>61</v>
      </c>
      <c r="BS46">
        <v>80</v>
      </c>
      <c r="BT46">
        <v>101</v>
      </c>
      <c r="BU46">
        <v>106</v>
      </c>
      <c r="BV46">
        <v>104</v>
      </c>
      <c r="BW46" s="154">
        <v>98</v>
      </c>
      <c r="BX46">
        <v>74</v>
      </c>
      <c r="BY46">
        <v>48</v>
      </c>
    </row>
    <row r="47" spans="1:77" x14ac:dyDescent="0.35">
      <c r="A47">
        <v>51</v>
      </c>
      <c r="B47" s="19" t="s">
        <v>172</v>
      </c>
      <c r="C47" s="19" t="s">
        <v>1090</v>
      </c>
      <c r="D47" s="19" t="s">
        <v>2011</v>
      </c>
      <c r="F47" s="6">
        <v>6</v>
      </c>
      <c r="G47" s="6">
        <v>3</v>
      </c>
      <c r="I47" s="6">
        <v>4</v>
      </c>
      <c r="J47" s="6">
        <v>2</v>
      </c>
      <c r="M47" s="6">
        <v>1</v>
      </c>
      <c r="N47" s="6">
        <v>2</v>
      </c>
      <c r="P47">
        <f>185+11</f>
        <v>196</v>
      </c>
      <c r="Q47">
        <f>165+18</f>
        <v>183</v>
      </c>
      <c r="R47" s="73">
        <f t="shared" si="24"/>
        <v>16.333333333333332</v>
      </c>
      <c r="S47" s="73">
        <f t="shared" si="25"/>
        <v>15.25</v>
      </c>
      <c r="T47" s="73">
        <f t="shared" si="26"/>
        <v>1.0833333333333321</v>
      </c>
      <c r="U47">
        <f>98+7</f>
        <v>105</v>
      </c>
      <c r="V47" s="54">
        <f t="shared" si="27"/>
        <v>1.8666666666666667</v>
      </c>
      <c r="W47" s="9">
        <f>1.25*(-1.39+2.823+0.524-1.341-0.253+4.389+0.952-3.717+3.571)+0.931+3.965-0.578</f>
        <v>11.265500000000001</v>
      </c>
      <c r="X47" s="263">
        <f>492+63+62+67</f>
        <v>684</v>
      </c>
      <c r="Y47" s="227">
        <f t="shared" si="28"/>
        <v>0.9387916666666668</v>
      </c>
      <c r="Z47" s="227">
        <f t="shared" si="29"/>
        <v>0.14454166666666535</v>
      </c>
      <c r="AA47" s="89">
        <f t="shared" si="30"/>
        <v>4.0202371353218496</v>
      </c>
      <c r="AB47" s="73">
        <f t="shared" si="31"/>
        <v>57</v>
      </c>
      <c r="AC47" s="203">
        <f>15.765+31.478+34.638+(144.923-22.4615)+0+44.043+54.488+11.638+22.077+58.221+8.201+7.094</f>
        <v>410.10450000000003</v>
      </c>
      <c r="AD47" s="89">
        <f t="shared" si="32"/>
        <v>34.175375000000003</v>
      </c>
      <c r="AE47" s="89">
        <f t="shared" si="33"/>
        <v>5.8459708346860575</v>
      </c>
      <c r="AF47" s="9">
        <v>7</v>
      </c>
      <c r="AG47" s="9">
        <v>6</v>
      </c>
      <c r="AI47" s="54">
        <f t="shared" si="34"/>
        <v>13</v>
      </c>
      <c r="AK47" s="49">
        <v>46</v>
      </c>
      <c r="AL47" s="48">
        <f t="shared" si="35"/>
        <v>45</v>
      </c>
      <c r="AM47" s="36">
        <f t="shared" si="36"/>
        <v>0.60556225684533749</v>
      </c>
      <c r="AN47" s="34">
        <f t="shared" si="37"/>
        <v>0.68888888888888888</v>
      </c>
      <c r="AO47" s="34">
        <f t="shared" si="38"/>
        <v>0.70833333333333337</v>
      </c>
      <c r="AP47" s="34">
        <f t="shared" si="39"/>
        <v>0.40503144654088036</v>
      </c>
      <c r="AQ47" s="34">
        <f t="shared" si="40"/>
        <v>0.69047619047619047</v>
      </c>
      <c r="AR47" s="34">
        <f t="shared" si="41"/>
        <v>0.28318449964821135</v>
      </c>
      <c r="AS47" s="34">
        <f t="shared" si="42"/>
        <v>0.57636770388448244</v>
      </c>
      <c r="AT47" s="34">
        <f t="shared" si="43"/>
        <v>0.50174380360179216</v>
      </c>
      <c r="AU47" s="34">
        <f t="shared" si="44"/>
        <v>0.55477016619499464</v>
      </c>
      <c r="AV47" s="34">
        <f t="shared" si="45"/>
        <v>0.55107141030761231</v>
      </c>
      <c r="AW47" s="34">
        <f t="shared" si="46"/>
        <v>0.15294117647058825</v>
      </c>
      <c r="AX47" s="48">
        <v>32</v>
      </c>
      <c r="AY47" s="218">
        <v>1</v>
      </c>
      <c r="AZ47" s="220">
        <v>1</v>
      </c>
      <c r="BB47" s="205">
        <v>0</v>
      </c>
      <c r="BC47" s="245">
        <f t="shared" si="47"/>
        <v>1</v>
      </c>
      <c r="BD47" s="35">
        <v>0.60317804602821323</v>
      </c>
      <c r="BE47">
        <v>1</v>
      </c>
      <c r="BF47" s="205">
        <v>5.8459708346860575</v>
      </c>
      <c r="BG47" s="34">
        <v>0.40503144654088036</v>
      </c>
      <c r="BH47" s="34">
        <v>0.69047619047619047</v>
      </c>
      <c r="BI47" s="34">
        <f>IF(A47&lt;17, SoC!O$3, IF(A47&lt;33, SoC!O$4, IF(A47&lt;49, SoC!O$5, IF(A47&lt;65, SoC!O$6, IF(A47&lt;81, SoC!O$7, IF(A47&lt;97, SoC!O$8, SoC!O$9))))))</f>
        <v>1.1793104273940098</v>
      </c>
      <c r="BJ47" s="34"/>
      <c r="BK47" s="34"/>
      <c r="BL47" s="34"/>
      <c r="BM47" s="19" t="s">
        <v>2011</v>
      </c>
      <c r="BN47">
        <v>46</v>
      </c>
      <c r="BO47">
        <v>48</v>
      </c>
      <c r="BP47">
        <v>42</v>
      </c>
      <c r="BQ47">
        <v>45</v>
      </c>
      <c r="BR47">
        <v>26</v>
      </c>
      <c r="BS47">
        <v>33</v>
      </c>
      <c r="BT47">
        <v>30</v>
      </c>
      <c r="BU47">
        <v>35</v>
      </c>
      <c r="BV47">
        <v>56</v>
      </c>
      <c r="BW47" s="154">
        <v>68</v>
      </c>
      <c r="BX47">
        <v>83</v>
      </c>
      <c r="BY47">
        <v>81</v>
      </c>
    </row>
    <row r="48" spans="1:77" x14ac:dyDescent="0.35">
      <c r="A48">
        <v>73</v>
      </c>
      <c r="B48" s="21" t="s">
        <v>173</v>
      </c>
      <c r="C48" s="21" t="s">
        <v>167</v>
      </c>
      <c r="D48" s="21" t="s">
        <v>28</v>
      </c>
      <c r="F48" s="6">
        <v>6</v>
      </c>
      <c r="G48" s="6">
        <v>3</v>
      </c>
      <c r="I48" s="6">
        <v>4</v>
      </c>
      <c r="J48" s="6">
        <v>2</v>
      </c>
      <c r="L48" s="6">
        <v>2</v>
      </c>
      <c r="M48" s="6">
        <v>1</v>
      </c>
      <c r="N48" s="6">
        <v>3</v>
      </c>
      <c r="P48">
        <f>199+18</f>
        <v>217</v>
      </c>
      <c r="Q48">
        <f>221+15</f>
        <v>236</v>
      </c>
      <c r="R48" s="73">
        <f t="shared" si="24"/>
        <v>14.466666666666667</v>
      </c>
      <c r="S48" s="73">
        <f t="shared" si="25"/>
        <v>15.733333333333333</v>
      </c>
      <c r="T48" s="73">
        <f t="shared" si="26"/>
        <v>-1.2666666666666657</v>
      </c>
      <c r="U48">
        <f>113+9</f>
        <v>122</v>
      </c>
      <c r="V48" s="54">
        <f t="shared" si="27"/>
        <v>1.778688524590164</v>
      </c>
      <c r="W48" s="9">
        <f>1.25*(-0.059-2.959+2.665-2.252+1.604-0.422+0.341-3.695+2.147)+3.497+4.384-9.936-1.577-5.669+0.487</f>
        <v>-12.1015</v>
      </c>
      <c r="X48" s="263">
        <f>449+32+69+43+78+61</f>
        <v>732</v>
      </c>
      <c r="Y48" s="227">
        <f t="shared" si="28"/>
        <v>-0.40338333333333332</v>
      </c>
      <c r="Z48" s="227">
        <f t="shared" si="29"/>
        <v>-0.45989999999999909</v>
      </c>
      <c r="AA48" s="89">
        <f t="shared" si="30"/>
        <v>2.0465442148944213</v>
      </c>
      <c r="AB48" s="73">
        <f t="shared" si="31"/>
        <v>48.8</v>
      </c>
      <c r="AC48" s="203">
        <f>24.005+1.223+20.463+3.824+44.657+0+18.906+34.997+3.306+28.568+31.639+25.648+87.579+6.05+30.697</f>
        <v>361.56200000000001</v>
      </c>
      <c r="AD48" s="89">
        <f t="shared" si="32"/>
        <v>24.104133333333333</v>
      </c>
      <c r="AE48" s="89">
        <f t="shared" si="33"/>
        <v>4.9095960458405674</v>
      </c>
      <c r="AF48" s="9">
        <v>14</v>
      </c>
      <c r="AG48" s="9">
        <v>12</v>
      </c>
      <c r="AH48" s="20">
        <v>20</v>
      </c>
      <c r="AI48" s="54">
        <f t="shared" si="34"/>
        <v>46</v>
      </c>
      <c r="AK48" s="49">
        <v>47</v>
      </c>
      <c r="AL48" s="48">
        <f t="shared" si="35"/>
        <v>47</v>
      </c>
      <c r="AM48" s="36">
        <f t="shared" si="36"/>
        <v>0.60047123921772072</v>
      </c>
      <c r="AN48" s="34">
        <f t="shared" si="37"/>
        <v>0.73333333333333328</v>
      </c>
      <c r="AO48" s="34">
        <f t="shared" si="38"/>
        <v>0.70833333333333337</v>
      </c>
      <c r="AP48" s="34">
        <f t="shared" si="39"/>
        <v>0.250062893081761</v>
      </c>
      <c r="AQ48" s="34">
        <f t="shared" si="40"/>
        <v>0.65058201058201071</v>
      </c>
      <c r="AR48" s="34">
        <f t="shared" si="41"/>
        <v>0.19792040968967187</v>
      </c>
      <c r="AS48" s="34">
        <f t="shared" si="42"/>
        <v>0.70235212215077991</v>
      </c>
      <c r="AT48" s="34">
        <f t="shared" si="43"/>
        <v>0.45133052835387438</v>
      </c>
      <c r="AU48" s="34">
        <f t="shared" si="44"/>
        <v>0.35048420208922382</v>
      </c>
      <c r="AV48" s="34">
        <f t="shared" si="45"/>
        <v>0.42410188018023459</v>
      </c>
      <c r="AW48" s="34">
        <f t="shared" si="46"/>
        <v>0.54117647058823526</v>
      </c>
      <c r="AX48" s="48">
        <v>45</v>
      </c>
      <c r="AY48" s="218">
        <v>2</v>
      </c>
      <c r="AZ48" s="220">
        <v>1</v>
      </c>
      <c r="BB48" s="205">
        <v>-1</v>
      </c>
      <c r="BC48" s="245">
        <f t="shared" si="47"/>
        <v>0</v>
      </c>
      <c r="BD48" s="35">
        <v>0.60110147275287507</v>
      </c>
      <c r="BE48">
        <v>2</v>
      </c>
      <c r="BF48" s="205">
        <v>4.9095960458405674</v>
      </c>
      <c r="BG48" s="34">
        <v>0.250062893081761</v>
      </c>
      <c r="BH48" s="34">
        <v>0.65058201058201071</v>
      </c>
      <c r="BI48" s="34">
        <f>IF(A48&lt;17, SoC!O$3, IF(A48&lt;33, SoC!O$4, IF(A48&lt;49, SoC!O$5, IF(A48&lt;65, SoC!O$6, IF(A48&lt;81, SoC!O$7, IF(A48&lt;97, SoC!O$8, SoC!O$9))))))</f>
        <v>0.87413259868968274</v>
      </c>
      <c r="BJ48" s="34"/>
      <c r="BK48" s="34"/>
      <c r="BL48" s="34"/>
      <c r="BM48" s="21" t="s">
        <v>28</v>
      </c>
      <c r="BN48">
        <v>47</v>
      </c>
      <c r="BO48">
        <v>51</v>
      </c>
      <c r="BP48">
        <v>46</v>
      </c>
      <c r="BQ48">
        <v>47</v>
      </c>
      <c r="BR48">
        <v>63</v>
      </c>
      <c r="BS48">
        <v>61</v>
      </c>
      <c r="BT48">
        <v>70</v>
      </c>
      <c r="BU48">
        <v>83</v>
      </c>
      <c r="BV48">
        <v>69</v>
      </c>
      <c r="BW48" s="154">
        <v>76</v>
      </c>
      <c r="BX48">
        <v>49</v>
      </c>
      <c r="BY48">
        <v>68</v>
      </c>
    </row>
    <row r="49" spans="1:77" x14ac:dyDescent="0.35">
      <c r="A49">
        <v>88</v>
      </c>
      <c r="B49" s="58" t="s">
        <v>799</v>
      </c>
      <c r="C49" s="58" t="s">
        <v>1104</v>
      </c>
      <c r="D49" s="58" t="s">
        <v>908</v>
      </c>
      <c r="F49" s="6">
        <v>7</v>
      </c>
      <c r="G49" s="6">
        <v>2</v>
      </c>
      <c r="I49" s="6">
        <v>4</v>
      </c>
      <c r="J49" s="6">
        <v>2</v>
      </c>
      <c r="N49" s="6">
        <v>2</v>
      </c>
      <c r="P49">
        <f>155+15</f>
        <v>170</v>
      </c>
      <c r="Q49">
        <f>145+14</f>
        <v>159</v>
      </c>
      <c r="R49" s="73">
        <f t="shared" si="24"/>
        <v>15.454545454545455</v>
      </c>
      <c r="S49" s="73">
        <f t="shared" si="25"/>
        <v>14.454545454545455</v>
      </c>
      <c r="T49" s="73">
        <f t="shared" si="26"/>
        <v>1</v>
      </c>
      <c r="U49">
        <f>77+7</f>
        <v>84</v>
      </c>
      <c r="V49" s="54">
        <f t="shared" si="27"/>
        <v>2.0238095238095237</v>
      </c>
      <c r="W49" s="9">
        <f>1.25*(-2.918+2.915+3.664+2.133+2.431-4.901+5.05-4.903)+4.319+4.396+0.253</f>
        <v>13.306750000000005</v>
      </c>
      <c r="X49" s="263">
        <f>434+33+60</f>
        <v>527</v>
      </c>
      <c r="Y49" s="227">
        <f t="shared" si="28"/>
        <v>1.2097045454545459</v>
      </c>
      <c r="Z49" s="227">
        <f t="shared" si="29"/>
        <v>-0.20970454545454587</v>
      </c>
      <c r="AA49" s="89">
        <f t="shared" si="30"/>
        <v>2.3056343111993014</v>
      </c>
      <c r="AB49" s="73">
        <f t="shared" si="31"/>
        <v>47.909090909090907</v>
      </c>
      <c r="AC49" s="203">
        <f>37.405+14.902+21.733+18.922+4.592+7.138+3.6+79.049+79.101+33.289+45.961</f>
        <v>345.69200000000001</v>
      </c>
      <c r="AD49" s="89">
        <f t="shared" si="32"/>
        <v>31.426545454545455</v>
      </c>
      <c r="AE49" s="89">
        <f t="shared" si="33"/>
        <v>5.6059384098066447</v>
      </c>
      <c r="AF49" s="9">
        <v>7</v>
      </c>
      <c r="AG49" s="9">
        <v>0</v>
      </c>
      <c r="AI49" s="54">
        <f t="shared" si="34"/>
        <v>7</v>
      </c>
      <c r="AK49" s="49">
        <v>48</v>
      </c>
      <c r="AL49" s="48">
        <f t="shared" si="35"/>
        <v>48</v>
      </c>
      <c r="AM49" s="36">
        <f t="shared" si="36"/>
        <v>0.59921972875808205</v>
      </c>
      <c r="AN49" s="34">
        <f t="shared" si="37"/>
        <v>0.77777777777777779</v>
      </c>
      <c r="AO49" s="34">
        <f t="shared" si="38"/>
        <v>0.66666666666666663</v>
      </c>
      <c r="AP49" s="34">
        <f t="shared" si="39"/>
        <v>0.33207547169811324</v>
      </c>
      <c r="AQ49" s="34">
        <f t="shared" si="40"/>
        <v>0.7561327561327561</v>
      </c>
      <c r="AR49" s="34">
        <f t="shared" si="41"/>
        <v>0.43547963104709325</v>
      </c>
      <c r="AS49" s="34">
        <f t="shared" si="42"/>
        <v>0.55093823199375369</v>
      </c>
      <c r="AT49" s="34">
        <f t="shared" si="43"/>
        <v>0.47219800492168967</v>
      </c>
      <c r="AU49" s="34">
        <f t="shared" si="44"/>
        <v>0.37936785990606881</v>
      </c>
      <c r="AV49" s="34">
        <f t="shared" si="45"/>
        <v>0.51852375464096334</v>
      </c>
      <c r="AW49" s="34">
        <f t="shared" si="46"/>
        <v>8.2352941176470587E-2</v>
      </c>
      <c r="AX49" s="48">
        <v>9</v>
      </c>
      <c r="AY49" s="218">
        <v>1</v>
      </c>
      <c r="AZ49" s="220">
        <v>1</v>
      </c>
      <c r="BB49" s="205">
        <v>-0.33333333333333331</v>
      </c>
      <c r="BC49" s="245">
        <f t="shared" si="47"/>
        <v>0</v>
      </c>
      <c r="BD49" s="35">
        <v>0.60047233444099823</v>
      </c>
      <c r="BE49">
        <v>1</v>
      </c>
      <c r="BF49" s="205">
        <v>5.6059384098066447</v>
      </c>
      <c r="BG49" s="34">
        <v>0.33207547169811324</v>
      </c>
      <c r="BH49" s="34">
        <v>0.7561327561327561</v>
      </c>
      <c r="BI49" s="34">
        <f>IF(A49&lt;17, SoC!O$3, IF(A49&lt;33, SoC!O$4, IF(A49&lt;49, SoC!O$5, IF(A49&lt;65, SoC!O$6, IF(A49&lt;81, SoC!O$7, IF(A49&lt;97, SoC!O$8, SoC!O$9))))))</f>
        <v>0.8076740483754814</v>
      </c>
      <c r="BJ49" s="34"/>
      <c r="BK49" s="34"/>
      <c r="BL49" s="34"/>
      <c r="BM49" s="58" t="s">
        <v>908</v>
      </c>
      <c r="BN49">
        <v>48</v>
      </c>
      <c r="BO49">
        <v>47</v>
      </c>
      <c r="BP49">
        <v>52</v>
      </c>
      <c r="BQ49">
        <v>57</v>
      </c>
      <c r="BR49">
        <v>62</v>
      </c>
      <c r="BS49">
        <v>69</v>
      </c>
      <c r="BT49">
        <v>85</v>
      </c>
      <c r="BU49">
        <v>56</v>
      </c>
      <c r="BV49">
        <v>29</v>
      </c>
      <c r="BW49" s="154">
        <v>38</v>
      </c>
      <c r="BX49">
        <v>51</v>
      </c>
      <c r="BY49">
        <v>104</v>
      </c>
    </row>
    <row r="50" spans="1:77" x14ac:dyDescent="0.35">
      <c r="A50">
        <v>35</v>
      </c>
      <c r="B50" s="17" t="s">
        <v>171</v>
      </c>
      <c r="C50" s="17" t="s">
        <v>1095</v>
      </c>
      <c r="D50" s="17" t="s">
        <v>57</v>
      </c>
      <c r="F50" s="6">
        <v>6</v>
      </c>
      <c r="G50" s="6">
        <v>3</v>
      </c>
      <c r="I50" s="6">
        <v>4</v>
      </c>
      <c r="J50" s="6">
        <v>2</v>
      </c>
      <c r="N50" s="6">
        <v>5</v>
      </c>
      <c r="P50">
        <f>196+12</f>
        <v>208</v>
      </c>
      <c r="Q50">
        <f>203+20</f>
        <v>223</v>
      </c>
      <c r="R50" s="73">
        <f t="shared" si="24"/>
        <v>14.857142857142858</v>
      </c>
      <c r="S50" s="73">
        <f t="shared" si="25"/>
        <v>15.928571428571429</v>
      </c>
      <c r="T50" s="73">
        <f t="shared" si="26"/>
        <v>-1.0714285714285712</v>
      </c>
      <c r="U50">
        <f>104+6</f>
        <v>110</v>
      </c>
      <c r="V50" s="54">
        <f t="shared" si="27"/>
        <v>1.8909090909090909</v>
      </c>
      <c r="W50" s="9">
        <f>1.25*(3.519-0.356+1.7-0.315+5.592-1.181-0.032)+8.738+1.874+2.933+0.148-1.909+1.013-7.479</f>
        <v>16.476749999999996</v>
      </c>
      <c r="X50" s="263">
        <f>537+69+75+70+68+36+82</f>
        <v>937</v>
      </c>
      <c r="Y50" s="227">
        <f t="shared" si="28"/>
        <v>1.176910714285714</v>
      </c>
      <c r="Z50" s="227">
        <f t="shared" si="29"/>
        <v>-2.2483392857142852</v>
      </c>
      <c r="AA50" s="89">
        <f t="shared" si="30"/>
        <v>3.4224299517296388</v>
      </c>
      <c r="AB50" s="73">
        <f t="shared" si="31"/>
        <v>66.928571428571431</v>
      </c>
      <c r="AC50" s="203">
        <f>32.165+60.648+1.688+0+67.26+46.867+5.455+40.559+12.834+2.159+0.645+8.312+(166.403-33.2015)+16.395</f>
        <v>428.18849999999998</v>
      </c>
      <c r="AD50" s="89">
        <f t="shared" si="32"/>
        <v>30.584892857142854</v>
      </c>
      <c r="AE50" s="89">
        <f t="shared" si="33"/>
        <v>5.5303610060413648</v>
      </c>
      <c r="AF50" s="9">
        <v>28</v>
      </c>
      <c r="AG50" s="9">
        <v>12</v>
      </c>
      <c r="AH50" s="20">
        <v>17</v>
      </c>
      <c r="AI50" s="54">
        <f t="shared" si="34"/>
        <v>57</v>
      </c>
      <c r="AK50" s="49">
        <v>49</v>
      </c>
      <c r="AL50" s="48">
        <f t="shared" si="35"/>
        <v>49</v>
      </c>
      <c r="AM50" s="36">
        <f t="shared" si="36"/>
        <v>0.59662649191254247</v>
      </c>
      <c r="AN50" s="34">
        <f t="shared" si="37"/>
        <v>0.66666666666666663</v>
      </c>
      <c r="AO50" s="34">
        <f t="shared" si="38"/>
        <v>0.66666666666666663</v>
      </c>
      <c r="AP50" s="34">
        <f t="shared" si="39"/>
        <v>0.28247978436657684</v>
      </c>
      <c r="AQ50" s="34">
        <f t="shared" si="40"/>
        <v>0.63446712018140594</v>
      </c>
      <c r="AR50" s="34">
        <f t="shared" si="41"/>
        <v>0.30667906537365863</v>
      </c>
      <c r="AS50" s="34">
        <f t="shared" si="42"/>
        <v>0.55401645334531247</v>
      </c>
      <c r="AT50" s="34">
        <f t="shared" si="43"/>
        <v>0.30216628811855395</v>
      </c>
      <c r="AU50" s="34">
        <f t="shared" si="44"/>
        <v>0.4960384244337433</v>
      </c>
      <c r="AV50" s="34">
        <f t="shared" si="45"/>
        <v>0.50827569205038869</v>
      </c>
      <c r="AW50" s="34">
        <f t="shared" si="46"/>
        <v>0.6705882352941176</v>
      </c>
      <c r="AX50" s="48">
        <v>97</v>
      </c>
      <c r="AY50" s="218">
        <v>2</v>
      </c>
      <c r="AZ50" s="220">
        <v>3</v>
      </c>
      <c r="BB50" s="205">
        <v>1</v>
      </c>
      <c r="BC50" s="245">
        <f t="shared" si="47"/>
        <v>0</v>
      </c>
      <c r="BD50" s="35">
        <v>0.59432640483311983</v>
      </c>
      <c r="BE50">
        <v>4</v>
      </c>
      <c r="BF50" s="205">
        <v>5.5303610060413648</v>
      </c>
      <c r="BG50" s="34">
        <v>0.28247978436657684</v>
      </c>
      <c r="BH50" s="34">
        <v>0.63446712018140594</v>
      </c>
      <c r="BI50" s="34">
        <f>IF(A50&lt;17, SoC!O$3, IF(A50&lt;33, SoC!O$4, IF(A50&lt;49, SoC!O$5, IF(A50&lt;65, SoC!O$6, IF(A50&lt;81, SoC!O$7, IF(A50&lt;97, SoC!O$8, SoC!O$9))))))</f>
        <v>1.0509770295874163</v>
      </c>
      <c r="BJ50" s="34"/>
      <c r="BK50" s="34"/>
      <c r="BL50" s="34"/>
      <c r="BM50" s="17" t="s">
        <v>57</v>
      </c>
      <c r="BN50">
        <v>49</v>
      </c>
      <c r="BO50">
        <v>50</v>
      </c>
      <c r="BP50">
        <v>59</v>
      </c>
      <c r="BQ50">
        <v>51</v>
      </c>
      <c r="BR50">
        <v>28</v>
      </c>
      <c r="BS50">
        <v>32</v>
      </c>
      <c r="BT50">
        <v>39</v>
      </c>
      <c r="BU50">
        <v>43</v>
      </c>
      <c r="BV50">
        <v>40</v>
      </c>
      <c r="BW50" s="154">
        <v>16</v>
      </c>
      <c r="BX50">
        <v>32</v>
      </c>
      <c r="BY50">
        <v>16</v>
      </c>
    </row>
    <row r="51" spans="1:77" x14ac:dyDescent="0.35">
      <c r="A51">
        <v>82</v>
      </c>
      <c r="B51" s="58" t="s">
        <v>799</v>
      </c>
      <c r="C51" s="58" t="s">
        <v>1103</v>
      </c>
      <c r="D51" s="58" t="s">
        <v>793</v>
      </c>
      <c r="F51" s="6">
        <v>5</v>
      </c>
      <c r="G51" s="6">
        <v>4</v>
      </c>
      <c r="I51" s="6">
        <v>5</v>
      </c>
      <c r="J51" s="6">
        <v>1</v>
      </c>
      <c r="L51" s="6">
        <v>3</v>
      </c>
      <c r="N51" s="6">
        <v>1</v>
      </c>
      <c r="P51">
        <f>193+8</f>
        <v>201</v>
      </c>
      <c r="Q51">
        <f>184+18</f>
        <v>202</v>
      </c>
      <c r="R51" s="73">
        <f t="shared" si="24"/>
        <v>15.461538461538462</v>
      </c>
      <c r="S51" s="73">
        <f t="shared" si="25"/>
        <v>15.538461538461538</v>
      </c>
      <c r="T51" s="73">
        <f t="shared" si="26"/>
        <v>-7.692307692307665E-2</v>
      </c>
      <c r="U51">
        <f>105+4</f>
        <v>109</v>
      </c>
      <c r="V51" s="54">
        <f t="shared" si="27"/>
        <v>1.8440366972477065</v>
      </c>
      <c r="W51" s="9">
        <f>1.25*(0.626+4.446+4.136+1.056+4.561+3.299+3.503+1.694-1.507)-5.98-3.454-3.243+2.63</f>
        <v>17.220499999999994</v>
      </c>
      <c r="X51" s="263">
        <f>556+81+79+80+56</f>
        <v>852</v>
      </c>
      <c r="Y51" s="227">
        <f t="shared" si="28"/>
        <v>1.3246538461538457</v>
      </c>
      <c r="Z51" s="227">
        <f t="shared" si="29"/>
        <v>-1.4015769230769224</v>
      </c>
      <c r="AA51" s="89">
        <f t="shared" si="30"/>
        <v>2.8449422540945863</v>
      </c>
      <c r="AB51" s="73">
        <f t="shared" si="31"/>
        <v>65.538461538461533</v>
      </c>
      <c r="AC51" s="203">
        <f>63.235+88.59+21.282+39.58+4.356+28.931+59.336+14.631+34.552+12.53+15.042+25.625+5.212</f>
        <v>412.90199999999999</v>
      </c>
      <c r="AD51" s="89">
        <f t="shared" si="32"/>
        <v>31.761692307692307</v>
      </c>
      <c r="AE51" s="89">
        <f t="shared" si="33"/>
        <v>5.6357512638238667</v>
      </c>
      <c r="AF51" s="9">
        <v>35</v>
      </c>
      <c r="AG51" s="9">
        <v>0</v>
      </c>
      <c r="AI51" s="54">
        <f t="shared" si="34"/>
        <v>35</v>
      </c>
      <c r="AK51" s="49">
        <v>50</v>
      </c>
      <c r="AL51" s="48">
        <f t="shared" si="35"/>
        <v>50</v>
      </c>
      <c r="AM51" s="36">
        <f t="shared" si="36"/>
        <v>0.59213962973199497</v>
      </c>
      <c r="AN51" s="34">
        <f t="shared" si="37"/>
        <v>0.62222222222222223</v>
      </c>
      <c r="AO51" s="34">
        <f t="shared" si="38"/>
        <v>0.83333333333333337</v>
      </c>
      <c r="AP51" s="34">
        <f t="shared" si="39"/>
        <v>0.33265602322206095</v>
      </c>
      <c r="AQ51" s="34">
        <f t="shared" si="40"/>
        <v>0.66666666666666674</v>
      </c>
      <c r="AR51" s="34">
        <f t="shared" si="41"/>
        <v>0.26125264586321806</v>
      </c>
      <c r="AS51" s="34">
        <f t="shared" si="42"/>
        <v>0.54014841637453936</v>
      </c>
      <c r="AT51" s="34">
        <f t="shared" si="43"/>
        <v>0.37279024806596778</v>
      </c>
      <c r="AU51" s="34">
        <f t="shared" si="44"/>
        <v>0.43706349279778933</v>
      </c>
      <c r="AV51" s="34">
        <f t="shared" si="45"/>
        <v>0.52256628559268825</v>
      </c>
      <c r="AW51" s="34">
        <f t="shared" si="46"/>
        <v>0.41176470588235292</v>
      </c>
      <c r="AX51" s="48">
        <v>49</v>
      </c>
      <c r="AY51" s="218">
        <v>1</v>
      </c>
      <c r="AZ51" s="220">
        <v>3</v>
      </c>
      <c r="BB51" s="205">
        <v>-0.66666666666666663</v>
      </c>
      <c r="BC51" s="245">
        <f t="shared" si="47"/>
        <v>0</v>
      </c>
      <c r="BD51" s="35">
        <v>0.59360910387058385</v>
      </c>
      <c r="BE51">
        <v>2</v>
      </c>
      <c r="BF51" s="205">
        <v>5.6357512638238667</v>
      </c>
      <c r="BG51" s="34">
        <v>0.33265602322206095</v>
      </c>
      <c r="BH51" s="34">
        <v>0.66666666666666674</v>
      </c>
      <c r="BI51" s="34">
        <f>IF(A51&lt;17, SoC!O$3, IF(A51&lt;33, SoC!O$4, IF(A51&lt;49, SoC!O$5, IF(A51&lt;65, SoC!O$6, IF(A51&lt;81, SoC!O$7, IF(A51&lt;97, SoC!O$8, SoC!O$9))))))</f>
        <v>0.8076740483754814</v>
      </c>
      <c r="BJ51" s="34"/>
      <c r="BK51" s="34"/>
      <c r="BL51" s="34"/>
      <c r="BM51" s="58" t="s">
        <v>793</v>
      </c>
      <c r="BN51">
        <v>50</v>
      </c>
      <c r="BO51">
        <v>49</v>
      </c>
      <c r="BP51">
        <v>41</v>
      </c>
      <c r="BQ51">
        <v>48</v>
      </c>
      <c r="BR51">
        <v>35</v>
      </c>
      <c r="BS51">
        <v>30</v>
      </c>
      <c r="BT51">
        <v>36</v>
      </c>
      <c r="BU51">
        <v>28</v>
      </c>
      <c r="BV51">
        <v>28</v>
      </c>
      <c r="BW51" s="154">
        <v>13</v>
      </c>
      <c r="BX51">
        <v>30</v>
      </c>
      <c r="BY51">
        <v>64</v>
      </c>
    </row>
    <row r="52" spans="1:77" x14ac:dyDescent="0.35">
      <c r="A52">
        <v>96</v>
      </c>
      <c r="B52" s="58" t="s">
        <v>799</v>
      </c>
      <c r="C52" s="58" t="s">
        <v>1105</v>
      </c>
      <c r="D52" s="58" t="s">
        <v>788</v>
      </c>
      <c r="F52" s="6">
        <v>4</v>
      </c>
      <c r="G52" s="6">
        <v>5</v>
      </c>
      <c r="I52" s="6">
        <v>3</v>
      </c>
      <c r="J52" s="6">
        <v>3</v>
      </c>
      <c r="L52" s="6">
        <v>1</v>
      </c>
      <c r="M52" s="6">
        <v>1</v>
      </c>
      <c r="N52" s="6">
        <v>3</v>
      </c>
      <c r="P52">
        <f>208+10</f>
        <v>218</v>
      </c>
      <c r="Q52">
        <f>196+19</f>
        <v>215</v>
      </c>
      <c r="R52" s="73">
        <f t="shared" si="24"/>
        <v>15.571428571428571</v>
      </c>
      <c r="S52" s="73">
        <f t="shared" si="25"/>
        <v>15.357142857142858</v>
      </c>
      <c r="T52" s="73">
        <f t="shared" si="26"/>
        <v>0.21428571428571352</v>
      </c>
      <c r="U52">
        <f>113+5</f>
        <v>118</v>
      </c>
      <c r="V52" s="54">
        <f t="shared" si="27"/>
        <v>1.847457627118644</v>
      </c>
      <c r="W52" s="9">
        <f>1.25*(4.136+3.659-3.073-0.441+2.865+3.123-3.228)-5.541-1.874-2.154+2.321-2.281-0.494+1.622</f>
        <v>0.40024999999999933</v>
      </c>
      <c r="X52" s="263">
        <f>486+77+69+76+49+71+72+64</f>
        <v>964</v>
      </c>
      <c r="Y52" s="227">
        <f t="shared" si="28"/>
        <v>2.8589285714285668E-2</v>
      </c>
      <c r="Z52" s="227">
        <f t="shared" si="29"/>
        <v>0.18569642857142785</v>
      </c>
      <c r="AA52" s="89">
        <f t="shared" si="30"/>
        <v>3.068788610336191</v>
      </c>
      <c r="AB52" s="73">
        <f t="shared" si="31"/>
        <v>68.857142857142861</v>
      </c>
      <c r="AC52" s="203">
        <f>16.497+12.283+76.66+0+96.197+4.973+13.896+5.706+43.547+47.805+67.442+35.634+21.026+2.622</f>
        <v>444.28800000000007</v>
      </c>
      <c r="AD52" s="89">
        <f t="shared" si="32"/>
        <v>31.734857142857148</v>
      </c>
      <c r="AE52" s="89">
        <f t="shared" si="33"/>
        <v>5.6333699632508738</v>
      </c>
      <c r="AF52" s="9">
        <v>35</v>
      </c>
      <c r="AG52" s="9">
        <v>18</v>
      </c>
      <c r="AH52" s="20">
        <v>17</v>
      </c>
      <c r="AI52" s="54">
        <f t="shared" si="34"/>
        <v>70</v>
      </c>
      <c r="AK52" s="49">
        <v>51</v>
      </c>
      <c r="AL52" s="48">
        <f t="shared" si="35"/>
        <v>51</v>
      </c>
      <c r="AM52" s="36">
        <f t="shared" si="36"/>
        <v>0.59005183386176419</v>
      </c>
      <c r="AN52" s="34">
        <f t="shared" si="37"/>
        <v>0.48888888888888893</v>
      </c>
      <c r="AO52" s="34">
        <f t="shared" si="38"/>
        <v>0.54166666666666663</v>
      </c>
      <c r="AP52" s="34">
        <f t="shared" si="39"/>
        <v>0.34177897574123983</v>
      </c>
      <c r="AQ52" s="34">
        <f t="shared" si="40"/>
        <v>0.68163265306122445</v>
      </c>
      <c r="AR52" s="34">
        <f t="shared" si="41"/>
        <v>0.26456804290813218</v>
      </c>
      <c r="AS52" s="34">
        <f t="shared" si="42"/>
        <v>0.66180463831470548</v>
      </c>
      <c r="AT52" s="34">
        <f t="shared" si="43"/>
        <v>0.50517630412927728</v>
      </c>
      <c r="AU52" s="34">
        <f t="shared" si="44"/>
        <v>0.46022357045278928</v>
      </c>
      <c r="AV52" s="34">
        <f t="shared" si="45"/>
        <v>0.52224338858772112</v>
      </c>
      <c r="AW52" s="34">
        <f t="shared" si="46"/>
        <v>0.82352941176470584</v>
      </c>
      <c r="AX52" s="48">
        <v>118</v>
      </c>
      <c r="AY52" s="218">
        <v>3</v>
      </c>
      <c r="AZ52" s="220">
        <v>1</v>
      </c>
      <c r="BB52" s="205">
        <v>0</v>
      </c>
      <c r="BC52" s="245">
        <f t="shared" si="47"/>
        <v>0</v>
      </c>
      <c r="BD52" s="35">
        <v>0.59160939137530344</v>
      </c>
      <c r="BE52">
        <v>5</v>
      </c>
      <c r="BF52" s="205">
        <v>5.6333699632508738</v>
      </c>
      <c r="BG52" s="34">
        <v>0.34177897574123983</v>
      </c>
      <c r="BH52" s="34">
        <v>0.68163265306122445</v>
      </c>
      <c r="BI52" s="34">
        <f>IF(A52&lt;17, SoC!O$3, IF(A52&lt;33, SoC!O$4, IF(A52&lt;49, SoC!O$5, IF(A52&lt;65, SoC!O$6, IF(A52&lt;81, SoC!O$7, IF(A52&lt;97, SoC!O$8, SoC!O$9))))))</f>
        <v>0.8076740483754814</v>
      </c>
      <c r="BJ52" s="34"/>
      <c r="BK52" s="34"/>
      <c r="BL52" s="34"/>
      <c r="BM52" s="58" t="s">
        <v>788</v>
      </c>
      <c r="BN52">
        <v>51</v>
      </c>
      <c r="BO52">
        <v>44</v>
      </c>
      <c r="BP52">
        <v>39</v>
      </c>
      <c r="BQ52">
        <v>34</v>
      </c>
      <c r="BR52">
        <v>54</v>
      </c>
      <c r="BS52">
        <v>40</v>
      </c>
      <c r="BT52">
        <v>28</v>
      </c>
      <c r="BU52">
        <v>37</v>
      </c>
      <c r="BV52">
        <v>20</v>
      </c>
      <c r="BW52" s="154">
        <v>46</v>
      </c>
      <c r="BX52">
        <v>22</v>
      </c>
      <c r="BY52">
        <v>17</v>
      </c>
    </row>
    <row r="53" spans="1:77" x14ac:dyDescent="0.35">
      <c r="A53">
        <v>30</v>
      </c>
      <c r="B53" s="16" t="s">
        <v>144</v>
      </c>
      <c r="C53" s="16" t="s">
        <v>1369</v>
      </c>
      <c r="D53" s="16" t="s">
        <v>62</v>
      </c>
      <c r="F53" s="6">
        <v>4</v>
      </c>
      <c r="G53" s="6">
        <v>5</v>
      </c>
      <c r="I53" s="6">
        <v>1</v>
      </c>
      <c r="J53" s="6">
        <v>5</v>
      </c>
      <c r="L53" s="6">
        <v>3</v>
      </c>
      <c r="M53" s="6">
        <v>1</v>
      </c>
      <c r="N53" s="6">
        <v>3</v>
      </c>
      <c r="P53">
        <f>273+11</f>
        <v>284</v>
      </c>
      <c r="Q53">
        <f>227+24+25</f>
        <v>276</v>
      </c>
      <c r="R53" s="73">
        <f t="shared" si="24"/>
        <v>17.75</v>
      </c>
      <c r="S53" s="73">
        <f t="shared" si="25"/>
        <v>17.25</v>
      </c>
      <c r="T53" s="73">
        <f t="shared" si="26"/>
        <v>0.5</v>
      </c>
      <c r="U53">
        <f>130+8+5</f>
        <v>143</v>
      </c>
      <c r="V53" s="54">
        <f t="shared" si="27"/>
        <v>1.986013986013986</v>
      </c>
      <c r="W53" s="9">
        <f>1.25*(1.551-2.552+1.439+0.972-7.657-2.266-1.07-3.605)+1.603+1.909+3.33+0.126+7.031+2.531-8.314-0.737</f>
        <v>-9.0060000000000002</v>
      </c>
      <c r="X53" s="263">
        <f>491+69+69+63+81+48+67+80+69</f>
        <v>1037</v>
      </c>
      <c r="Y53" s="227">
        <f t="shared" si="28"/>
        <v>-0.28143750000000001</v>
      </c>
      <c r="Z53" s="227">
        <f t="shared" si="29"/>
        <v>1.062875</v>
      </c>
      <c r="AA53" s="89">
        <f t="shared" si="30"/>
        <v>4.219020212146952</v>
      </c>
      <c r="AB53" s="73">
        <f t="shared" si="31"/>
        <v>64.8125</v>
      </c>
      <c r="AC53" s="203">
        <f>8.907+32.633+(106.014-3.007)+7.039+(113.658-6.829)+59.701+(119.242-9.621)+9.643+39.525+38.997+(113.965-6.9825)+25.979+17.153+16.551+12.807+4.571</f>
        <v>699.94550000000004</v>
      </c>
      <c r="AD53" s="89">
        <f t="shared" si="32"/>
        <v>43.746593750000002</v>
      </c>
      <c r="AE53" s="89">
        <f t="shared" si="33"/>
        <v>6.6141207843522185</v>
      </c>
      <c r="AF53" s="9">
        <v>35</v>
      </c>
      <c r="AG53" s="9">
        <v>18</v>
      </c>
      <c r="AH53" s="20">
        <v>17</v>
      </c>
      <c r="AI53" s="54">
        <f t="shared" si="34"/>
        <v>70</v>
      </c>
      <c r="AK53" s="49">
        <v>52</v>
      </c>
      <c r="AL53" s="48">
        <f t="shared" si="35"/>
        <v>52</v>
      </c>
      <c r="AM53" s="36">
        <f t="shared" si="36"/>
        <v>0.58828656801538914</v>
      </c>
      <c r="AN53" s="34">
        <f t="shared" si="37"/>
        <v>0.53333333333333333</v>
      </c>
      <c r="AO53" s="34">
        <f t="shared" si="38"/>
        <v>0.20833333333333334</v>
      </c>
      <c r="AP53" s="34">
        <f t="shared" si="39"/>
        <v>0.52264150943396226</v>
      </c>
      <c r="AQ53" s="34">
        <f t="shared" si="40"/>
        <v>0.52539682539682553</v>
      </c>
      <c r="AR53" s="34">
        <f t="shared" si="41"/>
        <v>0.3988500539888753</v>
      </c>
      <c r="AS53" s="34">
        <f t="shared" si="42"/>
        <v>0.69090557093912808</v>
      </c>
      <c r="AT53" s="34">
        <f t="shared" si="43"/>
        <v>0.57833711881446181</v>
      </c>
      <c r="AU53" s="34">
        <f t="shared" si="44"/>
        <v>0.57386917857450237</v>
      </c>
      <c r="AV53" s="34">
        <f t="shared" si="45"/>
        <v>0.65523017166932473</v>
      </c>
      <c r="AW53" s="34">
        <f t="shared" si="46"/>
        <v>0.82352941176470584</v>
      </c>
      <c r="AX53" s="48">
        <v>78</v>
      </c>
      <c r="AY53" s="218">
        <v>3</v>
      </c>
      <c r="AZ53" s="220">
        <v>3</v>
      </c>
      <c r="BB53" s="205">
        <v>0.33333333333333331</v>
      </c>
      <c r="BC53" s="245">
        <f t="shared" si="47"/>
        <v>0</v>
      </c>
      <c r="BD53" s="35">
        <v>0.58805357723467622</v>
      </c>
      <c r="BE53">
        <v>3</v>
      </c>
      <c r="BF53" s="205">
        <v>6.6141207843522185</v>
      </c>
      <c r="BG53" s="34">
        <v>0.52264150943396226</v>
      </c>
      <c r="BH53" s="34">
        <v>0.52539682539682553</v>
      </c>
      <c r="BI53" s="34">
        <f>IF(A53&lt;17, SoC!O$3, IF(A53&lt;33, SoC!O$4, IF(A53&lt;49, SoC!O$5, IF(A53&lt;65, SoC!O$6, IF(A53&lt;81, SoC!O$7, IF(A53&lt;97, SoC!O$8, SoC!O$9))))))</f>
        <v>1.148154410748077</v>
      </c>
      <c r="BJ53" s="34"/>
      <c r="BK53" s="34"/>
      <c r="BL53" s="34"/>
      <c r="BM53" s="16" t="s">
        <v>62</v>
      </c>
      <c r="BN53">
        <v>52</v>
      </c>
      <c r="BO53">
        <v>45</v>
      </c>
      <c r="BP53">
        <v>38</v>
      </c>
      <c r="BQ53">
        <v>39</v>
      </c>
      <c r="BR53">
        <v>31</v>
      </c>
      <c r="BS53">
        <v>36</v>
      </c>
      <c r="BT53">
        <v>41</v>
      </c>
      <c r="BU53">
        <v>73</v>
      </c>
      <c r="BV53">
        <v>67</v>
      </c>
      <c r="BW53" s="154">
        <v>80</v>
      </c>
      <c r="BX53">
        <v>72</v>
      </c>
      <c r="BY53">
        <v>35</v>
      </c>
    </row>
    <row r="54" spans="1:77" x14ac:dyDescent="0.35">
      <c r="A54">
        <v>19</v>
      </c>
      <c r="B54" s="16" t="s">
        <v>144</v>
      </c>
      <c r="C54" s="16" t="s">
        <v>1086</v>
      </c>
      <c r="D54" s="16" t="s">
        <v>114</v>
      </c>
      <c r="F54" s="6">
        <v>5</v>
      </c>
      <c r="G54" s="6">
        <v>4</v>
      </c>
      <c r="I54" s="6">
        <v>3</v>
      </c>
      <c r="J54" s="6">
        <v>3</v>
      </c>
      <c r="L54" s="6">
        <v>2</v>
      </c>
      <c r="M54" s="6">
        <v>1</v>
      </c>
      <c r="N54" s="6">
        <v>3</v>
      </c>
      <c r="P54">
        <f>217+21</f>
        <v>238</v>
      </c>
      <c r="Q54">
        <f>235+16</f>
        <v>251</v>
      </c>
      <c r="R54" s="73">
        <f t="shared" si="24"/>
        <v>15.866666666666667</v>
      </c>
      <c r="S54" s="73">
        <f t="shared" si="25"/>
        <v>16.733333333333334</v>
      </c>
      <c r="T54" s="73">
        <f t="shared" si="26"/>
        <v>-0.86666666666666714</v>
      </c>
      <c r="U54">
        <f>126+10</f>
        <v>136</v>
      </c>
      <c r="V54" s="54">
        <f t="shared" si="27"/>
        <v>1.75</v>
      </c>
      <c r="W54" s="9">
        <f>1.25*(-0.501-0.228-5.736+2.592-0.978-1.621+4.008+2.379-0.525)+0.979-1.967-1.481-1.137-3.515+2.118</f>
        <v>-5.7654999999999994</v>
      </c>
      <c r="X54" s="263">
        <f>435+49+66+65+60+71+33</f>
        <v>779</v>
      </c>
      <c r="Y54" s="227">
        <f t="shared" si="28"/>
        <v>-0.19218333333333332</v>
      </c>
      <c r="Z54" s="227">
        <f t="shared" si="29"/>
        <v>-0.48230000000000051</v>
      </c>
      <c r="AA54" s="89">
        <f t="shared" si="30"/>
        <v>2.9786896984243807</v>
      </c>
      <c r="AB54" s="73">
        <f t="shared" si="31"/>
        <v>51.93333333333333</v>
      </c>
      <c r="AC54" s="203">
        <f>5.332+39.222+3.477+75.107+6.801+90.76+69.829+70.429+32.2+60.575+13.928+0+76.549+10.062+45.051</f>
        <v>599.322</v>
      </c>
      <c r="AD54" s="89">
        <f t="shared" si="32"/>
        <v>39.954799999999999</v>
      </c>
      <c r="AE54" s="89">
        <f t="shared" si="33"/>
        <v>6.3209809365319236</v>
      </c>
      <c r="AF54" s="9">
        <v>35</v>
      </c>
      <c r="AG54" s="9">
        <v>12</v>
      </c>
      <c r="AH54" s="9">
        <v>8</v>
      </c>
      <c r="AI54" s="54">
        <f t="shared" si="34"/>
        <v>55</v>
      </c>
      <c r="AK54" s="49">
        <v>53</v>
      </c>
      <c r="AL54" s="48">
        <f t="shared" si="35"/>
        <v>53</v>
      </c>
      <c r="AM54" s="36">
        <f t="shared" si="36"/>
        <v>0.58801756704117714</v>
      </c>
      <c r="AN54" s="34">
        <f t="shared" si="37"/>
        <v>0.62222222222222223</v>
      </c>
      <c r="AO54" s="34">
        <f t="shared" si="38"/>
        <v>0.54166666666666663</v>
      </c>
      <c r="AP54" s="34">
        <f t="shared" si="39"/>
        <v>0.36628930817610067</v>
      </c>
      <c r="AQ54" s="34">
        <f t="shared" si="40"/>
        <v>0.56804232804232802</v>
      </c>
      <c r="AR54" s="34">
        <f t="shared" si="41"/>
        <v>0.17011690209449584</v>
      </c>
      <c r="AS54" s="34">
        <f t="shared" si="42"/>
        <v>0.68252765131959769</v>
      </c>
      <c r="AT54" s="34">
        <f t="shared" si="43"/>
        <v>0.44946226309714415</v>
      </c>
      <c r="AU54" s="34">
        <f t="shared" si="44"/>
        <v>0.450950604307084</v>
      </c>
      <c r="AV54" s="34">
        <f t="shared" si="45"/>
        <v>0.61548131343143453</v>
      </c>
      <c r="AW54" s="34">
        <f t="shared" si="46"/>
        <v>0.6470588235294118</v>
      </c>
      <c r="AX54" s="48">
        <v>68</v>
      </c>
      <c r="AY54" s="218">
        <v>1</v>
      </c>
      <c r="AZ54" s="220">
        <v>5</v>
      </c>
      <c r="BB54" s="205">
        <v>0.33333333333333331</v>
      </c>
      <c r="BC54" s="245">
        <f t="shared" si="47"/>
        <v>0</v>
      </c>
      <c r="BD54" s="35">
        <v>0.58783983051461286</v>
      </c>
      <c r="BE54">
        <v>3</v>
      </c>
      <c r="BF54" s="205">
        <v>6.3209809365319236</v>
      </c>
      <c r="BG54" s="34">
        <v>0.36628930817610067</v>
      </c>
      <c r="BH54" s="34">
        <v>0.56804232804232802</v>
      </c>
      <c r="BI54" s="34">
        <f>IF(A54&lt;17, SoC!O$3, IF(A54&lt;33, SoC!O$4, IF(A54&lt;49, SoC!O$5, IF(A54&lt;65, SoC!O$6, IF(A54&lt;81, SoC!O$7, IF(A54&lt;97, SoC!O$8, SoC!O$9))))))</f>
        <v>1.148154410748077</v>
      </c>
      <c r="BJ54" s="34"/>
      <c r="BK54" s="34"/>
      <c r="BL54" s="34"/>
      <c r="BM54" s="16" t="s">
        <v>114</v>
      </c>
      <c r="BN54">
        <v>53</v>
      </c>
      <c r="BO54">
        <v>54</v>
      </c>
      <c r="BP54">
        <v>57</v>
      </c>
      <c r="BQ54">
        <v>61</v>
      </c>
      <c r="BR54">
        <v>47</v>
      </c>
      <c r="BS54">
        <v>55</v>
      </c>
      <c r="BT54">
        <v>76</v>
      </c>
      <c r="BU54">
        <v>58</v>
      </c>
      <c r="BV54">
        <v>87</v>
      </c>
      <c r="BW54" s="154">
        <v>64</v>
      </c>
      <c r="BX54">
        <v>90</v>
      </c>
      <c r="BY54">
        <v>45</v>
      </c>
    </row>
    <row r="55" spans="1:77" x14ac:dyDescent="0.35">
      <c r="A55">
        <v>36</v>
      </c>
      <c r="B55" s="17" t="s">
        <v>171</v>
      </c>
      <c r="C55" s="17" t="s">
        <v>1095</v>
      </c>
      <c r="D55" s="17" t="s">
        <v>58</v>
      </c>
      <c r="F55" s="6">
        <v>4</v>
      </c>
      <c r="G55" s="6">
        <v>5</v>
      </c>
      <c r="I55" s="6">
        <v>4</v>
      </c>
      <c r="J55" s="6">
        <v>2</v>
      </c>
      <c r="L55" s="6">
        <v>1</v>
      </c>
      <c r="N55" s="6">
        <v>4</v>
      </c>
      <c r="P55">
        <f>212+11</f>
        <v>223</v>
      </c>
      <c r="Q55">
        <f>202+25</f>
        <v>227</v>
      </c>
      <c r="R55" s="73">
        <f t="shared" si="24"/>
        <v>15.928571428571429</v>
      </c>
      <c r="S55" s="73">
        <f t="shared" si="25"/>
        <v>16.214285714285715</v>
      </c>
      <c r="T55" s="73">
        <f t="shared" si="26"/>
        <v>-0.28571428571428648</v>
      </c>
      <c r="U55">
        <f>106+5</f>
        <v>111</v>
      </c>
      <c r="V55" s="54">
        <f t="shared" si="27"/>
        <v>2.0090090090090089</v>
      </c>
      <c r="W55" s="9">
        <f>1.25*(4.556+1.364-3.076+1.564+6.047-2.055+0.956)+6.123+7.769-1.553-0.582-7.989+4.886-6.732</f>
        <v>13.616999999999994</v>
      </c>
      <c r="X55" s="263">
        <f>552+49+80+67+81+46+81</f>
        <v>956</v>
      </c>
      <c r="Y55" s="227">
        <f t="shared" si="28"/>
        <v>0.9726428571428567</v>
      </c>
      <c r="Z55" s="227">
        <f t="shared" si="29"/>
        <v>-1.2583571428571432</v>
      </c>
      <c r="AA55" s="89">
        <f t="shared" si="30"/>
        <v>3.777893382503736</v>
      </c>
      <c r="AB55" s="73">
        <f t="shared" si="31"/>
        <v>68.285714285714292</v>
      </c>
      <c r="AC55" s="203">
        <f>41.837+1.714+14.429+65.306+(125.011-12.5055)+30.426+1.509+6.971+28.087+8.745+38.108+1.372+25.08+11.056</f>
        <v>387.14549999999997</v>
      </c>
      <c r="AD55" s="89">
        <f t="shared" si="32"/>
        <v>27.653249999999996</v>
      </c>
      <c r="AE55" s="89">
        <f t="shared" si="33"/>
        <v>5.2586357546420723</v>
      </c>
      <c r="AF55" s="9">
        <v>28</v>
      </c>
      <c r="AG55" s="9">
        <v>12</v>
      </c>
      <c r="AH55" s="20">
        <v>17</v>
      </c>
      <c r="AI55" s="54">
        <f t="shared" si="34"/>
        <v>57</v>
      </c>
      <c r="AK55" s="49">
        <v>54</v>
      </c>
      <c r="AL55" s="48">
        <f t="shared" si="35"/>
        <v>54</v>
      </c>
      <c r="AM55" s="36">
        <f t="shared" si="36"/>
        <v>0.57628836366492109</v>
      </c>
      <c r="AN55" s="34">
        <f t="shared" si="37"/>
        <v>0.46666666666666667</v>
      </c>
      <c r="AO55" s="34">
        <f t="shared" si="38"/>
        <v>0.66666666666666663</v>
      </c>
      <c r="AP55" s="34">
        <f t="shared" si="39"/>
        <v>0.37142857142857144</v>
      </c>
      <c r="AQ55" s="34">
        <f t="shared" si="40"/>
        <v>0.61088435374149652</v>
      </c>
      <c r="AR55" s="34">
        <f t="shared" si="41"/>
        <v>0.42113569975235826</v>
      </c>
      <c r="AS55" s="34">
        <f t="shared" si="42"/>
        <v>0.57319023258620583</v>
      </c>
      <c r="AT55" s="34">
        <f t="shared" si="43"/>
        <v>0.3847354507204826</v>
      </c>
      <c r="AU55" s="34">
        <f t="shared" si="44"/>
        <v>0.53120877328835125</v>
      </c>
      <c r="AV55" s="34">
        <f t="shared" si="45"/>
        <v>0.47143058696543683</v>
      </c>
      <c r="AW55" s="34">
        <f t="shared" si="46"/>
        <v>0.6705882352941176</v>
      </c>
      <c r="AX55" s="48">
        <v>98</v>
      </c>
      <c r="AY55" s="218">
        <v>2</v>
      </c>
      <c r="AZ55" s="220">
        <v>3</v>
      </c>
      <c r="BB55" s="205">
        <v>0.33333333333333331</v>
      </c>
      <c r="BC55" s="245">
        <f t="shared" si="47"/>
        <v>0</v>
      </c>
      <c r="BD55" s="35">
        <v>0.57380499894250103</v>
      </c>
      <c r="BE55">
        <v>4</v>
      </c>
      <c r="BF55" s="205">
        <v>5.2586357546420723</v>
      </c>
      <c r="BG55" s="34">
        <v>0.37142857142857144</v>
      </c>
      <c r="BH55" s="34">
        <v>0.61088435374149652</v>
      </c>
      <c r="BI55" s="34">
        <f>IF(A55&lt;17, SoC!O$3, IF(A55&lt;33, SoC!O$4, IF(A55&lt;49, SoC!O$5, IF(A55&lt;65, SoC!O$6, IF(A55&lt;81, SoC!O$7, IF(A55&lt;97, SoC!O$8, SoC!O$9))))))</f>
        <v>1.0509770295874163</v>
      </c>
      <c r="BJ55" s="34"/>
      <c r="BK55" s="34"/>
      <c r="BL55" s="34"/>
      <c r="BM55" s="17" t="s">
        <v>58</v>
      </c>
      <c r="BN55">
        <v>54</v>
      </c>
      <c r="BO55">
        <v>53</v>
      </c>
      <c r="BP55">
        <v>48</v>
      </c>
      <c r="BQ55">
        <v>41</v>
      </c>
      <c r="BR55">
        <v>39</v>
      </c>
      <c r="BS55">
        <v>20</v>
      </c>
      <c r="BT55">
        <v>15</v>
      </c>
      <c r="BU55">
        <v>26</v>
      </c>
      <c r="BV55">
        <v>55</v>
      </c>
      <c r="BW55" s="154">
        <v>42</v>
      </c>
      <c r="BX55">
        <v>20</v>
      </c>
      <c r="BY55">
        <v>15</v>
      </c>
    </row>
    <row r="56" spans="1:77" x14ac:dyDescent="0.35">
      <c r="A56">
        <v>54</v>
      </c>
      <c r="B56" s="19" t="s">
        <v>172</v>
      </c>
      <c r="C56" s="19" t="s">
        <v>3201</v>
      </c>
      <c r="D56" s="19" t="s">
        <v>39</v>
      </c>
      <c r="F56" s="6">
        <v>6</v>
      </c>
      <c r="G56" s="6">
        <v>3</v>
      </c>
      <c r="I56" s="6">
        <v>4</v>
      </c>
      <c r="J56" s="6">
        <v>2</v>
      </c>
      <c r="N56" s="6">
        <v>2</v>
      </c>
      <c r="P56">
        <f>140+12</f>
        <v>152</v>
      </c>
      <c r="Q56">
        <f>148+10</f>
        <v>158</v>
      </c>
      <c r="R56" s="73">
        <f t="shared" si="24"/>
        <v>13.818181818181818</v>
      </c>
      <c r="S56" s="73">
        <f t="shared" si="25"/>
        <v>14.363636363636363</v>
      </c>
      <c r="T56" s="73">
        <f t="shared" si="26"/>
        <v>-0.54545454545454497</v>
      </c>
      <c r="U56">
        <f>85+7</f>
        <v>92</v>
      </c>
      <c r="V56" s="54">
        <f t="shared" si="27"/>
        <v>1.6521739130434783</v>
      </c>
      <c r="W56" s="9">
        <f>1.25*(-1.658+2.477+2.515-1.859+0.961-1.81-0.577-2.528)-7.625-3.965-1.248</f>
        <v>-15.936749999999998</v>
      </c>
      <c r="X56" s="263">
        <f>430+67+62+55</f>
        <v>614</v>
      </c>
      <c r="Y56" s="227">
        <f t="shared" si="28"/>
        <v>-0.72439772727272722</v>
      </c>
      <c r="Z56" s="227">
        <f t="shared" si="29"/>
        <v>0.90334090909090947</v>
      </c>
      <c r="AA56" s="89">
        <f t="shared" si="30"/>
        <v>3.3913725247905853</v>
      </c>
      <c r="AB56" s="73">
        <f t="shared" si="31"/>
        <v>55.81818181818182</v>
      </c>
      <c r="AC56" s="203">
        <f>43.379+30.361+11.218+20.837+3.726+2.682+49.753+33.56+0.858+97.117+21.794</f>
        <v>315.28500000000003</v>
      </c>
      <c r="AD56" s="89">
        <f t="shared" si="32"/>
        <v>28.662272727272729</v>
      </c>
      <c r="AE56" s="89">
        <f t="shared" si="33"/>
        <v>5.3537157869345968</v>
      </c>
      <c r="AF56" s="9">
        <v>7</v>
      </c>
      <c r="AG56" s="9">
        <v>0</v>
      </c>
      <c r="AI56" s="54">
        <f t="shared" si="34"/>
        <v>7</v>
      </c>
      <c r="AK56" s="49">
        <v>55</v>
      </c>
      <c r="AL56" s="48">
        <f t="shared" si="35"/>
        <v>55</v>
      </c>
      <c r="AM56" s="36">
        <f t="shared" si="36"/>
        <v>0.57060883133545381</v>
      </c>
      <c r="AN56" s="34">
        <f t="shared" si="37"/>
        <v>0.66666666666666663</v>
      </c>
      <c r="AO56" s="34">
        <f t="shared" si="38"/>
        <v>0.66666666666666663</v>
      </c>
      <c r="AP56" s="34">
        <f t="shared" si="39"/>
        <v>0.19622641509433961</v>
      </c>
      <c r="AQ56" s="34">
        <f t="shared" si="40"/>
        <v>0.76363636363636367</v>
      </c>
      <c r="AR56" s="34">
        <f t="shared" si="41"/>
        <v>7.5308668120883521E-2</v>
      </c>
      <c r="AS56" s="34">
        <f t="shared" si="42"/>
        <v>0.73248441613298243</v>
      </c>
      <c r="AT56" s="34">
        <f t="shared" si="43"/>
        <v>0.56503122598814604</v>
      </c>
      <c r="AU56" s="34">
        <f t="shared" si="44"/>
        <v>0.49292792405806696</v>
      </c>
      <c r="AV56" s="34">
        <f t="shared" si="45"/>
        <v>0.48432314576613061</v>
      </c>
      <c r="AW56" s="34">
        <f t="shared" si="46"/>
        <v>8.2352941176470587E-2</v>
      </c>
      <c r="AX56" s="48">
        <v>30</v>
      </c>
      <c r="AY56" s="218">
        <v>1</v>
      </c>
      <c r="AZ56" s="220">
        <v>1</v>
      </c>
      <c r="BB56" s="205">
        <v>-1.3333333333333333</v>
      </c>
      <c r="BC56" s="245">
        <f t="shared" si="47"/>
        <v>0</v>
      </c>
      <c r="BD56" s="35">
        <v>0.56852007627954848</v>
      </c>
      <c r="BE56">
        <v>1</v>
      </c>
      <c r="BF56" s="205">
        <v>5.3537157869345968</v>
      </c>
      <c r="BG56" s="34">
        <v>0.19622641509433961</v>
      </c>
      <c r="BH56" s="34">
        <v>0.76363636363636367</v>
      </c>
      <c r="BI56" s="34">
        <f>IF(A56&lt;17, SoC!O$3, IF(A56&lt;33, SoC!O$4, IF(A56&lt;49, SoC!O$5, IF(A56&lt;65, SoC!O$6, IF(A56&lt;81, SoC!O$7, IF(A56&lt;97, SoC!O$8, SoC!O$9))))))</f>
        <v>1.1793104273940098</v>
      </c>
      <c r="BJ56" s="34"/>
      <c r="BK56" s="34"/>
      <c r="BL56" s="34"/>
      <c r="BM56" s="19" t="s">
        <v>39</v>
      </c>
      <c r="BN56">
        <v>55</v>
      </c>
      <c r="BO56">
        <v>58</v>
      </c>
      <c r="BP56">
        <v>60</v>
      </c>
      <c r="BQ56">
        <v>62</v>
      </c>
      <c r="BR56">
        <v>76</v>
      </c>
      <c r="BS56">
        <v>63</v>
      </c>
      <c r="BT56">
        <v>68</v>
      </c>
      <c r="BU56">
        <v>71</v>
      </c>
      <c r="BV56">
        <v>50</v>
      </c>
      <c r="BW56" s="154">
        <v>31</v>
      </c>
      <c r="BX56">
        <v>38</v>
      </c>
      <c r="BY56">
        <v>83</v>
      </c>
    </row>
    <row r="57" spans="1:77" x14ac:dyDescent="0.35">
      <c r="A57">
        <v>65</v>
      </c>
      <c r="B57" s="21" t="s">
        <v>173</v>
      </c>
      <c r="C57" s="21" t="s">
        <v>166</v>
      </c>
      <c r="D57" s="21" t="s">
        <v>23</v>
      </c>
      <c r="F57" s="6">
        <v>4</v>
      </c>
      <c r="G57" s="6">
        <v>5</v>
      </c>
      <c r="I57" s="6">
        <v>3</v>
      </c>
      <c r="J57" s="6">
        <v>3</v>
      </c>
      <c r="L57" s="6">
        <v>1</v>
      </c>
      <c r="M57" s="6">
        <v>1</v>
      </c>
      <c r="N57" s="6">
        <v>2</v>
      </c>
      <c r="P57">
        <f>188+22</f>
        <v>210</v>
      </c>
      <c r="Q57">
        <f>191+16</f>
        <v>207</v>
      </c>
      <c r="R57" s="73">
        <f t="shared" si="24"/>
        <v>16.153846153846153</v>
      </c>
      <c r="S57" s="73">
        <f t="shared" si="25"/>
        <v>15.923076923076923</v>
      </c>
      <c r="T57" s="73">
        <f t="shared" si="26"/>
        <v>0.23076923076922995</v>
      </c>
      <c r="U57">
        <f>104+12</f>
        <v>116</v>
      </c>
      <c r="V57" s="54">
        <f t="shared" si="27"/>
        <v>1.8103448275862069</v>
      </c>
      <c r="W57" s="9">
        <f>1.25*(-0.499-1.591-4.978-1.274-0.075-2.881+2.17+1.592-5.466-1.942)-5.274-6.89+0.602</f>
        <v>-30.242000000000001</v>
      </c>
      <c r="X57" s="263">
        <f>537+74+75+39</f>
        <v>725</v>
      </c>
      <c r="Y57" s="227">
        <f t="shared" si="28"/>
        <v>-1.1631538461538462</v>
      </c>
      <c r="Z57" s="227">
        <f t="shared" si="29"/>
        <v>2.5570769230769224</v>
      </c>
      <c r="AA57" s="89">
        <f t="shared" si="30"/>
        <v>2.7047622657878532</v>
      </c>
      <c r="AB57" s="73">
        <f t="shared" si="31"/>
        <v>55.769230769230766</v>
      </c>
      <c r="AC57" s="203">
        <f>51.269+30.385+15.82+30.896+(332.31-140.8985)+24.222+2.846+12.793+23.846+18.324+73.398+10.664+57.747</f>
        <v>543.62149999999997</v>
      </c>
      <c r="AD57" s="89">
        <f t="shared" si="32"/>
        <v>41.817038461538459</v>
      </c>
      <c r="AE57" s="89">
        <f t="shared" si="33"/>
        <v>6.4666095027872572</v>
      </c>
      <c r="AF57" s="9">
        <v>14</v>
      </c>
      <c r="AG57" s="9">
        <v>6</v>
      </c>
      <c r="AI57" s="54">
        <f t="shared" si="34"/>
        <v>20</v>
      </c>
      <c r="AK57" s="49">
        <v>56</v>
      </c>
      <c r="AL57" s="48">
        <f t="shared" si="35"/>
        <v>57</v>
      </c>
      <c r="AM57" s="36">
        <f t="shared" si="36"/>
        <v>0.56687047069339047</v>
      </c>
      <c r="AN57" s="34">
        <f t="shared" si="37"/>
        <v>0.48888888888888893</v>
      </c>
      <c r="AO57" s="34">
        <f t="shared" si="38"/>
        <v>0.54166666666666663</v>
      </c>
      <c r="AP57" s="34">
        <f t="shared" si="39"/>
        <v>0.39013062409288818</v>
      </c>
      <c r="AQ57" s="34">
        <f t="shared" si="40"/>
        <v>0.63492063492063489</v>
      </c>
      <c r="AR57" s="34">
        <f t="shared" si="41"/>
        <v>0.22860014220848657</v>
      </c>
      <c r="AS57" s="34">
        <f t="shared" si="42"/>
        <v>0.77366863905325456</v>
      </c>
      <c r="AT57" s="34">
        <f t="shared" si="43"/>
        <v>0.70296058039588583</v>
      </c>
      <c r="AU57" s="34">
        <f t="shared" si="44"/>
        <v>0.42234205073449821</v>
      </c>
      <c r="AV57" s="34">
        <f t="shared" si="45"/>
        <v>0.63522809735901253</v>
      </c>
      <c r="AW57" s="34">
        <f t="shared" si="46"/>
        <v>0.23529411764705882</v>
      </c>
      <c r="AX57" s="48">
        <v>16</v>
      </c>
      <c r="AY57" s="218">
        <v>1</v>
      </c>
      <c r="AZ57" s="220">
        <v>1</v>
      </c>
      <c r="BB57" s="205">
        <v>0.66666666666666663</v>
      </c>
      <c r="BC57" s="245">
        <f t="shared" si="47"/>
        <v>-1</v>
      </c>
      <c r="BD57" s="35">
        <v>0.56764806758081054</v>
      </c>
      <c r="BE57">
        <v>1</v>
      </c>
      <c r="BF57" s="205">
        <v>6.4666095027872572</v>
      </c>
      <c r="BG57" s="34">
        <v>0.39013062409288818</v>
      </c>
      <c r="BH57" s="34">
        <v>0.63492063492063489</v>
      </c>
      <c r="BI57" s="34">
        <f>IF(A57&lt;17, SoC!O$3, IF(A57&lt;33, SoC!O$4, IF(A57&lt;49, SoC!O$5, IF(A57&lt;65, SoC!O$6, IF(A57&lt;81, SoC!O$7, IF(A57&lt;97, SoC!O$8, SoC!O$9))))))</f>
        <v>0.87413259868968274</v>
      </c>
      <c r="BJ57" s="34"/>
      <c r="BK57" s="34"/>
      <c r="BL57" s="34"/>
      <c r="BM57" s="21" t="s">
        <v>23</v>
      </c>
      <c r="BN57">
        <v>56</v>
      </c>
      <c r="BO57">
        <v>56</v>
      </c>
      <c r="BP57">
        <v>61</v>
      </c>
      <c r="BQ57">
        <v>64</v>
      </c>
      <c r="BR57">
        <v>56</v>
      </c>
      <c r="BS57">
        <v>65</v>
      </c>
      <c r="BT57">
        <v>57</v>
      </c>
      <c r="BU57">
        <v>67</v>
      </c>
      <c r="BV57">
        <v>78</v>
      </c>
      <c r="BW57" s="154">
        <v>66</v>
      </c>
      <c r="BX57">
        <v>52</v>
      </c>
      <c r="BY57">
        <v>97</v>
      </c>
    </row>
    <row r="58" spans="1:77" x14ac:dyDescent="0.35">
      <c r="A58">
        <v>60</v>
      </c>
      <c r="B58" s="19" t="s">
        <v>172</v>
      </c>
      <c r="C58" s="19" t="s">
        <v>1099</v>
      </c>
      <c r="D58" s="19" t="s">
        <v>43</v>
      </c>
      <c r="F58" s="6">
        <v>4</v>
      </c>
      <c r="G58" s="6">
        <v>5</v>
      </c>
      <c r="I58" s="6">
        <v>2</v>
      </c>
      <c r="J58" s="6">
        <v>4</v>
      </c>
      <c r="L58" s="6">
        <v>3</v>
      </c>
      <c r="M58" s="6">
        <v>1</v>
      </c>
      <c r="N58" s="6">
        <v>1</v>
      </c>
      <c r="P58">
        <f>196+14</f>
        <v>210</v>
      </c>
      <c r="Q58">
        <f>189+28</f>
        <v>217</v>
      </c>
      <c r="R58" s="73">
        <f t="shared" si="24"/>
        <v>15</v>
      </c>
      <c r="S58" s="73">
        <f t="shared" si="25"/>
        <v>15.5</v>
      </c>
      <c r="T58" s="73">
        <f t="shared" si="26"/>
        <v>-0.5</v>
      </c>
      <c r="U58">
        <f>111+7</f>
        <v>118</v>
      </c>
      <c r="V58" s="54">
        <f t="shared" si="27"/>
        <v>1.7796610169491525</v>
      </c>
      <c r="W58" s="9">
        <f>1.25*(-3.4+1.329+0.834-0.644+0.577+0.081-1.228+0.525)-1.759-1.444-0.994-1.587-2.628-9.736</f>
        <v>-20.555500000000002</v>
      </c>
      <c r="X58" s="263">
        <f>431+65+56+56+66+70+72</f>
        <v>816</v>
      </c>
      <c r="Y58" s="227">
        <f t="shared" si="28"/>
        <v>-0.73412500000000003</v>
      </c>
      <c r="Z58" s="227">
        <f t="shared" si="29"/>
        <v>0.96825000000000006</v>
      </c>
      <c r="AA58" s="89">
        <f t="shared" si="30"/>
        <v>3.5541464145328896</v>
      </c>
      <c r="AB58" s="73">
        <f t="shared" si="31"/>
        <v>58.285714285714285</v>
      </c>
      <c r="AC58" s="203">
        <f>17.715+3.294+49.741+40.953+7.253+46.22+91.211+34.884+3.855+25.79+31.361+26.624+67.314+2.947</f>
        <v>449.16200000000003</v>
      </c>
      <c r="AD58" s="89">
        <f t="shared" si="32"/>
        <v>32.083000000000006</v>
      </c>
      <c r="AE58" s="89">
        <f t="shared" si="33"/>
        <v>5.6641857314180655</v>
      </c>
      <c r="AF58" s="9">
        <v>35</v>
      </c>
      <c r="AG58" s="9">
        <v>12</v>
      </c>
      <c r="AH58" s="9">
        <v>14</v>
      </c>
      <c r="AI58" s="54">
        <f t="shared" si="34"/>
        <v>61</v>
      </c>
      <c r="AK58" s="49">
        <v>57</v>
      </c>
      <c r="AL58" s="48">
        <f t="shared" si="35"/>
        <v>56</v>
      </c>
      <c r="AM58" s="36">
        <f t="shared" si="36"/>
        <v>0.56935638997117566</v>
      </c>
      <c r="AN58" s="34">
        <f t="shared" si="37"/>
        <v>0.53333333333333333</v>
      </c>
      <c r="AO58" s="34">
        <f t="shared" si="38"/>
        <v>0.375</v>
      </c>
      <c r="AP58" s="34">
        <f t="shared" si="39"/>
        <v>0.29433962264150942</v>
      </c>
      <c r="AQ58" s="34">
        <f t="shared" si="40"/>
        <v>0.6698412698412699</v>
      </c>
      <c r="AR58" s="34">
        <f t="shared" si="41"/>
        <v>0.19886290147255903</v>
      </c>
      <c r="AS58" s="34">
        <f t="shared" si="42"/>
        <v>0.73339747500821328</v>
      </c>
      <c r="AT58" s="34">
        <f t="shared" si="43"/>
        <v>0.57044494917526167</v>
      </c>
      <c r="AU58" s="34">
        <f t="shared" si="44"/>
        <v>0.5091609574949475</v>
      </c>
      <c r="AV58" s="34">
        <f t="shared" si="45"/>
        <v>0.52642191160148855</v>
      </c>
      <c r="AW58" s="34">
        <f t="shared" si="46"/>
        <v>0.71764705882352942</v>
      </c>
      <c r="AX58" s="48">
        <v>87</v>
      </c>
      <c r="AY58" s="218">
        <v>1</v>
      </c>
      <c r="AZ58" s="220">
        <v>5</v>
      </c>
      <c r="BB58" s="205">
        <v>0.33333333333333331</v>
      </c>
      <c r="BC58" s="245">
        <f t="shared" si="47"/>
        <v>1</v>
      </c>
      <c r="BD58" s="35">
        <v>0.567190457741924</v>
      </c>
      <c r="BE58">
        <v>4</v>
      </c>
      <c r="BF58" s="205">
        <v>5.6641857314180655</v>
      </c>
      <c r="BG58" s="34">
        <v>0.29433962264150942</v>
      </c>
      <c r="BH58" s="34">
        <v>0.6698412698412699</v>
      </c>
      <c r="BI58" s="34">
        <f>IF(A58&lt;17, SoC!O$3, IF(A58&lt;33, SoC!O$4, IF(A58&lt;49, SoC!O$5, IF(A58&lt;65, SoC!O$6, IF(A58&lt;81, SoC!O$7, IF(A58&lt;97, SoC!O$8, SoC!O$9))))))</f>
        <v>1.1793104273940098</v>
      </c>
      <c r="BJ58" s="34"/>
      <c r="BK58" s="34"/>
      <c r="BL58" s="34"/>
      <c r="BM58" s="19" t="s">
        <v>43</v>
      </c>
      <c r="BN58">
        <v>57</v>
      </c>
      <c r="BO58">
        <v>57</v>
      </c>
      <c r="BP58">
        <v>56</v>
      </c>
      <c r="BQ58">
        <v>56</v>
      </c>
      <c r="BR58">
        <v>57</v>
      </c>
      <c r="BS58">
        <v>50</v>
      </c>
      <c r="BT58">
        <v>63</v>
      </c>
      <c r="BU58">
        <v>44</v>
      </c>
      <c r="BV58">
        <v>75</v>
      </c>
      <c r="BW58" s="154">
        <v>84</v>
      </c>
      <c r="BX58">
        <v>58</v>
      </c>
      <c r="BY58">
        <v>26</v>
      </c>
    </row>
    <row r="59" spans="1:77" x14ac:dyDescent="0.35">
      <c r="A59">
        <v>64</v>
      </c>
      <c r="B59" s="19" t="s">
        <v>172</v>
      </c>
      <c r="C59" s="19" t="s">
        <v>1100</v>
      </c>
      <c r="D59" s="19" t="s">
        <v>42</v>
      </c>
      <c r="F59" s="6">
        <v>4</v>
      </c>
      <c r="G59" s="6">
        <v>5</v>
      </c>
      <c r="I59" s="6">
        <v>2</v>
      </c>
      <c r="J59" s="6">
        <v>4</v>
      </c>
      <c r="L59" s="6">
        <v>2</v>
      </c>
      <c r="M59" s="6">
        <v>1</v>
      </c>
      <c r="N59" s="6">
        <v>3</v>
      </c>
      <c r="P59">
        <f>227+17</f>
        <v>244</v>
      </c>
      <c r="Q59">
        <f>229+20</f>
        <v>249</v>
      </c>
      <c r="R59" s="73">
        <f t="shared" si="24"/>
        <v>16.266666666666666</v>
      </c>
      <c r="S59" s="73">
        <f t="shared" si="25"/>
        <v>16.600000000000001</v>
      </c>
      <c r="T59" s="73">
        <f t="shared" si="26"/>
        <v>-0.3333333333333357</v>
      </c>
      <c r="U59">
        <f>115+7</f>
        <v>122</v>
      </c>
      <c r="V59" s="54">
        <f t="shared" si="27"/>
        <v>2</v>
      </c>
      <c r="W59" s="9">
        <f>1.25*(4.383+3.634-3.944+2.818-0.952+1.959+3.275)-1.339+4.187+1.444+0.994+0.535-2.776-0.487-10.054</f>
        <v>6.4702500000000018</v>
      </c>
      <c r="X59" s="263">
        <f>434+45+56+56+59+48+61+80</f>
        <v>839</v>
      </c>
      <c r="Y59" s="227">
        <f t="shared" si="28"/>
        <v>0.43135000000000012</v>
      </c>
      <c r="Z59" s="227">
        <f t="shared" si="29"/>
        <v>-0.76468333333333582</v>
      </c>
      <c r="AA59" s="89">
        <f t="shared" si="30"/>
        <v>3.4696663070109142</v>
      </c>
      <c r="AB59" s="73">
        <f t="shared" si="31"/>
        <v>55.93333333333333</v>
      </c>
      <c r="AC59" s="203">
        <f>20.8+0.605+1.903+71.189+16.199+51.311+55.51+22.177+46.864+36.507+13.692+0.627+74.293+17.876+24.028</f>
        <v>453.58099999999996</v>
      </c>
      <c r="AD59" s="89">
        <f t="shared" si="32"/>
        <v>30.238733333333332</v>
      </c>
      <c r="AE59" s="89">
        <f t="shared" si="33"/>
        <v>5.4989756621877621</v>
      </c>
      <c r="AF59" s="9">
        <v>28</v>
      </c>
      <c r="AG59" s="9">
        <v>18</v>
      </c>
      <c r="AH59" s="20">
        <v>23</v>
      </c>
      <c r="AI59" s="54">
        <f t="shared" si="34"/>
        <v>69</v>
      </c>
      <c r="AK59" s="49">
        <v>58</v>
      </c>
      <c r="AL59" s="48">
        <f t="shared" si="35"/>
        <v>58</v>
      </c>
      <c r="AM59" s="36">
        <f t="shared" si="36"/>
        <v>0.56338505816329276</v>
      </c>
      <c r="AN59" s="34">
        <f t="shared" si="37"/>
        <v>0.51111111111111107</v>
      </c>
      <c r="AO59" s="34">
        <f t="shared" si="38"/>
        <v>0.375</v>
      </c>
      <c r="AP59" s="34">
        <f t="shared" si="39"/>
        <v>0.39949685534591184</v>
      </c>
      <c r="AQ59" s="34">
        <f t="shared" si="40"/>
        <v>0.57904761904761903</v>
      </c>
      <c r="AR59" s="34">
        <f t="shared" si="41"/>
        <v>0.41240461113817184</v>
      </c>
      <c r="AS59" s="34">
        <f t="shared" si="42"/>
        <v>0.62399915520720894</v>
      </c>
      <c r="AT59" s="34">
        <f t="shared" si="43"/>
        <v>0.4259101661888271</v>
      </c>
      <c r="AU59" s="34">
        <f t="shared" si="44"/>
        <v>0.50075719796634099</v>
      </c>
      <c r="AV59" s="34">
        <f t="shared" si="45"/>
        <v>0.5040199363322202</v>
      </c>
      <c r="AW59" s="34">
        <f t="shared" si="46"/>
        <v>0.81176470588235294</v>
      </c>
      <c r="AX59" s="48">
        <v>104</v>
      </c>
      <c r="AY59" s="218">
        <v>3</v>
      </c>
      <c r="AZ59" s="220">
        <v>3</v>
      </c>
      <c r="BB59" s="205">
        <v>1</v>
      </c>
      <c r="BC59" s="245">
        <f t="shared" si="47"/>
        <v>0</v>
      </c>
      <c r="BD59" s="35">
        <v>0.56125911513015603</v>
      </c>
      <c r="BE59">
        <v>4</v>
      </c>
      <c r="BF59" s="205">
        <v>5.4989756621877621</v>
      </c>
      <c r="BG59" s="34">
        <v>0.39949685534591184</v>
      </c>
      <c r="BH59" s="34">
        <v>0.57904761904761903</v>
      </c>
      <c r="BI59" s="34">
        <f>IF(A59&lt;17, SoC!O$3, IF(A59&lt;33, SoC!O$4, IF(A59&lt;49, SoC!O$5, IF(A59&lt;65, SoC!O$6, IF(A59&lt;81, SoC!O$7, IF(A59&lt;97, SoC!O$8, SoC!O$9))))))</f>
        <v>1.1793104273940098</v>
      </c>
      <c r="BJ59" s="34"/>
      <c r="BK59" s="34"/>
      <c r="BL59" s="34"/>
      <c r="BM59" s="19" t="s">
        <v>42</v>
      </c>
      <c r="BN59">
        <v>58</v>
      </c>
      <c r="BO59">
        <v>59</v>
      </c>
      <c r="BP59">
        <v>63</v>
      </c>
      <c r="BQ59">
        <v>55</v>
      </c>
      <c r="BR59">
        <v>55</v>
      </c>
      <c r="BS59">
        <v>51</v>
      </c>
      <c r="BT59">
        <v>56</v>
      </c>
      <c r="BU59">
        <v>36</v>
      </c>
      <c r="BV59">
        <v>70</v>
      </c>
      <c r="BW59" s="154">
        <v>53</v>
      </c>
      <c r="BX59">
        <v>35</v>
      </c>
      <c r="BY59">
        <v>9</v>
      </c>
    </row>
    <row r="60" spans="1:77" x14ac:dyDescent="0.35">
      <c r="A60">
        <v>6</v>
      </c>
      <c r="B60" s="15" t="s">
        <v>143</v>
      </c>
      <c r="C60" s="15" t="s">
        <v>1084</v>
      </c>
      <c r="D60" s="15" t="s">
        <v>80</v>
      </c>
      <c r="F60" s="6">
        <v>4</v>
      </c>
      <c r="G60" s="6">
        <v>5</v>
      </c>
      <c r="I60" s="6">
        <v>2</v>
      </c>
      <c r="J60" s="6">
        <v>4</v>
      </c>
      <c r="L60" s="6">
        <v>1</v>
      </c>
      <c r="N60" s="6">
        <v>2</v>
      </c>
      <c r="P60">
        <f>181+30</f>
        <v>211</v>
      </c>
      <c r="Q60">
        <f>176+15</f>
        <v>191</v>
      </c>
      <c r="R60" s="73">
        <f t="shared" si="24"/>
        <v>17.583333333333332</v>
      </c>
      <c r="S60" s="73">
        <f t="shared" si="25"/>
        <v>15.916666666666666</v>
      </c>
      <c r="T60" s="73">
        <f t="shared" si="26"/>
        <v>1.6666666666666661</v>
      </c>
      <c r="U60">
        <f>96+12</f>
        <v>108</v>
      </c>
      <c r="V60" s="54">
        <f t="shared" si="27"/>
        <v>1.9537037037037037</v>
      </c>
      <c r="W60" s="9">
        <f>1.25*(-1.029-0.72+1.324-5.932-7.052-4.118-2.633-2.527-2.442)+2.52+6.725+4.491</f>
        <v>-17.675250000000005</v>
      </c>
      <c r="X60" s="263">
        <f>372+10+28</f>
        <v>410</v>
      </c>
      <c r="Y60" s="227">
        <f t="shared" si="28"/>
        <v>-0.73646875000000023</v>
      </c>
      <c r="Z60" s="227">
        <f t="shared" si="29"/>
        <v>3.1396041666666665</v>
      </c>
      <c r="AA60" s="89">
        <f t="shared" si="30"/>
        <v>2.3778312250757923</v>
      </c>
      <c r="AB60" s="73">
        <f t="shared" si="31"/>
        <v>34.166666666666664</v>
      </c>
      <c r="AC60" s="203">
        <f>12.737+15.494+8.417+2.144+2.437+77.903+(124.428-12.214)+10.886+7.771+(101.95-0.975)+91.278+76.827</f>
        <v>519.08300000000008</v>
      </c>
      <c r="AD60" s="89">
        <f t="shared" si="32"/>
        <v>43.256916666666676</v>
      </c>
      <c r="AE60" s="89">
        <f t="shared" si="33"/>
        <v>6.576999062389068</v>
      </c>
      <c r="AF60" s="9">
        <v>21</v>
      </c>
      <c r="AG60" s="9">
        <v>0</v>
      </c>
      <c r="AI60" s="54">
        <f t="shared" si="34"/>
        <v>21</v>
      </c>
      <c r="AK60" s="49">
        <v>59</v>
      </c>
      <c r="AL60" s="48">
        <f t="shared" si="35"/>
        <v>59</v>
      </c>
      <c r="AM60" s="36">
        <f t="shared" si="36"/>
        <v>0.55860281235281972</v>
      </c>
      <c r="AN60" s="34">
        <f t="shared" si="37"/>
        <v>0.46666666666666667</v>
      </c>
      <c r="AO60" s="34">
        <f t="shared" si="38"/>
        <v>0.33333333333333331</v>
      </c>
      <c r="AP60" s="34">
        <f t="shared" si="39"/>
        <v>0.50880503144654077</v>
      </c>
      <c r="AQ60" s="34">
        <f t="shared" si="40"/>
        <v>0.63544973544973549</v>
      </c>
      <c r="AR60" s="34">
        <f t="shared" si="41"/>
        <v>0.36753651687082445</v>
      </c>
      <c r="AS60" s="34">
        <f t="shared" si="42"/>
        <v>0.73361747313089598</v>
      </c>
      <c r="AT60" s="34">
        <f t="shared" si="43"/>
        <v>0.75154608978416559</v>
      </c>
      <c r="AU60" s="34">
        <f t="shared" si="44"/>
        <v>0.38726839311718092</v>
      </c>
      <c r="AV60" s="34">
        <f t="shared" si="45"/>
        <v>0.6501965807916894</v>
      </c>
      <c r="AW60" s="34">
        <f t="shared" si="46"/>
        <v>0.24705882352941178</v>
      </c>
      <c r="AX60" s="48">
        <v>47</v>
      </c>
      <c r="AY60" s="218">
        <v>1</v>
      </c>
      <c r="AZ60" s="220">
        <v>1</v>
      </c>
      <c r="BB60" s="205">
        <v>-1.6666666666666665</v>
      </c>
      <c r="BC60" s="245">
        <f t="shared" si="47"/>
        <v>0</v>
      </c>
      <c r="BD60" s="35">
        <v>0.55860281235281972</v>
      </c>
      <c r="BE60">
        <v>2</v>
      </c>
      <c r="BF60" s="205">
        <v>6.576999062389068</v>
      </c>
      <c r="BG60" s="34">
        <v>0.50880503144654077</v>
      </c>
      <c r="BH60" s="34">
        <v>0.63544973544973549</v>
      </c>
      <c r="BI60" s="34">
        <f>IF(A60&lt;17, SoC!O$3, IF(A60&lt;33, SoC!O$4, IF(A60&lt;49, SoC!O$5, IF(A60&lt;65, SoC!O$6, IF(A60&lt;81, SoC!O$7, IF(A60&lt;97, SoC!O$8, SoC!O$9))))))</f>
        <v>1.0968295917365127</v>
      </c>
      <c r="BJ60" s="34"/>
      <c r="BK60" s="34"/>
      <c r="BL60" s="34"/>
      <c r="BM60" s="15" t="s">
        <v>80</v>
      </c>
      <c r="BN60">
        <v>59</v>
      </c>
      <c r="BO60">
        <v>60</v>
      </c>
      <c r="BP60">
        <v>66</v>
      </c>
      <c r="BQ60">
        <v>65</v>
      </c>
      <c r="BR60">
        <v>79</v>
      </c>
      <c r="BS60">
        <v>86</v>
      </c>
      <c r="BT60">
        <v>98</v>
      </c>
      <c r="BU60">
        <v>105</v>
      </c>
      <c r="BV60">
        <v>97</v>
      </c>
      <c r="BW60" s="154">
        <v>86</v>
      </c>
      <c r="BX60">
        <v>68</v>
      </c>
      <c r="BY60">
        <v>66</v>
      </c>
    </row>
    <row r="61" spans="1:77" x14ac:dyDescent="0.35">
      <c r="A61">
        <v>28</v>
      </c>
      <c r="B61" s="16" t="s">
        <v>144</v>
      </c>
      <c r="C61" s="16" t="s">
        <v>1366</v>
      </c>
      <c r="D61" s="16" t="s">
        <v>64</v>
      </c>
      <c r="F61" s="6">
        <v>5</v>
      </c>
      <c r="G61" s="6">
        <v>4</v>
      </c>
      <c r="I61" s="6">
        <v>3</v>
      </c>
      <c r="J61" s="6">
        <v>3</v>
      </c>
      <c r="M61" s="6">
        <v>2</v>
      </c>
      <c r="N61" s="6">
        <v>2</v>
      </c>
      <c r="P61">
        <f>173+24</f>
        <v>197</v>
      </c>
      <c r="Q61">
        <f>191+16</f>
        <v>207</v>
      </c>
      <c r="R61" s="73">
        <f t="shared" si="24"/>
        <v>15.153846153846153</v>
      </c>
      <c r="S61" s="73">
        <f t="shared" si="25"/>
        <v>15.923076923076923</v>
      </c>
      <c r="T61" s="73">
        <f t="shared" si="26"/>
        <v>-0.76923076923077005</v>
      </c>
      <c r="U61">
        <f>91+10</f>
        <v>101</v>
      </c>
      <c r="V61" s="54">
        <f t="shared" si="27"/>
        <v>1.9504950495049505</v>
      </c>
      <c r="W61" s="9">
        <f>1.25*(-2.006+2.552-2.74-2.614+0.955+6.981-1.36-6.531-0.167)+1.486-3.33-5.544+4.892</f>
        <v>-8.6585000000000001</v>
      </c>
      <c r="X61" s="263">
        <f>509+43+63+71+22</f>
        <v>708</v>
      </c>
      <c r="Y61" s="227">
        <f t="shared" si="28"/>
        <v>-0.33301923076923079</v>
      </c>
      <c r="Z61" s="227">
        <f t="shared" si="29"/>
        <v>-0.10319230769230847</v>
      </c>
      <c r="AA61" s="89">
        <f t="shared" si="30"/>
        <v>3.1516758571069321</v>
      </c>
      <c r="AB61" s="73">
        <f t="shared" si="31"/>
        <v>54.46153846153846</v>
      </c>
      <c r="AC61" s="203">
        <f>26.661+31.917+83.194+0+8.819+33.196+19.947+59.592+6.964+35.637+0+11.911+56.43</f>
        <v>374.26799999999997</v>
      </c>
      <c r="AD61" s="89">
        <f t="shared" si="32"/>
        <v>28.789846153846153</v>
      </c>
      <c r="AE61" s="89">
        <f t="shared" si="33"/>
        <v>5.3656170338411364</v>
      </c>
      <c r="AF61" s="9">
        <v>7</v>
      </c>
      <c r="AG61" s="9">
        <v>12</v>
      </c>
      <c r="AI61" s="54">
        <f t="shared" si="34"/>
        <v>19</v>
      </c>
      <c r="AK61" s="49">
        <v>60</v>
      </c>
      <c r="AL61" s="48">
        <f t="shared" si="35"/>
        <v>61</v>
      </c>
      <c r="AM61" s="36">
        <f t="shared" si="36"/>
        <v>0.55591694213572851</v>
      </c>
      <c r="AN61" s="34">
        <f t="shared" si="37"/>
        <v>0.60000000000000009</v>
      </c>
      <c r="AO61" s="34">
        <f t="shared" si="38"/>
        <v>0.58333333333333337</v>
      </c>
      <c r="AP61" s="34">
        <f t="shared" si="39"/>
        <v>0.3071117561683599</v>
      </c>
      <c r="AQ61" s="34">
        <f t="shared" si="40"/>
        <v>0.63492063492063489</v>
      </c>
      <c r="AR61" s="34">
        <f t="shared" si="41"/>
        <v>0.36442684697110722</v>
      </c>
      <c r="AS61" s="34">
        <f t="shared" si="42"/>
        <v>0.69574733475094863</v>
      </c>
      <c r="AT61" s="34">
        <f t="shared" si="43"/>
        <v>0.48108162604792903</v>
      </c>
      <c r="AU61" s="34">
        <f t="shared" si="44"/>
        <v>0.46869886444492437</v>
      </c>
      <c r="AV61" s="34">
        <f t="shared" si="45"/>
        <v>0.48593691809923278</v>
      </c>
      <c r="AW61" s="34">
        <f t="shared" si="46"/>
        <v>0.22352941176470589</v>
      </c>
      <c r="AX61" s="48">
        <v>4</v>
      </c>
      <c r="AY61" s="218">
        <v>1</v>
      </c>
      <c r="AZ61" s="220">
        <v>1</v>
      </c>
      <c r="BB61" s="205">
        <v>1</v>
      </c>
      <c r="BC61" s="245">
        <f t="shared" si="47"/>
        <v>-1</v>
      </c>
      <c r="BD61" s="35">
        <v>0.55573132444500306</v>
      </c>
      <c r="BE61">
        <v>1</v>
      </c>
      <c r="BF61" s="205">
        <v>5.3656170338411364</v>
      </c>
      <c r="BG61" s="34">
        <v>0.3071117561683599</v>
      </c>
      <c r="BH61" s="34">
        <v>0.63492063492063489</v>
      </c>
      <c r="BI61" s="34">
        <f>IF(A61&lt;17, SoC!O$3, IF(A61&lt;33, SoC!O$4, IF(A61&lt;49, SoC!O$5, IF(A61&lt;65, SoC!O$6, IF(A61&lt;81, SoC!O$7, IF(A61&lt;97, SoC!O$8, SoC!O$9))))))</f>
        <v>1.148154410748077</v>
      </c>
      <c r="BJ61" s="34"/>
      <c r="BK61" s="34"/>
      <c r="BL61" s="34"/>
      <c r="BM61" s="16" t="s">
        <v>64</v>
      </c>
      <c r="BN61">
        <v>60</v>
      </c>
      <c r="BO61">
        <v>61</v>
      </c>
      <c r="BP61">
        <v>65</v>
      </c>
      <c r="BQ61">
        <v>66</v>
      </c>
      <c r="BR61">
        <v>59</v>
      </c>
      <c r="BS61">
        <v>60</v>
      </c>
      <c r="BT61">
        <v>62</v>
      </c>
      <c r="BU61">
        <v>57</v>
      </c>
      <c r="BV61">
        <v>22</v>
      </c>
      <c r="BW61" s="154">
        <v>40</v>
      </c>
      <c r="BX61">
        <v>53</v>
      </c>
      <c r="BY61">
        <v>109</v>
      </c>
    </row>
    <row r="62" spans="1:77" x14ac:dyDescent="0.35">
      <c r="A62">
        <v>39</v>
      </c>
      <c r="B62" s="17" t="s">
        <v>171</v>
      </c>
      <c r="C62" s="17" t="s">
        <v>1096</v>
      </c>
      <c r="D62" s="17" t="s">
        <v>49</v>
      </c>
      <c r="F62" s="6">
        <v>4</v>
      </c>
      <c r="G62" s="6">
        <v>5</v>
      </c>
      <c r="I62" s="6">
        <v>2</v>
      </c>
      <c r="J62" s="6">
        <v>4</v>
      </c>
      <c r="L62" s="6">
        <v>1</v>
      </c>
      <c r="M62" s="6">
        <v>1</v>
      </c>
      <c r="N62" s="6">
        <v>3</v>
      </c>
      <c r="P62">
        <f>199+15</f>
        <v>214</v>
      </c>
      <c r="Q62">
        <f>182+29</f>
        <v>211</v>
      </c>
      <c r="R62" s="73">
        <f t="shared" si="24"/>
        <v>15.285714285714286</v>
      </c>
      <c r="S62" s="73">
        <f t="shared" si="25"/>
        <v>15.071428571428571</v>
      </c>
      <c r="T62" s="73">
        <f t="shared" si="26"/>
        <v>0.2142857142857153</v>
      </c>
      <c r="U62">
        <f>111+7</f>
        <v>118</v>
      </c>
      <c r="V62" s="54">
        <f t="shared" si="27"/>
        <v>1.8135593220338984</v>
      </c>
      <c r="W62" s="9">
        <f>1.25*(7.153+0.356-2.284+5.423+1.801+1.942-3.811)+1.097+2.414+0.052+0.582-0.253-1.297-2.336</f>
        <v>13.484</v>
      </c>
      <c r="X62" s="263">
        <f>605+60+72+67+60+67+69</f>
        <v>1000</v>
      </c>
      <c r="Y62" s="227">
        <f t="shared" si="28"/>
        <v>0.96314285714285719</v>
      </c>
      <c r="Z62" s="227">
        <f t="shared" si="29"/>
        <v>-0.74885714285714189</v>
      </c>
      <c r="AA62" s="89">
        <f t="shared" si="30"/>
        <v>4.1396717732800896</v>
      </c>
      <c r="AB62" s="73">
        <f t="shared" si="31"/>
        <v>71.428571428571431</v>
      </c>
      <c r="AC62" s="203">
        <f>49.806+10.273+60.344+53.089+6.358+30.329+9.367+9.68+37.778+(195.732-47.866)+12.072+3.848+14.986+4.485</f>
        <v>450.28100000000001</v>
      </c>
      <c r="AD62" s="89">
        <f t="shared" si="32"/>
        <v>32.162928571428573</v>
      </c>
      <c r="AE62" s="89">
        <f t="shared" si="33"/>
        <v>5.6712369525023876</v>
      </c>
      <c r="AF62" s="9">
        <v>35</v>
      </c>
      <c r="AG62" s="9">
        <v>18</v>
      </c>
      <c r="AH62" s="20">
        <v>17</v>
      </c>
      <c r="AI62" s="54">
        <f t="shared" si="34"/>
        <v>70</v>
      </c>
      <c r="AK62" s="49">
        <v>61</v>
      </c>
      <c r="AL62" s="48">
        <f t="shared" si="35"/>
        <v>60</v>
      </c>
      <c r="AM62" s="36">
        <f t="shared" si="36"/>
        <v>0.55601429812566894</v>
      </c>
      <c r="AN62" s="34">
        <f t="shared" si="37"/>
        <v>0.48888888888888893</v>
      </c>
      <c r="AO62" s="34">
        <f t="shared" si="38"/>
        <v>0.375</v>
      </c>
      <c r="AP62" s="34">
        <f t="shared" si="39"/>
        <v>0.31805929919137471</v>
      </c>
      <c r="AQ62" s="34">
        <f t="shared" si="40"/>
        <v>0.70521541950113387</v>
      </c>
      <c r="AR62" s="34">
        <f t="shared" si="41"/>
        <v>0.23171547219034572</v>
      </c>
      <c r="AS62" s="34">
        <f t="shared" si="42"/>
        <v>0.57408195831014619</v>
      </c>
      <c r="AT62" s="34">
        <f t="shared" si="43"/>
        <v>0.42723014484119609</v>
      </c>
      <c r="AU62" s="34">
        <f t="shared" si="44"/>
        <v>0.56626888308866397</v>
      </c>
      <c r="AV62" s="34">
        <f t="shared" si="45"/>
        <v>0.52737803540850026</v>
      </c>
      <c r="AW62" s="34">
        <f t="shared" si="46"/>
        <v>0.82352941176470584</v>
      </c>
      <c r="AX62" s="48">
        <v>125</v>
      </c>
      <c r="AY62" s="218">
        <v>3</v>
      </c>
      <c r="AZ62" s="220">
        <v>1</v>
      </c>
      <c r="BB62" s="205">
        <v>-0.66666666666666663</v>
      </c>
      <c r="BC62" s="245">
        <f t="shared" si="47"/>
        <v>1</v>
      </c>
      <c r="BD62" s="35">
        <v>0.55334690016922072</v>
      </c>
      <c r="BE62">
        <v>5</v>
      </c>
      <c r="BF62" s="205">
        <v>5.6712369525023876</v>
      </c>
      <c r="BG62" s="34">
        <v>0.31805929919137471</v>
      </c>
      <c r="BH62" s="34">
        <v>0.70521541950113387</v>
      </c>
      <c r="BI62" s="34">
        <f>IF(A62&lt;17, SoC!O$3, IF(A62&lt;33, SoC!O$4, IF(A62&lt;49, SoC!O$5, IF(A62&lt;65, SoC!O$6, IF(A62&lt;81, SoC!O$7, IF(A62&lt;97, SoC!O$8, SoC!O$9))))))</f>
        <v>1.0509770295874163</v>
      </c>
      <c r="BJ62" s="34"/>
      <c r="BK62" s="34"/>
      <c r="BL62" s="34"/>
      <c r="BM62" s="17" t="s">
        <v>49</v>
      </c>
      <c r="BN62">
        <v>61</v>
      </c>
      <c r="BO62">
        <v>52</v>
      </c>
      <c r="BP62">
        <v>47</v>
      </c>
      <c r="BQ62">
        <v>37</v>
      </c>
      <c r="BR62">
        <v>43</v>
      </c>
      <c r="BS62">
        <v>21</v>
      </c>
      <c r="BT62">
        <v>23</v>
      </c>
      <c r="BU62">
        <v>11</v>
      </c>
      <c r="BV62">
        <v>19</v>
      </c>
      <c r="BW62" s="154">
        <v>39</v>
      </c>
      <c r="BX62">
        <v>15</v>
      </c>
      <c r="BY62">
        <v>4</v>
      </c>
    </row>
    <row r="63" spans="1:77" x14ac:dyDescent="0.35">
      <c r="A63">
        <v>7</v>
      </c>
      <c r="B63" s="15" t="s">
        <v>143</v>
      </c>
      <c r="C63" s="15" t="s">
        <v>1084</v>
      </c>
      <c r="D63" s="15" t="s">
        <v>79</v>
      </c>
      <c r="F63" s="6">
        <v>4</v>
      </c>
      <c r="G63" s="6">
        <v>5</v>
      </c>
      <c r="I63" s="6">
        <v>3</v>
      </c>
      <c r="J63" s="6">
        <v>3</v>
      </c>
      <c r="L63" s="6">
        <v>1</v>
      </c>
      <c r="N63" s="6">
        <v>4</v>
      </c>
      <c r="P63">
        <f>195+14</f>
        <v>209</v>
      </c>
      <c r="Q63">
        <f>189+29</f>
        <v>218</v>
      </c>
      <c r="R63" s="73">
        <f t="shared" si="24"/>
        <v>14.928571428571429</v>
      </c>
      <c r="S63" s="73">
        <f t="shared" si="25"/>
        <v>15.571428571428571</v>
      </c>
      <c r="T63" s="73">
        <f t="shared" si="26"/>
        <v>-0.64285714285714235</v>
      </c>
      <c r="U63">
        <f>111+7</f>
        <v>118</v>
      </c>
      <c r="V63" s="54">
        <f t="shared" si="27"/>
        <v>1.771186440677966</v>
      </c>
      <c r="W63" s="9">
        <f>1.25*(1.511+3.534+3.073+2.943-2.274+2.199+1.755-4.912)+2.876-1.909+0.01-0.535+1.248-8.984</f>
        <v>2.4922499999999967</v>
      </c>
      <c r="X63" s="263">
        <f>593+69+67+59+55+73</f>
        <v>916</v>
      </c>
      <c r="Y63" s="227">
        <f t="shared" si="28"/>
        <v>0.17801785714285692</v>
      </c>
      <c r="Z63" s="227">
        <f t="shared" si="29"/>
        <v>-0.82087499999999924</v>
      </c>
      <c r="AA63" s="89">
        <f t="shared" si="30"/>
        <v>3.6500776137337727</v>
      </c>
      <c r="AB63" s="73">
        <f t="shared" si="31"/>
        <v>65.428571428571431</v>
      </c>
      <c r="AC63" s="203">
        <f>29.662+56.54+2.387+41.209+21.315+8.322+1.7+40.364+64.225+10.963+13.32+84.422+24.834+16.659</f>
        <v>415.92199999999997</v>
      </c>
      <c r="AD63" s="89">
        <f t="shared" si="32"/>
        <v>29.708714285714283</v>
      </c>
      <c r="AE63" s="89">
        <f t="shared" si="33"/>
        <v>5.4505700881388801</v>
      </c>
      <c r="AF63" s="9">
        <v>35</v>
      </c>
      <c r="AG63" s="9">
        <v>6</v>
      </c>
      <c r="AH63" s="20">
        <v>14</v>
      </c>
      <c r="AI63" s="54">
        <f t="shared" si="34"/>
        <v>55</v>
      </c>
      <c r="AK63" s="49">
        <v>62</v>
      </c>
      <c r="AL63" s="48">
        <f t="shared" si="35"/>
        <v>62</v>
      </c>
      <c r="AM63" s="36">
        <f t="shared" si="36"/>
        <v>0.54007390002683286</v>
      </c>
      <c r="AN63" s="34">
        <f t="shared" si="37"/>
        <v>0.46666666666666667</v>
      </c>
      <c r="AO63" s="34">
        <f t="shared" si="38"/>
        <v>0.5</v>
      </c>
      <c r="AP63" s="34">
        <f t="shared" si="39"/>
        <v>0.2884097035040431</v>
      </c>
      <c r="AQ63" s="34">
        <f t="shared" si="40"/>
        <v>0.66394557823129263</v>
      </c>
      <c r="AR63" s="34">
        <f t="shared" si="41"/>
        <v>0.19064975879311241</v>
      </c>
      <c r="AS63" s="34">
        <f t="shared" si="42"/>
        <v>0.64777839610054389</v>
      </c>
      <c r="AT63" s="34">
        <f t="shared" si="43"/>
        <v>0.42122351714636797</v>
      </c>
      <c r="AU63" s="34">
        <f t="shared" si="44"/>
        <v>0.51865028133219282</v>
      </c>
      <c r="AV63" s="34">
        <f t="shared" si="45"/>
        <v>0.49745628995285707</v>
      </c>
      <c r="AW63" s="34">
        <f t="shared" si="46"/>
        <v>0.6470588235294118</v>
      </c>
      <c r="AX63" s="48">
        <v>83</v>
      </c>
      <c r="AY63" s="218">
        <v>2</v>
      </c>
      <c r="AZ63" s="220">
        <v>3</v>
      </c>
      <c r="BB63" s="205">
        <v>-1.6666666666666665</v>
      </c>
      <c r="BC63" s="245">
        <f t="shared" si="47"/>
        <v>0</v>
      </c>
      <c r="BD63" s="35">
        <v>0.54007390002683298</v>
      </c>
      <c r="BE63">
        <v>4</v>
      </c>
      <c r="BF63" s="205">
        <v>5.4505700881388801</v>
      </c>
      <c r="BG63" s="34">
        <v>0.2884097035040431</v>
      </c>
      <c r="BH63" s="34">
        <v>0.66394557823129263</v>
      </c>
      <c r="BI63" s="34">
        <f>IF(A63&lt;17, SoC!O$3, IF(A63&lt;33, SoC!O$4, IF(A63&lt;49, SoC!O$5, IF(A63&lt;65, SoC!O$6, IF(A63&lt;81, SoC!O$7, IF(A63&lt;97, SoC!O$8, SoC!O$9))))))</f>
        <v>1.0968295917365127</v>
      </c>
      <c r="BJ63" s="34"/>
      <c r="BK63" s="34"/>
      <c r="BL63" s="34"/>
      <c r="BM63" s="15" t="s">
        <v>79</v>
      </c>
      <c r="BN63">
        <v>62</v>
      </c>
      <c r="BO63">
        <v>62</v>
      </c>
      <c r="BP63">
        <v>54</v>
      </c>
      <c r="BQ63">
        <v>58</v>
      </c>
      <c r="BR63">
        <v>50</v>
      </c>
      <c r="BS63">
        <v>56</v>
      </c>
      <c r="BT63">
        <v>38</v>
      </c>
      <c r="BU63">
        <v>21</v>
      </c>
      <c r="BV63">
        <v>35</v>
      </c>
      <c r="BW63" s="154">
        <v>15</v>
      </c>
      <c r="BX63">
        <v>27</v>
      </c>
      <c r="BY63">
        <v>30</v>
      </c>
    </row>
    <row r="64" spans="1:77" x14ac:dyDescent="0.35">
      <c r="A64">
        <v>63</v>
      </c>
      <c r="B64" s="19" t="s">
        <v>172</v>
      </c>
      <c r="C64" s="19" t="s">
        <v>1100</v>
      </c>
      <c r="D64" s="19" t="s">
        <v>1858</v>
      </c>
      <c r="F64" s="6">
        <v>5</v>
      </c>
      <c r="G64" s="6">
        <v>4</v>
      </c>
      <c r="I64" s="6">
        <v>3</v>
      </c>
      <c r="J64" s="6">
        <v>3</v>
      </c>
      <c r="L64" s="6">
        <v>2</v>
      </c>
      <c r="M64" s="6">
        <v>1</v>
      </c>
      <c r="N64" s="6">
        <v>2</v>
      </c>
      <c r="P64">
        <v>187</v>
      </c>
      <c r="Q64">
        <f>182+23</f>
        <v>205</v>
      </c>
      <c r="R64" s="73">
        <f t="shared" si="24"/>
        <v>13.357142857142858</v>
      </c>
      <c r="S64" s="73">
        <f t="shared" si="25"/>
        <v>14.642857142857142</v>
      </c>
      <c r="T64" s="73">
        <f t="shared" si="26"/>
        <v>-1.2857142857142847</v>
      </c>
      <c r="U64">
        <f>96+6</f>
        <v>102</v>
      </c>
      <c r="V64" s="54">
        <f t="shared" si="27"/>
        <v>1.8333333333333333</v>
      </c>
      <c r="W64" s="9">
        <f>1.25*(-4.019-1.721+3.543+4.347+2.674+2.639-0.394+0.422-1.368+0.167-0.773)+1.339-1.243-2.203</f>
        <v>4.7892499999999991</v>
      </c>
      <c r="X64" s="263">
        <f>578+57+72+71</f>
        <v>778</v>
      </c>
      <c r="Y64" s="227">
        <f t="shared" si="28"/>
        <v>0.34208928571428565</v>
      </c>
      <c r="Z64" s="227">
        <f t="shared" si="29"/>
        <v>-1.6278035714285704</v>
      </c>
      <c r="AA64" s="89">
        <f t="shared" si="30"/>
        <v>3.1288420502146308</v>
      </c>
      <c r="AB64" s="73">
        <f t="shared" si="31"/>
        <v>55.571428571428569</v>
      </c>
      <c r="AC64" s="203">
        <f>38.099+9.238+26.179+22.428+(175.478-37.739)+34.918+0+(103.964-1.982)+0+37.434+15.489+31.66+7.647+5.273</f>
        <v>468.08599999999996</v>
      </c>
      <c r="AD64" s="89">
        <f t="shared" si="32"/>
        <v>33.434714285714286</v>
      </c>
      <c r="AE64" s="89">
        <f t="shared" si="33"/>
        <v>5.7822758742310354</v>
      </c>
      <c r="AF64" s="9">
        <v>21</v>
      </c>
      <c r="AG64" s="9">
        <v>6</v>
      </c>
      <c r="AI64" s="54">
        <f t="shared" si="34"/>
        <v>27</v>
      </c>
      <c r="AK64" s="49">
        <v>63</v>
      </c>
      <c r="AL64" s="48">
        <f t="shared" si="35"/>
        <v>63</v>
      </c>
      <c r="AM64" s="36">
        <f t="shared" si="36"/>
        <v>0.53852555480400544</v>
      </c>
      <c r="AN64" s="34">
        <f t="shared" si="37"/>
        <v>0.62222222222222223</v>
      </c>
      <c r="AO64" s="34">
        <f t="shared" si="38"/>
        <v>0.54166666666666663</v>
      </c>
      <c r="AP64" s="34">
        <f t="shared" si="39"/>
        <v>0.15795148247978438</v>
      </c>
      <c r="AQ64" s="34">
        <f t="shared" si="40"/>
        <v>0.74058956916099783</v>
      </c>
      <c r="AR64" s="34">
        <f t="shared" si="41"/>
        <v>0.25087947177572112</v>
      </c>
      <c r="AS64" s="34">
        <f t="shared" si="42"/>
        <v>0.63237768942466932</v>
      </c>
      <c r="AT64" s="34">
        <f t="shared" si="43"/>
        <v>0.35392188256320528</v>
      </c>
      <c r="AU64" s="34">
        <f t="shared" si="44"/>
        <v>0.46636926220034697</v>
      </c>
      <c r="AV64" s="34">
        <f t="shared" si="45"/>
        <v>0.54243457034054376</v>
      </c>
      <c r="AW64" s="34">
        <f t="shared" si="46"/>
        <v>0.31764705882352939</v>
      </c>
      <c r="AX64" s="48">
        <v>23</v>
      </c>
      <c r="AY64" s="218">
        <v>1</v>
      </c>
      <c r="AZ64" s="220">
        <v>1</v>
      </c>
      <c r="BB64" s="205">
        <v>-0.33333333333333331</v>
      </c>
      <c r="BC64" s="245">
        <f t="shared" si="47"/>
        <v>0</v>
      </c>
      <c r="BD64" s="35">
        <v>0.53656244725007485</v>
      </c>
      <c r="BE64">
        <v>1</v>
      </c>
      <c r="BF64" s="205">
        <v>5.7822758742310354</v>
      </c>
      <c r="BG64" s="34">
        <v>0.15795148247978438</v>
      </c>
      <c r="BH64" s="34">
        <v>0.74058956916099783</v>
      </c>
      <c r="BI64" s="34">
        <f>IF(A64&lt;17, SoC!O$3, IF(A64&lt;33, SoC!O$4, IF(A64&lt;49, SoC!O$5, IF(A64&lt;65, SoC!O$6, IF(A64&lt;81, SoC!O$7, IF(A64&lt;97, SoC!O$8, SoC!O$9))))))</f>
        <v>1.1793104273940098</v>
      </c>
      <c r="BJ64" s="34"/>
      <c r="BK64" s="34"/>
      <c r="BL64" s="34"/>
      <c r="BM64" s="19" t="s">
        <v>1858</v>
      </c>
      <c r="BN64">
        <v>63</v>
      </c>
      <c r="BO64">
        <v>63</v>
      </c>
      <c r="BP64">
        <v>55</v>
      </c>
      <c r="BQ64">
        <v>59</v>
      </c>
      <c r="BR64">
        <v>52</v>
      </c>
      <c r="BS64">
        <v>53</v>
      </c>
      <c r="BT64">
        <v>52</v>
      </c>
      <c r="BU64">
        <v>53</v>
      </c>
      <c r="BV64">
        <v>59</v>
      </c>
      <c r="BW64" s="154">
        <v>65</v>
      </c>
      <c r="BX64">
        <v>39</v>
      </c>
      <c r="BY64">
        <v>90</v>
      </c>
    </row>
    <row r="65" spans="1:77" x14ac:dyDescent="0.35">
      <c r="A65">
        <v>70</v>
      </c>
      <c r="B65" s="21" t="s">
        <v>173</v>
      </c>
      <c r="C65" s="21" t="s">
        <v>1088</v>
      </c>
      <c r="D65" s="21" t="s">
        <v>1860</v>
      </c>
      <c r="F65" s="6">
        <v>3</v>
      </c>
      <c r="G65" s="6">
        <v>6</v>
      </c>
      <c r="I65" s="6">
        <v>1</v>
      </c>
      <c r="J65" s="6">
        <v>5</v>
      </c>
      <c r="M65" s="6">
        <v>2</v>
      </c>
      <c r="N65" s="6">
        <v>2</v>
      </c>
      <c r="P65">
        <f>216+21</f>
        <v>237</v>
      </c>
      <c r="Q65">
        <f>217+13</f>
        <v>230</v>
      </c>
      <c r="R65" s="73">
        <f t="shared" si="24"/>
        <v>18.23076923076923</v>
      </c>
      <c r="S65" s="73">
        <f t="shared" si="25"/>
        <v>17.692307692307693</v>
      </c>
      <c r="T65" s="73">
        <f t="shared" si="26"/>
        <v>0.53846153846153655</v>
      </c>
      <c r="U65">
        <f>111+7</f>
        <v>118</v>
      </c>
      <c r="V65" s="54">
        <f t="shared" si="27"/>
        <v>2.0084745762711864</v>
      </c>
      <c r="W65" s="9">
        <f>1.25*(-6.16-6.027-3.543-8.416-6.593-4.317-1.604-3.112+0.492)-4.728-10.133+1.239+5.804</f>
        <v>-56.917999999999999</v>
      </c>
      <c r="X65" s="263">
        <f>358+64+27+25</f>
        <v>474</v>
      </c>
      <c r="Y65" s="227">
        <f t="shared" si="28"/>
        <v>-2.1891538461538462</v>
      </c>
      <c r="Z65" s="227">
        <f t="shared" si="29"/>
        <v>4.916769230769229</v>
      </c>
      <c r="AA65" s="89">
        <f t="shared" si="30"/>
        <v>1.8351179916179305</v>
      </c>
      <c r="AB65" s="73">
        <f t="shared" si="31"/>
        <v>36.46153846153846</v>
      </c>
      <c r="AC65" s="203">
        <f>10.92+30.673+34.27+3.379+30.502+40.741+9.89+94.827+95.91+13.003+32.008+75.538+27.603</f>
        <v>499.26399999999995</v>
      </c>
      <c r="AD65" s="89">
        <f t="shared" si="32"/>
        <v>38.404923076923076</v>
      </c>
      <c r="AE65" s="89">
        <f t="shared" si="33"/>
        <v>6.1971705702621316</v>
      </c>
      <c r="AF65" s="9">
        <v>7</v>
      </c>
      <c r="AG65" s="9">
        <v>12</v>
      </c>
      <c r="AI65" s="54">
        <f t="shared" si="34"/>
        <v>19</v>
      </c>
      <c r="AK65" s="49">
        <v>64</v>
      </c>
      <c r="AL65" s="48">
        <f t="shared" si="35"/>
        <v>64</v>
      </c>
      <c r="AM65" s="36">
        <f t="shared" si="36"/>
        <v>0.5336204496417285</v>
      </c>
      <c r="AN65" s="34">
        <f t="shared" si="37"/>
        <v>0.37777777777777777</v>
      </c>
      <c r="AO65" s="34">
        <f t="shared" si="38"/>
        <v>0.25</v>
      </c>
      <c r="AP65" s="34">
        <f t="shared" si="39"/>
        <v>0.56255442670537004</v>
      </c>
      <c r="AQ65" s="34">
        <f t="shared" si="40"/>
        <v>0.48888888888888882</v>
      </c>
      <c r="AR65" s="34">
        <f t="shared" si="41"/>
        <v>0.42061775381761846</v>
      </c>
      <c r="AS65" s="34">
        <f t="shared" si="42"/>
        <v>0.86997501723882731</v>
      </c>
      <c r="AT65" s="34">
        <f t="shared" si="43"/>
        <v>0.8997700069599387</v>
      </c>
      <c r="AU65" s="34">
        <f t="shared" si="44"/>
        <v>0.32621406869163594</v>
      </c>
      <c r="AV65" s="34">
        <f t="shared" si="45"/>
        <v>0.59869301005394149</v>
      </c>
      <c r="AW65" s="34">
        <f t="shared" si="46"/>
        <v>0.22352941176470589</v>
      </c>
      <c r="AX65" s="48">
        <v>19</v>
      </c>
      <c r="AY65" s="218">
        <v>1</v>
      </c>
      <c r="AZ65" s="220">
        <v>1</v>
      </c>
      <c r="BB65" s="205">
        <v>1</v>
      </c>
      <c r="BC65" s="245">
        <f t="shared" si="47"/>
        <v>0</v>
      </c>
      <c r="BD65" s="35">
        <v>0.53420173907300139</v>
      </c>
      <c r="BE65">
        <v>1</v>
      </c>
      <c r="BF65" s="205">
        <v>6.1971705702621316</v>
      </c>
      <c r="BG65" s="34">
        <v>0.56255442670537004</v>
      </c>
      <c r="BH65" s="34">
        <v>0.48888888888888882</v>
      </c>
      <c r="BI65" s="34">
        <f>IF(A65&lt;17, SoC!O$3, IF(A65&lt;33, SoC!O$4, IF(A65&lt;49, SoC!O$5, IF(A65&lt;65, SoC!O$6, IF(A65&lt;81, SoC!O$7, IF(A65&lt;97, SoC!O$8, SoC!O$9))))))</f>
        <v>0.87413259868968274</v>
      </c>
      <c r="BJ65" s="34"/>
      <c r="BK65" s="34"/>
      <c r="BL65" s="34"/>
      <c r="BM65" s="21" t="s">
        <v>1860</v>
      </c>
      <c r="BN65">
        <v>64</v>
      </c>
      <c r="BO65">
        <v>64</v>
      </c>
      <c r="BP65">
        <v>67</v>
      </c>
      <c r="BQ65">
        <v>68</v>
      </c>
      <c r="BR65">
        <v>83</v>
      </c>
      <c r="BS65">
        <v>82</v>
      </c>
      <c r="BT65">
        <v>107</v>
      </c>
      <c r="BU65">
        <v>108</v>
      </c>
      <c r="BV65">
        <v>99</v>
      </c>
      <c r="BW65" s="154">
        <v>99</v>
      </c>
      <c r="BX65">
        <v>101</v>
      </c>
      <c r="BY65">
        <v>94</v>
      </c>
    </row>
    <row r="66" spans="1:77" x14ac:dyDescent="0.35">
      <c r="A66">
        <v>10</v>
      </c>
      <c r="B66" s="15" t="s">
        <v>143</v>
      </c>
      <c r="C66" s="15" t="s">
        <v>1083</v>
      </c>
      <c r="D66" s="15" t="s">
        <v>82</v>
      </c>
      <c r="F66" s="6">
        <v>4</v>
      </c>
      <c r="G66" s="6">
        <v>5</v>
      </c>
      <c r="I66" s="6">
        <v>2</v>
      </c>
      <c r="J66" s="6">
        <v>4</v>
      </c>
      <c r="L66" s="6">
        <v>1</v>
      </c>
      <c r="M66" s="6">
        <v>1</v>
      </c>
      <c r="N66" s="6">
        <v>2</v>
      </c>
      <c r="P66">
        <f>210+13</f>
        <v>223</v>
      </c>
      <c r="Q66">
        <f>183+22</f>
        <v>205</v>
      </c>
      <c r="R66" s="73">
        <f t="shared" ref="R66:R97" si="48">IFERROR(P66/(F66+G66+L66+M66+N66), 0)</f>
        <v>17.153846153846153</v>
      </c>
      <c r="S66" s="73">
        <f t="shared" ref="S66:S97" si="49">IFERROR(Q66/(F66+G66+L66+M66+N66), 0)</f>
        <v>15.76923076923077</v>
      </c>
      <c r="T66" s="73">
        <f t="shared" ref="T66:T97" si="50">R66-S66</f>
        <v>1.3846153846153832</v>
      </c>
      <c r="U66">
        <f>112+5</f>
        <v>117</v>
      </c>
      <c r="V66" s="54">
        <f t="shared" ref="V66:V97" si="51">IFERROR(P66/U66, 0)</f>
        <v>1.9059829059829059</v>
      </c>
      <c r="W66" s="9">
        <f>1.25*(0.164+0.376-2.336+5.932+3.749+0.676+1.667+2.447+2.017)+7.251-3.64+1.137+2.776</f>
        <v>25.889000000000003</v>
      </c>
      <c r="X66" s="263">
        <f>604+85+60+48</f>
        <v>797</v>
      </c>
      <c r="Y66" s="227">
        <f t="shared" ref="Y66:Y97" si="52">IF(W66&lt;0, (W66/2), W66)/(F66+G66+L66+M66+N66)</f>
        <v>1.9914615384615386</v>
      </c>
      <c r="Z66" s="227">
        <f t="shared" ref="Z66:Z97" si="53">T66-(IF(Y66&lt;0, Y66*2, Y66))</f>
        <v>-0.60684615384615537</v>
      </c>
      <c r="AA66" s="89">
        <f t="shared" ref="AA66:AA97" si="54">(AVERAGE((T66-MIN(T:T))*AB66, SQRT((T66-MIN(T:T))*AB66))/100)*BI66</f>
        <v>4.1194227591167092</v>
      </c>
      <c r="AB66" s="73">
        <f t="shared" ref="AB66:AB97" si="55">(X66/SUM(F66,G66,L66,M66,N66))</f>
        <v>61.307692307692307</v>
      </c>
      <c r="AC66" s="203">
        <f>34.091+7.645+88.758+71.9+(125.842-12.921)+9.726+9.838+11.617+56.767+83.547+0+3.607+7.255</f>
        <v>497.67200000000008</v>
      </c>
      <c r="AD66" s="89">
        <f t="shared" ref="AD66:AD97" si="56">IFERROR(AC66/(F66+G66+L66+M66+N66),0)</f>
        <v>38.282461538461547</v>
      </c>
      <c r="AE66" s="89">
        <f t="shared" ref="AE66:AE97" si="57">IFERROR(IF(SQRT(AD66)&gt;10, 10, SQRT(AD66)), 0)</f>
        <v>6.1872822417004336</v>
      </c>
      <c r="AF66" s="9">
        <v>28</v>
      </c>
      <c r="AG66" s="9">
        <v>6</v>
      </c>
      <c r="AI66" s="54">
        <f t="shared" ref="AI66:AI97" si="58">SUM(AF66:AH66)</f>
        <v>34</v>
      </c>
      <c r="AK66" s="49">
        <v>65</v>
      </c>
      <c r="AL66" s="48">
        <f t="shared" ref="AL66:AL97" si="59">_xlfn.RANK.EQ(AM66,AM:AM, 0)</f>
        <v>65</v>
      </c>
      <c r="AM66" s="36">
        <f t="shared" ref="AM66:AM97" si="60">((AN66*2.25)+(AO66*1.5)+(AP66*1)+(AQ66*1)+(AR66*0.75)+(AS66*1)+(AT66*1)+(AU66*0.75)+(AV66*1)+(AW66*0.75)+(AX66/LARGE(AX:AX,1))*(3/12))/(10+(3/24))</f>
        <v>0.5297158744448569</v>
      </c>
      <c r="AN66" s="34">
        <f t="shared" ref="AN66:AN97" si="61">IFERROR(IF((F66+G66)=1, IF(F66=0, 0.333, IF(F66=1, 0.666, 0)), IF((F66+G66)=2, IF(F66=0, 0.166, IF(F66=1, 0.5, IF(F66=2, 0.833, 0))),  (F66+(0.2*(L66+M66)))/(F66+G66))), 0)</f>
        <v>0.48888888888888893</v>
      </c>
      <c r="AO66" s="34">
        <f t="shared" ref="AO66:AO97" si="62">IFERROR(IF((I66+J66)=1, IF(I66=0, 0.333, IF(I66=1, 0.666, 0)), IF((I66+J66)=2, IF(I66=0, 0.166, IF(I66=1, 0.5, IF(I66=2, 0.833, 0))), (I66+(0.25*M66))/(I66+J66))), 0)</f>
        <v>0.375</v>
      </c>
      <c r="AP66" s="34">
        <f t="shared" ref="AP66:AP97" si="63">(R66-(SMALL(R:R, 1)))/((LARGE(R:R, 1))-(SMALL(R:R, 1)))</f>
        <v>0.47314949201741646</v>
      </c>
      <c r="AQ66" s="34">
        <f t="shared" ref="AQ66:AQ97" si="64">1-(S66-SMALL(S:S,1))/(LARGE(S:S,1)-SMALL(S:S,1))</f>
        <v>0.64761904761904754</v>
      </c>
      <c r="AR66" s="34">
        <f t="shared" ref="AR66:AR97" si="65">(V66-SMALL(V:V,1))/(LARGE(V:V,1)-SMALL(V:V,1))</f>
        <v>0.32128786585678931</v>
      </c>
      <c r="AS66" s="34">
        <f t="shared" ref="AS66:AS97" si="66">1-(Y66-SMALL(Y:Y,1))/(LARGE(Y:Y,1)-SMALL(Y:Y,1))</f>
        <v>0.47755793509536415</v>
      </c>
      <c r="AT66" s="34">
        <f t="shared" ref="AT66:AT97" si="67">(Z66+ABS(MIN(Z:Z)))/(MAX(Z:Z)+ABS(MIN(Z:Z)))</f>
        <v>0.43907452862883473</v>
      </c>
      <c r="AU66" s="34">
        <f t="shared" ref="AU66:AU97" si="68">AVERAGE(AA66/MAX(AA:AA), SQRT(AA66/MAX(AA:AA)))</f>
        <v>0.56432441965643121</v>
      </c>
      <c r="AV66" s="34">
        <f t="shared" ref="AV66:AV97" si="69">AVERAGE(AE66/MAX(AE:AE), (AE66-SMALL(AE:AE,1))/(LARGE(AE:AE,1)-SMALL(AE:AE,1)))</f>
        <v>0.59735218323312123</v>
      </c>
      <c r="AW66" s="34">
        <f t="shared" ref="AW66:AW97" si="70">IFERROR(AI66/MAX(AI:AI), 0)</f>
        <v>0.4</v>
      </c>
      <c r="AX66" s="48">
        <v>64</v>
      </c>
      <c r="AY66" s="218">
        <v>1</v>
      </c>
      <c r="AZ66" s="220">
        <v>3</v>
      </c>
      <c r="BB66" s="205">
        <v>-0.66666666666666663</v>
      </c>
      <c r="BC66" s="245">
        <f t="shared" ref="BC66:BC97" si="71">AK66-AL66</f>
        <v>0</v>
      </c>
      <c r="BD66" s="35">
        <v>0.5297158744448569</v>
      </c>
      <c r="BE66">
        <v>3</v>
      </c>
      <c r="BF66" s="205">
        <v>6.1872822417004336</v>
      </c>
      <c r="BG66" s="34">
        <v>0.47314949201741646</v>
      </c>
      <c r="BH66" s="34">
        <v>0.64761904761904754</v>
      </c>
      <c r="BI66" s="34">
        <f>IF(A66&lt;17, SoC!O$3, IF(A66&lt;33, SoC!O$4, IF(A66&lt;49, SoC!O$5, IF(A66&lt;65, SoC!O$6, IF(A66&lt;81, SoC!O$7, IF(A66&lt;97, SoC!O$8, SoC!O$9))))))</f>
        <v>1.0968295917365127</v>
      </c>
      <c r="BJ66" s="34"/>
      <c r="BK66" s="34"/>
      <c r="BL66" s="34"/>
      <c r="BM66" s="15" t="s">
        <v>82</v>
      </c>
      <c r="BN66">
        <v>65</v>
      </c>
      <c r="BO66">
        <v>65</v>
      </c>
      <c r="BP66">
        <v>58</v>
      </c>
      <c r="BQ66">
        <v>52</v>
      </c>
      <c r="BR66">
        <v>33</v>
      </c>
      <c r="BS66">
        <v>49</v>
      </c>
      <c r="BT66">
        <v>27</v>
      </c>
      <c r="BU66">
        <v>27</v>
      </c>
      <c r="BV66">
        <v>34</v>
      </c>
      <c r="BW66" s="154">
        <v>55</v>
      </c>
      <c r="BX66">
        <v>28</v>
      </c>
      <c r="BY66">
        <v>49</v>
      </c>
    </row>
    <row r="67" spans="1:77" x14ac:dyDescent="0.35">
      <c r="A67">
        <v>69</v>
      </c>
      <c r="B67" s="21" t="s">
        <v>173</v>
      </c>
      <c r="C67" s="21" t="s">
        <v>1088</v>
      </c>
      <c r="D67" s="21" t="s">
        <v>22</v>
      </c>
      <c r="F67" s="6">
        <v>4</v>
      </c>
      <c r="G67" s="6">
        <v>5</v>
      </c>
      <c r="I67" s="6">
        <v>3</v>
      </c>
      <c r="J67" s="6">
        <v>3</v>
      </c>
      <c r="L67" s="6">
        <v>2</v>
      </c>
      <c r="M67" s="6">
        <v>1</v>
      </c>
      <c r="N67" s="6">
        <v>2</v>
      </c>
      <c r="P67">
        <f>181+21</f>
        <v>202</v>
      </c>
      <c r="Q67">
        <f>210+8</f>
        <v>218</v>
      </c>
      <c r="R67" s="73">
        <f t="shared" si="48"/>
        <v>14.428571428571429</v>
      </c>
      <c r="S67" s="73">
        <f t="shared" si="49"/>
        <v>15.571428571428571</v>
      </c>
      <c r="T67" s="73">
        <f t="shared" si="50"/>
        <v>-1.1428571428571423</v>
      </c>
      <c r="U67">
        <f>103+9</f>
        <v>112</v>
      </c>
      <c r="V67" s="54">
        <f t="shared" si="51"/>
        <v>1.8035714285714286</v>
      </c>
      <c r="W67" s="9">
        <f>1.25*(-1.943-2.064+1.521-2.737+2.372-1.267+0.568-3.657-0.341+1.602-2.12)-9.049-1.549+4.987</f>
        <v>-15.693500000000002</v>
      </c>
      <c r="X67" s="263">
        <f>432+72+61+20</f>
        <v>585</v>
      </c>
      <c r="Y67" s="227">
        <f t="shared" si="52"/>
        <v>-0.56048214285714293</v>
      </c>
      <c r="Z67" s="227">
        <f t="shared" si="53"/>
        <v>-2.1892857142856492E-2</v>
      </c>
      <c r="AA67" s="89">
        <f t="shared" si="54"/>
        <v>1.7819550487720943</v>
      </c>
      <c r="AB67" s="73">
        <f t="shared" si="55"/>
        <v>41.785714285714285</v>
      </c>
      <c r="AC67" s="203">
        <f>0+34.677+1.575+35.813+37.062+16.929+61.654+86.148+6.592+2.698+9.227+37.1+0+(107.686-3.843)</f>
        <v>433.31799999999998</v>
      </c>
      <c r="AD67" s="89">
        <f t="shared" si="56"/>
        <v>30.951285714285714</v>
      </c>
      <c r="AE67" s="89">
        <f t="shared" si="57"/>
        <v>5.56338797085784</v>
      </c>
      <c r="AF67" s="9">
        <v>21</v>
      </c>
      <c r="AG67" s="9">
        <v>6</v>
      </c>
      <c r="AI67" s="54">
        <f t="shared" si="58"/>
        <v>27</v>
      </c>
      <c r="AK67" s="49">
        <v>66</v>
      </c>
      <c r="AL67" s="48">
        <f t="shared" si="59"/>
        <v>66</v>
      </c>
      <c r="AM67" s="36">
        <f t="shared" si="60"/>
        <v>0.52199354931371056</v>
      </c>
      <c r="AN67" s="34">
        <f t="shared" si="61"/>
        <v>0.51111111111111107</v>
      </c>
      <c r="AO67" s="34">
        <f t="shared" si="62"/>
        <v>0.54166666666666663</v>
      </c>
      <c r="AP67" s="34">
        <f t="shared" si="63"/>
        <v>0.24690026954177896</v>
      </c>
      <c r="AQ67" s="34">
        <f t="shared" si="64"/>
        <v>0.66394557823129263</v>
      </c>
      <c r="AR67" s="34">
        <f t="shared" si="65"/>
        <v>0.22203569688956931</v>
      </c>
      <c r="AS67" s="34">
        <f t="shared" si="66"/>
        <v>0.71709833790370714</v>
      </c>
      <c r="AT67" s="34">
        <f t="shared" si="67"/>
        <v>0.48786238224671419</v>
      </c>
      <c r="AU67" s="34">
        <f t="shared" si="68"/>
        <v>0.3199985976878198</v>
      </c>
      <c r="AV67" s="34">
        <f t="shared" si="69"/>
        <v>0.5127540465022975</v>
      </c>
      <c r="AW67" s="34">
        <f t="shared" si="70"/>
        <v>0.31764705882352939</v>
      </c>
      <c r="AX67" s="48">
        <v>31</v>
      </c>
      <c r="AY67" s="218">
        <v>1</v>
      </c>
      <c r="AZ67" s="220">
        <v>1</v>
      </c>
      <c r="BB67" s="205">
        <v>0.33333333333333331</v>
      </c>
      <c r="BC67" s="245">
        <f t="shared" si="71"/>
        <v>0</v>
      </c>
      <c r="BD67" s="35">
        <v>0.52256237910040226</v>
      </c>
      <c r="BE67">
        <v>1</v>
      </c>
      <c r="BF67" s="205">
        <v>5.56338797085784</v>
      </c>
      <c r="BG67" s="34">
        <v>0.24690026954177896</v>
      </c>
      <c r="BH67" s="34">
        <v>0.66394557823129263</v>
      </c>
      <c r="BI67" s="34">
        <f>IF(A67&lt;17, SoC!O$3, IF(A67&lt;33, SoC!O$4, IF(A67&lt;49, SoC!O$5, IF(A67&lt;65, SoC!O$6, IF(A67&lt;81, SoC!O$7, IF(A67&lt;97, SoC!O$8, SoC!O$9))))))</f>
        <v>0.87413259868968274</v>
      </c>
      <c r="BJ67" s="34"/>
      <c r="BK67" s="34"/>
      <c r="BL67" s="34"/>
      <c r="BM67" s="21" t="s">
        <v>22</v>
      </c>
      <c r="BN67">
        <v>66</v>
      </c>
      <c r="BO67">
        <v>66</v>
      </c>
      <c r="BP67">
        <v>69</v>
      </c>
      <c r="BQ67">
        <v>70</v>
      </c>
      <c r="BR67">
        <v>65</v>
      </c>
      <c r="BS67">
        <v>57</v>
      </c>
      <c r="BT67">
        <v>59</v>
      </c>
      <c r="BU67">
        <v>75</v>
      </c>
      <c r="BV67">
        <v>91</v>
      </c>
      <c r="BW67" s="154">
        <v>74</v>
      </c>
      <c r="BX67">
        <v>111</v>
      </c>
      <c r="BY67">
        <v>82</v>
      </c>
    </row>
    <row r="68" spans="1:77" x14ac:dyDescent="0.35">
      <c r="A68">
        <v>77</v>
      </c>
      <c r="B68" s="21" t="s">
        <v>173</v>
      </c>
      <c r="C68" s="21" t="s">
        <v>3203</v>
      </c>
      <c r="D68" s="21" t="s">
        <v>32</v>
      </c>
      <c r="F68" s="6">
        <v>6</v>
      </c>
      <c r="G68" s="6">
        <v>3</v>
      </c>
      <c r="I68" s="6">
        <v>3</v>
      </c>
      <c r="J68" s="6">
        <v>3</v>
      </c>
      <c r="L68" s="6">
        <v>1</v>
      </c>
      <c r="N68" s="6">
        <v>3</v>
      </c>
      <c r="P68">
        <f>203+24</f>
        <v>227</v>
      </c>
      <c r="Q68">
        <f>227+21</f>
        <v>248</v>
      </c>
      <c r="R68" s="73">
        <f t="shared" si="48"/>
        <v>17.46153846153846</v>
      </c>
      <c r="S68" s="73">
        <f t="shared" si="49"/>
        <v>19.076923076923077</v>
      </c>
      <c r="T68" s="73">
        <f t="shared" si="50"/>
        <v>-1.6153846153846168</v>
      </c>
      <c r="U68">
        <f>114+9</f>
        <v>123</v>
      </c>
      <c r="V68" s="54">
        <f t="shared" si="51"/>
        <v>1.8455284552845528</v>
      </c>
      <c r="W68" s="9">
        <f>1.25*(-2.337+4.55+3.67+2.737-1.379-0.084+1.368+1.756-2.122)+4.465+1.577-7.07+7.657</f>
        <v>16.827749999999998</v>
      </c>
      <c r="X68" s="263">
        <f>357+43+73+15</f>
        <v>488</v>
      </c>
      <c r="Y68" s="227">
        <f t="shared" si="52"/>
        <v>1.2944423076923075</v>
      </c>
      <c r="Z68" s="227">
        <f t="shared" si="53"/>
        <v>-2.909826923076924</v>
      </c>
      <c r="AA68" s="89">
        <f t="shared" si="54"/>
        <v>1.525458861418812</v>
      </c>
      <c r="AB68" s="73">
        <f t="shared" si="55"/>
        <v>37.53846153846154</v>
      </c>
      <c r="AC68" s="203">
        <f>79.342+5.454+33.776+2.737+0+40.805+17.098+63.69+0.841+74.577+2.514+39.765+12.741</f>
        <v>373.34</v>
      </c>
      <c r="AD68" s="89">
        <f t="shared" si="56"/>
        <v>28.718461538461536</v>
      </c>
      <c r="AE68" s="89">
        <f t="shared" si="57"/>
        <v>5.3589608636807133</v>
      </c>
      <c r="AF68" s="9">
        <v>7</v>
      </c>
      <c r="AG68" s="9">
        <v>6</v>
      </c>
      <c r="AH68" s="9">
        <v>8</v>
      </c>
      <c r="AI68" s="54">
        <f t="shared" si="58"/>
        <v>21</v>
      </c>
      <c r="AK68" s="49">
        <v>67</v>
      </c>
      <c r="AL68" s="48">
        <f t="shared" si="59"/>
        <v>68</v>
      </c>
      <c r="AM68" s="36">
        <f t="shared" si="60"/>
        <v>0.50293036111248202</v>
      </c>
      <c r="AN68" s="34">
        <f t="shared" si="61"/>
        <v>0.68888888888888888</v>
      </c>
      <c r="AO68" s="34">
        <f t="shared" si="62"/>
        <v>0.5</v>
      </c>
      <c r="AP68" s="34">
        <f t="shared" si="63"/>
        <v>0.4986937590711174</v>
      </c>
      <c r="AQ68" s="34">
        <f t="shared" si="64"/>
        <v>0.37460317460317472</v>
      </c>
      <c r="AR68" s="34">
        <f t="shared" si="65"/>
        <v>0.262698384411998</v>
      </c>
      <c r="AS68" s="34">
        <f t="shared" si="66"/>
        <v>0.54298424858569416</v>
      </c>
      <c r="AT68" s="34">
        <f t="shared" si="67"/>
        <v>0.24699511085779099</v>
      </c>
      <c r="AU68" s="34">
        <f t="shared" si="68"/>
        <v>0.28927381060159296</v>
      </c>
      <c r="AV68" s="34">
        <f t="shared" si="69"/>
        <v>0.485034361977705</v>
      </c>
      <c r="AW68" s="34">
        <f t="shared" si="70"/>
        <v>0.24705882352941178</v>
      </c>
      <c r="AX68" s="48">
        <v>28</v>
      </c>
      <c r="AY68" s="218">
        <v>1</v>
      </c>
      <c r="AZ68" s="220">
        <v>3</v>
      </c>
      <c r="BB68" s="205">
        <v>0.33333333333333331</v>
      </c>
      <c r="BC68" s="245">
        <f t="shared" si="71"/>
        <v>-1</v>
      </c>
      <c r="BD68" s="35">
        <v>0.5034380788418229</v>
      </c>
      <c r="BE68">
        <v>1</v>
      </c>
      <c r="BF68" s="205">
        <v>5.3589608636807133</v>
      </c>
      <c r="BG68" s="34">
        <v>0.4986937590711174</v>
      </c>
      <c r="BH68" s="34">
        <v>0.37460317460317472</v>
      </c>
      <c r="BI68" s="34">
        <f>IF(A68&lt;17, SoC!O$3, IF(A68&lt;33, SoC!O$4, IF(A68&lt;49, SoC!O$5, IF(A68&lt;65, SoC!O$6, IF(A68&lt;81, SoC!O$7, IF(A68&lt;97, SoC!O$8, SoC!O$9))))))</f>
        <v>0.87413259868968274</v>
      </c>
      <c r="BJ68" s="34"/>
      <c r="BK68" s="34"/>
      <c r="BL68" s="34"/>
      <c r="BM68" s="21" t="s">
        <v>32</v>
      </c>
      <c r="BN68">
        <v>67</v>
      </c>
      <c r="BO68">
        <v>68</v>
      </c>
      <c r="BP68">
        <v>73</v>
      </c>
      <c r="BQ68">
        <v>74</v>
      </c>
      <c r="BR68">
        <v>68</v>
      </c>
      <c r="BS68">
        <v>71</v>
      </c>
      <c r="BT68">
        <v>80</v>
      </c>
      <c r="BU68">
        <v>79</v>
      </c>
      <c r="BV68">
        <v>64</v>
      </c>
      <c r="BW68" s="154">
        <v>72</v>
      </c>
      <c r="BX68">
        <v>29</v>
      </c>
      <c r="BY68">
        <v>85</v>
      </c>
    </row>
    <row r="69" spans="1:77" x14ac:dyDescent="0.35">
      <c r="A69">
        <v>34</v>
      </c>
      <c r="B69" s="17" t="s">
        <v>171</v>
      </c>
      <c r="C69" s="17" t="s">
        <v>1095</v>
      </c>
      <c r="D69" s="17" t="s">
        <v>47</v>
      </c>
      <c r="F69" s="6">
        <v>4</v>
      </c>
      <c r="G69" s="6">
        <v>5</v>
      </c>
      <c r="I69" s="6">
        <v>2</v>
      </c>
      <c r="J69" s="6">
        <v>4</v>
      </c>
      <c r="M69" s="6">
        <v>1</v>
      </c>
      <c r="N69" s="6">
        <v>2</v>
      </c>
      <c r="P69">
        <f>161+18</f>
        <v>179</v>
      </c>
      <c r="Q69">
        <f>178+8</f>
        <v>186</v>
      </c>
      <c r="R69" s="73">
        <f t="shared" si="48"/>
        <v>14.916666666666666</v>
      </c>
      <c r="S69" s="73">
        <f t="shared" si="49"/>
        <v>15.5</v>
      </c>
      <c r="T69" s="73">
        <f t="shared" si="50"/>
        <v>-0.58333333333333393</v>
      </c>
      <c r="U69">
        <f>89+9</f>
        <v>98</v>
      </c>
      <c r="V69" s="54">
        <f t="shared" si="51"/>
        <v>1.8265306122448979</v>
      </c>
      <c r="W69" s="9">
        <f>1.25*(-3.519+2.029+0.605-3.623-4.098+2.065-1.487-4.535-1.602)-6.123-5.542-2.63</f>
        <v>-32.001250000000006</v>
      </c>
      <c r="X69" s="263">
        <f>381+56+56</f>
        <v>493</v>
      </c>
      <c r="Y69" s="227">
        <f t="shared" si="52"/>
        <v>-1.333385416666667</v>
      </c>
      <c r="Z69" s="227">
        <f t="shared" si="53"/>
        <v>2.0834375000000001</v>
      </c>
      <c r="AA69" s="89">
        <f t="shared" si="54"/>
        <v>2.2311546968818896</v>
      </c>
      <c r="AB69" s="73">
        <f t="shared" si="55"/>
        <v>41.083333333333336</v>
      </c>
      <c r="AC69" s="203">
        <f>21.347+0.137+2.118+36.515+9.861+33.152+8.471+3.771+71.621+30.614+31.473+48.627</f>
        <v>297.70699999999999</v>
      </c>
      <c r="AD69" s="89">
        <f t="shared" si="56"/>
        <v>24.808916666666665</v>
      </c>
      <c r="AE69" s="89">
        <f t="shared" si="57"/>
        <v>4.9808550136163037</v>
      </c>
      <c r="AF69" s="9">
        <v>7</v>
      </c>
      <c r="AG69" s="9">
        <v>6</v>
      </c>
      <c r="AI69" s="54">
        <f t="shared" si="58"/>
        <v>13</v>
      </c>
      <c r="AK69" s="49">
        <v>68</v>
      </c>
      <c r="AL69" s="48">
        <f t="shared" si="59"/>
        <v>67</v>
      </c>
      <c r="AM69" s="36">
        <f t="shared" si="60"/>
        <v>0.50336899352934905</v>
      </c>
      <c r="AN69" s="34">
        <f t="shared" si="61"/>
        <v>0.46666666666666667</v>
      </c>
      <c r="AO69" s="34">
        <f t="shared" si="62"/>
        <v>0.375</v>
      </c>
      <c r="AP69" s="34">
        <f t="shared" si="63"/>
        <v>0.28742138364779868</v>
      </c>
      <c r="AQ69" s="34">
        <f t="shared" si="64"/>
        <v>0.6698412698412699</v>
      </c>
      <c r="AR69" s="34">
        <f t="shared" si="65"/>
        <v>0.24428660894460066</v>
      </c>
      <c r="AS69" s="34">
        <f t="shared" si="66"/>
        <v>0.78964757278515685</v>
      </c>
      <c r="AT69" s="34">
        <f t="shared" si="67"/>
        <v>0.66345682689801555</v>
      </c>
      <c r="AU69" s="34">
        <f t="shared" si="68"/>
        <v>0.37115269806728074</v>
      </c>
      <c r="AV69" s="34">
        <f t="shared" si="69"/>
        <v>0.43376437618464181</v>
      </c>
      <c r="AW69" s="34">
        <f t="shared" si="70"/>
        <v>0.15294117647058825</v>
      </c>
      <c r="AX69" s="48">
        <v>40</v>
      </c>
      <c r="AY69" s="218">
        <v>1</v>
      </c>
      <c r="AZ69" s="220">
        <v>1</v>
      </c>
      <c r="BB69" s="205">
        <v>0</v>
      </c>
      <c r="BC69" s="245">
        <f t="shared" si="71"/>
        <v>1</v>
      </c>
      <c r="BD69" s="35">
        <v>0.50170700417921255</v>
      </c>
      <c r="BE69">
        <v>1</v>
      </c>
      <c r="BF69" s="205">
        <v>4.9808550136163037</v>
      </c>
      <c r="BG69" s="34">
        <v>0.28742138364779868</v>
      </c>
      <c r="BH69" s="34">
        <v>0.6698412698412699</v>
      </c>
      <c r="BI69" s="34">
        <f>IF(A69&lt;17, SoC!O$3, IF(A69&lt;33, SoC!O$4, IF(A69&lt;49, SoC!O$5, IF(A69&lt;65, SoC!O$6, IF(A69&lt;81, SoC!O$7, IF(A69&lt;97, SoC!O$8, SoC!O$9))))))</f>
        <v>1.0509770295874163</v>
      </c>
      <c r="BJ69" s="34"/>
      <c r="BK69" s="34"/>
      <c r="BL69" s="34"/>
      <c r="BM69" s="17" t="s">
        <v>47</v>
      </c>
      <c r="BN69">
        <v>68</v>
      </c>
      <c r="BO69">
        <v>69</v>
      </c>
      <c r="BP69">
        <v>74</v>
      </c>
      <c r="BQ69">
        <v>73</v>
      </c>
      <c r="BR69">
        <v>73</v>
      </c>
      <c r="BS69">
        <v>84</v>
      </c>
      <c r="BT69">
        <v>91</v>
      </c>
      <c r="BU69">
        <v>88</v>
      </c>
      <c r="BV69">
        <v>108</v>
      </c>
      <c r="BW69" s="154">
        <v>95</v>
      </c>
      <c r="BX69">
        <v>77</v>
      </c>
      <c r="BY69">
        <v>73</v>
      </c>
    </row>
    <row r="70" spans="1:77" x14ac:dyDescent="0.35">
      <c r="A70">
        <v>5</v>
      </c>
      <c r="B70" s="15" t="s">
        <v>143</v>
      </c>
      <c r="C70" s="15" t="s">
        <v>1084</v>
      </c>
      <c r="D70" s="15" t="s">
        <v>74</v>
      </c>
      <c r="F70" s="6">
        <v>4</v>
      </c>
      <c r="G70" s="6">
        <v>5</v>
      </c>
      <c r="I70" s="6">
        <v>4</v>
      </c>
      <c r="J70" s="6">
        <v>2</v>
      </c>
      <c r="N70" s="6">
        <v>3</v>
      </c>
      <c r="P70">
        <f>173+15</f>
        <v>188</v>
      </c>
      <c r="Q70">
        <f>206+24</f>
        <v>230</v>
      </c>
      <c r="R70" s="73">
        <f t="shared" si="48"/>
        <v>15.666666666666666</v>
      </c>
      <c r="S70" s="73">
        <f t="shared" si="49"/>
        <v>19.166666666666668</v>
      </c>
      <c r="T70" s="73">
        <f t="shared" si="50"/>
        <v>-3.5000000000000018</v>
      </c>
      <c r="U70">
        <f>101+8</f>
        <v>109</v>
      </c>
      <c r="V70" s="54">
        <f t="shared" si="51"/>
        <v>1.724770642201835</v>
      </c>
      <c r="W70" s="9">
        <f>1.25*(1.029-1.659-2.059-0.716+1.388+1.037-1.755-0.409-2.075)+0.067-2.33-1.238-8.96</f>
        <v>-18.984750000000002</v>
      </c>
      <c r="X70" s="263">
        <f>552+60+75+56+68</f>
        <v>811</v>
      </c>
      <c r="Y70" s="227">
        <f t="shared" si="52"/>
        <v>-0.79103125000000007</v>
      </c>
      <c r="Z70" s="227">
        <f t="shared" si="53"/>
        <v>-1.9179375000000016</v>
      </c>
      <c r="AA70" s="89">
        <f t="shared" si="54"/>
        <v>2.6866576235422626</v>
      </c>
      <c r="AB70" s="73">
        <f t="shared" si="55"/>
        <v>67.583333333333329</v>
      </c>
      <c r="AC70" s="203">
        <f>17.564+25.294+10.278+42.619+25.907+13.485+69.151+19.542+10.999+5.451+0+1.351+7.288</f>
        <v>248.929</v>
      </c>
      <c r="AD70" s="89">
        <f t="shared" si="56"/>
        <v>20.744083333333332</v>
      </c>
      <c r="AE70" s="89">
        <f t="shared" si="57"/>
        <v>4.5545673047319584</v>
      </c>
      <c r="AF70" s="9">
        <v>21</v>
      </c>
      <c r="AG70" s="9">
        <v>6</v>
      </c>
      <c r="AH70" s="9">
        <v>8</v>
      </c>
      <c r="AI70" s="54">
        <f t="shared" si="58"/>
        <v>35</v>
      </c>
      <c r="AK70" s="49">
        <v>69</v>
      </c>
      <c r="AL70" s="48">
        <f t="shared" si="59"/>
        <v>70</v>
      </c>
      <c r="AM70" s="36">
        <f t="shared" si="60"/>
        <v>0.49302046160648949</v>
      </c>
      <c r="AN70" s="34">
        <f t="shared" si="61"/>
        <v>0.44444444444444442</v>
      </c>
      <c r="AO70" s="34">
        <f t="shared" si="62"/>
        <v>0.66666666666666663</v>
      </c>
      <c r="AP70" s="34">
        <f t="shared" si="63"/>
        <v>0.34968553459119489</v>
      </c>
      <c r="AQ70" s="34">
        <f t="shared" si="64"/>
        <v>0.36719576719576719</v>
      </c>
      <c r="AR70" s="34">
        <f t="shared" si="65"/>
        <v>0.1456658488882534</v>
      </c>
      <c r="AS70" s="34">
        <f t="shared" si="66"/>
        <v>0.73873902942694891</v>
      </c>
      <c r="AT70" s="34">
        <f t="shared" si="67"/>
        <v>0.329723349592285</v>
      </c>
      <c r="AU70" s="34">
        <f t="shared" si="68"/>
        <v>0.4204276530843688</v>
      </c>
      <c r="AV70" s="34">
        <f t="shared" si="69"/>
        <v>0.37596107910649623</v>
      </c>
      <c r="AW70" s="34">
        <f t="shared" si="70"/>
        <v>0.41176470588235292</v>
      </c>
      <c r="AX70" s="48">
        <v>61</v>
      </c>
      <c r="AY70" s="218">
        <v>1</v>
      </c>
      <c r="AZ70" s="220">
        <v>3</v>
      </c>
      <c r="BB70" s="205">
        <v>0</v>
      </c>
      <c r="BC70" s="245">
        <f t="shared" si="71"/>
        <v>-1</v>
      </c>
      <c r="BD70" s="35">
        <v>0.49302046160648949</v>
      </c>
      <c r="BE70">
        <v>3</v>
      </c>
      <c r="BF70" s="205">
        <v>4.5545673047319584</v>
      </c>
      <c r="BG70" s="34">
        <v>0.34968553459119489</v>
      </c>
      <c r="BH70" s="34">
        <v>0.36719576719576719</v>
      </c>
      <c r="BI70" s="34">
        <f>IF(A70&lt;17, SoC!O$3, IF(A70&lt;33, SoC!O$4, IF(A70&lt;49, SoC!O$5, IF(A70&lt;65, SoC!O$6, IF(A70&lt;81, SoC!O$7, IF(A70&lt;97, SoC!O$8, SoC!O$9))))))</f>
        <v>1.0968295917365127</v>
      </c>
      <c r="BJ70" s="34"/>
      <c r="BK70" s="34"/>
      <c r="BL70" s="34"/>
      <c r="BM70" s="15" t="s">
        <v>74</v>
      </c>
      <c r="BN70">
        <v>69</v>
      </c>
      <c r="BO70">
        <v>70</v>
      </c>
      <c r="BP70">
        <v>64</v>
      </c>
      <c r="BQ70">
        <v>63</v>
      </c>
      <c r="BR70">
        <v>49</v>
      </c>
      <c r="BS70">
        <v>46</v>
      </c>
      <c r="BT70">
        <v>48</v>
      </c>
      <c r="BU70">
        <v>50</v>
      </c>
      <c r="BV70">
        <v>77</v>
      </c>
      <c r="BW70" s="154">
        <v>62</v>
      </c>
      <c r="BX70">
        <v>44</v>
      </c>
      <c r="BY70">
        <v>52</v>
      </c>
    </row>
    <row r="71" spans="1:77" x14ac:dyDescent="0.35">
      <c r="A71">
        <v>52</v>
      </c>
      <c r="B71" s="19" t="s">
        <v>172</v>
      </c>
      <c r="C71" s="19" t="s">
        <v>1090</v>
      </c>
      <c r="D71" s="19" t="s">
        <v>900</v>
      </c>
      <c r="F71" s="6">
        <v>3</v>
      </c>
      <c r="G71" s="6">
        <v>6</v>
      </c>
      <c r="I71" s="6">
        <v>3</v>
      </c>
      <c r="J71" s="6">
        <v>3</v>
      </c>
      <c r="M71" s="6">
        <v>1</v>
      </c>
      <c r="N71" s="6">
        <v>2</v>
      </c>
      <c r="P71">
        <f>166+13</f>
        <v>179</v>
      </c>
      <c r="Q71">
        <f>171+17</f>
        <v>188</v>
      </c>
      <c r="R71" s="73">
        <f t="shared" si="48"/>
        <v>14.916666666666666</v>
      </c>
      <c r="S71" s="73">
        <f t="shared" si="49"/>
        <v>15.666666666666666</v>
      </c>
      <c r="T71" s="73">
        <f t="shared" si="50"/>
        <v>-0.75</v>
      </c>
      <c r="U71">
        <f>96+6</f>
        <v>102</v>
      </c>
      <c r="V71" s="54">
        <f t="shared" si="51"/>
        <v>1.7549019607843137</v>
      </c>
      <c r="W71" s="9">
        <f>1.25*(-2.18+3.266-1.793-3.783+1.744+1.81+0.394-0.081+2.276)-0.931-7.402-4.19</f>
        <v>-10.456750000000001</v>
      </c>
      <c r="X71" s="263">
        <f>535+63+69+68</f>
        <v>735</v>
      </c>
      <c r="Y71" s="227">
        <f t="shared" si="52"/>
        <v>-0.43569791666666674</v>
      </c>
      <c r="Z71" s="227">
        <f t="shared" si="53"/>
        <v>0.12139583333333348</v>
      </c>
      <c r="AA71" s="89">
        <f t="shared" si="54"/>
        <v>3.6391175389140686</v>
      </c>
      <c r="AB71" s="73">
        <f t="shared" si="55"/>
        <v>61.25</v>
      </c>
      <c r="AC71" s="203">
        <f>31.908+91.347+0+24.51+13.711+77.082+72.164+8.737+25.487+0+50.828+21.507</f>
        <v>417.28100000000001</v>
      </c>
      <c r="AD71" s="89">
        <f t="shared" si="56"/>
        <v>34.77341666666667</v>
      </c>
      <c r="AE71" s="89">
        <f t="shared" si="57"/>
        <v>5.896898902530606</v>
      </c>
      <c r="AF71" s="9">
        <v>7</v>
      </c>
      <c r="AG71" s="9">
        <v>6</v>
      </c>
      <c r="AI71" s="54">
        <f t="shared" si="58"/>
        <v>13</v>
      </c>
      <c r="AK71" s="49">
        <v>70</v>
      </c>
      <c r="AL71" s="48">
        <f t="shared" si="59"/>
        <v>69</v>
      </c>
      <c r="AM71" s="36">
        <f t="shared" si="60"/>
        <v>0.49486814750368641</v>
      </c>
      <c r="AN71" s="34">
        <f t="shared" si="61"/>
        <v>0.35555555555555557</v>
      </c>
      <c r="AO71" s="34">
        <f t="shared" si="62"/>
        <v>0.54166666666666663</v>
      </c>
      <c r="AP71" s="34">
        <f t="shared" si="63"/>
        <v>0.28742138364779868</v>
      </c>
      <c r="AQ71" s="34">
        <f t="shared" si="64"/>
        <v>0.65608465608465616</v>
      </c>
      <c r="AR71" s="34">
        <f t="shared" si="65"/>
        <v>0.17486764148750908</v>
      </c>
      <c r="AS71" s="34">
        <f t="shared" si="66"/>
        <v>0.70538535848938544</v>
      </c>
      <c r="AT71" s="34">
        <f t="shared" si="67"/>
        <v>0.49981333234042036</v>
      </c>
      <c r="AU71" s="34">
        <f t="shared" si="68"/>
        <v>0.51756894616357907</v>
      </c>
      <c r="AV71" s="34">
        <f t="shared" si="69"/>
        <v>0.55797709905697546</v>
      </c>
      <c r="AW71" s="34">
        <f t="shared" si="70"/>
        <v>0.15294117647058825</v>
      </c>
      <c r="AX71" s="48">
        <v>36</v>
      </c>
      <c r="AY71" s="218">
        <v>1</v>
      </c>
      <c r="AZ71" s="220">
        <v>1</v>
      </c>
      <c r="BB71" s="205">
        <v>-1.3333333333333333</v>
      </c>
      <c r="BC71" s="245">
        <f t="shared" si="71"/>
        <v>1</v>
      </c>
      <c r="BD71" s="35">
        <v>0.49266213229529521</v>
      </c>
      <c r="BE71">
        <v>1</v>
      </c>
      <c r="BF71" s="205">
        <v>5.896898902530606</v>
      </c>
      <c r="BG71" s="34">
        <v>0.28742138364779868</v>
      </c>
      <c r="BH71" s="34">
        <v>0.65608465608465616</v>
      </c>
      <c r="BI71" s="34">
        <f>IF(A71&lt;17, SoC!O$3, IF(A71&lt;33, SoC!O$4, IF(A71&lt;49, SoC!O$5, IF(A71&lt;65, SoC!O$6, IF(A71&lt;81, SoC!O$7, IF(A71&lt;97, SoC!O$8, SoC!O$9))))))</f>
        <v>1.1793104273940098</v>
      </c>
      <c r="BJ71" s="34"/>
      <c r="BK71" s="34"/>
      <c r="BL71" s="34"/>
      <c r="BM71" s="19" t="s">
        <v>900</v>
      </c>
      <c r="BN71">
        <v>70</v>
      </c>
      <c r="BO71">
        <v>71</v>
      </c>
      <c r="BP71">
        <v>68</v>
      </c>
      <c r="BQ71">
        <v>67</v>
      </c>
      <c r="BR71">
        <v>67</v>
      </c>
      <c r="BS71">
        <v>58</v>
      </c>
      <c r="BT71">
        <v>45</v>
      </c>
      <c r="BU71">
        <v>62</v>
      </c>
      <c r="BV71">
        <v>43</v>
      </c>
      <c r="BW71" s="154">
        <v>20</v>
      </c>
      <c r="BX71">
        <v>40</v>
      </c>
      <c r="BY71">
        <v>77</v>
      </c>
    </row>
    <row r="72" spans="1:77" x14ac:dyDescent="0.35">
      <c r="A72">
        <v>66</v>
      </c>
      <c r="B72" s="21" t="s">
        <v>173</v>
      </c>
      <c r="C72" s="21" t="s">
        <v>166</v>
      </c>
      <c r="D72" s="21" t="s">
        <v>24</v>
      </c>
      <c r="F72" s="6">
        <v>4</v>
      </c>
      <c r="G72" s="6">
        <v>5</v>
      </c>
      <c r="I72" s="6">
        <v>2</v>
      </c>
      <c r="J72" s="6">
        <v>4</v>
      </c>
      <c r="N72" s="6">
        <v>4</v>
      </c>
      <c r="P72">
        <f>173+20</f>
        <v>193</v>
      </c>
      <c r="Q72">
        <f>208+11</f>
        <v>219</v>
      </c>
      <c r="R72" s="73">
        <f t="shared" si="48"/>
        <v>14.846153846153847</v>
      </c>
      <c r="S72" s="73">
        <f t="shared" si="49"/>
        <v>16.846153846153847</v>
      </c>
      <c r="T72" s="73">
        <f t="shared" si="50"/>
        <v>-2</v>
      </c>
      <c r="U72">
        <f>100+8</f>
        <v>108</v>
      </c>
      <c r="V72" s="54">
        <f t="shared" si="51"/>
        <v>1.787037037037037</v>
      </c>
      <c r="W72" s="9">
        <f>1.25*(-5.313+2.919-0.834-5.577+0.085+3.112-3.976-2.995-2.018)+0.168-8.401-6.203+3.619</f>
        <v>-29.063250000000004</v>
      </c>
      <c r="X72" s="263">
        <f>456+70+67+18</f>
        <v>611</v>
      </c>
      <c r="Y72" s="227">
        <f t="shared" si="52"/>
        <v>-1.1178173076923079</v>
      </c>
      <c r="Z72" s="227">
        <f t="shared" si="53"/>
        <v>0.23563461538461583</v>
      </c>
      <c r="AA72" s="89">
        <f t="shared" si="54"/>
        <v>1.8183977079732678</v>
      </c>
      <c r="AB72" s="73">
        <f t="shared" si="55"/>
        <v>47</v>
      </c>
      <c r="AC72" s="203">
        <f>20.243+15.69+2.47+48.645+47.219+5.369+62.906+28.709+28.977+19.496+57.421+4.121+55.261</f>
        <v>396.52699999999999</v>
      </c>
      <c r="AD72" s="89">
        <f t="shared" si="56"/>
        <v>30.50207692307692</v>
      </c>
      <c r="AE72" s="89">
        <f t="shared" si="57"/>
        <v>5.5228685411728682</v>
      </c>
      <c r="AF72" s="9">
        <v>21</v>
      </c>
      <c r="AG72" s="9">
        <v>6</v>
      </c>
      <c r="AH72" s="9">
        <v>8</v>
      </c>
      <c r="AI72" s="54">
        <f t="shared" si="58"/>
        <v>35</v>
      </c>
      <c r="AK72" s="49">
        <v>71</v>
      </c>
      <c r="AL72" s="48">
        <f t="shared" si="59"/>
        <v>71</v>
      </c>
      <c r="AM72" s="36">
        <f t="shared" si="60"/>
        <v>0.48706847918035201</v>
      </c>
      <c r="AN72" s="34">
        <f t="shared" si="61"/>
        <v>0.44444444444444442</v>
      </c>
      <c r="AO72" s="34">
        <f t="shared" si="62"/>
        <v>0.33333333333333331</v>
      </c>
      <c r="AP72" s="34">
        <f t="shared" si="63"/>
        <v>0.28156748911465895</v>
      </c>
      <c r="AQ72" s="34">
        <f t="shared" si="64"/>
        <v>0.55873015873015874</v>
      </c>
      <c r="AR72" s="34">
        <f t="shared" si="65"/>
        <v>0.20601137750837373</v>
      </c>
      <c r="AS72" s="34">
        <f t="shared" si="66"/>
        <v>0.76941308562372068</v>
      </c>
      <c r="AT72" s="34">
        <f t="shared" si="67"/>
        <v>0.50934138356709757</v>
      </c>
      <c r="AU72" s="34">
        <f t="shared" si="68"/>
        <v>0.32426442736537636</v>
      </c>
      <c r="AV72" s="34">
        <f t="shared" si="69"/>
        <v>0.50725973694866944</v>
      </c>
      <c r="AW72" s="34">
        <f t="shared" si="70"/>
        <v>0.41176470588235292</v>
      </c>
      <c r="AX72" s="48">
        <v>62</v>
      </c>
      <c r="AY72" s="218">
        <v>1</v>
      </c>
      <c r="AZ72" s="220">
        <v>3</v>
      </c>
      <c r="BB72" s="205">
        <v>0.66666666666666663</v>
      </c>
      <c r="BC72" s="245">
        <f t="shared" si="71"/>
        <v>0</v>
      </c>
      <c r="BD72" s="35">
        <v>0.48764585695102802</v>
      </c>
      <c r="BE72">
        <v>3</v>
      </c>
      <c r="BF72" s="205">
        <v>5.5228685411728682</v>
      </c>
      <c r="BG72" s="34">
        <v>0.28156748911465895</v>
      </c>
      <c r="BH72" s="34">
        <v>0.55873015873015874</v>
      </c>
      <c r="BI72" s="34">
        <f>IF(A72&lt;17, SoC!O$3, IF(A72&lt;33, SoC!O$4, IF(A72&lt;49, SoC!O$5, IF(A72&lt;65, SoC!O$6, IF(A72&lt;81, SoC!O$7, IF(A72&lt;97, SoC!O$8, SoC!O$9))))))</f>
        <v>0.87413259868968274</v>
      </c>
      <c r="BJ72" s="34"/>
      <c r="BK72" s="34"/>
      <c r="BL72" s="34"/>
      <c r="BM72" s="21" t="s">
        <v>24</v>
      </c>
      <c r="BN72">
        <v>71</v>
      </c>
      <c r="BO72">
        <v>72</v>
      </c>
      <c r="BP72">
        <v>71</v>
      </c>
      <c r="BQ72">
        <v>69</v>
      </c>
      <c r="BR72">
        <v>85</v>
      </c>
      <c r="BS72">
        <v>79</v>
      </c>
      <c r="BT72">
        <v>84</v>
      </c>
      <c r="BU72">
        <v>101</v>
      </c>
      <c r="BV72">
        <v>101</v>
      </c>
      <c r="BW72" s="154">
        <v>89</v>
      </c>
      <c r="BX72">
        <v>65</v>
      </c>
      <c r="BY72">
        <v>51</v>
      </c>
    </row>
    <row r="73" spans="1:77" x14ac:dyDescent="0.35">
      <c r="A73">
        <v>9</v>
      </c>
      <c r="B73" s="15" t="s">
        <v>143</v>
      </c>
      <c r="C73" s="15" t="s">
        <v>1083</v>
      </c>
      <c r="D73" s="15" t="s">
        <v>84</v>
      </c>
      <c r="F73" s="6">
        <v>5</v>
      </c>
      <c r="G73" s="6">
        <v>4</v>
      </c>
      <c r="I73" s="6">
        <v>2</v>
      </c>
      <c r="J73" s="6">
        <v>4</v>
      </c>
      <c r="N73" s="6">
        <v>2</v>
      </c>
      <c r="P73">
        <f>150+17</f>
        <v>167</v>
      </c>
      <c r="Q73">
        <f>170+15</f>
        <v>185</v>
      </c>
      <c r="R73" s="73">
        <f t="shared" si="48"/>
        <v>15.181818181818182</v>
      </c>
      <c r="S73" s="73">
        <f t="shared" si="49"/>
        <v>16.818181818181817</v>
      </c>
      <c r="T73" s="73">
        <f t="shared" si="50"/>
        <v>-1.6363636363636349</v>
      </c>
      <c r="U73">
        <f>80+7</f>
        <v>87</v>
      </c>
      <c r="V73" s="54">
        <f t="shared" si="51"/>
        <v>1.9195402298850575</v>
      </c>
      <c r="W73" s="9">
        <f>1.25*(-0.164-0.803-3.718+0.716-1.963-5.86-4.48-3.258)-1.429+2.418+2.659</f>
        <v>-20.764500000000002</v>
      </c>
      <c r="X73" s="263">
        <f>324+21+20</f>
        <v>365</v>
      </c>
      <c r="Y73" s="227">
        <f t="shared" si="52"/>
        <v>-0.94384090909090912</v>
      </c>
      <c r="Z73" s="227">
        <f t="shared" si="53"/>
        <v>0.25131818181818333</v>
      </c>
      <c r="AA73" s="89">
        <f t="shared" si="54"/>
        <v>1.6936248864411898</v>
      </c>
      <c r="AB73" s="73">
        <f t="shared" si="55"/>
        <v>33.18181818181818</v>
      </c>
      <c r="AC73" s="203">
        <f>2.993+6.099+41.687+16.747+10.573+6.79+4.007+35.322+42.95+23.728+25.055</f>
        <v>215.95100000000002</v>
      </c>
      <c r="AD73" s="89">
        <f t="shared" si="56"/>
        <v>19.631909090909094</v>
      </c>
      <c r="AE73" s="89">
        <f t="shared" si="57"/>
        <v>4.4307910231593066</v>
      </c>
      <c r="AF73" s="9">
        <v>14</v>
      </c>
      <c r="AG73" s="9">
        <v>0</v>
      </c>
      <c r="AI73" s="54">
        <f t="shared" si="58"/>
        <v>14</v>
      </c>
      <c r="AK73" s="49">
        <v>72</v>
      </c>
      <c r="AL73" s="48">
        <f t="shared" si="59"/>
        <v>72</v>
      </c>
      <c r="AM73" s="36">
        <f t="shared" si="60"/>
        <v>0.48702353454001091</v>
      </c>
      <c r="AN73" s="34">
        <f t="shared" si="61"/>
        <v>0.55555555555555558</v>
      </c>
      <c r="AO73" s="34">
        <f t="shared" si="62"/>
        <v>0.33333333333333331</v>
      </c>
      <c r="AP73" s="34">
        <f t="shared" si="63"/>
        <v>0.30943396226415087</v>
      </c>
      <c r="AQ73" s="34">
        <f t="shared" si="64"/>
        <v>0.56103896103896123</v>
      </c>
      <c r="AR73" s="34">
        <f t="shared" si="65"/>
        <v>0.3344269576528508</v>
      </c>
      <c r="AS73" s="34">
        <f t="shared" si="66"/>
        <v>0.75308264036146899</v>
      </c>
      <c r="AT73" s="34">
        <f t="shared" si="67"/>
        <v>0.51064946670412681</v>
      </c>
      <c r="AU73" s="34">
        <f t="shared" si="68"/>
        <v>0.30956138433741892</v>
      </c>
      <c r="AV73" s="34">
        <f t="shared" si="69"/>
        <v>0.35917739750869232</v>
      </c>
      <c r="AW73" s="34">
        <f t="shared" si="70"/>
        <v>0.16470588235294117</v>
      </c>
      <c r="AX73" s="48">
        <v>51</v>
      </c>
      <c r="AY73" s="218">
        <v>1</v>
      </c>
      <c r="AZ73" s="220">
        <v>1</v>
      </c>
      <c r="BB73" s="205">
        <v>0</v>
      </c>
      <c r="BC73" s="245">
        <f t="shared" si="71"/>
        <v>0</v>
      </c>
      <c r="BD73" s="35">
        <v>0.48702353454001091</v>
      </c>
      <c r="BE73">
        <v>2</v>
      </c>
      <c r="BF73" s="205">
        <v>4.4307910231593066</v>
      </c>
      <c r="BG73" s="34">
        <v>0.30943396226415087</v>
      </c>
      <c r="BH73" s="34">
        <v>0.56103896103896123</v>
      </c>
      <c r="BI73" s="34">
        <f>IF(A73&lt;17, SoC!O$3, IF(A73&lt;33, SoC!O$4, IF(A73&lt;49, SoC!O$5, IF(A73&lt;65, SoC!O$6, IF(A73&lt;81, SoC!O$7, IF(A73&lt;97, SoC!O$8, SoC!O$9))))))</f>
        <v>1.0968295917365127</v>
      </c>
      <c r="BJ73" s="34"/>
      <c r="BK73" s="34"/>
      <c r="BL73" s="34"/>
      <c r="BM73" s="15" t="s">
        <v>84</v>
      </c>
      <c r="BN73">
        <v>72</v>
      </c>
      <c r="BO73">
        <v>73</v>
      </c>
      <c r="BP73">
        <v>72</v>
      </c>
      <c r="BQ73">
        <v>71</v>
      </c>
      <c r="BR73">
        <v>84</v>
      </c>
      <c r="BS73">
        <v>88</v>
      </c>
      <c r="BT73">
        <v>103</v>
      </c>
      <c r="BU73">
        <v>91</v>
      </c>
      <c r="BV73">
        <v>74</v>
      </c>
      <c r="BW73" s="154">
        <v>101</v>
      </c>
      <c r="BX73">
        <v>86</v>
      </c>
      <c r="BY73">
        <v>62</v>
      </c>
    </row>
    <row r="74" spans="1:77" x14ac:dyDescent="0.35">
      <c r="A74">
        <v>11</v>
      </c>
      <c r="B74" s="15" t="s">
        <v>143</v>
      </c>
      <c r="C74" s="15" t="s">
        <v>1083</v>
      </c>
      <c r="D74" s="15" t="s">
        <v>86</v>
      </c>
      <c r="F74" s="6">
        <v>4</v>
      </c>
      <c r="G74" s="6">
        <v>5</v>
      </c>
      <c r="I74" s="6">
        <v>1</v>
      </c>
      <c r="J74" s="6">
        <v>5</v>
      </c>
      <c r="M74" s="6">
        <v>1</v>
      </c>
      <c r="N74" s="6">
        <v>4</v>
      </c>
      <c r="P74">
        <f>210+26</f>
        <v>236</v>
      </c>
      <c r="Q74">
        <f>248+25</f>
        <v>273</v>
      </c>
      <c r="R74" s="73">
        <f t="shared" si="48"/>
        <v>16.857142857142858</v>
      </c>
      <c r="S74" s="73">
        <f t="shared" si="49"/>
        <v>19.5</v>
      </c>
      <c r="T74" s="73">
        <f t="shared" si="50"/>
        <v>-2.6428571428571423</v>
      </c>
      <c r="U74">
        <f>118+15</f>
        <v>133</v>
      </c>
      <c r="V74" s="54">
        <f t="shared" si="51"/>
        <v>1.7744360902255638</v>
      </c>
      <c r="W74" s="9">
        <f>1.25*(0.695-6.498-1.172-2.943+2-1.667+3.258-4.79-4.409)+5.418-11.237-1.994-6.221-7.181</f>
        <v>-40.622500000000002</v>
      </c>
      <c r="X74" s="263">
        <f>456+69+54+70+75</f>
        <v>724</v>
      </c>
      <c r="Y74" s="227">
        <f t="shared" si="52"/>
        <v>-1.4508035714285714</v>
      </c>
      <c r="Z74" s="227">
        <f t="shared" si="53"/>
        <v>0.25875000000000048</v>
      </c>
      <c r="AA74" s="89">
        <f t="shared" si="54"/>
        <v>2.3181403560732554</v>
      </c>
      <c r="AB74" s="73">
        <f t="shared" si="55"/>
        <v>51.714285714285715</v>
      </c>
      <c r="AC74" s="203">
        <f>2.511+23.015+29.752+16.167+(104.14-2.07)+35.066+6.318+26.819+2.733+60.204+45.004+0.097+20.104+52.802</f>
        <v>422.66199999999998</v>
      </c>
      <c r="AD74" s="89">
        <f t="shared" si="56"/>
        <v>30.190142857142856</v>
      </c>
      <c r="AE74" s="89">
        <f t="shared" si="57"/>
        <v>5.4945557470229431</v>
      </c>
      <c r="AF74" s="9">
        <v>21</v>
      </c>
      <c r="AG74" s="9">
        <v>12</v>
      </c>
      <c r="AH74" s="9">
        <v>8</v>
      </c>
      <c r="AI74" s="54">
        <f t="shared" si="58"/>
        <v>41</v>
      </c>
      <c r="AK74" s="49">
        <v>73</v>
      </c>
      <c r="AL74" s="48">
        <f t="shared" si="59"/>
        <v>73</v>
      </c>
      <c r="AM74" s="36">
        <f t="shared" si="60"/>
        <v>0.48147859639190999</v>
      </c>
      <c r="AN74" s="34">
        <f t="shared" si="61"/>
        <v>0.46666666666666667</v>
      </c>
      <c r="AO74" s="34">
        <f t="shared" si="62"/>
        <v>0.20833333333333334</v>
      </c>
      <c r="AP74" s="34">
        <f t="shared" si="63"/>
        <v>0.44851752021563346</v>
      </c>
      <c r="AQ74" s="34">
        <f t="shared" si="64"/>
        <v>0.33968253968253981</v>
      </c>
      <c r="AR74" s="34">
        <f t="shared" si="65"/>
        <v>0.19379915936944153</v>
      </c>
      <c r="AS74" s="34">
        <f t="shared" si="66"/>
        <v>0.80066912952819003</v>
      </c>
      <c r="AT74" s="34">
        <f t="shared" si="67"/>
        <v>0.51126931526231534</v>
      </c>
      <c r="AU74" s="34">
        <f t="shared" si="68"/>
        <v>0.38074074756025839</v>
      </c>
      <c r="AV74" s="34">
        <f t="shared" si="69"/>
        <v>0.50342060948322209</v>
      </c>
      <c r="AW74" s="34">
        <f t="shared" si="70"/>
        <v>0.4823529411764706</v>
      </c>
      <c r="AX74" s="48">
        <v>73</v>
      </c>
      <c r="AY74" s="218">
        <v>1</v>
      </c>
      <c r="AZ74" s="220">
        <v>3</v>
      </c>
      <c r="BB74" s="205">
        <v>0</v>
      </c>
      <c r="BC74" s="245">
        <f t="shared" si="71"/>
        <v>0</v>
      </c>
      <c r="BD74" s="35">
        <v>0.48147859639190999</v>
      </c>
      <c r="BE74">
        <v>3</v>
      </c>
      <c r="BF74" s="205">
        <v>5.4945557470229431</v>
      </c>
      <c r="BG74" s="34">
        <v>0.44851752021563346</v>
      </c>
      <c r="BH74" s="34">
        <v>0.33968253968253981</v>
      </c>
      <c r="BI74" s="34">
        <f>IF(A74&lt;17, SoC!O$3, IF(A74&lt;33, SoC!O$4, IF(A74&lt;49, SoC!O$5, IF(A74&lt;65, SoC!O$6, IF(A74&lt;81, SoC!O$7, IF(A74&lt;97, SoC!O$8, SoC!O$9))))))</f>
        <v>1.0968295917365127</v>
      </c>
      <c r="BJ74" s="34"/>
      <c r="BK74" s="34"/>
      <c r="BL74" s="34"/>
      <c r="BM74" s="15" t="s">
        <v>86</v>
      </c>
      <c r="BN74">
        <v>73</v>
      </c>
      <c r="BO74">
        <v>74</v>
      </c>
      <c r="BP74">
        <v>78</v>
      </c>
      <c r="BQ74">
        <v>72</v>
      </c>
      <c r="BR74">
        <v>66</v>
      </c>
      <c r="BS74">
        <v>67</v>
      </c>
      <c r="BT74">
        <v>67</v>
      </c>
      <c r="BU74">
        <v>90</v>
      </c>
      <c r="BV74">
        <v>83</v>
      </c>
      <c r="BW74" s="154">
        <v>93</v>
      </c>
      <c r="BX74">
        <v>84</v>
      </c>
      <c r="BY74">
        <v>40</v>
      </c>
    </row>
    <row r="75" spans="1:77" x14ac:dyDescent="0.35">
      <c r="A75">
        <v>55</v>
      </c>
      <c r="B75" s="19" t="s">
        <v>172</v>
      </c>
      <c r="C75" s="19" t="s">
        <v>3201</v>
      </c>
      <c r="D75" s="19" t="s">
        <v>37</v>
      </c>
      <c r="F75" s="6">
        <v>3</v>
      </c>
      <c r="G75" s="6">
        <v>6</v>
      </c>
      <c r="I75" s="6">
        <v>3</v>
      </c>
      <c r="J75" s="6">
        <v>3</v>
      </c>
      <c r="N75" s="6">
        <v>5</v>
      </c>
      <c r="P75">
        <f>179+9</f>
        <v>188</v>
      </c>
      <c r="Q75">
        <f>215+32</f>
        <v>247</v>
      </c>
      <c r="R75" s="73">
        <f t="shared" si="48"/>
        <v>13.428571428571429</v>
      </c>
      <c r="S75" s="73">
        <f t="shared" si="49"/>
        <v>17.642857142857142</v>
      </c>
      <c r="T75" s="73">
        <f t="shared" si="50"/>
        <v>-4.2142857142857135</v>
      </c>
      <c r="U75">
        <f>96+4</f>
        <v>100</v>
      </c>
      <c r="V75" s="54">
        <f t="shared" si="51"/>
        <v>1.88</v>
      </c>
      <c r="W75" s="9">
        <f>1.25*(1.658-3.266+1.416-4.347-7.7-0.704-4.213-3.666)+3.501-2.414-6.856-7.759-1.545-9.799</f>
        <v>-50.899500000000003</v>
      </c>
      <c r="X75" s="263">
        <f>404+60+71+80+57+71</f>
        <v>743</v>
      </c>
      <c r="Y75" s="227">
        <f t="shared" si="52"/>
        <v>-1.8178392857142858</v>
      </c>
      <c r="Z75" s="227">
        <f t="shared" si="53"/>
        <v>-0.57860714285714199</v>
      </c>
      <c r="AA75" s="89">
        <f t="shared" si="54"/>
        <v>2.0517728019440931</v>
      </c>
      <c r="AB75" s="73">
        <f t="shared" si="55"/>
        <v>53.071428571428569</v>
      </c>
      <c r="AC75" s="203">
        <f>7.57+4.513+1.35+15.066+(127.081-13.5405)+6.701+14.905+1.535+97.73+14.619+10.392+54.76+6.047+4.942</f>
        <v>353.6705</v>
      </c>
      <c r="AD75" s="89">
        <f t="shared" si="56"/>
        <v>25.262178571428571</v>
      </c>
      <c r="AE75" s="89">
        <f t="shared" si="57"/>
        <v>5.0261494776248519</v>
      </c>
      <c r="AF75" s="9">
        <v>21</v>
      </c>
      <c r="AG75" s="9">
        <v>12</v>
      </c>
      <c r="AH75" s="20">
        <v>11</v>
      </c>
      <c r="AI75" s="54">
        <f t="shared" si="58"/>
        <v>44</v>
      </c>
      <c r="AK75" s="49">
        <v>74</v>
      </c>
      <c r="AL75" s="48">
        <f t="shared" si="59"/>
        <v>74</v>
      </c>
      <c r="AM75" s="36">
        <f t="shared" si="60"/>
        <v>0.48125703191652447</v>
      </c>
      <c r="AN75" s="34">
        <f t="shared" si="61"/>
        <v>0.33333333333333331</v>
      </c>
      <c r="AO75" s="34">
        <f t="shared" si="62"/>
        <v>0.5</v>
      </c>
      <c r="AP75" s="34">
        <f t="shared" si="63"/>
        <v>0.16388140161725065</v>
      </c>
      <c r="AQ75" s="34">
        <f t="shared" si="64"/>
        <v>0.4929705215419502</v>
      </c>
      <c r="AR75" s="34">
        <f t="shared" si="65"/>
        <v>0.29610651079720723</v>
      </c>
      <c r="AS75" s="34">
        <f t="shared" si="66"/>
        <v>0.83512125458434194</v>
      </c>
      <c r="AT75" s="34">
        <f t="shared" si="67"/>
        <v>0.44142979483933442</v>
      </c>
      <c r="AU75" s="34">
        <f t="shared" si="68"/>
        <v>0.35107593915164764</v>
      </c>
      <c r="AV75" s="34">
        <f t="shared" si="69"/>
        <v>0.43990616564869556</v>
      </c>
      <c r="AW75" s="34">
        <f t="shared" si="70"/>
        <v>0.51764705882352946</v>
      </c>
      <c r="AX75" s="48">
        <v>79</v>
      </c>
      <c r="AY75" s="218">
        <v>2</v>
      </c>
      <c r="AZ75" s="220">
        <v>1</v>
      </c>
      <c r="BB75" s="205">
        <v>0</v>
      </c>
      <c r="BC75" s="245">
        <f t="shared" si="71"/>
        <v>0</v>
      </c>
      <c r="BD75" s="35">
        <v>0.47982908998334906</v>
      </c>
      <c r="BE75">
        <v>3</v>
      </c>
      <c r="BF75" s="205">
        <v>5.0261494776248519</v>
      </c>
      <c r="BG75" s="34">
        <v>0.16388140161725065</v>
      </c>
      <c r="BH75" s="34">
        <v>0.4929705215419502</v>
      </c>
      <c r="BI75" s="34">
        <f>IF(A75&lt;17, SoC!O$3, IF(A75&lt;33, SoC!O$4, IF(A75&lt;49, SoC!O$5, IF(A75&lt;65, SoC!O$6, IF(A75&lt;81, SoC!O$7, IF(A75&lt;97, SoC!O$8, SoC!O$9))))))</f>
        <v>1.1793104273940098</v>
      </c>
      <c r="BJ75" s="34"/>
      <c r="BK75" s="34"/>
      <c r="BL75" s="34"/>
      <c r="BM75" s="19" t="s">
        <v>37</v>
      </c>
      <c r="BN75">
        <v>74</v>
      </c>
      <c r="BO75">
        <v>67</v>
      </c>
      <c r="BP75">
        <v>62</v>
      </c>
      <c r="BQ75">
        <v>60</v>
      </c>
      <c r="BR75">
        <v>64</v>
      </c>
      <c r="BS75">
        <v>73</v>
      </c>
      <c r="BT75">
        <v>66</v>
      </c>
      <c r="BU75">
        <v>102</v>
      </c>
      <c r="BV75">
        <v>98</v>
      </c>
      <c r="BW75" s="154">
        <v>91</v>
      </c>
      <c r="BX75">
        <v>69</v>
      </c>
      <c r="BY75">
        <v>34</v>
      </c>
    </row>
    <row r="76" spans="1:77" x14ac:dyDescent="0.35">
      <c r="A76">
        <v>95</v>
      </c>
      <c r="B76" s="58" t="s">
        <v>799</v>
      </c>
      <c r="C76" s="58" t="s">
        <v>1105</v>
      </c>
      <c r="D76" s="58" t="s">
        <v>789</v>
      </c>
      <c r="F76" s="6">
        <v>4</v>
      </c>
      <c r="G76" s="6">
        <v>5</v>
      </c>
      <c r="I76" s="6">
        <v>1</v>
      </c>
      <c r="J76" s="6">
        <v>5</v>
      </c>
      <c r="L76" s="6">
        <v>2</v>
      </c>
      <c r="N76" s="6">
        <v>2</v>
      </c>
      <c r="P76">
        <f>177+19</f>
        <v>196</v>
      </c>
      <c r="Q76">
        <f>189+14</f>
        <v>203</v>
      </c>
      <c r="R76" s="73">
        <f t="shared" si="48"/>
        <v>15.076923076923077</v>
      </c>
      <c r="S76" s="73">
        <f t="shared" si="49"/>
        <v>15.615384615384615</v>
      </c>
      <c r="T76" s="73">
        <f t="shared" si="50"/>
        <v>-0.53846153846153832</v>
      </c>
      <c r="U76">
        <f>107+9</f>
        <v>116</v>
      </c>
      <c r="V76" s="54">
        <f t="shared" si="51"/>
        <v>1.6896551724137931</v>
      </c>
      <c r="W76" s="9">
        <f>1.25*(-4.136-5.756-1.324-4.257-0.961-1.476-3.463+0.232-0.992-2.379)-3.491+0.289+5.032</f>
        <v>-28.81</v>
      </c>
      <c r="X76" s="263">
        <f>473+42+17</f>
        <v>532</v>
      </c>
      <c r="Y76" s="227">
        <f t="shared" si="52"/>
        <v>-1.108076923076923</v>
      </c>
      <c r="Z76" s="227">
        <f t="shared" si="53"/>
        <v>1.6776923076923076</v>
      </c>
      <c r="AA76" s="89">
        <f t="shared" si="54"/>
        <v>1.7157085551097762</v>
      </c>
      <c r="AB76" s="73">
        <f t="shared" si="55"/>
        <v>40.92307692307692</v>
      </c>
      <c r="AC76" s="203">
        <f>16.734+13.607+57.433+8.056+55.743+6.709+40.614+(109.716-4.858)+8.598+24.397+51.577+10.383+17.79</f>
        <v>416.49900000000002</v>
      </c>
      <c r="AD76" s="89">
        <f t="shared" si="56"/>
        <v>32.038384615384615</v>
      </c>
      <c r="AE76" s="89">
        <f t="shared" si="57"/>
        <v>5.6602459854130558</v>
      </c>
      <c r="AF76" s="9">
        <v>21</v>
      </c>
      <c r="AG76" s="9">
        <v>0</v>
      </c>
      <c r="AI76" s="54">
        <f t="shared" si="58"/>
        <v>21</v>
      </c>
      <c r="AK76" s="49">
        <v>75</v>
      </c>
      <c r="AL76" s="48">
        <f t="shared" si="59"/>
        <v>75</v>
      </c>
      <c r="AM76" s="36">
        <f t="shared" si="60"/>
        <v>0.47190240168879549</v>
      </c>
      <c r="AN76" s="34">
        <f t="shared" si="61"/>
        <v>0.48888888888888893</v>
      </c>
      <c r="AO76" s="34">
        <f t="shared" si="62"/>
        <v>0.16666666666666666</v>
      </c>
      <c r="AP76" s="34">
        <f t="shared" si="63"/>
        <v>0.30072568940493466</v>
      </c>
      <c r="AQ76" s="34">
        <f t="shared" si="64"/>
        <v>0.66031746031746041</v>
      </c>
      <c r="AR76" s="34">
        <f t="shared" si="65"/>
        <v>0.11163366198050514</v>
      </c>
      <c r="AS76" s="34">
        <f t="shared" si="66"/>
        <v>0.76849879598976145</v>
      </c>
      <c r="AT76" s="34">
        <f t="shared" si="67"/>
        <v>0.62961577127865254</v>
      </c>
      <c r="AU76" s="34">
        <f t="shared" si="68"/>
        <v>0.31218416609388128</v>
      </c>
      <c r="AV76" s="34">
        <f t="shared" si="69"/>
        <v>0.52588769420794468</v>
      </c>
      <c r="AW76" s="34">
        <f t="shared" si="70"/>
        <v>0.24705882352941178</v>
      </c>
      <c r="AX76" s="48">
        <v>25</v>
      </c>
      <c r="AY76" s="218">
        <v>1</v>
      </c>
      <c r="AZ76" s="220">
        <v>1</v>
      </c>
      <c r="BB76" s="205">
        <v>1</v>
      </c>
      <c r="BC76" s="245">
        <f t="shared" si="71"/>
        <v>0</v>
      </c>
      <c r="BD76" s="35">
        <v>0.47290779586422271</v>
      </c>
      <c r="BE76">
        <v>1</v>
      </c>
      <c r="BF76" s="205">
        <v>5.6602459854130558</v>
      </c>
      <c r="BG76" s="34">
        <v>0.30072568940493466</v>
      </c>
      <c r="BH76" s="34">
        <v>0.66031746031746041</v>
      </c>
      <c r="BI76" s="34">
        <f>IF(A76&lt;17, SoC!O$3, IF(A76&lt;33, SoC!O$4, IF(A76&lt;49, SoC!O$5, IF(A76&lt;65, SoC!O$6, IF(A76&lt;81, SoC!O$7, IF(A76&lt;97, SoC!O$8, SoC!O$9))))))</f>
        <v>0.8076740483754814</v>
      </c>
      <c r="BJ76" s="34"/>
      <c r="BK76" s="34"/>
      <c r="BL76" s="34"/>
      <c r="BM76" s="58" t="s">
        <v>789</v>
      </c>
      <c r="BN76">
        <v>75</v>
      </c>
      <c r="BO76">
        <v>75</v>
      </c>
      <c r="BP76">
        <v>77</v>
      </c>
      <c r="BQ76">
        <v>77</v>
      </c>
      <c r="BR76">
        <v>72</v>
      </c>
      <c r="BS76">
        <v>78</v>
      </c>
      <c r="BT76">
        <v>79</v>
      </c>
      <c r="BU76">
        <v>97</v>
      </c>
      <c r="BV76">
        <v>84</v>
      </c>
      <c r="BW76" s="154">
        <v>103</v>
      </c>
      <c r="BX76">
        <v>88</v>
      </c>
      <c r="BY76">
        <v>88</v>
      </c>
    </row>
    <row r="77" spans="1:77" x14ac:dyDescent="0.35">
      <c r="A77">
        <v>57</v>
      </c>
      <c r="B77" s="19" t="s">
        <v>172</v>
      </c>
      <c r="C77" s="19" t="s">
        <v>1099</v>
      </c>
      <c r="D77" s="19" t="s">
        <v>44</v>
      </c>
      <c r="F77" s="6">
        <v>3</v>
      </c>
      <c r="G77" s="6">
        <v>6</v>
      </c>
      <c r="I77" s="6">
        <v>1</v>
      </c>
      <c r="J77" s="6">
        <v>5</v>
      </c>
      <c r="L77" s="6">
        <v>2</v>
      </c>
      <c r="N77" s="6">
        <v>2</v>
      </c>
      <c r="P77">
        <f>193+7</f>
        <v>200</v>
      </c>
      <c r="Q77">
        <f>196+18</f>
        <v>214</v>
      </c>
      <c r="R77" s="73">
        <f t="shared" si="48"/>
        <v>15.384615384615385</v>
      </c>
      <c r="S77" s="73">
        <f t="shared" si="49"/>
        <v>16.46153846153846</v>
      </c>
      <c r="T77" s="73">
        <f t="shared" si="50"/>
        <v>-1.0769230769230749</v>
      </c>
      <c r="U77">
        <f>102+6</f>
        <v>108</v>
      </c>
      <c r="V77" s="54">
        <f t="shared" si="51"/>
        <v>1.8518518518518519</v>
      </c>
      <c r="W77" s="9">
        <f>1.25*(-2.158-3.634+4.357+1.341+0.53-2.639+2.238-1.254-4.584-2.017)-4.259-8.479-6.236</f>
        <v>-28.748999999999999</v>
      </c>
      <c r="X77" s="263">
        <f>439+60+65+62</f>
        <v>626</v>
      </c>
      <c r="Y77" s="227">
        <f t="shared" si="52"/>
        <v>-1.1057307692307692</v>
      </c>
      <c r="Z77" s="227">
        <f t="shared" si="53"/>
        <v>1.1345384615384635</v>
      </c>
      <c r="AA77" s="89">
        <f t="shared" si="54"/>
        <v>2.7804515243176287</v>
      </c>
      <c r="AB77" s="73">
        <f t="shared" si="55"/>
        <v>48.153846153846153</v>
      </c>
      <c r="AC77" s="203">
        <f>19.514+67.21+62.292+3.218+69.825+18.221+13.485+51.338+55.317+7.726+15.215+19.214+2.783</f>
        <v>405.358</v>
      </c>
      <c r="AD77" s="89">
        <f t="shared" si="56"/>
        <v>31.181384615384616</v>
      </c>
      <c r="AE77" s="89">
        <f t="shared" si="57"/>
        <v>5.5840294246524715</v>
      </c>
      <c r="AF77" s="9">
        <v>21</v>
      </c>
      <c r="AG77" s="9">
        <v>0</v>
      </c>
      <c r="AI77" s="54">
        <f t="shared" si="58"/>
        <v>21</v>
      </c>
      <c r="AK77" s="49">
        <v>76</v>
      </c>
      <c r="AL77" s="48">
        <f t="shared" si="59"/>
        <v>76</v>
      </c>
      <c r="AM77" s="36">
        <f t="shared" si="60"/>
        <v>0.45472540119352917</v>
      </c>
      <c r="AN77" s="34">
        <f t="shared" si="61"/>
        <v>0.37777777777777777</v>
      </c>
      <c r="AO77" s="34">
        <f t="shared" si="62"/>
        <v>0.16666666666666666</v>
      </c>
      <c r="AP77" s="34">
        <f t="shared" si="63"/>
        <v>0.32626995645863571</v>
      </c>
      <c r="AQ77" s="34">
        <f t="shared" si="64"/>
        <v>0.5904761904761906</v>
      </c>
      <c r="AR77" s="34">
        <f t="shared" si="65"/>
        <v>0.26882670948266013</v>
      </c>
      <c r="AS77" s="34">
        <f t="shared" si="66"/>
        <v>0.76827857222797857</v>
      </c>
      <c r="AT77" s="34">
        <f t="shared" si="67"/>
        <v>0.58431418825059245</v>
      </c>
      <c r="AU77" s="34">
        <f t="shared" si="68"/>
        <v>0.4303127011764184</v>
      </c>
      <c r="AV77" s="34">
        <f t="shared" si="69"/>
        <v>0.51555296390232885</v>
      </c>
      <c r="AW77" s="34">
        <f t="shared" si="70"/>
        <v>0.24705882352941178</v>
      </c>
      <c r="AX77" s="48">
        <v>6</v>
      </c>
      <c r="AY77" s="218">
        <v>1</v>
      </c>
      <c r="AZ77" s="220">
        <v>1</v>
      </c>
      <c r="BB77" s="205">
        <v>0.33333333333333331</v>
      </c>
      <c r="BC77" s="245">
        <f t="shared" si="71"/>
        <v>0</v>
      </c>
      <c r="BD77" s="35">
        <v>0.45293155702616633</v>
      </c>
      <c r="BE77">
        <v>1</v>
      </c>
      <c r="BF77" s="205">
        <v>5.5840294246524715</v>
      </c>
      <c r="BG77" s="34">
        <v>0.32626995645863571</v>
      </c>
      <c r="BH77" s="34">
        <v>0.5904761904761906</v>
      </c>
      <c r="BI77" s="34">
        <f>IF(A77&lt;17, SoC!O$3, IF(A77&lt;33, SoC!O$4, IF(A77&lt;49, SoC!O$5, IF(A77&lt;65, SoC!O$6, IF(A77&lt;81, SoC!O$7, IF(A77&lt;97, SoC!O$8, SoC!O$9))))))</f>
        <v>1.1793104273940098</v>
      </c>
      <c r="BJ77" s="34"/>
      <c r="BK77" s="34"/>
      <c r="BL77" s="34"/>
      <c r="BM77" s="19" t="s">
        <v>44</v>
      </c>
      <c r="BN77">
        <v>76</v>
      </c>
      <c r="BO77">
        <v>76</v>
      </c>
      <c r="BP77">
        <v>70</v>
      </c>
      <c r="BQ77">
        <v>75</v>
      </c>
      <c r="BR77">
        <v>74</v>
      </c>
      <c r="BS77">
        <v>64</v>
      </c>
      <c r="BT77">
        <v>78</v>
      </c>
      <c r="BU77">
        <v>78</v>
      </c>
      <c r="BV77">
        <v>48</v>
      </c>
      <c r="BW77" s="154">
        <v>59</v>
      </c>
      <c r="BX77">
        <v>103</v>
      </c>
      <c r="BY77">
        <v>107</v>
      </c>
    </row>
    <row r="78" spans="1:77" x14ac:dyDescent="0.35">
      <c r="A78">
        <v>97</v>
      </c>
      <c r="B78" s="69" t="s">
        <v>1296</v>
      </c>
      <c r="C78" s="69" t="s">
        <v>1107</v>
      </c>
      <c r="D78" s="69" t="s">
        <v>958</v>
      </c>
      <c r="F78" s="6">
        <v>3</v>
      </c>
      <c r="G78" s="6">
        <v>6</v>
      </c>
      <c r="I78" s="6">
        <v>1</v>
      </c>
      <c r="J78" s="6">
        <v>4</v>
      </c>
      <c r="L78" s="6">
        <v>1</v>
      </c>
      <c r="N78" s="6">
        <v>2</v>
      </c>
      <c r="P78">
        <f>176+16</f>
        <v>192</v>
      </c>
      <c r="Q78">
        <f>194+22</f>
        <v>216</v>
      </c>
      <c r="R78" s="73">
        <f t="shared" si="48"/>
        <v>16</v>
      </c>
      <c r="S78" s="73">
        <f t="shared" si="49"/>
        <v>18</v>
      </c>
      <c r="T78" s="73">
        <f t="shared" si="50"/>
        <v>-2</v>
      </c>
      <c r="U78">
        <f>98+6</f>
        <v>104</v>
      </c>
      <c r="V78" s="54">
        <f t="shared" si="51"/>
        <v>1.8461538461538463</v>
      </c>
      <c r="W78" s="9">
        <f>1.25*(-3.323-2.446+0.947-4.206-2.226-7.641-0.999-1.429+0.704)-4.382-3.091-0.602</f>
        <v>-33.848749999999995</v>
      </c>
      <c r="X78" s="263">
        <f>406+68+53+39</f>
        <v>566</v>
      </c>
      <c r="Y78" s="227">
        <f t="shared" si="52"/>
        <v>-1.4103645833333331</v>
      </c>
      <c r="Z78" s="227">
        <f t="shared" si="53"/>
        <v>0.82072916666666629</v>
      </c>
      <c r="AA78" s="89">
        <f t="shared" si="54"/>
        <v>1.7595413553339012</v>
      </c>
      <c r="AB78" s="73">
        <f t="shared" si="55"/>
        <v>47.166666666666664</v>
      </c>
      <c r="AC78" s="203">
        <f>24.663+17.763+(281.694-104.2647)+0.389+35.12+16.718+84.404+4.774+45.85+20.436+19.479+6.367</f>
        <v>453.39230000000003</v>
      </c>
      <c r="AD78" s="89">
        <f t="shared" si="56"/>
        <v>37.782691666666672</v>
      </c>
      <c r="AE78" s="89">
        <f t="shared" si="57"/>
        <v>6.14676269809293</v>
      </c>
      <c r="AF78" s="9">
        <v>14</v>
      </c>
      <c r="AG78" s="9">
        <v>0</v>
      </c>
      <c r="AI78" s="54">
        <f t="shared" si="58"/>
        <v>14</v>
      </c>
      <c r="AK78" s="49">
        <v>77</v>
      </c>
      <c r="AL78" s="48">
        <f t="shared" si="59"/>
        <v>77</v>
      </c>
      <c r="AM78" s="36">
        <f t="shared" si="60"/>
        <v>0.44374631526186015</v>
      </c>
      <c r="AN78" s="34">
        <f t="shared" si="61"/>
        <v>0.35555555555555557</v>
      </c>
      <c r="AO78" s="34">
        <f t="shared" si="62"/>
        <v>0.2</v>
      </c>
      <c r="AP78" s="34">
        <f t="shared" si="63"/>
        <v>0.37735849056603771</v>
      </c>
      <c r="AQ78" s="34">
        <f t="shared" si="64"/>
        <v>0.46349206349206351</v>
      </c>
      <c r="AR78" s="34">
        <f t="shared" si="65"/>
        <v>0.26330448249590976</v>
      </c>
      <c r="AS78" s="34">
        <f t="shared" si="66"/>
        <v>0.7968732889034903</v>
      </c>
      <c r="AT78" s="34">
        <f t="shared" si="67"/>
        <v>0.55814101848059483</v>
      </c>
      <c r="AU78" s="34">
        <f t="shared" si="68"/>
        <v>0.31736347302202034</v>
      </c>
      <c r="AV78" s="34">
        <f t="shared" si="69"/>
        <v>0.5918578582319497</v>
      </c>
      <c r="AW78" s="34">
        <f t="shared" si="70"/>
        <v>0.16470588235294117</v>
      </c>
      <c r="AX78" s="48">
        <v>29</v>
      </c>
      <c r="AY78" s="218">
        <v>1</v>
      </c>
      <c r="AZ78" s="220">
        <v>1</v>
      </c>
      <c r="BB78" s="205">
        <v>0.33333333333333331</v>
      </c>
      <c r="BC78" s="245">
        <f t="shared" si="71"/>
        <v>0</v>
      </c>
      <c r="BD78" s="35">
        <v>0.44428977068974795</v>
      </c>
      <c r="BE78">
        <v>1</v>
      </c>
      <c r="BF78" s="205">
        <v>6.14676269809293</v>
      </c>
      <c r="BG78" s="34">
        <v>0.37735849056603771</v>
      </c>
      <c r="BH78" s="34">
        <v>0.46349206349206351</v>
      </c>
      <c r="BI78" s="34">
        <f>IF(A78&lt;17, SoC!O$3, IF(A78&lt;33, SoC!O$4, IF(A78&lt;49, SoC!O$5, IF(A78&lt;65, SoC!O$6, IF(A78&lt;81, SoC!O$7, IF(A78&lt;97, SoC!O$8, SoC!O$9))))))</f>
        <v>0.84292189346881985</v>
      </c>
      <c r="BJ78" s="34"/>
      <c r="BK78" s="34"/>
      <c r="BL78" s="34"/>
      <c r="BM78" s="69" t="s">
        <v>958</v>
      </c>
      <c r="BN78">
        <v>77</v>
      </c>
      <c r="BO78">
        <v>77</v>
      </c>
      <c r="BP78">
        <v>75</v>
      </c>
      <c r="BQ78">
        <v>76</v>
      </c>
      <c r="BR78">
        <v>71</v>
      </c>
      <c r="BS78">
        <v>68</v>
      </c>
      <c r="BT78">
        <v>69</v>
      </c>
      <c r="BU78">
        <v>92</v>
      </c>
      <c r="BV78">
        <v>72</v>
      </c>
      <c r="BW78" s="154">
        <v>96</v>
      </c>
      <c r="BX78">
        <v>82</v>
      </c>
      <c r="BY78">
        <v>84</v>
      </c>
    </row>
    <row r="79" spans="1:77" x14ac:dyDescent="0.35">
      <c r="A79">
        <v>92</v>
      </c>
      <c r="B79" s="58" t="s">
        <v>799</v>
      </c>
      <c r="C79" s="58" t="s">
        <v>1106</v>
      </c>
      <c r="D79" s="58" t="s">
        <v>791</v>
      </c>
      <c r="F79" s="6">
        <v>3</v>
      </c>
      <c r="G79" s="6">
        <v>6</v>
      </c>
      <c r="I79" s="6">
        <v>2</v>
      </c>
      <c r="J79" s="6">
        <v>4</v>
      </c>
      <c r="M79" s="6">
        <v>2</v>
      </c>
      <c r="N79" s="6">
        <v>2</v>
      </c>
      <c r="P79">
        <f>185+18</f>
        <v>203</v>
      </c>
      <c r="Q79">
        <f>222+17</f>
        <v>239</v>
      </c>
      <c r="R79" s="73">
        <f t="shared" si="48"/>
        <v>15.615384615384615</v>
      </c>
      <c r="S79" s="73">
        <f t="shared" si="49"/>
        <v>18.384615384615383</v>
      </c>
      <c r="T79" s="73">
        <f t="shared" si="50"/>
        <v>-2.7692307692307683</v>
      </c>
      <c r="U79">
        <f>107+9</f>
        <v>116</v>
      </c>
      <c r="V79" s="54">
        <f t="shared" si="51"/>
        <v>1.75</v>
      </c>
      <c r="W79" s="9">
        <f>1.25*(-1.288-1.426-0.96-1.056+2.226-4.561+0.178-0.666-3.712)-1.486-9.187-2.321+1.557</f>
        <v>-25.518250000000002</v>
      </c>
      <c r="X79" s="263">
        <f>512+43+69+49+14</f>
        <v>687</v>
      </c>
      <c r="Y79" s="227">
        <f t="shared" si="52"/>
        <v>-0.98147115384615391</v>
      </c>
      <c r="Z79" s="227">
        <f t="shared" si="53"/>
        <v>-0.80628846153846045</v>
      </c>
      <c r="AA79" s="89">
        <f t="shared" si="54"/>
        <v>1.7158449969332714</v>
      </c>
      <c r="AB79" s="73">
        <f t="shared" si="55"/>
        <v>52.846153846153847</v>
      </c>
      <c r="AC79" s="203">
        <f>43.322+46.896+0+14.026+13.762+(107.993-3.9965)+27.336+49.483+2.929+20.826+4.723+1.605+17.762</f>
        <v>346.66650000000004</v>
      </c>
      <c r="AD79" s="89">
        <f t="shared" si="56"/>
        <v>26.666653846153849</v>
      </c>
      <c r="AE79" s="89">
        <f t="shared" si="57"/>
        <v>5.1639765536022573</v>
      </c>
      <c r="AF79" s="9">
        <v>7</v>
      </c>
      <c r="AG79" s="9">
        <v>12</v>
      </c>
      <c r="AI79" s="54">
        <f t="shared" si="58"/>
        <v>19</v>
      </c>
      <c r="AK79" s="49">
        <v>78</v>
      </c>
      <c r="AL79" s="48">
        <f t="shared" si="59"/>
        <v>78</v>
      </c>
      <c r="AM79" s="36">
        <f t="shared" si="60"/>
        <v>0.44071139178139446</v>
      </c>
      <c r="AN79" s="34">
        <f t="shared" si="61"/>
        <v>0.37777777777777777</v>
      </c>
      <c r="AO79" s="34">
        <f t="shared" si="62"/>
        <v>0.41666666666666669</v>
      </c>
      <c r="AP79" s="34">
        <f t="shared" si="63"/>
        <v>0.34542815674891142</v>
      </c>
      <c r="AQ79" s="34">
        <f t="shared" si="64"/>
        <v>0.43174603174603188</v>
      </c>
      <c r="AR79" s="34">
        <f t="shared" si="65"/>
        <v>0.17011690209449584</v>
      </c>
      <c r="AS79" s="34">
        <f t="shared" si="66"/>
        <v>0.75661483586109302</v>
      </c>
      <c r="AT79" s="34">
        <f t="shared" si="67"/>
        <v>0.42244010299563806</v>
      </c>
      <c r="AU79" s="34">
        <f t="shared" si="68"/>
        <v>0.31220034251210926</v>
      </c>
      <c r="AV79" s="34">
        <f t="shared" si="69"/>
        <v>0.45859509158321171</v>
      </c>
      <c r="AW79" s="34">
        <f t="shared" si="70"/>
        <v>0.22352941176470589</v>
      </c>
      <c r="AX79" s="48">
        <v>27</v>
      </c>
      <c r="AY79" s="218">
        <v>1</v>
      </c>
      <c r="AZ79" s="220">
        <v>1</v>
      </c>
      <c r="BB79" s="205">
        <v>0</v>
      </c>
      <c r="BC79" s="245">
        <f t="shared" si="71"/>
        <v>0</v>
      </c>
      <c r="BD79" s="35">
        <v>0.44171684469748579</v>
      </c>
      <c r="BE79">
        <v>1</v>
      </c>
      <c r="BF79" s="205">
        <v>5.1639765536022573</v>
      </c>
      <c r="BG79" s="34">
        <v>0.34542815674891142</v>
      </c>
      <c r="BH79" s="34">
        <v>0.43174603174603188</v>
      </c>
      <c r="BI79" s="34">
        <f>IF(A79&lt;17, SoC!O$3, IF(A79&lt;33, SoC!O$4, IF(A79&lt;49, SoC!O$5, IF(A79&lt;65, SoC!O$6, IF(A79&lt;81, SoC!O$7, IF(A79&lt;97, SoC!O$8, SoC!O$9))))))</f>
        <v>0.8076740483754814</v>
      </c>
      <c r="BJ79" s="34"/>
      <c r="BK79" s="34"/>
      <c r="BL79" s="34"/>
      <c r="BM79" s="58" t="s">
        <v>791</v>
      </c>
      <c r="BN79">
        <v>78</v>
      </c>
      <c r="BO79">
        <v>79</v>
      </c>
      <c r="BP79">
        <v>85</v>
      </c>
      <c r="BQ79">
        <v>86</v>
      </c>
      <c r="BR79">
        <v>69</v>
      </c>
      <c r="BS79">
        <v>66</v>
      </c>
      <c r="BT79">
        <v>64</v>
      </c>
      <c r="BU79">
        <v>68</v>
      </c>
      <c r="BV79">
        <v>51</v>
      </c>
      <c r="BW79" s="154">
        <v>29</v>
      </c>
      <c r="BX79">
        <v>45</v>
      </c>
      <c r="BY79">
        <v>86</v>
      </c>
    </row>
    <row r="80" spans="1:77" x14ac:dyDescent="0.35">
      <c r="A80">
        <v>105</v>
      </c>
      <c r="B80" s="69" t="s">
        <v>1296</v>
      </c>
      <c r="C80" s="69" t="s">
        <v>918</v>
      </c>
      <c r="D80" s="69" t="s">
        <v>1343</v>
      </c>
      <c r="F80" s="6">
        <v>3</v>
      </c>
      <c r="G80" s="6">
        <v>6</v>
      </c>
      <c r="I80" s="6">
        <v>1</v>
      </c>
      <c r="J80" s="6">
        <v>4</v>
      </c>
      <c r="L80" s="6">
        <v>1</v>
      </c>
      <c r="M80" s="6">
        <v>1</v>
      </c>
      <c r="N80" s="6">
        <v>2</v>
      </c>
      <c r="P80">
        <f>159+16</f>
        <v>175</v>
      </c>
      <c r="Q80">
        <f>166+21</f>
        <v>187</v>
      </c>
      <c r="R80" s="73">
        <f t="shared" si="48"/>
        <v>13.461538461538462</v>
      </c>
      <c r="S80" s="73">
        <f t="shared" si="49"/>
        <v>14.384615384615385</v>
      </c>
      <c r="T80" s="73">
        <f t="shared" si="50"/>
        <v>-0.92307692307692335</v>
      </c>
      <c r="U80">
        <f>91+9</f>
        <v>100</v>
      </c>
      <c r="V80" s="54">
        <f t="shared" si="51"/>
        <v>1.75</v>
      </c>
      <c r="W80" s="9">
        <f>1.25*(-4.53-4.007-0.605+2.878-0.554-1.518-3.149-0.592-6.422-0.024)+3.646+1.21-1.926</f>
        <v>-20.223749999999995</v>
      </c>
      <c r="X80" s="263">
        <f>503+28+48</f>
        <v>579</v>
      </c>
      <c r="Y80" s="227">
        <f t="shared" si="52"/>
        <v>-0.77783653846153833</v>
      </c>
      <c r="Z80" s="227">
        <f t="shared" si="53"/>
        <v>0.63259615384615331</v>
      </c>
      <c r="AA80" s="89">
        <f t="shared" si="54"/>
        <v>1.8710161003459345</v>
      </c>
      <c r="AB80" s="73">
        <f t="shared" si="55"/>
        <v>44.53846153846154</v>
      </c>
      <c r="AC80" s="203">
        <f>12.159+18.11+81.415+31.644+52.264+35.713+1.819+2.333+0.796+0+81.328+3.37+6.28</f>
        <v>327.23099999999999</v>
      </c>
      <c r="AD80" s="89">
        <f t="shared" si="56"/>
        <v>25.171615384615386</v>
      </c>
      <c r="AE80" s="89">
        <f t="shared" si="57"/>
        <v>5.0171321872774479</v>
      </c>
      <c r="AF80" s="9">
        <v>14</v>
      </c>
      <c r="AG80" s="9">
        <v>6</v>
      </c>
      <c r="AI80" s="54">
        <f t="shared" si="58"/>
        <v>20</v>
      </c>
      <c r="AK80" s="49">
        <v>79</v>
      </c>
      <c r="AL80" s="48">
        <f t="shared" si="59"/>
        <v>79</v>
      </c>
      <c r="AM80" s="36">
        <f t="shared" si="60"/>
        <v>0.43929764079122602</v>
      </c>
      <c r="AN80" s="34">
        <f t="shared" si="61"/>
        <v>0.37777777777777777</v>
      </c>
      <c r="AO80" s="34">
        <f t="shared" si="62"/>
        <v>0.25</v>
      </c>
      <c r="AP80" s="34">
        <f t="shared" si="63"/>
        <v>0.16661828737300433</v>
      </c>
      <c r="AQ80" s="34">
        <f t="shared" si="64"/>
        <v>0.76190476190476186</v>
      </c>
      <c r="AR80" s="34">
        <f t="shared" si="65"/>
        <v>0.17011690209449584</v>
      </c>
      <c r="AS80" s="34">
        <f t="shared" si="66"/>
        <v>0.73750049640602044</v>
      </c>
      <c r="AT80" s="34">
        <f t="shared" si="67"/>
        <v>0.54244984118164297</v>
      </c>
      <c r="AU80" s="34">
        <f t="shared" si="68"/>
        <v>0.3303842161344846</v>
      </c>
      <c r="AV80" s="34">
        <f t="shared" si="69"/>
        <v>0.43868344892023298</v>
      </c>
      <c r="AW80" s="34">
        <f t="shared" si="70"/>
        <v>0.23529411764705882</v>
      </c>
      <c r="AX80" s="48">
        <v>15</v>
      </c>
      <c r="AY80" s="218">
        <v>1</v>
      </c>
      <c r="AZ80" s="220">
        <v>1</v>
      </c>
      <c r="BB80" s="205">
        <v>-1.3333333333333333</v>
      </c>
      <c r="BC80" s="245">
        <f t="shared" si="71"/>
        <v>0</v>
      </c>
      <c r="BD80" s="35">
        <v>0.43986627305128084</v>
      </c>
      <c r="BE80">
        <v>1</v>
      </c>
      <c r="BF80" s="205">
        <v>5.0171321872774479</v>
      </c>
      <c r="BG80" s="34">
        <v>0.16661828737300433</v>
      </c>
      <c r="BH80" s="34">
        <v>0.76190476190476186</v>
      </c>
      <c r="BI80" s="34">
        <f>IF(A80&lt;17, SoC!O$3, IF(A80&lt;33, SoC!O$4, IF(A80&lt;49, SoC!O$5, IF(A80&lt;65, SoC!O$6, IF(A80&lt;81, SoC!O$7, IF(A80&lt;97, SoC!O$8, SoC!O$9))))))</f>
        <v>0.84292189346881985</v>
      </c>
      <c r="BJ80" s="34"/>
      <c r="BK80" s="34"/>
      <c r="BL80" s="34"/>
      <c r="BM80" s="69" t="s">
        <v>1343</v>
      </c>
      <c r="BN80">
        <v>79</v>
      </c>
      <c r="BO80">
        <v>78</v>
      </c>
      <c r="BP80">
        <v>76</v>
      </c>
      <c r="BQ80">
        <v>78</v>
      </c>
      <c r="BR80">
        <v>70</v>
      </c>
      <c r="BS80">
        <v>81</v>
      </c>
      <c r="BT80">
        <v>60</v>
      </c>
      <c r="BU80">
        <v>66</v>
      </c>
      <c r="BV80">
        <v>76</v>
      </c>
      <c r="BW80" s="154">
        <v>97</v>
      </c>
      <c r="BX80">
        <v>91</v>
      </c>
      <c r="BY80">
        <v>98</v>
      </c>
    </row>
    <row r="81" spans="1:77" x14ac:dyDescent="0.35">
      <c r="A81">
        <v>78</v>
      </c>
      <c r="B81" s="21" t="s">
        <v>173</v>
      </c>
      <c r="C81" s="21" t="s">
        <v>3203</v>
      </c>
      <c r="D81" s="21" t="s">
        <v>292</v>
      </c>
      <c r="F81" s="6">
        <v>3</v>
      </c>
      <c r="G81" s="6">
        <v>6</v>
      </c>
      <c r="I81" s="6">
        <v>2</v>
      </c>
      <c r="J81" s="6">
        <v>4</v>
      </c>
      <c r="L81" s="6">
        <v>1</v>
      </c>
      <c r="N81" s="6">
        <v>2</v>
      </c>
      <c r="P81">
        <f>159+14</f>
        <v>173</v>
      </c>
      <c r="Q81">
        <f>205+11</f>
        <v>216</v>
      </c>
      <c r="R81" s="73">
        <f t="shared" si="48"/>
        <v>14.416666666666666</v>
      </c>
      <c r="S81" s="73">
        <f t="shared" si="49"/>
        <v>18</v>
      </c>
      <c r="T81" s="73">
        <f t="shared" si="50"/>
        <v>-3.5833333333333339</v>
      </c>
      <c r="U81">
        <f>86+8</f>
        <v>94</v>
      </c>
      <c r="V81" s="54">
        <f t="shared" si="51"/>
        <v>1.8404255319148937</v>
      </c>
      <c r="W81" s="9">
        <f>1.25*(2.337-2.41-2.931-2.011+1.267-2.17-4.354-1.681)-10.95-0.856-3.914-2.163</f>
        <v>-32.824250000000006</v>
      </c>
      <c r="X81" s="263">
        <f>426+63+40+59+28</f>
        <v>616</v>
      </c>
      <c r="Y81" s="227">
        <f t="shared" si="52"/>
        <v>-1.3676770833333336</v>
      </c>
      <c r="Z81" s="227">
        <f t="shared" si="53"/>
        <v>-0.84797916666666673</v>
      </c>
      <c r="AA81" s="89">
        <f t="shared" si="54"/>
        <v>1.6177321070531756</v>
      </c>
      <c r="AB81" s="73">
        <f t="shared" si="55"/>
        <v>51.333333333333336</v>
      </c>
      <c r="AC81" s="203">
        <f>3.664+55.114+26.465+4.983+10.558+71.096+40.079+22.087+0.713+17.844+27.981</f>
        <v>280.584</v>
      </c>
      <c r="AD81" s="89">
        <f t="shared" si="56"/>
        <v>23.382000000000001</v>
      </c>
      <c r="AE81" s="89">
        <f t="shared" si="57"/>
        <v>4.8354937700301095</v>
      </c>
      <c r="AF81" s="9">
        <v>28</v>
      </c>
      <c r="AG81" s="9">
        <v>0</v>
      </c>
      <c r="AI81" s="54">
        <f t="shared" si="58"/>
        <v>28</v>
      </c>
      <c r="AK81" s="49">
        <v>80</v>
      </c>
      <c r="AL81" s="48">
        <f t="shared" si="59"/>
        <v>80</v>
      </c>
      <c r="AM81" s="36">
        <f t="shared" si="60"/>
        <v>0.43564353573427805</v>
      </c>
      <c r="AN81" s="34">
        <f t="shared" si="61"/>
        <v>0.35555555555555557</v>
      </c>
      <c r="AO81" s="34">
        <f t="shared" si="62"/>
        <v>0.33333333333333331</v>
      </c>
      <c r="AP81" s="34">
        <f t="shared" si="63"/>
        <v>0.24591194968553451</v>
      </c>
      <c r="AQ81" s="34">
        <f t="shared" si="64"/>
        <v>0.46349206349206351</v>
      </c>
      <c r="AR81" s="34">
        <f t="shared" si="65"/>
        <v>0.25775288196135743</v>
      </c>
      <c r="AS81" s="34">
        <f t="shared" si="66"/>
        <v>0.79286638976236301</v>
      </c>
      <c r="AT81" s="34">
        <f t="shared" si="67"/>
        <v>0.41896290228494132</v>
      </c>
      <c r="AU81" s="34">
        <f t="shared" si="68"/>
        <v>0.30047674297823707</v>
      </c>
      <c r="AV81" s="34">
        <f t="shared" si="69"/>
        <v>0.41405384038558812</v>
      </c>
      <c r="AW81" s="34">
        <f t="shared" si="70"/>
        <v>0.32941176470588235</v>
      </c>
      <c r="AX81" s="48">
        <v>69</v>
      </c>
      <c r="AY81" s="218">
        <v>1</v>
      </c>
      <c r="AZ81" s="220">
        <v>3</v>
      </c>
      <c r="BB81" s="205">
        <v>-2</v>
      </c>
      <c r="BC81" s="245">
        <f t="shared" si="71"/>
        <v>0</v>
      </c>
      <c r="BD81" s="35">
        <v>0.4361734411183098</v>
      </c>
      <c r="BE81">
        <v>3</v>
      </c>
      <c r="BF81" s="205">
        <v>4.8354937700301095</v>
      </c>
      <c r="BG81" s="34">
        <v>0.24591194968553451</v>
      </c>
      <c r="BH81" s="34">
        <v>0.46349206349206351</v>
      </c>
      <c r="BI81" s="34">
        <f>IF(A81&lt;17, SoC!O$3, IF(A81&lt;33, SoC!O$4, IF(A81&lt;49, SoC!O$5, IF(A81&lt;65, SoC!O$6, IF(A81&lt;81, SoC!O$7, IF(A81&lt;97, SoC!O$8, SoC!O$9))))))</f>
        <v>0.87413259868968274</v>
      </c>
      <c r="BJ81" s="34"/>
      <c r="BK81" s="34"/>
      <c r="BL81" s="34"/>
      <c r="BM81" s="21" t="s">
        <v>292</v>
      </c>
      <c r="BN81">
        <v>80</v>
      </c>
      <c r="BO81">
        <v>80</v>
      </c>
      <c r="BP81">
        <v>86</v>
      </c>
      <c r="BQ81">
        <v>79</v>
      </c>
      <c r="BR81">
        <v>75</v>
      </c>
      <c r="BS81">
        <v>72</v>
      </c>
      <c r="BT81">
        <v>65</v>
      </c>
      <c r="BU81">
        <v>80</v>
      </c>
      <c r="BV81">
        <v>61</v>
      </c>
      <c r="BW81" s="154">
        <v>50</v>
      </c>
      <c r="BX81">
        <v>80</v>
      </c>
      <c r="BY81">
        <v>44</v>
      </c>
    </row>
    <row r="82" spans="1:77" x14ac:dyDescent="0.35">
      <c r="A82">
        <v>93</v>
      </c>
      <c r="B82" s="58" t="s">
        <v>799</v>
      </c>
      <c r="C82" s="58" t="s">
        <v>1105</v>
      </c>
      <c r="D82" s="58" t="s">
        <v>909</v>
      </c>
      <c r="F82" s="6">
        <v>4</v>
      </c>
      <c r="G82" s="6">
        <v>5</v>
      </c>
      <c r="I82" s="6">
        <v>3</v>
      </c>
      <c r="J82" s="6">
        <v>3</v>
      </c>
      <c r="N82" s="6">
        <v>2</v>
      </c>
      <c r="P82">
        <f>144+22</f>
        <v>166</v>
      </c>
      <c r="Q82">
        <f>186+20</f>
        <v>206</v>
      </c>
      <c r="R82" s="73">
        <f t="shared" si="48"/>
        <v>15.090909090909092</v>
      </c>
      <c r="S82" s="73">
        <f t="shared" si="49"/>
        <v>18.727272727272727</v>
      </c>
      <c r="T82" s="73">
        <f t="shared" si="50"/>
        <v>-3.6363636363636349</v>
      </c>
      <c r="U82">
        <f>78+9</f>
        <v>87</v>
      </c>
      <c r="V82" s="54">
        <f t="shared" si="51"/>
        <v>1.9080459770114941</v>
      </c>
      <c r="W82" s="9">
        <f>1.25*(-0.623-1.906+3.592-2.133+3.73-0.047+2.633-3.123)-2.761-5.25-1.666</f>
        <v>-7.0232499999999991</v>
      </c>
      <c r="X82" s="263">
        <f>378+58+19</f>
        <v>455</v>
      </c>
      <c r="Y82" s="227">
        <f t="shared" si="52"/>
        <v>-0.31923863636363631</v>
      </c>
      <c r="Z82" s="227">
        <f t="shared" si="53"/>
        <v>-2.9978863636363622</v>
      </c>
      <c r="AA82" s="89">
        <f t="shared" si="54"/>
        <v>1.2022712359073771</v>
      </c>
      <c r="AB82" s="73">
        <f t="shared" si="55"/>
        <v>41.363636363636367</v>
      </c>
      <c r="AC82" s="203">
        <f>4.609+57.672+13.735+29.978+8.937+0+2.163+41.594+3.156+17.476+28.84</f>
        <v>208.16</v>
      </c>
      <c r="AD82" s="89">
        <f t="shared" si="56"/>
        <v>18.923636363636362</v>
      </c>
      <c r="AE82" s="89">
        <f t="shared" si="57"/>
        <v>4.3501306145489886</v>
      </c>
      <c r="AF82" s="9">
        <v>14</v>
      </c>
      <c r="AG82" s="9">
        <v>0</v>
      </c>
      <c r="AI82" s="54">
        <f t="shared" si="58"/>
        <v>14</v>
      </c>
      <c r="AK82" s="49">
        <v>81</v>
      </c>
      <c r="AL82" s="48">
        <f t="shared" si="59"/>
        <v>81</v>
      </c>
      <c r="AM82" s="36">
        <f t="shared" si="60"/>
        <v>0.43046707680568197</v>
      </c>
      <c r="AN82" s="34">
        <f t="shared" si="61"/>
        <v>0.44444444444444442</v>
      </c>
      <c r="AO82" s="34">
        <f t="shared" si="62"/>
        <v>0.5</v>
      </c>
      <c r="AP82" s="34">
        <f t="shared" si="63"/>
        <v>0.30188679245283023</v>
      </c>
      <c r="AQ82" s="34">
        <f t="shared" si="64"/>
        <v>0.40346320346320363</v>
      </c>
      <c r="AR82" s="34">
        <f t="shared" si="65"/>
        <v>0.32328729286923341</v>
      </c>
      <c r="AS82" s="34">
        <f t="shared" si="66"/>
        <v>0.69445380732751083</v>
      </c>
      <c r="AT82" s="34">
        <f t="shared" si="67"/>
        <v>0.23965053972724246</v>
      </c>
      <c r="AU82" s="34">
        <f t="shared" si="68"/>
        <v>0.24842466071279184</v>
      </c>
      <c r="AV82" s="34">
        <f t="shared" si="69"/>
        <v>0.34824009515590088</v>
      </c>
      <c r="AW82" s="34">
        <f t="shared" si="70"/>
        <v>0.16470588235294117</v>
      </c>
      <c r="AX82" s="48">
        <v>43</v>
      </c>
      <c r="AY82" s="218">
        <v>1</v>
      </c>
      <c r="AZ82" s="220">
        <v>1</v>
      </c>
      <c r="BB82" s="205">
        <v>2</v>
      </c>
      <c r="BC82" s="245">
        <f t="shared" si="71"/>
        <v>0</v>
      </c>
      <c r="BD82" s="35">
        <v>0.43124434726522054</v>
      </c>
      <c r="BE82">
        <v>2</v>
      </c>
      <c r="BF82" s="205">
        <v>4.3501306145489886</v>
      </c>
      <c r="BG82" s="34">
        <v>0.30188679245283023</v>
      </c>
      <c r="BH82" s="34">
        <v>0.40346320346320363</v>
      </c>
      <c r="BI82" s="34">
        <f>IF(A82&lt;17, SoC!O$3, IF(A82&lt;33, SoC!O$4, IF(A82&lt;49, SoC!O$5, IF(A82&lt;65, SoC!O$6, IF(A82&lt;81, SoC!O$7, IF(A82&lt;97, SoC!O$8, SoC!O$9))))))</f>
        <v>0.8076740483754814</v>
      </c>
      <c r="BJ82" s="34"/>
      <c r="BK82" s="34"/>
      <c r="BL82" s="34"/>
      <c r="BM82" s="58" t="s">
        <v>909</v>
      </c>
      <c r="BN82">
        <v>81</v>
      </c>
      <c r="BO82">
        <v>81</v>
      </c>
      <c r="BP82">
        <v>87</v>
      </c>
      <c r="BQ82">
        <v>89</v>
      </c>
      <c r="BR82">
        <v>87</v>
      </c>
      <c r="BS82">
        <v>75</v>
      </c>
      <c r="BT82">
        <v>75</v>
      </c>
      <c r="BU82">
        <v>59</v>
      </c>
      <c r="BV82">
        <v>73</v>
      </c>
      <c r="BW82" s="154">
        <v>58</v>
      </c>
      <c r="BX82">
        <v>107</v>
      </c>
      <c r="BY82">
        <v>70</v>
      </c>
    </row>
    <row r="83" spans="1:77" x14ac:dyDescent="0.35">
      <c r="A83">
        <v>68</v>
      </c>
      <c r="B83" s="21" t="s">
        <v>173</v>
      </c>
      <c r="C83" s="21" t="s">
        <v>166</v>
      </c>
      <c r="D83" s="21" t="s">
        <v>25</v>
      </c>
      <c r="F83" s="6">
        <v>3</v>
      </c>
      <c r="G83" s="6">
        <v>6</v>
      </c>
      <c r="I83" s="6">
        <v>2</v>
      </c>
      <c r="J83" s="6">
        <v>4</v>
      </c>
      <c r="L83" s="6">
        <v>1</v>
      </c>
      <c r="N83" s="6">
        <v>2</v>
      </c>
      <c r="P83">
        <f>160+10</f>
        <v>170</v>
      </c>
      <c r="Q83">
        <f>183+11</f>
        <v>194</v>
      </c>
      <c r="R83" s="73">
        <f t="shared" si="48"/>
        <v>14.166666666666666</v>
      </c>
      <c r="S83" s="73">
        <f t="shared" si="49"/>
        <v>16.166666666666668</v>
      </c>
      <c r="T83" s="73">
        <f t="shared" si="50"/>
        <v>-2.0000000000000018</v>
      </c>
      <c r="U83">
        <f>92+5</f>
        <v>97</v>
      </c>
      <c r="V83" s="54">
        <f t="shared" si="51"/>
        <v>1.7525773195876289</v>
      </c>
      <c r="W83" s="9">
        <f>1.25*(0.499+2.064-4.357-5.835-2.153+0.051+0.084-5.424-2.218)-0.168-1.239-3.59</f>
        <v>-26.608250000000002</v>
      </c>
      <c r="X83" s="263">
        <f>326+27+53</f>
        <v>406</v>
      </c>
      <c r="Y83" s="227">
        <f t="shared" si="52"/>
        <v>-1.1086770833333335</v>
      </c>
      <c r="Z83" s="227">
        <f t="shared" si="53"/>
        <v>0.21735416666666518</v>
      </c>
      <c r="AA83" s="89">
        <f t="shared" si="54"/>
        <v>1.3201742520542228</v>
      </c>
      <c r="AB83" s="73">
        <f t="shared" si="55"/>
        <v>33.833333333333336</v>
      </c>
      <c r="AC83" s="203">
        <f>1.644+14.433+10.833+47.365+35.586+13.635+16.523+16.467+25.608+30.905+16.019+16.816</f>
        <v>245.834</v>
      </c>
      <c r="AD83" s="89">
        <f t="shared" si="56"/>
        <v>20.486166666666666</v>
      </c>
      <c r="AE83" s="89">
        <f t="shared" si="57"/>
        <v>4.5261646751600484</v>
      </c>
      <c r="AF83" s="9">
        <v>14</v>
      </c>
      <c r="AG83" s="9">
        <v>0</v>
      </c>
      <c r="AI83" s="54">
        <f t="shared" si="58"/>
        <v>14</v>
      </c>
      <c r="AK83" s="49">
        <v>82</v>
      </c>
      <c r="AL83" s="48">
        <f t="shared" si="59"/>
        <v>82</v>
      </c>
      <c r="AM83" s="36">
        <f t="shared" si="60"/>
        <v>0.42450351143574588</v>
      </c>
      <c r="AN83" s="34">
        <f t="shared" si="61"/>
        <v>0.35555555555555557</v>
      </c>
      <c r="AO83" s="34">
        <f t="shared" si="62"/>
        <v>0.33333333333333331</v>
      </c>
      <c r="AP83" s="34">
        <f t="shared" si="63"/>
        <v>0.22515723270440244</v>
      </c>
      <c r="AQ83" s="34">
        <f t="shared" si="64"/>
        <v>0.6148148148148147</v>
      </c>
      <c r="AR83" s="34">
        <f t="shared" si="65"/>
        <v>0.17261471352793581</v>
      </c>
      <c r="AS83" s="34">
        <f t="shared" si="66"/>
        <v>0.76855513055177493</v>
      </c>
      <c r="AT83" s="34">
        <f t="shared" si="67"/>
        <v>0.50781670824490188</v>
      </c>
      <c r="AU83" s="34">
        <f t="shared" si="68"/>
        <v>0.26364900316391321</v>
      </c>
      <c r="AV83" s="34">
        <f t="shared" si="69"/>
        <v>0.37210977023521219</v>
      </c>
      <c r="AW83" s="34">
        <f t="shared" si="70"/>
        <v>0.16470588235294117</v>
      </c>
      <c r="AX83" s="48">
        <v>37</v>
      </c>
      <c r="AY83" s="218">
        <v>1</v>
      </c>
      <c r="AZ83" s="220">
        <v>1</v>
      </c>
      <c r="BB83" s="205">
        <v>0.66666666666666663</v>
      </c>
      <c r="BC83" s="245">
        <f t="shared" si="71"/>
        <v>0</v>
      </c>
      <c r="BD83" s="35">
        <v>0.42496091790187274</v>
      </c>
      <c r="BE83">
        <v>1</v>
      </c>
      <c r="BF83" s="205">
        <v>4.5261646751600484</v>
      </c>
      <c r="BG83" s="34">
        <v>0.22515723270440244</v>
      </c>
      <c r="BH83" s="34">
        <v>0.6148148148148147</v>
      </c>
      <c r="BI83" s="34">
        <f>IF(A83&lt;17, SoC!O$3, IF(A83&lt;33, SoC!O$4, IF(A83&lt;49, SoC!O$5, IF(A83&lt;65, SoC!O$6, IF(A83&lt;81, SoC!O$7, IF(A83&lt;97, SoC!O$8, SoC!O$9))))))</f>
        <v>0.87413259868968274</v>
      </c>
      <c r="BJ83" s="34"/>
      <c r="BK83" s="34"/>
      <c r="BL83" s="34"/>
      <c r="BM83" s="21" t="s">
        <v>25</v>
      </c>
      <c r="BN83">
        <v>82</v>
      </c>
      <c r="BO83">
        <v>82</v>
      </c>
      <c r="BP83">
        <v>81</v>
      </c>
      <c r="BQ83">
        <v>83</v>
      </c>
      <c r="BR83">
        <v>78</v>
      </c>
      <c r="BS83">
        <v>85</v>
      </c>
      <c r="BT83">
        <v>93</v>
      </c>
      <c r="BU83">
        <v>86</v>
      </c>
      <c r="BV83">
        <v>106</v>
      </c>
      <c r="BW83" s="154">
        <v>106</v>
      </c>
      <c r="BX83">
        <v>93</v>
      </c>
      <c r="BY83">
        <v>76</v>
      </c>
    </row>
    <row r="84" spans="1:77" ht="13.75" customHeight="1" x14ac:dyDescent="0.35">
      <c r="A84">
        <v>112</v>
      </c>
      <c r="B84" s="69" t="s">
        <v>1296</v>
      </c>
      <c r="C84" s="69" t="s">
        <v>1109</v>
      </c>
      <c r="D84" s="69" t="s">
        <v>963</v>
      </c>
      <c r="F84" s="6">
        <v>3</v>
      </c>
      <c r="G84" s="6">
        <v>6</v>
      </c>
      <c r="I84" s="6">
        <v>2</v>
      </c>
      <c r="J84" s="6">
        <v>3</v>
      </c>
      <c r="N84" s="6">
        <v>2</v>
      </c>
      <c r="P84">
        <f>144+11</f>
        <v>155</v>
      </c>
      <c r="Q84">
        <f>167+14</f>
        <v>181</v>
      </c>
      <c r="R84" s="73">
        <f t="shared" si="48"/>
        <v>14.090909090909092</v>
      </c>
      <c r="S84" s="73">
        <f t="shared" si="49"/>
        <v>16.454545454545453</v>
      </c>
      <c r="T84" s="73">
        <f t="shared" si="50"/>
        <v>-2.3636363636363615</v>
      </c>
      <c r="U84">
        <f>85+6</f>
        <v>91</v>
      </c>
      <c r="V84" s="54">
        <f t="shared" si="51"/>
        <v>1.7032967032967032</v>
      </c>
      <c r="W84" s="9">
        <f>1.25*(-2.668+0.515-2.426+0.694+1.518+0.999-4.137-0.288)+1.429-1.21+2.163</f>
        <v>-4.8592500000000012</v>
      </c>
      <c r="X84" s="263">
        <f>481+28+28</f>
        <v>537</v>
      </c>
      <c r="Y84" s="227">
        <f t="shared" si="52"/>
        <v>-0.22087500000000004</v>
      </c>
      <c r="Z84" s="227">
        <f t="shared" si="53"/>
        <v>-1.9218863636363614</v>
      </c>
      <c r="AA84" s="89">
        <f t="shared" si="54"/>
        <v>1.7429843283642259</v>
      </c>
      <c r="AB84" s="73">
        <f t="shared" si="55"/>
        <v>48.81818181818182</v>
      </c>
      <c r="AC84" s="203">
        <f>(116.106-8.053)+8.461+41.904+8.49+9.562+7.657+9.508+10.137+19.752+53.873+3.021</f>
        <v>280.41800000000006</v>
      </c>
      <c r="AD84" s="89">
        <f t="shared" si="56"/>
        <v>25.492545454545461</v>
      </c>
      <c r="AE84" s="89">
        <f t="shared" si="57"/>
        <v>5.0490143052427037</v>
      </c>
      <c r="AF84" s="9">
        <v>14</v>
      </c>
      <c r="AG84" s="9">
        <v>0</v>
      </c>
      <c r="AI84" s="54">
        <f t="shared" si="58"/>
        <v>14</v>
      </c>
      <c r="AK84" s="49">
        <v>83</v>
      </c>
      <c r="AL84" s="48">
        <f t="shared" si="59"/>
        <v>83</v>
      </c>
      <c r="AM84" s="36">
        <f t="shared" si="60"/>
        <v>0.41090797380375887</v>
      </c>
      <c r="AN84" s="34">
        <f t="shared" si="61"/>
        <v>0.33333333333333331</v>
      </c>
      <c r="AO84" s="34">
        <f t="shared" si="62"/>
        <v>0.4</v>
      </c>
      <c r="AP84" s="34">
        <f t="shared" si="63"/>
        <v>0.21886792452830192</v>
      </c>
      <c r="AQ84" s="34">
        <f t="shared" si="64"/>
        <v>0.59105339105339127</v>
      </c>
      <c r="AR84" s="34">
        <f t="shared" si="65"/>
        <v>0.1248543630423805</v>
      </c>
      <c r="AS84" s="34">
        <f t="shared" si="66"/>
        <v>0.68522081944900748</v>
      </c>
      <c r="AT84" s="34">
        <f t="shared" si="67"/>
        <v>0.32939399580945572</v>
      </c>
      <c r="AU84" s="34">
        <f t="shared" si="68"/>
        <v>0.31541117290675091</v>
      </c>
      <c r="AV84" s="34">
        <f t="shared" si="69"/>
        <v>0.44300656567405461</v>
      </c>
      <c r="AW84" s="34">
        <f t="shared" si="70"/>
        <v>0.16470588235294117</v>
      </c>
      <c r="AX84" s="48">
        <v>56</v>
      </c>
      <c r="AY84" s="218">
        <v>1</v>
      </c>
      <c r="AZ84" s="220">
        <v>1</v>
      </c>
      <c r="BB84" s="205">
        <v>1</v>
      </c>
      <c r="BC84" s="245">
        <f t="shared" si="71"/>
        <v>0</v>
      </c>
      <c r="BD84" s="35">
        <v>0.41144766580309006</v>
      </c>
      <c r="BE84">
        <v>2</v>
      </c>
      <c r="BF84" s="205">
        <v>5.0490143052427037</v>
      </c>
      <c r="BG84" s="34">
        <v>0.21886792452830192</v>
      </c>
      <c r="BH84" s="34">
        <v>0.59105339105339127</v>
      </c>
      <c r="BI84" s="34">
        <f>IF(A84&lt;17, SoC!O$3, IF(A84&lt;33, SoC!O$4, IF(A84&lt;49, SoC!O$5, IF(A84&lt;65, SoC!O$6, IF(A84&lt;81, SoC!O$7, IF(A84&lt;97, SoC!O$8, SoC!O$9))))))</f>
        <v>0.84292189346881985</v>
      </c>
      <c r="BJ84" s="34"/>
      <c r="BK84" s="34"/>
      <c r="BL84" s="34"/>
      <c r="BM84" s="69" t="s">
        <v>963</v>
      </c>
      <c r="BN84">
        <v>83</v>
      </c>
      <c r="BO84">
        <v>83</v>
      </c>
      <c r="BP84">
        <v>79</v>
      </c>
      <c r="BQ84">
        <v>80</v>
      </c>
      <c r="BR84">
        <v>94</v>
      </c>
      <c r="BS84">
        <v>90</v>
      </c>
      <c r="BT84">
        <v>83</v>
      </c>
      <c r="BU84">
        <v>64</v>
      </c>
      <c r="BV84">
        <v>42</v>
      </c>
      <c r="BW84" s="154">
        <v>47</v>
      </c>
      <c r="BX84">
        <v>12</v>
      </c>
      <c r="BY84">
        <v>57</v>
      </c>
    </row>
    <row r="85" spans="1:77" x14ac:dyDescent="0.35">
      <c r="A85">
        <v>81</v>
      </c>
      <c r="B85" s="58" t="s">
        <v>799</v>
      </c>
      <c r="C85" s="58" t="s">
        <v>1103</v>
      </c>
      <c r="D85" s="58" t="s">
        <v>784</v>
      </c>
      <c r="F85" s="6">
        <v>2</v>
      </c>
      <c r="G85" s="6">
        <v>7</v>
      </c>
      <c r="I85" s="6">
        <v>2</v>
      </c>
      <c r="J85" s="6">
        <v>4</v>
      </c>
      <c r="N85" s="6">
        <v>4</v>
      </c>
      <c r="P85">
        <f>178+13</f>
        <v>191</v>
      </c>
      <c r="Q85">
        <f>197+28</f>
        <v>225</v>
      </c>
      <c r="R85" s="73">
        <f t="shared" si="48"/>
        <v>14.692307692307692</v>
      </c>
      <c r="S85" s="73">
        <f t="shared" si="49"/>
        <v>17.307692307692307</v>
      </c>
      <c r="T85" s="73">
        <f t="shared" si="50"/>
        <v>-2.615384615384615</v>
      </c>
      <c r="U85">
        <f>103+7</f>
        <v>110</v>
      </c>
      <c r="V85" s="54">
        <f t="shared" si="51"/>
        <v>1.7363636363636363</v>
      </c>
      <c r="W85" s="9">
        <f>1.25*(-0.626-2.915-2.665-0.282+0.047+1.254-1.916+4.467-2.295)-0.979-9.586-6.33-1.013</f>
        <v>-24.071750000000002</v>
      </c>
      <c r="X85" s="263">
        <f>373+49+64+72+36</f>
        <v>594</v>
      </c>
      <c r="Y85" s="227">
        <f t="shared" si="52"/>
        <v>-0.92583653846153857</v>
      </c>
      <c r="Z85" s="227">
        <f t="shared" si="53"/>
        <v>-0.76371153846153783</v>
      </c>
      <c r="AA85" s="89">
        <f t="shared" si="54"/>
        <v>1.5180114472449531</v>
      </c>
      <c r="AB85" s="73">
        <f t="shared" si="55"/>
        <v>45.692307692307693</v>
      </c>
      <c r="AC85" s="203">
        <f>4.057+19.329+30.483+(123.724-11.862)+83.77+5.915+21.504+6.961+21.495+11.805+8.025+36.492+0</f>
        <v>361.69799999999998</v>
      </c>
      <c r="AD85" s="89">
        <f t="shared" si="56"/>
        <v>27.822923076923075</v>
      </c>
      <c r="AE85" s="89">
        <f t="shared" si="57"/>
        <v>5.2747438873297989</v>
      </c>
      <c r="AF85" s="9">
        <v>14</v>
      </c>
      <c r="AG85" s="9">
        <v>6</v>
      </c>
      <c r="AH85" s="9">
        <v>11</v>
      </c>
      <c r="AI85" s="54">
        <f t="shared" si="58"/>
        <v>31</v>
      </c>
      <c r="AK85" s="49">
        <v>84</v>
      </c>
      <c r="AL85" s="48">
        <f t="shared" si="59"/>
        <v>84</v>
      </c>
      <c r="AM85" s="36">
        <f t="shared" si="60"/>
        <v>0.40671300659717718</v>
      </c>
      <c r="AN85" s="34">
        <f t="shared" si="61"/>
        <v>0.22222222222222221</v>
      </c>
      <c r="AO85" s="34">
        <f t="shared" si="62"/>
        <v>0.33333333333333331</v>
      </c>
      <c r="AP85" s="34">
        <f t="shared" si="63"/>
        <v>0.26879535558780832</v>
      </c>
      <c r="AQ85" s="34">
        <f t="shared" si="64"/>
        <v>0.52063492063492078</v>
      </c>
      <c r="AR85" s="34">
        <f t="shared" si="65"/>
        <v>0.15690120887393166</v>
      </c>
      <c r="AS85" s="34">
        <f t="shared" si="66"/>
        <v>0.75139264452635657</v>
      </c>
      <c r="AT85" s="34">
        <f t="shared" si="67"/>
        <v>0.42599121844756149</v>
      </c>
      <c r="AU85" s="34">
        <f t="shared" si="68"/>
        <v>0.28836165318828683</v>
      </c>
      <c r="AV85" s="34">
        <f t="shared" si="69"/>
        <v>0.4736148000208863</v>
      </c>
      <c r="AW85" s="34">
        <f t="shared" si="70"/>
        <v>0.36470588235294116</v>
      </c>
      <c r="AX85" s="48">
        <v>44</v>
      </c>
      <c r="AY85" s="218">
        <v>1</v>
      </c>
      <c r="AZ85" s="220">
        <v>3</v>
      </c>
      <c r="BB85" s="205">
        <v>1.6666666666666665</v>
      </c>
      <c r="BC85" s="245">
        <f t="shared" si="71"/>
        <v>0</v>
      </c>
      <c r="BD85" s="35">
        <v>0.40763234756008931</v>
      </c>
      <c r="BE85">
        <v>2</v>
      </c>
      <c r="BF85" s="205">
        <v>5.2747438873297989</v>
      </c>
      <c r="BG85" s="34">
        <v>0.26879535558780832</v>
      </c>
      <c r="BH85" s="34">
        <v>0.52063492063492078</v>
      </c>
      <c r="BI85" s="34">
        <f>IF(A85&lt;17, SoC!O$3, IF(A85&lt;33, SoC!O$4, IF(A85&lt;49, SoC!O$5, IF(A85&lt;65, SoC!O$6, IF(A85&lt;81, SoC!O$7, IF(A85&lt;97, SoC!O$8, SoC!O$9))))))</f>
        <v>0.8076740483754814</v>
      </c>
      <c r="BJ85" s="34"/>
      <c r="BK85" s="34"/>
      <c r="BL85" s="34"/>
      <c r="BM85" s="58" t="s">
        <v>784</v>
      </c>
      <c r="BN85">
        <v>84</v>
      </c>
      <c r="BO85">
        <v>84</v>
      </c>
      <c r="BP85">
        <v>83</v>
      </c>
      <c r="BQ85">
        <v>82</v>
      </c>
      <c r="BR85">
        <v>77</v>
      </c>
      <c r="BS85">
        <v>70</v>
      </c>
      <c r="BT85">
        <v>55</v>
      </c>
      <c r="BU85">
        <v>74</v>
      </c>
      <c r="BV85">
        <v>103</v>
      </c>
      <c r="BW85" s="154">
        <v>102</v>
      </c>
      <c r="BX85">
        <v>95</v>
      </c>
      <c r="BY85">
        <v>69</v>
      </c>
    </row>
    <row r="86" spans="1:77" x14ac:dyDescent="0.35">
      <c r="A86">
        <v>74</v>
      </c>
      <c r="B86" s="21" t="s">
        <v>173</v>
      </c>
      <c r="C86" s="21" t="s">
        <v>167</v>
      </c>
      <c r="D86" s="21" t="s">
        <v>29</v>
      </c>
      <c r="F86" s="6">
        <v>4</v>
      </c>
      <c r="G86" s="6">
        <v>5</v>
      </c>
      <c r="I86" s="6">
        <v>2</v>
      </c>
      <c r="J86" s="6">
        <v>4</v>
      </c>
      <c r="N86" s="6">
        <v>2</v>
      </c>
      <c r="P86">
        <f>141+16</f>
        <v>157</v>
      </c>
      <c r="Q86">
        <f>158+32</f>
        <v>190</v>
      </c>
      <c r="R86" s="73">
        <f t="shared" si="48"/>
        <v>14.272727272727273</v>
      </c>
      <c r="S86" s="73">
        <f t="shared" si="49"/>
        <v>17.272727272727273</v>
      </c>
      <c r="T86" s="73">
        <f t="shared" si="50"/>
        <v>-3</v>
      </c>
      <c r="U86">
        <f>73+9</f>
        <v>82</v>
      </c>
      <c r="V86" s="54">
        <f t="shared" si="51"/>
        <v>1.9146341463414633</v>
      </c>
      <c r="W86" s="9">
        <f>1.25*(3.487+2.41+3.551+1.274-2.674+4.317-6.614+0.365)-3.497+0.001-9.265</f>
        <v>-5.115999999999997</v>
      </c>
      <c r="X86" s="263">
        <f>281+14+61</f>
        <v>356</v>
      </c>
      <c r="Y86" s="227">
        <f t="shared" si="52"/>
        <v>-0.23254545454545442</v>
      </c>
      <c r="Z86" s="227">
        <f t="shared" si="53"/>
        <v>-2.5349090909090912</v>
      </c>
      <c r="AA86" s="89">
        <f t="shared" si="54"/>
        <v>1.1185441158332565</v>
      </c>
      <c r="AB86" s="73">
        <f t="shared" si="55"/>
        <v>32.363636363636367</v>
      </c>
      <c r="AC86" s="203">
        <f>15.87+1.767+19.707+8.958+0+4.542+16.725+36.644+23.349+55.844+7.957</f>
        <v>191.363</v>
      </c>
      <c r="AD86" s="89">
        <f t="shared" si="56"/>
        <v>17.396636363636365</v>
      </c>
      <c r="AE86" s="89">
        <f t="shared" si="57"/>
        <v>4.1709275183868115</v>
      </c>
      <c r="AF86" s="9">
        <v>7</v>
      </c>
      <c r="AG86" s="9">
        <v>0</v>
      </c>
      <c r="AI86" s="54">
        <f t="shared" si="58"/>
        <v>7</v>
      </c>
      <c r="AK86" s="49">
        <v>85</v>
      </c>
      <c r="AL86" s="48">
        <f t="shared" si="59"/>
        <v>85</v>
      </c>
      <c r="AM86" s="36">
        <f t="shared" si="60"/>
        <v>0.40367181856536122</v>
      </c>
      <c r="AN86" s="34">
        <f t="shared" si="61"/>
        <v>0.44444444444444442</v>
      </c>
      <c r="AO86" s="34">
        <f t="shared" si="62"/>
        <v>0.33333333333333331</v>
      </c>
      <c r="AP86" s="34">
        <f t="shared" si="63"/>
        <v>0.23396226415094343</v>
      </c>
      <c r="AQ86" s="34">
        <f t="shared" si="64"/>
        <v>0.5235209235209235</v>
      </c>
      <c r="AR86" s="34">
        <f t="shared" si="65"/>
        <v>0.32967222268423363</v>
      </c>
      <c r="AS86" s="34">
        <f t="shared" si="66"/>
        <v>0.68631627676777174</v>
      </c>
      <c r="AT86" s="34">
        <f t="shared" si="67"/>
        <v>0.27826501978492152</v>
      </c>
      <c r="AU86" s="34">
        <f t="shared" si="68"/>
        <v>0.23735062643304689</v>
      </c>
      <c r="AV86" s="34">
        <f t="shared" si="69"/>
        <v>0.32394070864087432</v>
      </c>
      <c r="AW86" s="34">
        <f t="shared" si="70"/>
        <v>8.2352941176470587E-2</v>
      </c>
      <c r="AX86" s="48">
        <v>34</v>
      </c>
      <c r="AY86" s="218">
        <v>1</v>
      </c>
      <c r="AZ86" s="220">
        <v>1</v>
      </c>
      <c r="BB86" s="205">
        <v>-1</v>
      </c>
      <c r="BC86" s="245">
        <f t="shared" si="71"/>
        <v>0</v>
      </c>
      <c r="BD86" s="35">
        <v>0.40407827968422505</v>
      </c>
      <c r="BE86">
        <v>1</v>
      </c>
      <c r="BF86" s="205">
        <v>4.1709275183868115</v>
      </c>
      <c r="BG86" s="34">
        <v>0.23396226415094343</v>
      </c>
      <c r="BH86" s="34">
        <v>0.5235209235209235</v>
      </c>
      <c r="BI86" s="34">
        <f>IF(A86&lt;17, SoC!O$3, IF(A86&lt;33, SoC!O$4, IF(A86&lt;49, SoC!O$5, IF(A86&lt;65, SoC!O$6, IF(A86&lt;81, SoC!O$7, IF(A86&lt;97, SoC!O$8, SoC!O$9))))))</f>
        <v>0.87413259868968274</v>
      </c>
      <c r="BJ86" s="34"/>
      <c r="BK86" s="34"/>
      <c r="BL86" s="34"/>
      <c r="BM86" s="21" t="s">
        <v>29</v>
      </c>
      <c r="BN86">
        <v>85</v>
      </c>
      <c r="BO86">
        <v>85</v>
      </c>
      <c r="BP86">
        <v>80</v>
      </c>
      <c r="BQ86">
        <v>81</v>
      </c>
      <c r="BR86">
        <v>92</v>
      </c>
      <c r="BS86">
        <v>93</v>
      </c>
      <c r="BT86">
        <v>102</v>
      </c>
      <c r="BU86">
        <v>81</v>
      </c>
      <c r="BV86">
        <v>66</v>
      </c>
      <c r="BW86" s="154">
        <v>75</v>
      </c>
      <c r="BX86">
        <v>56</v>
      </c>
      <c r="BY86">
        <v>79</v>
      </c>
    </row>
    <row r="87" spans="1:77" x14ac:dyDescent="0.35">
      <c r="A87">
        <v>75</v>
      </c>
      <c r="B87" s="21" t="s">
        <v>173</v>
      </c>
      <c r="C87" s="21" t="s">
        <v>167</v>
      </c>
      <c r="D87" s="21" t="s">
        <v>27</v>
      </c>
      <c r="F87" s="6">
        <v>2</v>
      </c>
      <c r="G87" s="6">
        <v>7</v>
      </c>
      <c r="I87" s="6">
        <v>1</v>
      </c>
      <c r="J87" s="6">
        <v>5</v>
      </c>
      <c r="M87" s="6">
        <v>3</v>
      </c>
      <c r="N87" s="6">
        <v>2</v>
      </c>
      <c r="P87">
        <f>167+12</f>
        <v>179</v>
      </c>
      <c r="Q87">
        <f>198+27</f>
        <v>225</v>
      </c>
      <c r="R87" s="73">
        <f t="shared" si="48"/>
        <v>12.785714285714286</v>
      </c>
      <c r="S87" s="73">
        <f t="shared" si="49"/>
        <v>16.071428571428573</v>
      </c>
      <c r="T87" s="73">
        <f t="shared" si="50"/>
        <v>-3.2857142857142865</v>
      </c>
      <c r="U87">
        <f>95+6</f>
        <v>101</v>
      </c>
      <c r="V87" s="54">
        <f t="shared" si="51"/>
        <v>1.7722772277227723</v>
      </c>
      <c r="W87" s="9">
        <f>1.25*(-3.487-4.55+1.222+5.835+0.554-0.051-0.568-1.368-0.95)-0.566-5.127-8.777-2.468-12.614</f>
        <v>-33.755749999999999</v>
      </c>
      <c r="X87" s="263">
        <f>397+59+60+45+62</f>
        <v>623</v>
      </c>
      <c r="Y87" s="227">
        <f t="shared" si="52"/>
        <v>-1.2055624999999999</v>
      </c>
      <c r="Z87" s="227">
        <f t="shared" si="53"/>
        <v>-0.87458928571428673</v>
      </c>
      <c r="AA87" s="89">
        <f t="shared" si="54"/>
        <v>1.4671690287968386</v>
      </c>
      <c r="AB87" s="73">
        <f t="shared" si="55"/>
        <v>44.5</v>
      </c>
      <c r="AC87" s="203">
        <f>10.345+(126.811-13.4055)+21.44+8.663+1.331+30.463+0+48.047+17.314+4.139+43.03+0.454+0+8.037</f>
        <v>306.66849999999999</v>
      </c>
      <c r="AD87" s="89">
        <f t="shared" si="56"/>
        <v>21.904892857142858</v>
      </c>
      <c r="AE87" s="89">
        <f t="shared" si="57"/>
        <v>4.6802663233135418</v>
      </c>
      <c r="AF87" s="9">
        <v>7</v>
      </c>
      <c r="AG87" s="9">
        <v>18</v>
      </c>
      <c r="AI87" s="54">
        <f t="shared" si="58"/>
        <v>25</v>
      </c>
      <c r="AK87" s="49">
        <v>86</v>
      </c>
      <c r="AL87" s="48">
        <f t="shared" si="59"/>
        <v>86</v>
      </c>
      <c r="AM87" s="36">
        <f t="shared" si="60"/>
        <v>0.39364175791070788</v>
      </c>
      <c r="AN87" s="34">
        <f t="shared" si="61"/>
        <v>0.28888888888888892</v>
      </c>
      <c r="AO87" s="34">
        <f t="shared" si="62"/>
        <v>0.29166666666666669</v>
      </c>
      <c r="AP87" s="34">
        <f t="shared" si="63"/>
        <v>0.11051212938005393</v>
      </c>
      <c r="AQ87" s="34">
        <f t="shared" si="64"/>
        <v>0.62267573696145118</v>
      </c>
      <c r="AR87" s="34">
        <f t="shared" si="65"/>
        <v>0.19170689596967491</v>
      </c>
      <c r="AS87" s="34">
        <f t="shared" si="66"/>
        <v>0.77764936405876006</v>
      </c>
      <c r="AT87" s="34">
        <f t="shared" si="67"/>
        <v>0.41674349331645383</v>
      </c>
      <c r="AU87" s="34">
        <f t="shared" si="68"/>
        <v>0.28210111101872148</v>
      </c>
      <c r="AV87" s="34">
        <f t="shared" si="69"/>
        <v>0.39300547790588514</v>
      </c>
      <c r="AW87" s="34">
        <f t="shared" si="70"/>
        <v>0.29411764705882354</v>
      </c>
      <c r="AX87" s="48">
        <v>1</v>
      </c>
      <c r="AY87" s="218">
        <v>2</v>
      </c>
      <c r="AZ87" s="220">
        <v>1</v>
      </c>
      <c r="BB87" s="205">
        <v>-1</v>
      </c>
      <c r="BC87" s="245">
        <f t="shared" si="71"/>
        <v>0</v>
      </c>
      <c r="BD87" s="35">
        <v>0.39413532990842109</v>
      </c>
      <c r="BE87">
        <v>1</v>
      </c>
      <c r="BF87" s="205">
        <v>4.6802663233135418</v>
      </c>
      <c r="BG87" s="34">
        <v>0.11051212938005393</v>
      </c>
      <c r="BH87" s="34">
        <v>0.62267573696145118</v>
      </c>
      <c r="BI87" s="34">
        <f>IF(A87&lt;17, SoC!O$3, IF(A87&lt;33, SoC!O$4, IF(A87&lt;49, SoC!O$5, IF(A87&lt;65, SoC!O$6, IF(A87&lt;81, SoC!O$7, IF(A87&lt;97, SoC!O$8, SoC!O$9))))))</f>
        <v>0.87413259868968274</v>
      </c>
      <c r="BJ87" s="34"/>
      <c r="BK87" s="34"/>
      <c r="BL87" s="34"/>
      <c r="BM87" s="21" t="s">
        <v>27</v>
      </c>
      <c r="BN87">
        <v>86</v>
      </c>
      <c r="BO87">
        <v>87</v>
      </c>
      <c r="BP87">
        <v>82</v>
      </c>
      <c r="BQ87">
        <v>87</v>
      </c>
      <c r="BR87">
        <v>86</v>
      </c>
      <c r="BS87">
        <v>77</v>
      </c>
      <c r="BT87">
        <v>77</v>
      </c>
      <c r="BU87">
        <v>69</v>
      </c>
      <c r="BV87">
        <v>49</v>
      </c>
      <c r="BW87" s="154">
        <v>45</v>
      </c>
      <c r="BX87">
        <v>105</v>
      </c>
      <c r="BY87">
        <v>112</v>
      </c>
    </row>
    <row r="88" spans="1:77" x14ac:dyDescent="0.35">
      <c r="A88">
        <v>84</v>
      </c>
      <c r="B88" s="58" t="s">
        <v>799</v>
      </c>
      <c r="C88" s="58" t="s">
        <v>1103</v>
      </c>
      <c r="D88" s="58" t="s">
        <v>796</v>
      </c>
      <c r="F88" s="6">
        <v>3</v>
      </c>
      <c r="G88" s="6">
        <v>6</v>
      </c>
      <c r="I88" s="6">
        <v>3</v>
      </c>
      <c r="J88" s="6">
        <v>3</v>
      </c>
      <c r="M88" s="6">
        <v>1</v>
      </c>
      <c r="N88" s="6">
        <v>2</v>
      </c>
      <c r="P88">
        <f>137+11</f>
        <v>148</v>
      </c>
      <c r="Q88">
        <f>187+25</f>
        <v>212</v>
      </c>
      <c r="R88" s="73">
        <f t="shared" si="48"/>
        <v>12.333333333333334</v>
      </c>
      <c r="S88" s="73">
        <f t="shared" si="49"/>
        <v>17.666666666666668</v>
      </c>
      <c r="T88" s="73">
        <f t="shared" si="50"/>
        <v>-5.3333333333333339</v>
      </c>
      <c r="U88">
        <f>89+5</f>
        <v>94</v>
      </c>
      <c r="V88" s="54">
        <f t="shared" si="51"/>
        <v>1.574468085106383</v>
      </c>
      <c r="W88" s="9">
        <f>1.25*(-4.825-4.016-3.551-6.914+1.633-3.73-2.865-6.836-4.467)-1.663-0.71+4.09</f>
        <v>-42.746749999999992</v>
      </c>
      <c r="X88" s="263">
        <f>379+14+15</f>
        <v>408</v>
      </c>
      <c r="Y88" s="227">
        <f t="shared" si="52"/>
        <v>-1.7811145833333331</v>
      </c>
      <c r="Z88" s="227">
        <f t="shared" si="53"/>
        <v>-1.7711041666666678</v>
      </c>
      <c r="AA88" s="89">
        <f t="shared" si="54"/>
        <v>0.75275257487103908</v>
      </c>
      <c r="AB88" s="73">
        <f t="shared" si="55"/>
        <v>34</v>
      </c>
      <c r="AC88" s="203">
        <f>25.481+4.634+12.954+73.099+12.586+35.752+2.088+6.107+29.336+5.07+17.571+0.131</f>
        <v>224.80900000000003</v>
      </c>
      <c r="AD88" s="89">
        <f t="shared" si="56"/>
        <v>18.734083333333334</v>
      </c>
      <c r="AE88" s="89">
        <f t="shared" si="57"/>
        <v>4.3282887303567605</v>
      </c>
      <c r="AF88" s="9">
        <v>7</v>
      </c>
      <c r="AG88" s="9">
        <v>6</v>
      </c>
      <c r="AI88" s="54">
        <f t="shared" si="58"/>
        <v>13</v>
      </c>
      <c r="AK88" s="49">
        <v>87</v>
      </c>
      <c r="AL88" s="48">
        <f t="shared" si="59"/>
        <v>87</v>
      </c>
      <c r="AM88" s="36">
        <f t="shared" si="60"/>
        <v>0.39178452706824729</v>
      </c>
      <c r="AN88" s="34">
        <f t="shared" si="61"/>
        <v>0.35555555555555557</v>
      </c>
      <c r="AO88" s="34">
        <f t="shared" si="62"/>
        <v>0.54166666666666663</v>
      </c>
      <c r="AP88" s="34">
        <f t="shared" si="63"/>
        <v>7.2955974842767307E-2</v>
      </c>
      <c r="AQ88" s="34">
        <f t="shared" si="64"/>
        <v>0.491005291005291</v>
      </c>
      <c r="AR88" s="34">
        <f t="shared" si="65"/>
        <v>0</v>
      </c>
      <c r="AS88" s="34">
        <f t="shared" si="66"/>
        <v>0.83167405860358889</v>
      </c>
      <c r="AT88" s="34">
        <f t="shared" si="67"/>
        <v>0.34196993955641608</v>
      </c>
      <c r="AU88" s="34">
        <f t="shared" si="68"/>
        <v>0.18561715138346951</v>
      </c>
      <c r="AV88" s="34">
        <f t="shared" si="69"/>
        <v>0.34527840310051872</v>
      </c>
      <c r="AW88" s="34">
        <f t="shared" si="70"/>
        <v>0.15294117647058825</v>
      </c>
      <c r="AX88" s="48">
        <v>11</v>
      </c>
      <c r="AY88" s="218">
        <v>1</v>
      </c>
      <c r="AZ88" s="220">
        <v>1</v>
      </c>
      <c r="BB88" s="205">
        <v>0.33333333333333331</v>
      </c>
      <c r="BC88" s="245">
        <f t="shared" si="71"/>
        <v>0</v>
      </c>
      <c r="BD88" s="35">
        <v>0.39234494200061126</v>
      </c>
      <c r="BE88">
        <v>1</v>
      </c>
      <c r="BF88" s="205">
        <v>4.3282887303567605</v>
      </c>
      <c r="BG88" s="34">
        <v>7.2955974842767307E-2</v>
      </c>
      <c r="BH88" s="34">
        <v>0.491005291005291</v>
      </c>
      <c r="BI88" s="34">
        <f>IF(A88&lt;17, SoC!O$3, IF(A88&lt;33, SoC!O$4, IF(A88&lt;49, SoC!O$5, IF(A88&lt;65, SoC!O$6, IF(A88&lt;81, SoC!O$7, IF(A88&lt;97, SoC!O$8, SoC!O$9))))))</f>
        <v>0.8076740483754814</v>
      </c>
      <c r="BJ88" s="34"/>
      <c r="BK88" s="34"/>
      <c r="BL88" s="34"/>
      <c r="BM88" s="58" t="s">
        <v>796</v>
      </c>
      <c r="BN88">
        <v>87</v>
      </c>
      <c r="BO88">
        <v>88</v>
      </c>
      <c r="BP88">
        <v>84</v>
      </c>
      <c r="BQ88">
        <v>90</v>
      </c>
      <c r="BR88">
        <v>97</v>
      </c>
      <c r="BS88">
        <v>95</v>
      </c>
      <c r="BT88">
        <v>104</v>
      </c>
      <c r="BU88">
        <v>89</v>
      </c>
      <c r="BV88">
        <v>111</v>
      </c>
      <c r="BW88" s="154">
        <v>111</v>
      </c>
      <c r="BX88">
        <v>97</v>
      </c>
      <c r="BY88">
        <v>102</v>
      </c>
    </row>
    <row r="89" spans="1:77" x14ac:dyDescent="0.35">
      <c r="A89">
        <v>24</v>
      </c>
      <c r="B89" s="16" t="s">
        <v>144</v>
      </c>
      <c r="C89" s="16" t="s">
        <v>1087</v>
      </c>
      <c r="D89" s="16" t="s">
        <v>70</v>
      </c>
      <c r="F89" s="6">
        <v>2</v>
      </c>
      <c r="G89" s="6">
        <v>7</v>
      </c>
      <c r="I89" s="6">
        <v>2</v>
      </c>
      <c r="J89" s="6">
        <v>4</v>
      </c>
      <c r="N89" s="6">
        <v>5</v>
      </c>
      <c r="P89">
        <f>201+12</f>
        <v>213</v>
      </c>
      <c r="Q89">
        <f>277+33</f>
        <v>310</v>
      </c>
      <c r="R89" s="73">
        <f t="shared" si="48"/>
        <v>15.214285714285714</v>
      </c>
      <c r="S89" s="73">
        <f t="shared" si="49"/>
        <v>22.142857142857142</v>
      </c>
      <c r="T89" s="73">
        <f t="shared" si="50"/>
        <v>-6.9285714285714288</v>
      </c>
      <c r="U89">
        <f>110+6</f>
        <v>116</v>
      </c>
      <c r="V89" s="54">
        <f t="shared" si="51"/>
        <v>1.8362068965517242</v>
      </c>
      <c r="W89" s="9">
        <f>1.25*(2.826+0.228+1.172-6.032+4.657-7.885-8.408)-4.319-10.931-6.052-9.488-9.443-1.67-7.825</f>
        <v>-66.530500000000004</v>
      </c>
      <c r="X89" s="263">
        <f>354+56+42+49+60+15+53</f>
        <v>629</v>
      </c>
      <c r="Y89" s="227">
        <f t="shared" si="52"/>
        <v>-2.3760892857142859</v>
      </c>
      <c r="Z89" s="227">
        <f t="shared" si="53"/>
        <v>-2.176392857142857</v>
      </c>
      <c r="AA89" s="89">
        <f t="shared" si="54"/>
        <v>0.97472532076619667</v>
      </c>
      <c r="AB89" s="73">
        <f t="shared" si="55"/>
        <v>44.928571428571431</v>
      </c>
      <c r="AC89" s="203">
        <f>0+8.408+9.431+34.717+2.469+5.255+22.767+0.477+14.541+4.423+66.455+7.522+35.53+5.319</f>
        <v>217.31399999999996</v>
      </c>
      <c r="AD89" s="89">
        <f t="shared" si="56"/>
        <v>15.522428571428568</v>
      </c>
      <c r="AE89" s="89">
        <f t="shared" si="57"/>
        <v>3.9398513387472587</v>
      </c>
      <c r="AF89" s="9">
        <v>28</v>
      </c>
      <c r="AG89" s="9">
        <v>12</v>
      </c>
      <c r="AH89" s="20">
        <v>11</v>
      </c>
      <c r="AI89" s="54">
        <f t="shared" si="58"/>
        <v>51</v>
      </c>
      <c r="AK89" s="49">
        <v>88</v>
      </c>
      <c r="AL89" s="48">
        <f t="shared" si="59"/>
        <v>88</v>
      </c>
      <c r="AM89" s="36">
        <f t="shared" si="60"/>
        <v>0.38352213919581024</v>
      </c>
      <c r="AN89" s="34">
        <f t="shared" si="61"/>
        <v>0.22222222222222221</v>
      </c>
      <c r="AO89" s="34">
        <f t="shared" si="62"/>
        <v>0.33333333333333331</v>
      </c>
      <c r="AP89" s="34">
        <f t="shared" si="63"/>
        <v>0.31212938005390828</v>
      </c>
      <c r="AQ89" s="34">
        <f t="shared" si="64"/>
        <v>0.12154195011337887</v>
      </c>
      <c r="AR89" s="34">
        <f t="shared" si="65"/>
        <v>0.25366438797162555</v>
      </c>
      <c r="AS89" s="34">
        <f t="shared" si="66"/>
        <v>0.88752187409905536</v>
      </c>
      <c r="AT89" s="34">
        <f t="shared" si="67"/>
        <v>0.30816695833488483</v>
      </c>
      <c r="AU89" s="34">
        <f t="shared" si="68"/>
        <v>0.21773653533483692</v>
      </c>
      <c r="AV89" s="34">
        <f t="shared" si="69"/>
        <v>0.2926074921745937</v>
      </c>
      <c r="AW89" s="34">
        <f t="shared" si="70"/>
        <v>0.6</v>
      </c>
      <c r="AX89" s="48">
        <v>99</v>
      </c>
      <c r="AY89" s="218">
        <v>2</v>
      </c>
      <c r="AZ89" s="220">
        <v>3</v>
      </c>
      <c r="BB89" s="205">
        <v>-0.33333333333333331</v>
      </c>
      <c r="BC89" s="245">
        <f t="shared" si="71"/>
        <v>0</v>
      </c>
      <c r="BD89" s="35">
        <v>0.3834436861346453</v>
      </c>
      <c r="BE89">
        <v>4</v>
      </c>
      <c r="BF89" s="205">
        <v>3.9398513387472587</v>
      </c>
      <c r="BG89" s="34">
        <v>0.31212938005390828</v>
      </c>
      <c r="BH89" s="34">
        <v>0.12154195011337887</v>
      </c>
      <c r="BI89" s="34">
        <f>IF(A89&lt;17, SoC!O$3, IF(A89&lt;33, SoC!O$4, IF(A89&lt;49, SoC!O$5, IF(A89&lt;65, SoC!O$6, IF(A89&lt;81, SoC!O$7, IF(A89&lt;97, SoC!O$8, SoC!O$9))))))</f>
        <v>1.148154410748077</v>
      </c>
      <c r="BJ89" s="34"/>
      <c r="BK89" s="34"/>
      <c r="BL89" s="34"/>
      <c r="BM89" s="16" t="s">
        <v>70</v>
      </c>
      <c r="BN89">
        <v>88</v>
      </c>
      <c r="BO89">
        <v>86</v>
      </c>
      <c r="BP89">
        <v>97</v>
      </c>
      <c r="BQ89">
        <v>92</v>
      </c>
      <c r="BR89">
        <v>104</v>
      </c>
      <c r="BS89">
        <v>96</v>
      </c>
      <c r="BT89">
        <v>86</v>
      </c>
      <c r="BU89">
        <v>87</v>
      </c>
      <c r="BV89">
        <v>92</v>
      </c>
      <c r="BW89" s="154">
        <v>81</v>
      </c>
      <c r="BX89">
        <v>63</v>
      </c>
      <c r="BY89">
        <v>14</v>
      </c>
    </row>
    <row r="90" spans="1:77" x14ac:dyDescent="0.35">
      <c r="A90">
        <v>20</v>
      </c>
      <c r="B90" s="16" t="s">
        <v>144</v>
      </c>
      <c r="C90" s="16" t="s">
        <v>1086</v>
      </c>
      <c r="D90" s="16" t="s">
        <v>61</v>
      </c>
      <c r="F90" s="6">
        <v>4</v>
      </c>
      <c r="G90" s="6">
        <v>5</v>
      </c>
      <c r="I90" s="6">
        <v>1</v>
      </c>
      <c r="J90" s="6">
        <v>5</v>
      </c>
      <c r="L90" s="6">
        <v>1</v>
      </c>
      <c r="N90" s="6">
        <v>2</v>
      </c>
      <c r="P90">
        <f>153+16</f>
        <v>169</v>
      </c>
      <c r="Q90">
        <f>200+21</f>
        <v>221</v>
      </c>
      <c r="R90" s="73">
        <f t="shared" si="48"/>
        <v>14.083333333333334</v>
      </c>
      <c r="S90" s="73">
        <f t="shared" si="49"/>
        <v>18.416666666666668</v>
      </c>
      <c r="T90" s="73">
        <f t="shared" si="50"/>
        <v>-4.3333333333333339</v>
      </c>
      <c r="U90">
        <f>87+7</f>
        <v>94</v>
      </c>
      <c r="V90" s="54">
        <f t="shared" si="51"/>
        <v>1.7978723404255319</v>
      </c>
      <c r="W90" s="9">
        <f>1.25*(1.077+3.965-1.917-3.474-1.744+3.415-2.537-3.503+0.288)+1.663-4.303-2.118</f>
        <v>-10.295499999999999</v>
      </c>
      <c r="X90" s="263">
        <f>372+50+33</f>
        <v>455</v>
      </c>
      <c r="Y90" s="227">
        <f t="shared" si="52"/>
        <v>-0.42897916666666663</v>
      </c>
      <c r="Z90" s="227">
        <f t="shared" si="53"/>
        <v>-3.4753750000000005</v>
      </c>
      <c r="AA90" s="89">
        <f t="shared" si="54"/>
        <v>1.4140293708658314</v>
      </c>
      <c r="AB90" s="73">
        <f t="shared" si="55"/>
        <v>37.916666666666664</v>
      </c>
      <c r="AC90" s="203">
        <f>21.061+13.955+79.409+14.798+85.144+3.222+0+2.174+23.016+58.507+0+14.197</f>
        <v>315.483</v>
      </c>
      <c r="AD90" s="89">
        <f t="shared" si="56"/>
        <v>26.29025</v>
      </c>
      <c r="AE90" s="89">
        <f t="shared" si="57"/>
        <v>5.1274018761942193</v>
      </c>
      <c r="AF90" s="9">
        <v>14</v>
      </c>
      <c r="AG90" s="9">
        <v>0</v>
      </c>
      <c r="AI90" s="54">
        <f t="shared" si="58"/>
        <v>14</v>
      </c>
      <c r="AK90" s="49">
        <v>89</v>
      </c>
      <c r="AL90" s="48">
        <f t="shared" si="59"/>
        <v>90</v>
      </c>
      <c r="AM90" s="36">
        <f t="shared" si="60"/>
        <v>0.37826531427498972</v>
      </c>
      <c r="AN90" s="34">
        <f t="shared" si="61"/>
        <v>0.46666666666666667</v>
      </c>
      <c r="AO90" s="34">
        <f t="shared" si="62"/>
        <v>0.16666666666666666</v>
      </c>
      <c r="AP90" s="34">
        <f t="shared" si="63"/>
        <v>0.21823899371069183</v>
      </c>
      <c r="AQ90" s="34">
        <f t="shared" si="64"/>
        <v>0.42910052910052909</v>
      </c>
      <c r="AR90" s="34">
        <f t="shared" si="65"/>
        <v>0.21651242084754016</v>
      </c>
      <c r="AS90" s="34">
        <f t="shared" si="66"/>
        <v>0.70475469720436168</v>
      </c>
      <c r="AT90" s="34">
        <f t="shared" si="67"/>
        <v>0.19982574375395618</v>
      </c>
      <c r="AU90" s="34">
        <f t="shared" si="68"/>
        <v>0.27549307179768784</v>
      </c>
      <c r="AV90" s="34">
        <f t="shared" si="69"/>
        <v>0.45363567825814266</v>
      </c>
      <c r="AW90" s="34">
        <f t="shared" si="70"/>
        <v>0.16470588235294117</v>
      </c>
      <c r="AX90" s="48">
        <v>20</v>
      </c>
      <c r="AY90" s="218">
        <v>1</v>
      </c>
      <c r="AZ90" s="220">
        <v>1</v>
      </c>
      <c r="BB90" s="205">
        <v>0.33333333333333331</v>
      </c>
      <c r="BC90" s="245">
        <f t="shared" si="71"/>
        <v>-1</v>
      </c>
      <c r="BD90" s="35">
        <v>0.37816317873136568</v>
      </c>
      <c r="BE90">
        <v>1</v>
      </c>
      <c r="BF90" s="205">
        <v>5.1274018761942193</v>
      </c>
      <c r="BG90" s="34">
        <v>0.21823899371069183</v>
      </c>
      <c r="BH90" s="34">
        <v>0.42910052910052909</v>
      </c>
      <c r="BI90" s="34">
        <f>IF(A90&lt;17, SoC!O$3, IF(A90&lt;33, SoC!O$4, IF(A90&lt;49, SoC!O$5, IF(A90&lt;65, SoC!O$6, IF(A90&lt;81, SoC!O$7, IF(A90&lt;97, SoC!O$8, SoC!O$9))))))</f>
        <v>1.148154410748077</v>
      </c>
      <c r="BJ90" s="34"/>
      <c r="BK90" s="34"/>
      <c r="BL90" s="34"/>
      <c r="BM90" s="16" t="s">
        <v>61</v>
      </c>
      <c r="BN90">
        <v>89</v>
      </c>
      <c r="BO90">
        <v>90</v>
      </c>
      <c r="BP90">
        <v>90</v>
      </c>
      <c r="BQ90">
        <v>94</v>
      </c>
      <c r="BR90">
        <v>81</v>
      </c>
      <c r="BS90">
        <v>89</v>
      </c>
      <c r="BT90">
        <v>89</v>
      </c>
      <c r="BU90">
        <v>77</v>
      </c>
      <c r="BV90">
        <v>58</v>
      </c>
      <c r="BW90" s="154">
        <v>77</v>
      </c>
      <c r="BX90">
        <v>54</v>
      </c>
      <c r="BY90">
        <v>93</v>
      </c>
    </row>
    <row r="91" spans="1:77" x14ac:dyDescent="0.35">
      <c r="A91">
        <v>47</v>
      </c>
      <c r="B91" s="17" t="s">
        <v>171</v>
      </c>
      <c r="C91" s="17" t="s">
        <v>1097</v>
      </c>
      <c r="D91" s="17" t="s">
        <v>55</v>
      </c>
      <c r="F91" s="6">
        <v>1</v>
      </c>
      <c r="G91" s="6">
        <v>8</v>
      </c>
      <c r="I91" s="6">
        <v>1</v>
      </c>
      <c r="J91" s="6">
        <v>5</v>
      </c>
      <c r="L91" s="6">
        <v>1</v>
      </c>
      <c r="M91" s="6">
        <v>1</v>
      </c>
      <c r="N91" s="6">
        <v>2</v>
      </c>
      <c r="P91">
        <f>162+20</f>
        <v>182</v>
      </c>
      <c r="Q91">
        <f>201+22</f>
        <v>223</v>
      </c>
      <c r="R91" s="73">
        <f t="shared" si="48"/>
        <v>14</v>
      </c>
      <c r="S91" s="73">
        <f t="shared" si="49"/>
        <v>17.153846153846153</v>
      </c>
      <c r="T91" s="73">
        <f t="shared" si="50"/>
        <v>-3.1538461538461533</v>
      </c>
      <c r="U91">
        <f>91+10</f>
        <v>101</v>
      </c>
      <c r="V91" s="54">
        <f t="shared" si="51"/>
        <v>1.801980198019802</v>
      </c>
      <c r="W91" s="9">
        <f>1.25*(-1.005-3.105+3.08-5.423-0.136-5.592-1.592-10.183-0.365-3.731)-9.525+1.237-1.666</f>
        <v>-45.018999999999991</v>
      </c>
      <c r="X91" s="263">
        <f>436+10+19</f>
        <v>465</v>
      </c>
      <c r="Y91" s="227">
        <f t="shared" si="52"/>
        <v>-1.7314999999999996</v>
      </c>
      <c r="Z91" s="227">
        <f t="shared" si="53"/>
        <v>0.30915384615384589</v>
      </c>
      <c r="AA91" s="89">
        <f t="shared" si="54"/>
        <v>1.4521475434275846</v>
      </c>
      <c r="AB91" s="73">
        <f t="shared" si="55"/>
        <v>35.769230769230766</v>
      </c>
      <c r="AC91" s="203">
        <f>13.96+20.828+11.913+4.755+(102.4-1.2)+4.788+31.302+11.464+18.886+8.294+9.205+25.865+20.753</f>
        <v>283.21300000000002</v>
      </c>
      <c r="AD91" s="89">
        <f t="shared" si="56"/>
        <v>21.785615384615387</v>
      </c>
      <c r="AE91" s="89">
        <f t="shared" si="57"/>
        <v>4.6675063347161494</v>
      </c>
      <c r="AF91" s="9">
        <v>21</v>
      </c>
      <c r="AG91" s="9">
        <v>6</v>
      </c>
      <c r="AI91" s="54">
        <f t="shared" si="58"/>
        <v>27</v>
      </c>
      <c r="AK91" s="49">
        <v>90</v>
      </c>
      <c r="AL91" s="48">
        <f t="shared" si="59"/>
        <v>89</v>
      </c>
      <c r="AM91" s="36">
        <f t="shared" si="60"/>
        <v>0.37901309000293398</v>
      </c>
      <c r="AN91" s="34">
        <f t="shared" si="61"/>
        <v>0.15555555555555556</v>
      </c>
      <c r="AO91" s="34">
        <f t="shared" si="62"/>
        <v>0.20833333333333334</v>
      </c>
      <c r="AP91" s="34">
        <f t="shared" si="63"/>
        <v>0.21132075471698111</v>
      </c>
      <c r="AQ91" s="34">
        <f t="shared" si="64"/>
        <v>0.53333333333333344</v>
      </c>
      <c r="AR91" s="34">
        <f t="shared" si="65"/>
        <v>0.22049355446991367</v>
      </c>
      <c r="AS91" s="34">
        <f t="shared" si="66"/>
        <v>0.82701694278875493</v>
      </c>
      <c r="AT91" s="34">
        <f t="shared" si="67"/>
        <v>0.51547323287726166</v>
      </c>
      <c r="AU91" s="34">
        <f t="shared" si="68"/>
        <v>0.28024000262874127</v>
      </c>
      <c r="AV91" s="34">
        <f t="shared" si="69"/>
        <v>0.39127526285103609</v>
      </c>
      <c r="AW91" s="34">
        <f t="shared" si="70"/>
        <v>0.31764705882352939</v>
      </c>
      <c r="AX91" s="48">
        <v>52</v>
      </c>
      <c r="AY91" s="218">
        <v>1</v>
      </c>
      <c r="AZ91" s="220">
        <v>1</v>
      </c>
      <c r="BB91" s="205">
        <v>0.33333333333333331</v>
      </c>
      <c r="BC91" s="245">
        <f t="shared" si="71"/>
        <v>1</v>
      </c>
      <c r="BD91" s="35">
        <v>0.37779982369356402</v>
      </c>
      <c r="BE91">
        <v>2</v>
      </c>
      <c r="BF91" s="205">
        <v>4.6675063347161494</v>
      </c>
      <c r="BG91" s="34">
        <v>0.21132075471698111</v>
      </c>
      <c r="BH91" s="34">
        <v>0.53333333333333344</v>
      </c>
      <c r="BI91" s="34">
        <f>IF(A91&lt;17, SoC!O$3, IF(A91&lt;33, SoC!O$4, IF(A91&lt;49, SoC!O$5, IF(A91&lt;65, SoC!O$6, IF(A91&lt;81, SoC!O$7, IF(A91&lt;97, SoC!O$8, SoC!O$9))))))</f>
        <v>1.0509770295874163</v>
      </c>
      <c r="BJ91" s="34"/>
      <c r="BK91" s="34"/>
      <c r="BL91" s="34"/>
      <c r="BM91" s="17" t="s">
        <v>55</v>
      </c>
      <c r="BN91">
        <v>90</v>
      </c>
      <c r="BO91">
        <v>89</v>
      </c>
      <c r="BP91">
        <v>91</v>
      </c>
      <c r="BQ91">
        <v>93</v>
      </c>
      <c r="BR91">
        <v>98</v>
      </c>
      <c r="BS91">
        <v>92</v>
      </c>
      <c r="BT91">
        <v>96</v>
      </c>
      <c r="BU91">
        <v>103</v>
      </c>
      <c r="BV91">
        <v>95</v>
      </c>
      <c r="BW91" s="154">
        <v>85</v>
      </c>
      <c r="BX91">
        <v>76</v>
      </c>
      <c r="BY91">
        <v>61</v>
      </c>
    </row>
    <row r="92" spans="1:77" ht="13.75" customHeight="1" x14ac:dyDescent="0.35">
      <c r="A92">
        <v>53</v>
      </c>
      <c r="B92" s="19" t="s">
        <v>172</v>
      </c>
      <c r="C92" s="19" t="s">
        <v>3201</v>
      </c>
      <c r="D92" s="19" t="s">
        <v>38</v>
      </c>
      <c r="F92" s="6">
        <v>3</v>
      </c>
      <c r="G92" s="6">
        <v>6</v>
      </c>
      <c r="I92" s="6">
        <v>2</v>
      </c>
      <c r="J92" s="6">
        <v>4</v>
      </c>
      <c r="M92" s="6">
        <v>1</v>
      </c>
      <c r="N92" s="6">
        <v>2</v>
      </c>
      <c r="P92">
        <f>123+15</f>
        <v>138</v>
      </c>
      <c r="Q92">
        <f>184+30</f>
        <v>214</v>
      </c>
      <c r="R92" s="73">
        <f t="shared" si="48"/>
        <v>11.5</v>
      </c>
      <c r="S92" s="73">
        <f t="shared" si="49"/>
        <v>17.833333333333332</v>
      </c>
      <c r="T92" s="73">
        <f t="shared" si="50"/>
        <v>-6.3333333333333321</v>
      </c>
      <c r="U92">
        <f>69+8</f>
        <v>77</v>
      </c>
      <c r="V92" s="54">
        <f t="shared" si="51"/>
        <v>1.7922077922077921</v>
      </c>
      <c r="W92" s="9">
        <f>1.25*(-6.02-2.823-3.08-2.818+0.403-4.641-2.238-9.688-6.213)-3.501-0.712-4.491</f>
        <v>-55.101500000000001</v>
      </c>
      <c r="X92" s="263">
        <f>287+12+28</f>
        <v>327</v>
      </c>
      <c r="Y92" s="227">
        <f t="shared" si="52"/>
        <v>-2.2958958333333332</v>
      </c>
      <c r="Z92" s="227">
        <f t="shared" si="53"/>
        <v>-1.7415416666666657</v>
      </c>
      <c r="AA92" s="89">
        <f t="shared" si="54"/>
        <v>0.72031751883166606</v>
      </c>
      <c r="AB92" s="73">
        <f t="shared" si="55"/>
        <v>27.25</v>
      </c>
      <c r="AC92" s="203">
        <f>1.471+8.129+17.897+5.673+0+42.369+35.12+0+33.533+0+46.916+7.623</f>
        <v>198.73099999999999</v>
      </c>
      <c r="AD92" s="89">
        <f t="shared" si="56"/>
        <v>16.560916666666667</v>
      </c>
      <c r="AE92" s="89">
        <f t="shared" si="57"/>
        <v>4.0695106175886391</v>
      </c>
      <c r="AF92" s="9">
        <v>7</v>
      </c>
      <c r="AG92" s="9">
        <v>6</v>
      </c>
      <c r="AI92" s="54">
        <f t="shared" si="58"/>
        <v>13</v>
      </c>
      <c r="AK92" s="49">
        <v>91</v>
      </c>
      <c r="AL92" s="48">
        <f t="shared" si="59"/>
        <v>91</v>
      </c>
      <c r="AM92" s="36">
        <f t="shared" si="60"/>
        <v>0.37430279131991279</v>
      </c>
      <c r="AN92" s="34">
        <f t="shared" si="61"/>
        <v>0.35555555555555557</v>
      </c>
      <c r="AO92" s="34">
        <f t="shared" si="62"/>
        <v>0.375</v>
      </c>
      <c r="AP92" s="34">
        <f t="shared" si="63"/>
        <v>3.7735849056603375E-3</v>
      </c>
      <c r="AQ92" s="34">
        <f t="shared" si="64"/>
        <v>0.47724867724867737</v>
      </c>
      <c r="AR92" s="34">
        <f t="shared" si="65"/>
        <v>0.21102261920576576</v>
      </c>
      <c r="AS92" s="34">
        <f t="shared" si="66"/>
        <v>0.87999444626961409</v>
      </c>
      <c r="AT92" s="34">
        <f t="shared" si="67"/>
        <v>0.3444355909694557</v>
      </c>
      <c r="AU92" s="34">
        <f t="shared" si="68"/>
        <v>0.18068935006735137</v>
      </c>
      <c r="AV92" s="34">
        <f t="shared" si="69"/>
        <v>0.31018889003713401</v>
      </c>
      <c r="AW92" s="34">
        <f t="shared" si="70"/>
        <v>0.15294117647058825</v>
      </c>
      <c r="AX92" s="48">
        <v>2</v>
      </c>
      <c r="AY92" s="218">
        <v>1</v>
      </c>
      <c r="AZ92" s="220">
        <v>1</v>
      </c>
      <c r="BB92" s="205">
        <v>-0.33333333333333331</v>
      </c>
      <c r="BC92" s="245">
        <f t="shared" si="71"/>
        <v>0</v>
      </c>
      <c r="BD92" s="35">
        <v>0.3736229966801316</v>
      </c>
      <c r="BE92">
        <v>1</v>
      </c>
      <c r="BF92" s="205">
        <v>4.0695106175886391</v>
      </c>
      <c r="BG92" s="34">
        <v>3.7735849056603375E-3</v>
      </c>
      <c r="BH92" s="34">
        <v>0.47724867724867737</v>
      </c>
      <c r="BI92" s="34">
        <f>IF(A92&lt;17, SoC!O$3, IF(A92&lt;33, SoC!O$4, IF(A92&lt;49, SoC!O$5, IF(A92&lt;65, SoC!O$6, IF(A92&lt;81, SoC!O$7, IF(A92&lt;97, SoC!O$8, SoC!O$9))))))</f>
        <v>1.1793104273940098</v>
      </c>
      <c r="BJ92" s="34"/>
      <c r="BK92" s="34"/>
      <c r="BL92" s="34"/>
      <c r="BM92" s="19" t="s">
        <v>38</v>
      </c>
      <c r="BN92">
        <v>91</v>
      </c>
      <c r="BO92">
        <v>91</v>
      </c>
      <c r="BP92">
        <v>88</v>
      </c>
      <c r="BQ92">
        <v>96</v>
      </c>
      <c r="BR92">
        <v>108</v>
      </c>
      <c r="BS92">
        <v>106</v>
      </c>
      <c r="BT92">
        <v>97</v>
      </c>
      <c r="BU92">
        <v>104</v>
      </c>
      <c r="BV92">
        <v>93</v>
      </c>
      <c r="BW92" s="154">
        <v>112</v>
      </c>
      <c r="BX92">
        <v>112</v>
      </c>
      <c r="BY92">
        <v>111</v>
      </c>
    </row>
    <row r="93" spans="1:77" x14ac:dyDescent="0.35">
      <c r="A93">
        <v>15</v>
      </c>
      <c r="B93" s="15" t="s">
        <v>143</v>
      </c>
      <c r="C93" s="15" t="s">
        <v>1082</v>
      </c>
      <c r="D93" s="15" t="s">
        <v>81</v>
      </c>
      <c r="F93" s="6">
        <v>3</v>
      </c>
      <c r="G93" s="6">
        <v>6</v>
      </c>
      <c r="I93" s="6">
        <v>2</v>
      </c>
      <c r="J93" s="6">
        <v>4</v>
      </c>
      <c r="N93" s="6">
        <v>2</v>
      </c>
      <c r="P93">
        <f>133+11</f>
        <v>144</v>
      </c>
      <c r="Q93">
        <f>191+28</f>
        <v>219</v>
      </c>
      <c r="R93" s="73">
        <f t="shared" si="48"/>
        <v>13.090909090909092</v>
      </c>
      <c r="S93" s="73">
        <f t="shared" si="49"/>
        <v>19.90909090909091</v>
      </c>
      <c r="T93" s="73">
        <f t="shared" si="50"/>
        <v>-6.8181818181818183</v>
      </c>
      <c r="U93">
        <f>78+7</f>
        <v>85</v>
      </c>
      <c r="V93" s="54">
        <f t="shared" si="51"/>
        <v>1.6941176470588235</v>
      </c>
      <c r="W93" s="9">
        <f>1.25*(1.281+0.803+1.917-4.828-3.749-1.388-5.914-10.39)-11.144-7.723-6.885</f>
        <v>-53.586999999999996</v>
      </c>
      <c r="X93" s="263">
        <f>483+56+48</f>
        <v>587</v>
      </c>
      <c r="Y93" s="227">
        <f t="shared" si="52"/>
        <v>-2.435772727272727</v>
      </c>
      <c r="Z93" s="227">
        <f t="shared" si="53"/>
        <v>-1.9466363636363644</v>
      </c>
      <c r="AA93" s="89">
        <f t="shared" si="54"/>
        <v>1.1327170156147812</v>
      </c>
      <c r="AB93" s="73">
        <f t="shared" si="55"/>
        <v>53.363636363636367</v>
      </c>
      <c r="AC93" s="203">
        <f>17.114+57.25+1.005+42.744+2.771+16.974+0+2.466+49.844+23.812+7.363</f>
        <v>221.34300000000002</v>
      </c>
      <c r="AD93" s="89">
        <f t="shared" si="56"/>
        <v>20.122090909090911</v>
      </c>
      <c r="AE93" s="89">
        <f t="shared" si="57"/>
        <v>4.4857653649172189</v>
      </c>
      <c r="AF93" s="9">
        <v>14</v>
      </c>
      <c r="AG93" s="9">
        <v>0</v>
      </c>
      <c r="AI93" s="54">
        <f t="shared" si="58"/>
        <v>14</v>
      </c>
      <c r="AK93" s="49">
        <v>92</v>
      </c>
      <c r="AL93" s="48">
        <f t="shared" si="59"/>
        <v>92</v>
      </c>
      <c r="AM93" s="36">
        <f t="shared" si="60"/>
        <v>0.36879675680078816</v>
      </c>
      <c r="AN93" s="34">
        <f t="shared" si="61"/>
        <v>0.33333333333333331</v>
      </c>
      <c r="AO93" s="34">
        <f t="shared" si="62"/>
        <v>0.33333333333333331</v>
      </c>
      <c r="AP93" s="34">
        <f t="shared" si="63"/>
        <v>0.13584905660377361</v>
      </c>
      <c r="AQ93" s="34">
        <f t="shared" si="64"/>
        <v>0.30591630591630592</v>
      </c>
      <c r="AR93" s="34">
        <f t="shared" si="65"/>
        <v>0.11595847301414472</v>
      </c>
      <c r="AS93" s="34">
        <f t="shared" si="66"/>
        <v>0.89312411200757758</v>
      </c>
      <c r="AT93" s="34">
        <f t="shared" si="67"/>
        <v>0.32732972951016664</v>
      </c>
      <c r="AU93" s="34">
        <f t="shared" si="68"/>
        <v>0.23924175911196527</v>
      </c>
      <c r="AV93" s="34">
        <f t="shared" si="69"/>
        <v>0.36663174850704638</v>
      </c>
      <c r="AW93" s="34">
        <f t="shared" si="70"/>
        <v>0.16470588235294117</v>
      </c>
      <c r="AX93" s="48">
        <v>41</v>
      </c>
      <c r="AY93" s="218">
        <v>1</v>
      </c>
      <c r="AZ93" s="220">
        <v>1</v>
      </c>
      <c r="BB93" s="205">
        <v>-0.66666666666666663</v>
      </c>
      <c r="BC93" s="245">
        <f t="shared" si="71"/>
        <v>0</v>
      </c>
      <c r="BD93" s="35">
        <v>0.36879675680078816</v>
      </c>
      <c r="BE93">
        <v>2</v>
      </c>
      <c r="BF93" s="205">
        <v>4.4857653649172189</v>
      </c>
      <c r="BG93" s="34">
        <v>0.13584905660377361</v>
      </c>
      <c r="BH93" s="34">
        <v>0.30591630591630592</v>
      </c>
      <c r="BI93" s="34">
        <f>IF(A93&lt;17, SoC!O$3, IF(A93&lt;33, SoC!O$4, IF(A93&lt;49, SoC!O$5, IF(A93&lt;65, SoC!O$6, IF(A93&lt;81, SoC!O$7, IF(A93&lt;97, SoC!O$8, SoC!O$9))))))</f>
        <v>1.0968295917365127</v>
      </c>
      <c r="BJ93" s="34"/>
      <c r="BK93" s="34"/>
      <c r="BL93" s="34"/>
      <c r="BM93" s="15" t="s">
        <v>81</v>
      </c>
      <c r="BN93">
        <v>92</v>
      </c>
      <c r="BO93">
        <v>95</v>
      </c>
      <c r="BP93">
        <v>89</v>
      </c>
      <c r="BQ93">
        <v>91</v>
      </c>
      <c r="BR93">
        <v>89</v>
      </c>
      <c r="BS93">
        <v>102</v>
      </c>
      <c r="BT93">
        <v>81</v>
      </c>
      <c r="BU93">
        <v>61</v>
      </c>
      <c r="BV93">
        <v>82</v>
      </c>
      <c r="BW93" s="154">
        <v>61</v>
      </c>
      <c r="BX93">
        <v>81</v>
      </c>
      <c r="BY93">
        <v>72</v>
      </c>
    </row>
    <row r="94" spans="1:77" x14ac:dyDescent="0.35">
      <c r="A94">
        <v>101</v>
      </c>
      <c r="B94" s="69" t="s">
        <v>1296</v>
      </c>
      <c r="C94" s="69" t="s">
        <v>1108</v>
      </c>
      <c r="D94" s="69" t="s">
        <v>3913</v>
      </c>
      <c r="F94" s="6">
        <v>1</v>
      </c>
      <c r="G94" s="6">
        <v>8</v>
      </c>
      <c r="I94" s="6">
        <v>1</v>
      </c>
      <c r="J94" s="6">
        <v>4</v>
      </c>
      <c r="M94" s="6">
        <v>1</v>
      </c>
      <c r="N94" s="6">
        <v>5</v>
      </c>
      <c r="P94">
        <f>192+20</f>
        <v>212</v>
      </c>
      <c r="Q94">
        <f>281+27</f>
        <v>308</v>
      </c>
      <c r="R94" s="73">
        <f t="shared" si="48"/>
        <v>14.133333333333333</v>
      </c>
      <c r="S94" s="73">
        <f t="shared" si="49"/>
        <v>20.533333333333335</v>
      </c>
      <c r="T94" s="73">
        <f t="shared" si="50"/>
        <v>-6.4000000000000021</v>
      </c>
      <c r="U94">
        <f>109+10</f>
        <v>119</v>
      </c>
      <c r="V94" s="54">
        <f t="shared" si="51"/>
        <v>1.7815126050420169</v>
      </c>
      <c r="W94" s="9">
        <f>1.25*(0.57-3.42-3.97-0.562-4.066-3.571+0.426)-2.876-10.971+2.583-4.439-11.022-5.804-10.969-10.968</f>
        <v>-72.707250000000002</v>
      </c>
      <c r="X94" s="263">
        <f>491+47+64+25+59+62</f>
        <v>748</v>
      </c>
      <c r="Y94" s="227">
        <f t="shared" si="52"/>
        <v>-2.423575</v>
      </c>
      <c r="Z94" s="227">
        <f t="shared" si="53"/>
        <v>-1.5528500000000021</v>
      </c>
      <c r="AA94" s="89">
        <f t="shared" si="54"/>
        <v>0.90641517860360832</v>
      </c>
      <c r="AB94" s="73">
        <f t="shared" si="55"/>
        <v>49.866666666666667</v>
      </c>
      <c r="AC94" s="203">
        <f>9.738+4.365+5.804+77.703+11.697+37.298+4.488+7.726+8.911+34.946+10.878+6.342+5.874+12.085+29.947</f>
        <v>267.80200000000002</v>
      </c>
      <c r="AD94" s="89">
        <f t="shared" si="56"/>
        <v>17.853466666666669</v>
      </c>
      <c r="AE94" s="89">
        <f t="shared" si="57"/>
        <v>4.2253362785305821</v>
      </c>
      <c r="AF94" s="9">
        <v>28</v>
      </c>
      <c r="AG94" s="9">
        <v>18</v>
      </c>
      <c r="AH94" s="20">
        <v>11</v>
      </c>
      <c r="AI94" s="54">
        <f t="shared" si="58"/>
        <v>57</v>
      </c>
      <c r="AK94" s="49">
        <v>93</v>
      </c>
      <c r="AL94" s="48">
        <f t="shared" si="59"/>
        <v>93</v>
      </c>
      <c r="AM94" s="36">
        <f t="shared" si="60"/>
        <v>0.36457009206709201</v>
      </c>
      <c r="AN94" s="34">
        <f t="shared" si="61"/>
        <v>0.13333333333333333</v>
      </c>
      <c r="AO94" s="34">
        <f t="shared" si="62"/>
        <v>0.25</v>
      </c>
      <c r="AP94" s="34">
        <f t="shared" si="63"/>
        <v>0.22238993710691818</v>
      </c>
      <c r="AQ94" s="34">
        <f t="shared" si="64"/>
        <v>0.25439153439153439</v>
      </c>
      <c r="AR94" s="34">
        <f t="shared" si="65"/>
        <v>0.20065736962100975</v>
      </c>
      <c r="AS94" s="34">
        <f t="shared" si="66"/>
        <v>0.89197916177781955</v>
      </c>
      <c r="AT94" s="34">
        <f t="shared" si="67"/>
        <v>0.36017336262426919</v>
      </c>
      <c r="AU94" s="34">
        <f t="shared" si="68"/>
        <v>0.20811839838280061</v>
      </c>
      <c r="AV94" s="34">
        <f t="shared" si="69"/>
        <v>0.33131836851869456</v>
      </c>
      <c r="AW94" s="34">
        <f t="shared" si="70"/>
        <v>0.6705882352941176</v>
      </c>
      <c r="AX94" s="48">
        <v>92</v>
      </c>
      <c r="AY94" s="218">
        <v>3</v>
      </c>
      <c r="AZ94" s="220">
        <v>3</v>
      </c>
      <c r="BB94" s="205">
        <v>-2</v>
      </c>
      <c r="BC94" s="245">
        <f t="shared" si="71"/>
        <v>0</v>
      </c>
      <c r="BD94" s="35">
        <v>0.36490833485625662</v>
      </c>
      <c r="BE94">
        <v>4</v>
      </c>
      <c r="BF94" s="205">
        <v>4.2253362785305821</v>
      </c>
      <c r="BG94" s="34">
        <v>0.22238993710691818</v>
      </c>
      <c r="BH94" s="34">
        <v>0.25439153439153439</v>
      </c>
      <c r="BI94" s="34">
        <f>IF(A94&lt;17, SoC!O$3, IF(A94&lt;33, SoC!O$4, IF(A94&lt;49, SoC!O$5, IF(A94&lt;65, SoC!O$6, IF(A94&lt;81, SoC!O$7, IF(A94&lt;97, SoC!O$8, SoC!O$9))))))</f>
        <v>0.84292189346881985</v>
      </c>
      <c r="BJ94" s="34"/>
      <c r="BK94" s="34"/>
      <c r="BL94" s="34"/>
      <c r="BM94" s="69" t="s">
        <v>3913</v>
      </c>
      <c r="BN94">
        <v>93</v>
      </c>
      <c r="BO94">
        <v>93</v>
      </c>
      <c r="BP94">
        <v>92</v>
      </c>
      <c r="BQ94">
        <v>84</v>
      </c>
      <c r="BR94">
        <v>88</v>
      </c>
      <c r="BS94">
        <v>74</v>
      </c>
      <c r="BT94">
        <v>73</v>
      </c>
      <c r="BU94">
        <v>65</v>
      </c>
      <c r="BV94">
        <v>100</v>
      </c>
      <c r="BW94" s="154">
        <v>92</v>
      </c>
      <c r="BX94">
        <v>64</v>
      </c>
      <c r="BY94">
        <v>21</v>
      </c>
    </row>
    <row r="95" spans="1:77" x14ac:dyDescent="0.35">
      <c r="A95">
        <v>27</v>
      </c>
      <c r="B95" s="16" t="s">
        <v>144</v>
      </c>
      <c r="C95" s="16" t="s">
        <v>1366</v>
      </c>
      <c r="D95" s="16" t="s">
        <v>65</v>
      </c>
      <c r="F95" s="6">
        <v>2</v>
      </c>
      <c r="G95" s="6">
        <v>7</v>
      </c>
      <c r="I95" s="6">
        <v>2</v>
      </c>
      <c r="J95" s="6">
        <v>4</v>
      </c>
      <c r="L95" s="6">
        <v>1</v>
      </c>
      <c r="N95" s="6">
        <v>2</v>
      </c>
      <c r="P95">
        <f>160+18</f>
        <v>178</v>
      </c>
      <c r="Q95">
        <f>217+26</f>
        <v>243</v>
      </c>
      <c r="R95" s="73">
        <f t="shared" si="48"/>
        <v>14.833333333333334</v>
      </c>
      <c r="S95" s="73">
        <f t="shared" si="49"/>
        <v>20.25</v>
      </c>
      <c r="T95" s="73">
        <f t="shared" si="50"/>
        <v>-5.4166666666666661</v>
      </c>
      <c r="U95">
        <f>90+10</f>
        <v>100</v>
      </c>
      <c r="V95" s="54">
        <f t="shared" si="51"/>
        <v>1.78</v>
      </c>
      <c r="W95" s="9">
        <f>1.25*(2.006-4.406-0.947-2.592-1.343-6.981-4.657+0.765-6.216)-3.022-7.606-8.626</f>
        <v>-49.717750000000002</v>
      </c>
      <c r="X95" s="263">
        <f>211+48+53</f>
        <v>312</v>
      </c>
      <c r="Y95" s="227">
        <f t="shared" si="52"/>
        <v>-2.0715729166666668</v>
      </c>
      <c r="Z95" s="227">
        <f t="shared" si="53"/>
        <v>-1.2735208333333325</v>
      </c>
      <c r="AA95" s="89">
        <f t="shared" si="54"/>
        <v>0.8136100209292193</v>
      </c>
      <c r="AB95" s="73">
        <f t="shared" si="55"/>
        <v>26</v>
      </c>
      <c r="AC95" s="203">
        <f>3.319+20.757+0+4.23+53.869+19.929+48.809+27.696+0.053+0.774+39.863+14.975</f>
        <v>234.274</v>
      </c>
      <c r="AD95" s="89">
        <f t="shared" si="56"/>
        <v>19.522833333333335</v>
      </c>
      <c r="AE95" s="89">
        <f t="shared" si="57"/>
        <v>4.4184650426741339</v>
      </c>
      <c r="AF95" s="9">
        <v>14</v>
      </c>
      <c r="AG95" s="9">
        <v>0</v>
      </c>
      <c r="AI95" s="54">
        <f t="shared" si="58"/>
        <v>14</v>
      </c>
      <c r="AK95" s="49">
        <v>94</v>
      </c>
      <c r="AL95" s="48">
        <f t="shared" si="59"/>
        <v>94</v>
      </c>
      <c r="AM95" s="36">
        <f t="shared" si="60"/>
        <v>0.36200985165534605</v>
      </c>
      <c r="AN95" s="34">
        <f t="shared" si="61"/>
        <v>0.24444444444444446</v>
      </c>
      <c r="AO95" s="34">
        <f t="shared" si="62"/>
        <v>0.33333333333333331</v>
      </c>
      <c r="AP95" s="34">
        <f t="shared" si="63"/>
        <v>0.28050314465408804</v>
      </c>
      <c r="AQ95" s="34">
        <f t="shared" si="64"/>
        <v>0.2777777777777779</v>
      </c>
      <c r="AR95" s="34">
        <f t="shared" si="65"/>
        <v>0.19919142717973698</v>
      </c>
      <c r="AS95" s="34">
        <f t="shared" si="66"/>
        <v>0.85893818150529566</v>
      </c>
      <c r="AT95" s="34">
        <f t="shared" si="67"/>
        <v>0.38347072768117574</v>
      </c>
      <c r="AU95" s="34">
        <f t="shared" si="68"/>
        <v>0.19468578815893756</v>
      </c>
      <c r="AV95" s="34">
        <f t="shared" si="69"/>
        <v>0.35750603261377534</v>
      </c>
      <c r="AW95" s="34">
        <f t="shared" si="70"/>
        <v>0.16470588235294117</v>
      </c>
      <c r="AX95" s="48">
        <v>24</v>
      </c>
      <c r="AY95" s="218">
        <v>1</v>
      </c>
      <c r="AZ95" s="220">
        <v>1</v>
      </c>
      <c r="BB95" s="205">
        <v>1.3333333333333333</v>
      </c>
      <c r="BC95" s="245">
        <f t="shared" si="71"/>
        <v>0</v>
      </c>
      <c r="BD95" s="35">
        <v>0.36194062449337261</v>
      </c>
      <c r="BE95">
        <v>1</v>
      </c>
      <c r="BF95" s="205">
        <v>4.4184650426741339</v>
      </c>
      <c r="BG95" s="34">
        <v>0.28050314465408804</v>
      </c>
      <c r="BH95" s="34">
        <v>0.2777777777777779</v>
      </c>
      <c r="BI95" s="34">
        <f>IF(A95&lt;17, SoC!O$3, IF(A95&lt;33, SoC!O$4, IF(A95&lt;49, SoC!O$5, IF(A95&lt;65, SoC!O$6, IF(A95&lt;81, SoC!O$7, IF(A95&lt;97, SoC!O$8, SoC!O$9))))))</f>
        <v>1.148154410748077</v>
      </c>
      <c r="BJ95" s="34"/>
      <c r="BK95" s="34"/>
      <c r="BL95" s="34"/>
      <c r="BM95" s="16" t="s">
        <v>65</v>
      </c>
      <c r="BN95">
        <v>94</v>
      </c>
      <c r="BO95">
        <v>96</v>
      </c>
      <c r="BP95">
        <v>93</v>
      </c>
      <c r="BQ95">
        <v>98</v>
      </c>
      <c r="BR95">
        <v>109</v>
      </c>
      <c r="BS95">
        <v>108</v>
      </c>
      <c r="BT95">
        <v>95</v>
      </c>
      <c r="BU95">
        <v>111</v>
      </c>
      <c r="BV95">
        <v>112</v>
      </c>
      <c r="BW95" s="154">
        <v>104</v>
      </c>
      <c r="BX95">
        <v>106</v>
      </c>
      <c r="BY95">
        <v>89</v>
      </c>
    </row>
    <row r="96" spans="1:77" x14ac:dyDescent="0.35">
      <c r="A96">
        <v>16</v>
      </c>
      <c r="B96" s="15" t="s">
        <v>143</v>
      </c>
      <c r="C96" s="15" t="s">
        <v>1082</v>
      </c>
      <c r="D96" s="15" t="s">
        <v>88</v>
      </c>
      <c r="F96" s="6">
        <v>0</v>
      </c>
      <c r="G96" s="6">
        <v>9</v>
      </c>
      <c r="I96" s="6">
        <v>0</v>
      </c>
      <c r="J96" s="6">
        <v>6</v>
      </c>
      <c r="L96" s="6">
        <v>2</v>
      </c>
      <c r="M96" s="6">
        <v>1</v>
      </c>
      <c r="N96" s="6">
        <v>2</v>
      </c>
      <c r="P96">
        <f>185+14</f>
        <v>199</v>
      </c>
      <c r="Q96">
        <f>248+25</f>
        <v>273</v>
      </c>
      <c r="R96" s="73">
        <f t="shared" si="48"/>
        <v>14.214285714285714</v>
      </c>
      <c r="S96" s="73">
        <f t="shared" si="49"/>
        <v>19.5</v>
      </c>
      <c r="T96" s="73">
        <f t="shared" si="50"/>
        <v>-5.2857142857142865</v>
      </c>
      <c r="U96">
        <f>99+8</f>
        <v>107</v>
      </c>
      <c r="V96" s="54">
        <f t="shared" si="51"/>
        <v>1.8598130841121496</v>
      </c>
      <c r="W96" s="9">
        <f>1.25*(0.414-2.68-1.703-3.737-1.981-3.672-2.147)-3.646-4.187-4.032-2.418-10.389+2.357-11.301</f>
        <v>-52.998500000000007</v>
      </c>
      <c r="X96" s="263">
        <f>420+48+21+53+15+54</f>
        <v>611</v>
      </c>
      <c r="Y96" s="227">
        <f t="shared" si="52"/>
        <v>-1.8928035714285716</v>
      </c>
      <c r="Z96" s="227">
        <f t="shared" si="53"/>
        <v>-1.5001071428571433</v>
      </c>
      <c r="AA96" s="89">
        <f t="shared" si="54"/>
        <v>1.313072841642374</v>
      </c>
      <c r="AB96" s="73">
        <f t="shared" si="55"/>
        <v>43.642857142857146</v>
      </c>
      <c r="AC96" s="203">
        <f>2.438+17.576+4.838+20.06+0.083+11.548+66.757+1.747+15.408+43.817+21.005+1.667+44.336+15.993</f>
        <v>267.27300000000002</v>
      </c>
      <c r="AD96" s="89">
        <f t="shared" si="56"/>
        <v>19.090928571428574</v>
      </c>
      <c r="AE96" s="89">
        <f t="shared" si="57"/>
        <v>4.369316716768032</v>
      </c>
      <c r="AF96" s="9">
        <v>35</v>
      </c>
      <c r="AG96" s="9">
        <v>18</v>
      </c>
      <c r="AH96" s="20">
        <v>23</v>
      </c>
      <c r="AI96" s="54">
        <f t="shared" si="58"/>
        <v>76</v>
      </c>
      <c r="AK96" s="49">
        <v>95</v>
      </c>
      <c r="AL96" s="48">
        <f t="shared" si="59"/>
        <v>95</v>
      </c>
      <c r="AM96" s="36">
        <f t="shared" si="60"/>
        <v>0.35683575421662117</v>
      </c>
      <c r="AN96" s="34">
        <f t="shared" si="61"/>
        <v>6.666666666666668E-2</v>
      </c>
      <c r="AO96" s="34">
        <f t="shared" si="62"/>
        <v>4.1666666666666664E-2</v>
      </c>
      <c r="AP96" s="34">
        <f t="shared" si="63"/>
        <v>0.22911051212937997</v>
      </c>
      <c r="AQ96" s="34">
        <f t="shared" si="64"/>
        <v>0.33968253968253981</v>
      </c>
      <c r="AR96" s="34">
        <f t="shared" si="65"/>
        <v>0.27654234438470876</v>
      </c>
      <c r="AS96" s="34">
        <f t="shared" si="66"/>
        <v>0.84215784215784228</v>
      </c>
      <c r="AT96" s="34">
        <f t="shared" si="67"/>
        <v>0.36457236474662108</v>
      </c>
      <c r="AU96" s="34">
        <f t="shared" si="68"/>
        <v>0.26274333570804109</v>
      </c>
      <c r="AV96" s="34">
        <f t="shared" si="69"/>
        <v>0.35084167137596473</v>
      </c>
      <c r="AW96" s="34">
        <f t="shared" si="70"/>
        <v>0.89411764705882357</v>
      </c>
      <c r="AX96" s="48">
        <v>125</v>
      </c>
      <c r="AY96" s="218">
        <v>3</v>
      </c>
      <c r="AZ96" s="220">
        <v>1</v>
      </c>
      <c r="BB96" s="205">
        <v>0.33333333333333331</v>
      </c>
      <c r="BC96" s="245">
        <f t="shared" si="71"/>
        <v>0</v>
      </c>
      <c r="BD96" s="35">
        <v>0.35683575421662117</v>
      </c>
      <c r="BE96">
        <v>5</v>
      </c>
      <c r="BF96" s="205">
        <v>4.369316716768032</v>
      </c>
      <c r="BG96" s="34">
        <v>0.22911051212937997</v>
      </c>
      <c r="BH96" s="34">
        <v>0.33968253968253981</v>
      </c>
      <c r="BI96" s="34">
        <f>IF(A96&lt;17, SoC!O$3, IF(A96&lt;33, SoC!O$4, IF(A96&lt;49, SoC!O$5, IF(A96&lt;65, SoC!O$6, IF(A96&lt;81, SoC!O$7, IF(A96&lt;97, SoC!O$8, SoC!O$9))))))</f>
        <v>1.0968295917365127</v>
      </c>
      <c r="BJ96" s="34"/>
      <c r="BK96" s="34"/>
      <c r="BL96" s="34"/>
      <c r="BM96" s="15" t="s">
        <v>88</v>
      </c>
      <c r="BN96">
        <v>95</v>
      </c>
      <c r="BO96">
        <v>99</v>
      </c>
      <c r="BP96">
        <v>96</v>
      </c>
      <c r="BQ96">
        <v>85</v>
      </c>
      <c r="BR96">
        <v>90</v>
      </c>
      <c r="BS96">
        <v>99</v>
      </c>
      <c r="BT96">
        <v>90</v>
      </c>
      <c r="BU96">
        <v>85</v>
      </c>
      <c r="BV96">
        <v>90</v>
      </c>
      <c r="BW96" s="154">
        <v>78</v>
      </c>
      <c r="BX96">
        <v>57</v>
      </c>
      <c r="BY96">
        <v>10</v>
      </c>
    </row>
    <row r="97" spans="1:77" x14ac:dyDescent="0.35">
      <c r="A97">
        <v>83</v>
      </c>
      <c r="B97" s="58" t="s">
        <v>799</v>
      </c>
      <c r="C97" s="58" t="s">
        <v>1103</v>
      </c>
      <c r="D97" s="58" t="s">
        <v>783</v>
      </c>
      <c r="F97" s="6">
        <v>2</v>
      </c>
      <c r="G97" s="6">
        <v>7</v>
      </c>
      <c r="I97" s="6">
        <v>1</v>
      </c>
      <c r="J97" s="6">
        <v>5</v>
      </c>
      <c r="L97" s="6">
        <v>1</v>
      </c>
      <c r="N97" s="6">
        <v>4</v>
      </c>
      <c r="P97">
        <f>187+12</f>
        <v>199</v>
      </c>
      <c r="Q97">
        <f>261+27</f>
        <v>288</v>
      </c>
      <c r="R97" s="73">
        <f t="shared" si="48"/>
        <v>14.214285714285714</v>
      </c>
      <c r="S97" s="73">
        <f t="shared" si="49"/>
        <v>20.571428571428573</v>
      </c>
      <c r="T97" s="73">
        <f t="shared" si="50"/>
        <v>-6.3571428571428594</v>
      </c>
      <c r="U97">
        <f>109+8</f>
        <v>117</v>
      </c>
      <c r="V97" s="54">
        <f t="shared" si="51"/>
        <v>1.7008547008547008</v>
      </c>
      <c r="W97" s="9">
        <f>1.25*(4.825+4.489-1.222-4.801+3.463-1.694-0.426)-3.722-9.846-7-4.396-10.924-4.886-12.9</f>
        <v>-47.881499999999996</v>
      </c>
      <c r="X97" s="263">
        <f>430+63+61+33+60+46+59</f>
        <v>752</v>
      </c>
      <c r="Y97" s="227">
        <f t="shared" si="52"/>
        <v>-1.7100535714285712</v>
      </c>
      <c r="Z97" s="227">
        <f t="shared" si="53"/>
        <v>-2.9370357142857171</v>
      </c>
      <c r="AA97" s="89">
        <f t="shared" si="54"/>
        <v>0.94288748611339435</v>
      </c>
      <c r="AB97" s="73">
        <f t="shared" si="55"/>
        <v>53.714285714285715</v>
      </c>
      <c r="AC97" s="203">
        <f>29.938+3.999+11.167+21.518+12.236+18.493+60.179+0+3.655+15.735+7.188+7.423+47.474+5.234</f>
        <v>244.239</v>
      </c>
      <c r="AD97" s="89">
        <f t="shared" si="56"/>
        <v>17.445642857142857</v>
      </c>
      <c r="AE97" s="89">
        <f t="shared" si="57"/>
        <v>4.1767981585351786</v>
      </c>
      <c r="AF97" s="9">
        <v>28</v>
      </c>
      <c r="AG97" s="9">
        <v>12</v>
      </c>
      <c r="AH97" s="20">
        <v>17</v>
      </c>
      <c r="AI97" s="54">
        <f t="shared" si="58"/>
        <v>57</v>
      </c>
      <c r="AK97" s="49">
        <v>96</v>
      </c>
      <c r="AL97" s="48">
        <f t="shared" si="59"/>
        <v>96</v>
      </c>
      <c r="AM97" s="36">
        <f t="shared" si="60"/>
        <v>0.35523837603664521</v>
      </c>
      <c r="AN97" s="34">
        <f t="shared" si="61"/>
        <v>0.24444444444444446</v>
      </c>
      <c r="AO97" s="34">
        <f t="shared" si="62"/>
        <v>0.16666666666666666</v>
      </c>
      <c r="AP97" s="34">
        <f t="shared" si="63"/>
        <v>0.22911051212937997</v>
      </c>
      <c r="AQ97" s="34">
        <f t="shared" si="64"/>
        <v>0.25124716553287973</v>
      </c>
      <c r="AR97" s="34">
        <f t="shared" si="65"/>
        <v>0.12248769433377317</v>
      </c>
      <c r="AS97" s="34">
        <f t="shared" si="66"/>
        <v>0.82500385520519759</v>
      </c>
      <c r="AT97" s="34">
        <f t="shared" si="67"/>
        <v>0.2447257698179244</v>
      </c>
      <c r="AU97" s="34">
        <f t="shared" si="68"/>
        <v>0.21328014122291913</v>
      </c>
      <c r="AV97" s="34">
        <f t="shared" si="69"/>
        <v>0.3247367493182447</v>
      </c>
      <c r="AW97" s="34">
        <f t="shared" si="70"/>
        <v>0.6705882352941176</v>
      </c>
      <c r="AX97" s="48">
        <v>105</v>
      </c>
      <c r="AY97" s="218">
        <v>2</v>
      </c>
      <c r="AZ97" s="220">
        <v>3</v>
      </c>
      <c r="BB97" s="205">
        <v>1.3333333333333333</v>
      </c>
      <c r="BC97" s="245">
        <f t="shared" si="71"/>
        <v>0</v>
      </c>
      <c r="BD97" s="35">
        <v>0.35589320564324334</v>
      </c>
      <c r="BE97">
        <v>4</v>
      </c>
      <c r="BF97" s="205">
        <v>4.1767981585351786</v>
      </c>
      <c r="BG97" s="34">
        <v>0.22911051212937997</v>
      </c>
      <c r="BH97" s="34">
        <v>0.25124716553287973</v>
      </c>
      <c r="BI97" s="34">
        <f>IF(A97&lt;17, SoC!O$3, IF(A97&lt;33, SoC!O$4, IF(A97&lt;49, SoC!O$5, IF(A97&lt;65, SoC!O$6, IF(A97&lt;81, SoC!O$7, IF(A97&lt;97, SoC!O$8, SoC!O$9))))))</f>
        <v>0.8076740483754814</v>
      </c>
      <c r="BJ97" s="34"/>
      <c r="BK97" s="34"/>
      <c r="BL97" s="34"/>
      <c r="BM97" s="58" t="s">
        <v>783</v>
      </c>
      <c r="BN97">
        <v>96</v>
      </c>
      <c r="BO97">
        <v>94</v>
      </c>
      <c r="BP97">
        <v>99</v>
      </c>
      <c r="BQ97">
        <v>95</v>
      </c>
      <c r="BR97">
        <v>82</v>
      </c>
      <c r="BS97">
        <v>76</v>
      </c>
      <c r="BT97">
        <v>72</v>
      </c>
      <c r="BU97">
        <v>63</v>
      </c>
      <c r="BV97">
        <v>68</v>
      </c>
      <c r="BW97" s="154">
        <v>52</v>
      </c>
      <c r="BX97">
        <v>17</v>
      </c>
      <c r="BY97">
        <v>12</v>
      </c>
    </row>
    <row r="98" spans="1:77" x14ac:dyDescent="0.35">
      <c r="A98">
        <v>91</v>
      </c>
      <c r="B98" s="58" t="s">
        <v>799</v>
      </c>
      <c r="C98" s="58" t="s">
        <v>1106</v>
      </c>
      <c r="D98" s="58" t="s">
        <v>792</v>
      </c>
      <c r="F98" s="6">
        <v>2</v>
      </c>
      <c r="G98" s="6">
        <v>7</v>
      </c>
      <c r="I98" s="6">
        <v>1</v>
      </c>
      <c r="J98" s="6">
        <v>5</v>
      </c>
      <c r="N98" s="6">
        <v>5</v>
      </c>
      <c r="P98">
        <f>195+12</f>
        <v>207</v>
      </c>
      <c r="Q98">
        <f>263+31</f>
        <v>294</v>
      </c>
      <c r="R98" s="73">
        <f t="shared" ref="R98:R113" si="72">IFERROR(P98/(F98+G98+L98+M98+N98), 0)</f>
        <v>14.785714285714286</v>
      </c>
      <c r="S98" s="73">
        <f t="shared" ref="S98:S113" si="73">IFERROR(Q98/(F98+G98+L98+M98+N98), 0)</f>
        <v>21</v>
      </c>
      <c r="T98" s="73">
        <f t="shared" ref="T98:T113" si="74">R98-S98</f>
        <v>-6.2142857142857135</v>
      </c>
      <c r="U98">
        <f>100+5</f>
        <v>105</v>
      </c>
      <c r="V98" s="54">
        <f t="shared" ref="V98:V113" si="75">IFERROR(P98/U98, 0)</f>
        <v>1.9714285714285715</v>
      </c>
      <c r="W98" s="9">
        <f>1.25*(2.092-3.659+5.414+6.914-3.603-0.016+0.888-4.665)-7.674-4.85-5.847-7.849-11.957-10.687</f>
        <v>-44.65775</v>
      </c>
      <c r="X98" s="263">
        <f>483+53+46+61+55+60</f>
        <v>758</v>
      </c>
      <c r="Y98" s="227">
        <f t="shared" ref="Y98:Y113" si="76">IF(W98&lt;0, (W98/2), W98)/(F98+G98+L98+M98+N98)</f>
        <v>-1.5949196428571428</v>
      </c>
      <c r="Z98" s="227">
        <f t="shared" ref="Z98:Z113" si="77">T98-(IF(Y98&lt;0, Y98*2, Y98))</f>
        <v>-3.0244464285714279</v>
      </c>
      <c r="AA98" s="89">
        <f t="shared" ref="AA98:AA113" si="78">(AVERAGE((T98-MIN(T:T))*AB98, SQRT((T98-MIN(T:T))*AB98))/100)*BI98</f>
        <v>0.98245019476582029</v>
      </c>
      <c r="AB98" s="73">
        <f t="shared" ref="AB98:AB113" si="79">(X98/SUM(F98,G98,L98,M98,N98))</f>
        <v>54.142857142857146</v>
      </c>
      <c r="AC98" s="203">
        <f>0+52.436+46.751+0+5.893+0+10.669+19.149+27.104+1.616+9.228+8.072+39.209+7.197</f>
        <v>227.32400000000004</v>
      </c>
      <c r="AD98" s="89">
        <f t="shared" ref="AD98:AD113" si="80">IFERROR(AC98/(F98+G98+L98+M98+N98),0)</f>
        <v>16.237428571428573</v>
      </c>
      <c r="AE98" s="89">
        <f t="shared" ref="AE98:AE113" si="81">IFERROR(IF(SQRT(AD98)&gt;10, 10, SQRT(AD98)), 0)</f>
        <v>4.029569278648597</v>
      </c>
      <c r="AF98" s="9">
        <v>28</v>
      </c>
      <c r="AG98" s="9">
        <v>6</v>
      </c>
      <c r="AH98" s="20">
        <v>11</v>
      </c>
      <c r="AI98" s="54">
        <f t="shared" ref="AI98:AI113" si="82">SUM(AF98:AH98)</f>
        <v>45</v>
      </c>
      <c r="AK98" s="49">
        <v>97</v>
      </c>
      <c r="AL98" s="48">
        <f t="shared" ref="AL98:AL113" si="83">_xlfn.RANK.EQ(AM98,AM:AM, 0)</f>
        <v>97</v>
      </c>
      <c r="AM98" s="36">
        <f t="shared" ref="AM98:AM113" si="84">((AN98*2.25)+(AO98*1.5)+(AP98*1)+(AQ98*1)+(AR98*0.75)+(AS98*1)+(AT98*1)+(AU98*0.75)+(AV98*1)+(AW98*0.75)+(AX98/LARGE(AX:AX,1))*(3/12))/(10+(3/24))</f>
        <v>0.35396358399454547</v>
      </c>
      <c r="AN98" s="34">
        <f t="shared" ref="AN98:AN113" si="85">IFERROR(IF((F98+G98)=1, IF(F98=0, 0.333, IF(F98=1, 0.666, 0)), IF((F98+G98)=2, IF(F98=0, 0.166, IF(F98=1, 0.5, IF(F98=2, 0.833, 0))),  (F98+(0.2*(L98+M98)))/(F98+G98))), 0)</f>
        <v>0.22222222222222221</v>
      </c>
      <c r="AO98" s="34">
        <f t="shared" ref="AO98:AO113" si="86">IFERROR(IF((I98+J98)=1, IF(I98=0, 0.333, IF(I98=1, 0.666, 0)), IF((I98+J98)=2, IF(I98=0, 0.166, IF(I98=1, 0.5, IF(I98=2, 0.833, 0))), (I98+(0.25*M98))/(I98+J98))), 0)</f>
        <v>0.16666666666666666</v>
      </c>
      <c r="AP98" s="34">
        <f t="shared" ref="AP98:AP113" si="87">(R98-(SMALL(R:R, 1)))/((LARGE(R:R, 1))-(SMALL(R:R, 1)))</f>
        <v>0.27654986522911057</v>
      </c>
      <c r="AQ98" s="34">
        <f t="shared" ref="AQ98:AQ113" si="88">1-(S98-SMALL(S:S,1))/(LARGE(S:S,1)-SMALL(S:S,1))</f>
        <v>0.21587301587301599</v>
      </c>
      <c r="AR98" s="34">
        <f t="shared" ref="AR98:AR113" si="89">(V98-SMALL(V:V,1))/(LARGE(V:V,1)-SMALL(V:V,1))</f>
        <v>0.3847145872474661</v>
      </c>
      <c r="AS98" s="34">
        <f t="shared" ref="AS98:AS113" si="90">1-(Y98-SMALL(Y:Y,1))/(LARGE(Y:Y,1)-SMALL(Y:Y,1))</f>
        <v>0.81419670933093757</v>
      </c>
      <c r="AT98" s="34">
        <f t="shared" ref="AT98:AT113" si="91">(Z98+ABS(MIN(Z:Z)))/(MAX(Z:Z)+ABS(MIN(Z:Z)))</f>
        <v>0.23743530550694433</v>
      </c>
      <c r="AU98" s="34">
        <f t="shared" ref="AU98:AU113" si="92">AVERAGE(AA98/MAX(AA:AA), SQRT(AA98/MAX(AA:AA)))</f>
        <v>0.21881112235315336</v>
      </c>
      <c r="AV98" s="34">
        <f t="shared" ref="AV98:AV113" si="93">AVERAGE(AE98/MAX(AE:AE), (AE98-SMALL(AE:AE,1))/(LARGE(AE:AE,1)-SMALL(AE:AE,1)))</f>
        <v>0.30477296780355034</v>
      </c>
      <c r="AW98" s="34">
        <f t="shared" ref="AW98:AW113" si="94">IFERROR(AI98/MAX(AI:AI), 0)</f>
        <v>0.52941176470588236</v>
      </c>
      <c r="AX98" s="48">
        <v>85</v>
      </c>
      <c r="AY98" s="218">
        <v>2</v>
      </c>
      <c r="AZ98" s="220">
        <v>3</v>
      </c>
      <c r="BB98" s="205">
        <v>-0.66666666666666663</v>
      </c>
      <c r="BC98" s="245">
        <f t="shared" ref="BC98:BC113" si="95">AK98-AL98</f>
        <v>0</v>
      </c>
      <c r="BD98" s="35">
        <v>0.3546375072098093</v>
      </c>
      <c r="BE98">
        <v>4</v>
      </c>
      <c r="BF98" s="205">
        <v>4.029569278648597</v>
      </c>
      <c r="BG98" s="34">
        <v>0.27654986522911057</v>
      </c>
      <c r="BH98" s="34">
        <v>0.21587301587301599</v>
      </c>
      <c r="BI98" s="34">
        <f>IF(A98&lt;17, SoC!O$3, IF(A98&lt;33, SoC!O$4, IF(A98&lt;49, SoC!O$5, IF(A98&lt;65, SoC!O$6, IF(A98&lt;81, SoC!O$7, IF(A98&lt;97, SoC!O$8, SoC!O$9))))))</f>
        <v>0.8076740483754814</v>
      </c>
      <c r="BJ98" s="34"/>
      <c r="BK98" s="34"/>
      <c r="BL98" s="34"/>
      <c r="BM98" s="58" t="s">
        <v>792</v>
      </c>
      <c r="BN98">
        <v>97</v>
      </c>
      <c r="BO98">
        <v>92</v>
      </c>
      <c r="BP98">
        <v>94</v>
      </c>
      <c r="BQ98">
        <v>88</v>
      </c>
      <c r="BR98">
        <v>80</v>
      </c>
      <c r="BS98">
        <v>83</v>
      </c>
      <c r="BT98">
        <v>71</v>
      </c>
      <c r="BU98">
        <v>47</v>
      </c>
      <c r="BV98">
        <v>38</v>
      </c>
      <c r="BW98" s="154">
        <v>44</v>
      </c>
      <c r="BX98">
        <v>85</v>
      </c>
      <c r="BY98">
        <v>28</v>
      </c>
    </row>
    <row r="99" spans="1:77" x14ac:dyDescent="0.35">
      <c r="A99">
        <v>22</v>
      </c>
      <c r="B99" s="16" t="s">
        <v>144</v>
      </c>
      <c r="C99" s="16" t="s">
        <v>1087</v>
      </c>
      <c r="D99" s="16" t="s">
        <v>68</v>
      </c>
      <c r="F99" s="6">
        <v>2</v>
      </c>
      <c r="G99" s="6">
        <v>7</v>
      </c>
      <c r="I99" s="6">
        <v>2</v>
      </c>
      <c r="J99" s="6">
        <v>4</v>
      </c>
      <c r="N99" s="6">
        <v>2</v>
      </c>
      <c r="P99">
        <f>153+17</f>
        <v>170</v>
      </c>
      <c r="Q99">
        <f>220+21</f>
        <v>241</v>
      </c>
      <c r="R99" s="73">
        <f t="shared" si="72"/>
        <v>15.454545454545455</v>
      </c>
      <c r="S99" s="73">
        <f t="shared" si="73"/>
        <v>21.90909090909091</v>
      </c>
      <c r="T99" s="73">
        <f t="shared" si="74"/>
        <v>-6.454545454545455</v>
      </c>
      <c r="U99">
        <f>82+9</f>
        <v>91</v>
      </c>
      <c r="V99" s="54">
        <f t="shared" si="75"/>
        <v>1.8681318681318682</v>
      </c>
      <c r="W99" s="9">
        <f>1.25*(-6.628-3.965+3.718-3.023-2.372-3.965-4.549-7.655)-6.904-7.687+1.67</f>
        <v>-48.469749999999991</v>
      </c>
      <c r="X99" s="263">
        <f>427+56+15</f>
        <v>498</v>
      </c>
      <c r="Y99" s="227">
        <f t="shared" si="76"/>
        <v>-2.2031704545454542</v>
      </c>
      <c r="Z99" s="227">
        <f t="shared" si="77"/>
        <v>-2.0482045454545466</v>
      </c>
      <c r="AA99" s="89">
        <f t="shared" si="78"/>
        <v>1.1098533206770369</v>
      </c>
      <c r="AB99" s="73">
        <f t="shared" si="79"/>
        <v>45.272727272727273</v>
      </c>
      <c r="AC99" s="203">
        <f>3.331+55.721+5.202+0.133+17.634+2.692+40.962+20.111+9.226+21.254+8.822</f>
        <v>185.08799999999999</v>
      </c>
      <c r="AD99" s="89">
        <f t="shared" si="80"/>
        <v>16.826181818181819</v>
      </c>
      <c r="AE99" s="89">
        <f t="shared" si="81"/>
        <v>4.1019729177777151</v>
      </c>
      <c r="AF99" s="9">
        <v>7</v>
      </c>
      <c r="AG99" s="9">
        <v>0</v>
      </c>
      <c r="AI99" s="54">
        <f t="shared" si="82"/>
        <v>7</v>
      </c>
      <c r="AK99" s="49">
        <v>98</v>
      </c>
      <c r="AL99" s="48">
        <f t="shared" si="83"/>
        <v>98</v>
      </c>
      <c r="AM99" s="36">
        <f t="shared" si="84"/>
        <v>0.34081102267666463</v>
      </c>
      <c r="AN99" s="34">
        <f t="shared" si="85"/>
        <v>0.22222222222222221</v>
      </c>
      <c r="AO99" s="34">
        <f t="shared" si="86"/>
        <v>0.33333333333333331</v>
      </c>
      <c r="AP99" s="34">
        <f t="shared" si="87"/>
        <v>0.33207547169811324</v>
      </c>
      <c r="AQ99" s="34">
        <f t="shared" si="88"/>
        <v>0.14083694083694087</v>
      </c>
      <c r="AR99" s="34">
        <f t="shared" si="89"/>
        <v>0.28460450087337574</v>
      </c>
      <c r="AS99" s="34">
        <f t="shared" si="90"/>
        <v>0.87129069831937445</v>
      </c>
      <c r="AT99" s="34">
        <f t="shared" si="91"/>
        <v>0.31885846588158834</v>
      </c>
      <c r="AU99" s="34">
        <f t="shared" si="92"/>
        <v>0.23618750890143045</v>
      </c>
      <c r="AV99" s="34">
        <f t="shared" si="93"/>
        <v>0.31459067770907972</v>
      </c>
      <c r="AW99" s="34">
        <f t="shared" si="94"/>
        <v>8.2352941176470587E-2</v>
      </c>
      <c r="AX99" s="48">
        <v>13</v>
      </c>
      <c r="AY99" s="218">
        <v>1</v>
      </c>
      <c r="AZ99" s="220">
        <v>1</v>
      </c>
      <c r="BB99" s="205">
        <v>-0.33333333333333331</v>
      </c>
      <c r="BC99" s="245">
        <f t="shared" si="95"/>
        <v>0</v>
      </c>
      <c r="BD99" s="35">
        <v>0.34072508680926827</v>
      </c>
      <c r="BE99">
        <v>1</v>
      </c>
      <c r="BF99" s="205">
        <v>4.1019729177777151</v>
      </c>
      <c r="BG99" s="34">
        <v>0.33207547169811324</v>
      </c>
      <c r="BH99" s="34">
        <v>0.14083694083694087</v>
      </c>
      <c r="BI99" s="34">
        <f>IF(A99&lt;17, SoC!O$3, IF(A99&lt;33, SoC!O$4, IF(A99&lt;49, SoC!O$5, IF(A99&lt;65, SoC!O$6, IF(A99&lt;81, SoC!O$7, IF(A99&lt;97, SoC!O$8, SoC!O$9))))))</f>
        <v>1.148154410748077</v>
      </c>
      <c r="BJ99" s="34"/>
      <c r="BK99" s="34"/>
      <c r="BL99" s="34"/>
      <c r="BM99" s="16" t="s">
        <v>68</v>
      </c>
      <c r="BN99">
        <v>98</v>
      </c>
      <c r="BO99">
        <v>97</v>
      </c>
      <c r="BP99">
        <v>95</v>
      </c>
      <c r="BQ99">
        <v>99</v>
      </c>
      <c r="BR99">
        <v>95</v>
      </c>
      <c r="BS99">
        <v>91</v>
      </c>
      <c r="BT99">
        <v>88</v>
      </c>
      <c r="BU99">
        <v>96</v>
      </c>
      <c r="BV99">
        <v>80</v>
      </c>
      <c r="BW99" s="154">
        <v>67</v>
      </c>
      <c r="BX99">
        <v>109</v>
      </c>
      <c r="BY99">
        <v>100</v>
      </c>
    </row>
    <row r="100" spans="1:77" x14ac:dyDescent="0.35">
      <c r="A100">
        <v>43</v>
      </c>
      <c r="B100" s="17" t="s">
        <v>171</v>
      </c>
      <c r="C100" s="17" t="s">
        <v>1098</v>
      </c>
      <c r="D100" s="17" t="s">
        <v>56</v>
      </c>
      <c r="F100" s="6">
        <v>2</v>
      </c>
      <c r="G100" s="6">
        <v>7</v>
      </c>
      <c r="I100" s="6">
        <v>1</v>
      </c>
      <c r="J100" s="6">
        <v>5</v>
      </c>
      <c r="L100" s="6">
        <v>1</v>
      </c>
      <c r="N100" s="6">
        <v>2</v>
      </c>
      <c r="P100">
        <f>141+24</f>
        <v>165</v>
      </c>
      <c r="Q100">
        <f>184+28</f>
        <v>212</v>
      </c>
      <c r="R100" s="73">
        <f t="shared" si="72"/>
        <v>13.75</v>
      </c>
      <c r="S100" s="73">
        <f t="shared" si="73"/>
        <v>17.666666666666668</v>
      </c>
      <c r="T100" s="73">
        <f t="shared" si="74"/>
        <v>-3.9166666666666679</v>
      </c>
      <c r="U100">
        <f>88+12</f>
        <v>100</v>
      </c>
      <c r="V100" s="54">
        <f t="shared" si="75"/>
        <v>1.65</v>
      </c>
      <c r="W100" s="9">
        <f>1.25*(-1.834+0.104-0.524-1.564-1.633-2.065-6.95-3.781+0.522)+1.094-1.237-8.444</f>
        <v>-30.743250000000003</v>
      </c>
      <c r="X100" s="263">
        <f>277+10+50</f>
        <v>337</v>
      </c>
      <c r="Y100" s="227">
        <f t="shared" si="76"/>
        <v>-1.2809687500000002</v>
      </c>
      <c r="Z100" s="227">
        <f t="shared" si="77"/>
        <v>-1.3547291666666674</v>
      </c>
      <c r="AA100" s="89">
        <f t="shared" si="78"/>
        <v>1.0320550136070126</v>
      </c>
      <c r="AB100" s="73">
        <f t="shared" si="79"/>
        <v>28.083333333333332</v>
      </c>
      <c r="AC100" s="203">
        <f>4.899+83.871+1.866+2.269+40.866+10.366+2.676+1.349+71.01+4.702+4.8+41.564</f>
        <v>270.238</v>
      </c>
      <c r="AD100" s="89">
        <f t="shared" si="80"/>
        <v>22.519833333333334</v>
      </c>
      <c r="AE100" s="89">
        <f t="shared" si="81"/>
        <v>4.7455066466430464</v>
      </c>
      <c r="AF100" s="9">
        <v>14</v>
      </c>
      <c r="AG100" s="9">
        <v>0</v>
      </c>
      <c r="AI100" s="54">
        <f t="shared" si="82"/>
        <v>14</v>
      </c>
      <c r="AK100" s="49">
        <v>99</v>
      </c>
      <c r="AL100" s="48">
        <f t="shared" si="83"/>
        <v>99</v>
      </c>
      <c r="AM100" s="36">
        <f t="shared" si="84"/>
        <v>0.33773710109884558</v>
      </c>
      <c r="AN100" s="34">
        <f t="shared" si="85"/>
        <v>0.24444444444444446</v>
      </c>
      <c r="AO100" s="34">
        <f t="shared" si="86"/>
        <v>0.16666666666666666</v>
      </c>
      <c r="AP100" s="34">
        <f t="shared" si="87"/>
        <v>0.19056603773584901</v>
      </c>
      <c r="AQ100" s="34">
        <f t="shared" si="88"/>
        <v>0.491005291005291</v>
      </c>
      <c r="AR100" s="34">
        <f t="shared" si="89"/>
        <v>7.3201818477025365E-2</v>
      </c>
      <c r="AS100" s="34">
        <f t="shared" si="90"/>
        <v>0.78472743699253777</v>
      </c>
      <c r="AT100" s="34">
        <f t="shared" si="91"/>
        <v>0.37669757108637109</v>
      </c>
      <c r="AU100" s="34">
        <f t="shared" si="92"/>
        <v>0.22565214424252894</v>
      </c>
      <c r="AV100" s="34">
        <f t="shared" si="93"/>
        <v>0.40185186430712383</v>
      </c>
      <c r="AW100" s="34">
        <f t="shared" si="94"/>
        <v>0.16470588235294117</v>
      </c>
      <c r="AX100" s="48">
        <v>17</v>
      </c>
      <c r="AY100" s="218">
        <v>1</v>
      </c>
      <c r="AZ100" s="220">
        <v>1</v>
      </c>
      <c r="BB100" s="205">
        <v>1</v>
      </c>
      <c r="BC100" s="245">
        <f t="shared" si="95"/>
        <v>0</v>
      </c>
      <c r="BD100" s="35">
        <v>0.33678473512270923</v>
      </c>
      <c r="BE100">
        <v>1</v>
      </c>
      <c r="BF100" s="205">
        <v>4.7455066466430464</v>
      </c>
      <c r="BG100" s="34">
        <v>0.19056603773584901</v>
      </c>
      <c r="BH100" s="34">
        <v>0.491005291005291</v>
      </c>
      <c r="BI100" s="34">
        <f>IF(A100&lt;17, SoC!O$3, IF(A100&lt;33, SoC!O$4, IF(A100&lt;49, SoC!O$5, IF(A100&lt;65, SoC!O$6, IF(A100&lt;81, SoC!O$7, IF(A100&lt;97, SoC!O$8, SoC!O$9))))))</f>
        <v>1.0509770295874163</v>
      </c>
      <c r="BJ100" s="34"/>
      <c r="BK100" s="34"/>
      <c r="BL100" s="34"/>
      <c r="BM100" s="17" t="s">
        <v>56</v>
      </c>
      <c r="BN100">
        <v>99</v>
      </c>
      <c r="BO100">
        <v>98</v>
      </c>
      <c r="BP100">
        <v>100</v>
      </c>
      <c r="BQ100">
        <v>103</v>
      </c>
      <c r="BR100">
        <v>102</v>
      </c>
      <c r="BS100">
        <v>104</v>
      </c>
      <c r="BT100">
        <v>105</v>
      </c>
      <c r="BU100">
        <v>99</v>
      </c>
      <c r="BV100">
        <v>85</v>
      </c>
      <c r="BW100" s="154">
        <v>71</v>
      </c>
      <c r="BX100">
        <v>110</v>
      </c>
      <c r="BY100">
        <v>96</v>
      </c>
    </row>
    <row r="101" spans="1:77" x14ac:dyDescent="0.35">
      <c r="A101">
        <v>50</v>
      </c>
      <c r="B101" s="19" t="s">
        <v>172</v>
      </c>
      <c r="C101" s="19" t="s">
        <v>1090</v>
      </c>
      <c r="D101" s="19" t="s">
        <v>35</v>
      </c>
      <c r="F101" s="6">
        <v>1</v>
      </c>
      <c r="G101" s="6">
        <v>8</v>
      </c>
      <c r="I101" s="6">
        <v>0</v>
      </c>
      <c r="J101" s="6">
        <v>6</v>
      </c>
      <c r="N101" s="6">
        <v>2</v>
      </c>
      <c r="P101">
        <f>155+14</f>
        <v>169</v>
      </c>
      <c r="Q101">
        <f>182+20</f>
        <v>202</v>
      </c>
      <c r="R101" s="73">
        <f t="shared" si="72"/>
        <v>15.363636363636363</v>
      </c>
      <c r="S101" s="73">
        <f t="shared" si="73"/>
        <v>18.363636363636363</v>
      </c>
      <c r="T101" s="73">
        <f t="shared" si="74"/>
        <v>-3</v>
      </c>
      <c r="U101">
        <f>78+5</f>
        <v>83</v>
      </c>
      <c r="V101" s="54">
        <f t="shared" si="75"/>
        <v>2.036144578313253</v>
      </c>
      <c r="W101" s="9">
        <f>1.25*(2.18-2.477-3.25+0.644+4.641-3.638+2.121-5.52)-11.922+0.712+2.204</f>
        <v>-15.629749999999998</v>
      </c>
      <c r="X101" s="263">
        <f>421+12+8</f>
        <v>441</v>
      </c>
      <c r="Y101" s="227">
        <f t="shared" si="76"/>
        <v>-0.71044318181818167</v>
      </c>
      <c r="Z101" s="227">
        <f t="shared" si="77"/>
        <v>-1.5791136363636367</v>
      </c>
      <c r="AA101" s="89">
        <f t="shared" si="78"/>
        <v>1.8578596511521006</v>
      </c>
      <c r="AB101" s="73">
        <f t="shared" si="79"/>
        <v>40.090909090909093</v>
      </c>
      <c r="AC101" s="203">
        <f>4.939+8.027+86.776+3.221+6.091+14.879+10.163+4.05+43.923+1.143+11.426</f>
        <v>194.63800000000001</v>
      </c>
      <c r="AD101" s="89">
        <f t="shared" si="80"/>
        <v>17.694363636363637</v>
      </c>
      <c r="AE101" s="89">
        <f t="shared" si="81"/>
        <v>4.2064668828321512</v>
      </c>
      <c r="AF101" s="9">
        <v>21</v>
      </c>
      <c r="AG101" s="9">
        <v>0</v>
      </c>
      <c r="AI101" s="54">
        <f t="shared" si="82"/>
        <v>21</v>
      </c>
      <c r="AK101" s="49">
        <v>100</v>
      </c>
      <c r="AL101" s="48">
        <f t="shared" si="83"/>
        <v>100</v>
      </c>
      <c r="AM101" s="36">
        <f t="shared" si="84"/>
        <v>0.32719637815578273</v>
      </c>
      <c r="AN101" s="34">
        <f t="shared" si="85"/>
        <v>0.1111111111111111</v>
      </c>
      <c r="AO101" s="34">
        <f t="shared" si="86"/>
        <v>0</v>
      </c>
      <c r="AP101" s="34">
        <f t="shared" si="87"/>
        <v>0.32452830188679238</v>
      </c>
      <c r="AQ101" s="34">
        <f t="shared" si="88"/>
        <v>0.43347763347763357</v>
      </c>
      <c r="AR101" s="34">
        <f t="shared" si="89"/>
        <v>0.44743415943364306</v>
      </c>
      <c r="AS101" s="34">
        <f t="shared" si="90"/>
        <v>0.73117456064374919</v>
      </c>
      <c r="AT101" s="34">
        <f t="shared" si="91"/>
        <v>0.35798285193973473</v>
      </c>
      <c r="AU101" s="34">
        <f t="shared" si="92"/>
        <v>0.32885834045307977</v>
      </c>
      <c r="AV101" s="34">
        <f t="shared" si="93"/>
        <v>0.32875973672493247</v>
      </c>
      <c r="AW101" s="34">
        <f t="shared" si="94"/>
        <v>0.24705882352941178</v>
      </c>
      <c r="AX101" s="48">
        <v>75</v>
      </c>
      <c r="AY101" s="218">
        <v>1</v>
      </c>
      <c r="AZ101" s="220">
        <v>1</v>
      </c>
      <c r="BB101" s="205">
        <v>0.33333333333333331</v>
      </c>
      <c r="BC101" s="245">
        <f t="shared" si="95"/>
        <v>0</v>
      </c>
      <c r="BD101" s="35">
        <v>0.32586932460813051</v>
      </c>
      <c r="BE101">
        <v>3</v>
      </c>
      <c r="BF101" s="205">
        <v>4.2064668828321512</v>
      </c>
      <c r="BG101" s="34">
        <v>0.32452830188679238</v>
      </c>
      <c r="BH101" s="34">
        <v>0.43347763347763357</v>
      </c>
      <c r="BI101" s="34">
        <f>IF(A101&lt;17, SoC!O$3, IF(A101&lt;33, SoC!O$4, IF(A101&lt;49, SoC!O$5, IF(A101&lt;65, SoC!O$6, IF(A101&lt;81, SoC!O$7, IF(A101&lt;97, SoC!O$8, SoC!O$9))))))</f>
        <v>1.1793104273940098</v>
      </c>
      <c r="BJ101" s="34"/>
      <c r="BK101" s="34"/>
      <c r="BL101" s="34"/>
      <c r="BM101" s="19" t="s">
        <v>35</v>
      </c>
      <c r="BN101">
        <v>100</v>
      </c>
      <c r="BO101">
        <v>100</v>
      </c>
      <c r="BP101">
        <v>98</v>
      </c>
      <c r="BQ101">
        <v>97</v>
      </c>
      <c r="BR101">
        <v>91</v>
      </c>
      <c r="BS101">
        <v>87</v>
      </c>
      <c r="BT101">
        <v>82</v>
      </c>
      <c r="BU101">
        <v>76</v>
      </c>
      <c r="BV101">
        <v>57</v>
      </c>
      <c r="BW101" s="154">
        <v>88</v>
      </c>
      <c r="BX101">
        <v>70</v>
      </c>
      <c r="BY101">
        <v>38</v>
      </c>
    </row>
    <row r="102" spans="1:77" x14ac:dyDescent="0.35">
      <c r="A102">
        <v>26</v>
      </c>
      <c r="B102" s="16" t="s">
        <v>144</v>
      </c>
      <c r="C102" s="16" t="s">
        <v>1366</v>
      </c>
      <c r="D102" s="16" t="s">
        <v>63</v>
      </c>
      <c r="F102" s="6">
        <v>1</v>
      </c>
      <c r="G102" s="6">
        <v>8</v>
      </c>
      <c r="I102" s="6">
        <v>0</v>
      </c>
      <c r="J102" s="6">
        <v>6</v>
      </c>
      <c r="L102" s="6">
        <v>1</v>
      </c>
      <c r="M102" s="6">
        <v>1</v>
      </c>
      <c r="N102" s="6">
        <v>2</v>
      </c>
      <c r="P102">
        <f>169+16</f>
        <v>185</v>
      </c>
      <c r="Q102">
        <f>222+24</f>
        <v>246</v>
      </c>
      <c r="R102" s="73">
        <f t="shared" si="72"/>
        <v>14.23076923076923</v>
      </c>
      <c r="S102" s="73">
        <f t="shared" si="73"/>
        <v>18.923076923076923</v>
      </c>
      <c r="T102" s="73">
        <f t="shared" si="74"/>
        <v>-4.6923076923076934</v>
      </c>
      <c r="U102">
        <f>94+8</f>
        <v>102</v>
      </c>
      <c r="V102" s="54">
        <f t="shared" si="75"/>
        <v>1.8137254901960784</v>
      </c>
      <c r="W102" s="9">
        <f>1.25*(0.16-0.594-1.916-1.423-2.431-3.415-4.823-4.273-5.127-1.959)-8.639-7.773-4.892</f>
        <v>-53.555249999999994</v>
      </c>
      <c r="X102" s="263">
        <f>363+43+22</f>
        <v>428</v>
      </c>
      <c r="Y102" s="227">
        <f t="shared" si="76"/>
        <v>-2.0598173076923074</v>
      </c>
      <c r="Z102" s="227">
        <f t="shared" si="77"/>
        <v>-0.57267307692307856</v>
      </c>
      <c r="AA102" s="89">
        <f t="shared" si="78"/>
        <v>1.1630684839881713</v>
      </c>
      <c r="AB102" s="73">
        <f t="shared" si="79"/>
        <v>32.92307692307692</v>
      </c>
      <c r="AC102" s="203">
        <f>11.247+11.857+46.66+0+39.596+82.285+7.374+11.72+12.001+7.352+11.465+4.294+7.097</f>
        <v>252.94800000000001</v>
      </c>
      <c r="AD102" s="89">
        <f t="shared" si="80"/>
        <v>19.457538461538462</v>
      </c>
      <c r="AE102" s="89">
        <f t="shared" si="81"/>
        <v>4.411069990550871</v>
      </c>
      <c r="AF102" s="9">
        <v>14</v>
      </c>
      <c r="AG102" s="9">
        <v>6</v>
      </c>
      <c r="AI102" s="54">
        <f t="shared" si="82"/>
        <v>20</v>
      </c>
      <c r="AK102" s="49">
        <v>101</v>
      </c>
      <c r="AL102" s="48">
        <f t="shared" si="83"/>
        <v>101</v>
      </c>
      <c r="AM102" s="36">
        <f t="shared" si="84"/>
        <v>0.31906362052382131</v>
      </c>
      <c r="AN102" s="34">
        <f t="shared" si="85"/>
        <v>0.15555555555555556</v>
      </c>
      <c r="AO102" s="34">
        <f t="shared" si="86"/>
        <v>4.1666666666666664E-2</v>
      </c>
      <c r="AP102" s="34">
        <f t="shared" si="87"/>
        <v>0.23047895500725679</v>
      </c>
      <c r="AQ102" s="34">
        <f t="shared" si="88"/>
        <v>0.38730158730158737</v>
      </c>
      <c r="AR102" s="34">
        <f t="shared" si="89"/>
        <v>0.23187651420366814</v>
      </c>
      <c r="AS102" s="34">
        <f t="shared" si="90"/>
        <v>0.85783473109234598</v>
      </c>
      <c r="AT102" s="34">
        <f t="shared" si="91"/>
        <v>0.44192472382218068</v>
      </c>
      <c r="AU102" s="34">
        <f t="shared" si="92"/>
        <v>0.24326853799661219</v>
      </c>
      <c r="AV102" s="34">
        <f t="shared" si="93"/>
        <v>0.35650328637952888</v>
      </c>
      <c r="AW102" s="34">
        <f t="shared" si="94"/>
        <v>0.23529411764705882</v>
      </c>
      <c r="AX102" s="48">
        <v>7</v>
      </c>
      <c r="AY102" s="218">
        <v>1</v>
      </c>
      <c r="AZ102" s="220">
        <v>1</v>
      </c>
      <c r="BB102" s="205">
        <v>0.33333333333333331</v>
      </c>
      <c r="BC102" s="245">
        <f t="shared" si="95"/>
        <v>0</v>
      </c>
      <c r="BD102" s="35">
        <v>0.31897479138704388</v>
      </c>
      <c r="BE102">
        <v>1</v>
      </c>
      <c r="BF102" s="205">
        <v>4.411069990550871</v>
      </c>
      <c r="BG102" s="34">
        <v>0.23047895500725679</v>
      </c>
      <c r="BH102" s="34">
        <v>0.38730158730158737</v>
      </c>
      <c r="BI102" s="34">
        <f>IF(A102&lt;17, SoC!O$3, IF(A102&lt;33, SoC!O$4, IF(A102&lt;49, SoC!O$5, IF(A102&lt;65, SoC!O$6, IF(A102&lt;81, SoC!O$7, IF(A102&lt;97, SoC!O$8, SoC!O$9))))))</f>
        <v>1.148154410748077</v>
      </c>
      <c r="BJ102" s="34"/>
      <c r="BK102" s="34"/>
      <c r="BL102" s="34"/>
      <c r="BM102" s="16" t="s">
        <v>63</v>
      </c>
      <c r="BN102">
        <v>101</v>
      </c>
      <c r="BO102">
        <v>101</v>
      </c>
      <c r="BP102">
        <v>103</v>
      </c>
      <c r="BQ102">
        <v>106</v>
      </c>
      <c r="BR102">
        <v>101</v>
      </c>
      <c r="BS102">
        <v>105</v>
      </c>
      <c r="BT102">
        <v>92</v>
      </c>
      <c r="BU102">
        <v>100</v>
      </c>
      <c r="BV102">
        <v>86</v>
      </c>
      <c r="BW102" s="154">
        <v>109</v>
      </c>
      <c r="BX102">
        <v>99</v>
      </c>
      <c r="BY102">
        <v>106</v>
      </c>
    </row>
    <row r="103" spans="1:77" x14ac:dyDescent="0.35">
      <c r="A103">
        <v>41</v>
      </c>
      <c r="B103" s="17" t="s">
        <v>171</v>
      </c>
      <c r="C103" s="17" t="s">
        <v>1098</v>
      </c>
      <c r="D103" s="17" t="s">
        <v>117</v>
      </c>
      <c r="F103" s="6">
        <v>2</v>
      </c>
      <c r="G103" s="6">
        <v>7</v>
      </c>
      <c r="I103" s="6">
        <v>2</v>
      </c>
      <c r="J103" s="6">
        <v>4</v>
      </c>
      <c r="N103" s="6">
        <v>2</v>
      </c>
      <c r="P103">
        <f>127+17</f>
        <v>144</v>
      </c>
      <c r="Q103">
        <f>186+18</f>
        <v>204</v>
      </c>
      <c r="R103" s="73">
        <f t="shared" si="72"/>
        <v>13.090909090909092</v>
      </c>
      <c r="S103" s="73">
        <f t="shared" si="73"/>
        <v>18.545454545454547</v>
      </c>
      <c r="T103" s="73">
        <f t="shared" si="74"/>
        <v>-5.454545454545455</v>
      </c>
      <c r="U103">
        <f>75+9</f>
        <v>84</v>
      </c>
      <c r="V103" s="54">
        <f t="shared" si="75"/>
        <v>1.7142857142857142</v>
      </c>
      <c r="W103" s="9">
        <f>1.25*(-3.077-3.507+3.25+3.623-0.53+0.136-3.718-1.756)-1.094-7.43-1.557</f>
        <v>-17.054749999999999</v>
      </c>
      <c r="X103" s="263">
        <f>251+48+14</f>
        <v>313</v>
      </c>
      <c r="Y103" s="227">
        <f t="shared" si="76"/>
        <v>-0.77521590909090898</v>
      </c>
      <c r="Z103" s="227">
        <f t="shared" si="77"/>
        <v>-3.9041136363636371</v>
      </c>
      <c r="AA103" s="89">
        <f t="shared" si="78"/>
        <v>0.80625933870216981</v>
      </c>
      <c r="AB103" s="73">
        <f t="shared" si="79"/>
        <v>28.454545454545453</v>
      </c>
      <c r="AC103" s="203">
        <f>12.688+68.323+14.743+10.538+0+1.724+20.602+5.539+54.209+1.169+15.249</f>
        <v>204.78399999999999</v>
      </c>
      <c r="AD103" s="89">
        <f t="shared" si="80"/>
        <v>18.616727272727271</v>
      </c>
      <c r="AE103" s="89">
        <f t="shared" si="81"/>
        <v>4.3147105665070136</v>
      </c>
      <c r="AF103" s="9">
        <v>7</v>
      </c>
      <c r="AG103" s="9">
        <v>0</v>
      </c>
      <c r="AI103" s="54">
        <f t="shared" si="82"/>
        <v>7</v>
      </c>
      <c r="AK103" s="49">
        <v>102</v>
      </c>
      <c r="AL103" s="48">
        <f t="shared" si="83"/>
        <v>102</v>
      </c>
      <c r="AM103" s="36">
        <f t="shared" si="84"/>
        <v>0.3097614910360918</v>
      </c>
      <c r="AN103" s="34">
        <f t="shared" si="85"/>
        <v>0.22222222222222221</v>
      </c>
      <c r="AO103" s="34">
        <f t="shared" si="86"/>
        <v>0.33333333333333331</v>
      </c>
      <c r="AP103" s="34">
        <f t="shared" si="87"/>
        <v>0.13584905660377361</v>
      </c>
      <c r="AQ103" s="34">
        <f t="shared" si="88"/>
        <v>0.41847041847041844</v>
      </c>
      <c r="AR103" s="34">
        <f t="shared" si="89"/>
        <v>0.13550437223111347</v>
      </c>
      <c r="AS103" s="34">
        <f t="shared" si="90"/>
        <v>0.73725450876152532</v>
      </c>
      <c r="AT103" s="34">
        <f t="shared" si="91"/>
        <v>0.16406692685502683</v>
      </c>
      <c r="AU103" s="34">
        <f t="shared" si="92"/>
        <v>0.19360204613880608</v>
      </c>
      <c r="AV103" s="34">
        <f t="shared" si="93"/>
        <v>0.34343724600772629</v>
      </c>
      <c r="AW103" s="34">
        <f t="shared" si="94"/>
        <v>8.2352941176470587E-2</v>
      </c>
      <c r="AX103" s="48">
        <v>18</v>
      </c>
      <c r="AY103" s="218">
        <v>1</v>
      </c>
      <c r="AZ103" s="220">
        <v>1</v>
      </c>
      <c r="BB103" s="205">
        <v>0.33333333333333331</v>
      </c>
      <c r="BC103" s="245">
        <f t="shared" si="95"/>
        <v>0</v>
      </c>
      <c r="BD103" s="35">
        <v>0.30895857380509983</v>
      </c>
      <c r="BE103">
        <v>1</v>
      </c>
      <c r="BF103" s="205">
        <v>4.3147105665070136</v>
      </c>
      <c r="BG103" s="34">
        <v>0.13584905660377361</v>
      </c>
      <c r="BH103" s="34">
        <v>0.41847041847041844</v>
      </c>
      <c r="BI103" s="34">
        <f>IF(A103&lt;17, SoC!O$3, IF(A103&lt;33, SoC!O$4, IF(A103&lt;49, SoC!O$5, IF(A103&lt;65, SoC!O$6, IF(A103&lt;81, SoC!O$7, IF(A103&lt;97, SoC!O$8, SoC!O$9))))))</f>
        <v>1.0509770295874163</v>
      </c>
      <c r="BJ103" s="34"/>
      <c r="BK103" s="34"/>
      <c r="BL103" s="34"/>
      <c r="BM103" s="17" t="s">
        <v>117</v>
      </c>
      <c r="BN103">
        <v>102</v>
      </c>
      <c r="BO103">
        <v>103</v>
      </c>
      <c r="BP103">
        <v>105</v>
      </c>
      <c r="BQ103">
        <v>107</v>
      </c>
      <c r="BR103">
        <v>106</v>
      </c>
      <c r="BS103">
        <v>109</v>
      </c>
      <c r="BT103">
        <v>109</v>
      </c>
      <c r="BU103">
        <v>94</v>
      </c>
      <c r="BV103">
        <v>81</v>
      </c>
      <c r="BW103" s="154">
        <v>63</v>
      </c>
      <c r="BX103">
        <v>96</v>
      </c>
      <c r="BY103">
        <v>95</v>
      </c>
    </row>
    <row r="104" spans="1:77" x14ac:dyDescent="0.35">
      <c r="A104">
        <v>85</v>
      </c>
      <c r="B104" s="58" t="s">
        <v>799</v>
      </c>
      <c r="C104" s="58" t="s">
        <v>1104</v>
      </c>
      <c r="D104" s="58" t="s">
        <v>786</v>
      </c>
      <c r="F104" s="6">
        <v>2</v>
      </c>
      <c r="G104" s="6">
        <v>7</v>
      </c>
      <c r="I104" s="6">
        <v>2</v>
      </c>
      <c r="J104" s="6">
        <v>4</v>
      </c>
      <c r="L104" s="6">
        <v>1</v>
      </c>
      <c r="N104" s="6">
        <v>3</v>
      </c>
      <c r="P104">
        <f>157+12</f>
        <v>169</v>
      </c>
      <c r="Q104">
        <f>258+19</f>
        <v>277</v>
      </c>
      <c r="R104" s="73">
        <f t="shared" si="72"/>
        <v>13</v>
      </c>
      <c r="S104" s="73">
        <f t="shared" si="73"/>
        <v>21.307692307692307</v>
      </c>
      <c r="T104" s="73">
        <f t="shared" si="74"/>
        <v>-8.3076923076923066</v>
      </c>
      <c r="U104">
        <f>95+8</f>
        <v>103</v>
      </c>
      <c r="V104" s="54">
        <f t="shared" si="75"/>
        <v>1.6407766990291262</v>
      </c>
      <c r="W104" s="9">
        <f>1.25*(2.918-4.446-3.67-6.6-0.178+0.49+0.666-7.097-3.986)-7.418+0.71-9.237-9.955</f>
        <v>-53.278749999999995</v>
      </c>
      <c r="X104" s="263">
        <f>431+14+57+37</f>
        <v>539</v>
      </c>
      <c r="Y104" s="227">
        <f t="shared" si="76"/>
        <v>-2.0491826923076921</v>
      </c>
      <c r="Z104" s="227">
        <f t="shared" si="77"/>
        <v>-4.2093269230769224</v>
      </c>
      <c r="AA104" s="89">
        <f t="shared" si="78"/>
        <v>0.39298298696031347</v>
      </c>
      <c r="AB104" s="73">
        <f t="shared" si="79"/>
        <v>41.46153846153846</v>
      </c>
      <c r="AC104" s="203">
        <f>7.711+2.729+9.065+42.223+28.92+3.919+5.394+4.288+17.3+34.533+6.433+6.688+12.326</f>
        <v>181.52899999999997</v>
      </c>
      <c r="AD104" s="89">
        <f t="shared" si="80"/>
        <v>13.963769230769229</v>
      </c>
      <c r="AE104" s="89">
        <f t="shared" si="81"/>
        <v>3.7368127101541</v>
      </c>
      <c r="AF104" s="9">
        <v>14</v>
      </c>
      <c r="AG104" s="9">
        <v>6</v>
      </c>
      <c r="AH104" s="9">
        <v>8</v>
      </c>
      <c r="AI104" s="54">
        <f t="shared" si="82"/>
        <v>28</v>
      </c>
      <c r="AK104" s="49">
        <v>103</v>
      </c>
      <c r="AL104" s="48">
        <f t="shared" si="83"/>
        <v>103</v>
      </c>
      <c r="AM104" s="36">
        <f t="shared" si="84"/>
        <v>0.3071273873230792</v>
      </c>
      <c r="AN104" s="34">
        <f t="shared" si="85"/>
        <v>0.24444444444444446</v>
      </c>
      <c r="AO104" s="34">
        <f t="shared" si="86"/>
        <v>0.33333333333333331</v>
      </c>
      <c r="AP104" s="34">
        <f t="shared" si="87"/>
        <v>0.1283018867924528</v>
      </c>
      <c r="AQ104" s="34">
        <f t="shared" si="88"/>
        <v>0.19047619047619069</v>
      </c>
      <c r="AR104" s="34">
        <f t="shared" si="89"/>
        <v>6.4263048628812103E-2</v>
      </c>
      <c r="AS104" s="34">
        <f t="shared" si="90"/>
        <v>0.85683650371311715</v>
      </c>
      <c r="AT104" s="34">
        <f t="shared" si="91"/>
        <v>0.13861070455775762</v>
      </c>
      <c r="AU104" s="34">
        <f t="shared" si="92"/>
        <v>0.12579065178221116</v>
      </c>
      <c r="AV104" s="34">
        <f t="shared" si="93"/>
        <v>0.26507608105878844</v>
      </c>
      <c r="AW104" s="34">
        <f t="shared" si="94"/>
        <v>0.32941176470588235</v>
      </c>
      <c r="AX104" s="48">
        <v>57</v>
      </c>
      <c r="AY104" s="218">
        <v>1</v>
      </c>
      <c r="AZ104" s="220">
        <v>3</v>
      </c>
      <c r="BB104" s="205">
        <v>1.3333333333333333</v>
      </c>
      <c r="BC104" s="245">
        <f t="shared" si="95"/>
        <v>0</v>
      </c>
      <c r="BD104" s="35">
        <v>0.30749080102556564</v>
      </c>
      <c r="BE104">
        <v>2</v>
      </c>
      <c r="BF104" s="205">
        <v>3.7368127101541</v>
      </c>
      <c r="BG104" s="34">
        <v>0.1283018867924528</v>
      </c>
      <c r="BH104" s="34">
        <v>0.19047619047619069</v>
      </c>
      <c r="BI104" s="34">
        <f>IF(A104&lt;17, SoC!O$3, IF(A104&lt;33, SoC!O$4, IF(A104&lt;49, SoC!O$5, IF(A104&lt;65, SoC!O$6, IF(A104&lt;81, SoC!O$7, IF(A104&lt;97, SoC!O$8, SoC!O$9))))))</f>
        <v>0.8076740483754814</v>
      </c>
      <c r="BJ104" s="34"/>
      <c r="BK104" s="34"/>
      <c r="BL104" s="34"/>
      <c r="BM104" s="58" t="s">
        <v>786</v>
      </c>
      <c r="BN104">
        <v>103</v>
      </c>
      <c r="BO104">
        <v>102</v>
      </c>
      <c r="BP104">
        <v>101</v>
      </c>
      <c r="BQ104">
        <v>100</v>
      </c>
      <c r="BR104">
        <v>96</v>
      </c>
      <c r="BS104">
        <v>98</v>
      </c>
      <c r="BT104">
        <v>74</v>
      </c>
      <c r="BU104">
        <v>82</v>
      </c>
      <c r="BV104">
        <v>105</v>
      </c>
      <c r="BW104" s="154">
        <v>105</v>
      </c>
      <c r="BX104">
        <v>79</v>
      </c>
      <c r="BY104">
        <v>56</v>
      </c>
    </row>
    <row r="105" spans="1:77" x14ac:dyDescent="0.35">
      <c r="A105">
        <v>46</v>
      </c>
      <c r="B105" s="17" t="s">
        <v>171</v>
      </c>
      <c r="C105" s="17" t="s">
        <v>1097</v>
      </c>
      <c r="D105" s="17" t="s">
        <v>54</v>
      </c>
      <c r="F105" s="6">
        <v>2</v>
      </c>
      <c r="G105" s="6">
        <v>7</v>
      </c>
      <c r="I105" s="6">
        <v>0</v>
      </c>
      <c r="J105" s="6">
        <v>6</v>
      </c>
      <c r="N105" s="6">
        <v>2</v>
      </c>
      <c r="P105">
        <f>146+14</f>
        <v>160</v>
      </c>
      <c r="Q105">
        <f>209+19</f>
        <v>228</v>
      </c>
      <c r="R105" s="73">
        <f t="shared" si="72"/>
        <v>14.545454545454545</v>
      </c>
      <c r="S105" s="73">
        <f t="shared" si="73"/>
        <v>20.727272727272727</v>
      </c>
      <c r="T105" s="73">
        <f t="shared" si="74"/>
        <v>-6.1818181818181817</v>
      </c>
      <c r="U105">
        <f>83+8</f>
        <v>91</v>
      </c>
      <c r="V105" s="54">
        <f t="shared" si="75"/>
        <v>1.7582417582417582</v>
      </c>
      <c r="W105" s="9">
        <f>1.25*(-4.294-0.104-1.416-3.735-1.711-6.047-7.3-4.427)-6.392-7.126-5.032</f>
        <v>-54.842500000000001</v>
      </c>
      <c r="X105" s="263">
        <f>347+52+17</f>
        <v>416</v>
      </c>
      <c r="Y105" s="227">
        <f t="shared" si="76"/>
        <v>-2.4928409090909089</v>
      </c>
      <c r="Z105" s="227">
        <f t="shared" si="77"/>
        <v>-1.1961363636363638</v>
      </c>
      <c r="AA105" s="89">
        <f t="shared" si="78"/>
        <v>0.91055319811649149</v>
      </c>
      <c r="AB105" s="73">
        <f t="shared" si="79"/>
        <v>37.81818181818182</v>
      </c>
      <c r="AC105" s="203">
        <f>0.596+8.386+25.242+30.686+16.098+1.107+1.606+40.75+17.845+30.59+14.475</f>
        <v>187.38099999999997</v>
      </c>
      <c r="AD105" s="89">
        <f t="shared" si="80"/>
        <v>17.034636363636363</v>
      </c>
      <c r="AE105" s="89">
        <f t="shared" si="81"/>
        <v>4.1273037644007209</v>
      </c>
      <c r="AF105" s="9">
        <v>14</v>
      </c>
      <c r="AG105" s="9">
        <v>0</v>
      </c>
      <c r="AI105" s="54">
        <f t="shared" si="82"/>
        <v>14</v>
      </c>
      <c r="AK105" s="49">
        <v>104</v>
      </c>
      <c r="AL105" s="48">
        <f t="shared" si="83"/>
        <v>104</v>
      </c>
      <c r="AM105" s="36">
        <f t="shared" si="84"/>
        <v>0.30643324621910717</v>
      </c>
      <c r="AN105" s="34">
        <f t="shared" si="85"/>
        <v>0.22222222222222221</v>
      </c>
      <c r="AO105" s="34">
        <f t="shared" si="86"/>
        <v>0</v>
      </c>
      <c r="AP105" s="34">
        <f t="shared" si="87"/>
        <v>0.2566037735849056</v>
      </c>
      <c r="AQ105" s="34">
        <f t="shared" si="88"/>
        <v>0.23838383838383848</v>
      </c>
      <c r="AR105" s="34">
        <f t="shared" si="89"/>
        <v>0.17810440898604557</v>
      </c>
      <c r="AS105" s="34">
        <f t="shared" si="90"/>
        <v>0.89848086629660773</v>
      </c>
      <c r="AT105" s="34">
        <f t="shared" si="91"/>
        <v>0.3899249560805208</v>
      </c>
      <c r="AU105" s="34">
        <f t="shared" si="92"/>
        <v>0.20870717998230603</v>
      </c>
      <c r="AV105" s="34">
        <f t="shared" si="93"/>
        <v>0.31802546229722228</v>
      </c>
      <c r="AW105" s="34">
        <f t="shared" si="94"/>
        <v>0.16470588235294117</v>
      </c>
      <c r="AX105" s="48">
        <v>55</v>
      </c>
      <c r="AY105" s="218">
        <v>1</v>
      </c>
      <c r="AZ105" s="220">
        <v>1</v>
      </c>
      <c r="BB105" s="205">
        <v>-0.66666666666666663</v>
      </c>
      <c r="BC105" s="245">
        <f t="shared" si="95"/>
        <v>0</v>
      </c>
      <c r="BD105" s="35">
        <v>0.305560274260336</v>
      </c>
      <c r="BE105">
        <v>2</v>
      </c>
      <c r="BF105" s="205">
        <v>4.1273037644007209</v>
      </c>
      <c r="BG105" s="34">
        <v>0.2566037735849056</v>
      </c>
      <c r="BH105" s="34">
        <v>0.23838383838383848</v>
      </c>
      <c r="BI105" s="34">
        <f>IF(A105&lt;17, SoC!O$3, IF(A105&lt;33, SoC!O$4, IF(A105&lt;49, SoC!O$5, IF(A105&lt;65, SoC!O$6, IF(A105&lt;81, SoC!O$7, IF(A105&lt;97, SoC!O$8, SoC!O$9))))))</f>
        <v>1.0509770295874163</v>
      </c>
      <c r="BJ105" s="34"/>
      <c r="BK105" s="34"/>
      <c r="BL105" s="34"/>
      <c r="BM105" s="17" t="s">
        <v>54</v>
      </c>
      <c r="BN105">
        <v>104</v>
      </c>
      <c r="BO105">
        <v>104</v>
      </c>
      <c r="BP105">
        <v>104</v>
      </c>
      <c r="BQ105">
        <v>102</v>
      </c>
      <c r="BR105">
        <v>105</v>
      </c>
      <c r="BS105">
        <v>107</v>
      </c>
      <c r="BT105">
        <v>108</v>
      </c>
      <c r="BU105">
        <v>95</v>
      </c>
      <c r="BV105">
        <v>89</v>
      </c>
      <c r="BW105" s="154">
        <v>110</v>
      </c>
      <c r="BX105">
        <v>102</v>
      </c>
      <c r="BY105">
        <v>58</v>
      </c>
    </row>
    <row r="106" spans="1:77" x14ac:dyDescent="0.35">
      <c r="A106">
        <v>102</v>
      </c>
      <c r="B106" s="69" t="s">
        <v>1296</v>
      </c>
      <c r="C106" s="69" t="s">
        <v>1108</v>
      </c>
      <c r="D106" s="69" t="s">
        <v>1308</v>
      </c>
      <c r="F106" s="6">
        <v>2</v>
      </c>
      <c r="G106" s="6">
        <v>7</v>
      </c>
      <c r="I106" s="6">
        <v>1</v>
      </c>
      <c r="J106" s="6">
        <v>4</v>
      </c>
      <c r="N106" s="6">
        <v>2</v>
      </c>
      <c r="P106">
        <f>118+8</f>
        <v>126</v>
      </c>
      <c r="Q106">
        <f>163+21</f>
        <v>184</v>
      </c>
      <c r="R106" s="73">
        <f t="shared" si="72"/>
        <v>11.454545454545455</v>
      </c>
      <c r="S106" s="73">
        <f t="shared" si="73"/>
        <v>16.727272727272727</v>
      </c>
      <c r="T106" s="73">
        <f t="shared" si="74"/>
        <v>-5.2727272727272716</v>
      </c>
      <c r="U106">
        <f>72+6</f>
        <v>78</v>
      </c>
      <c r="V106" s="54">
        <f t="shared" si="75"/>
        <v>1.6153846153846154</v>
      </c>
      <c r="W106" s="9">
        <f>1.25*(2.123-4.054-1.439-1.135+1.664-7.084-0.232-2.121)-2.52-6.966-4.987</f>
        <v>-29.820500000000003</v>
      </c>
      <c r="X106" s="263">
        <f>237+50+20</f>
        <v>307</v>
      </c>
      <c r="Y106" s="227">
        <f t="shared" si="76"/>
        <v>-1.3554772727272728</v>
      </c>
      <c r="Z106" s="227">
        <f t="shared" si="77"/>
        <v>-2.561772727272726</v>
      </c>
      <c r="AA106" s="89">
        <f t="shared" si="78"/>
        <v>0.65701776371611631</v>
      </c>
      <c r="AB106" s="73">
        <f t="shared" si="79"/>
        <v>27.90909090909091</v>
      </c>
      <c r="AC106" s="203">
        <f>4.596+11.982+0+11.082+3.369+35.997+0+45.954+0+29.158+2.092</f>
        <v>144.22999999999999</v>
      </c>
      <c r="AD106" s="89">
        <f t="shared" si="80"/>
        <v>13.111818181818181</v>
      </c>
      <c r="AE106" s="89">
        <f t="shared" si="81"/>
        <v>3.6210244657856401</v>
      </c>
      <c r="AF106" s="9">
        <v>14</v>
      </c>
      <c r="AG106" s="9">
        <v>0</v>
      </c>
      <c r="AI106" s="54">
        <f t="shared" si="82"/>
        <v>14</v>
      </c>
      <c r="AK106" s="49">
        <v>105</v>
      </c>
      <c r="AL106" s="48">
        <f t="shared" si="83"/>
        <v>105</v>
      </c>
      <c r="AM106" s="36">
        <f t="shared" si="84"/>
        <v>0.30090845460757543</v>
      </c>
      <c r="AN106" s="34">
        <f t="shared" si="85"/>
        <v>0.22222222222222221</v>
      </c>
      <c r="AO106" s="34">
        <f t="shared" si="86"/>
        <v>0.2</v>
      </c>
      <c r="AP106" s="34">
        <f t="shared" si="87"/>
        <v>0</v>
      </c>
      <c r="AQ106" s="34">
        <f t="shared" si="88"/>
        <v>0.56854256854256868</v>
      </c>
      <c r="AR106" s="34">
        <f t="shared" si="89"/>
        <v>3.9654289532516512E-2</v>
      </c>
      <c r="AS106" s="34">
        <f t="shared" si="90"/>
        <v>0.79172124397871813</v>
      </c>
      <c r="AT106" s="34">
        <f t="shared" si="91"/>
        <v>0.27602446628101041</v>
      </c>
      <c r="AU106" s="34">
        <f t="shared" si="92"/>
        <v>0.17086174419887862</v>
      </c>
      <c r="AV106" s="34">
        <f t="shared" si="93"/>
        <v>0.24937555264124769</v>
      </c>
      <c r="AW106" s="34">
        <f t="shared" si="94"/>
        <v>0.16470588235294117</v>
      </c>
      <c r="AX106" s="48">
        <v>50</v>
      </c>
      <c r="AY106" s="218">
        <v>1</v>
      </c>
      <c r="AZ106" s="220">
        <v>1</v>
      </c>
      <c r="BB106" s="205">
        <v>-1</v>
      </c>
      <c r="BC106" s="245">
        <f t="shared" si="95"/>
        <v>0</v>
      </c>
      <c r="BD106" s="35">
        <v>0.30117975835876404</v>
      </c>
      <c r="BE106">
        <v>2</v>
      </c>
      <c r="BF106" s="205">
        <v>3.6210244657856401</v>
      </c>
      <c r="BG106" s="34">
        <v>0</v>
      </c>
      <c r="BH106" s="34">
        <v>0.56854256854256868</v>
      </c>
      <c r="BI106" s="34">
        <f>IF(A106&lt;17, SoC!O$3, IF(A106&lt;33, SoC!O$4, IF(A106&lt;49, SoC!O$5, IF(A106&lt;65, SoC!O$6, IF(A106&lt;81, SoC!O$7, IF(A106&lt;97, SoC!O$8, SoC!O$9))))))</f>
        <v>0.84292189346881985</v>
      </c>
      <c r="BJ106" s="34"/>
      <c r="BK106" s="34"/>
      <c r="BL106" s="34"/>
      <c r="BM106" s="69" t="s">
        <v>1308</v>
      </c>
      <c r="BN106">
        <v>105</v>
      </c>
      <c r="BO106">
        <v>105</v>
      </c>
      <c r="BP106">
        <v>102</v>
      </c>
      <c r="BQ106">
        <v>101</v>
      </c>
      <c r="BR106">
        <v>103</v>
      </c>
      <c r="BS106">
        <v>100</v>
      </c>
      <c r="BT106">
        <v>100</v>
      </c>
      <c r="BU106">
        <v>107</v>
      </c>
      <c r="BV106">
        <v>107</v>
      </c>
      <c r="BW106" s="154">
        <v>90</v>
      </c>
      <c r="BX106">
        <v>89</v>
      </c>
      <c r="BY106">
        <v>63</v>
      </c>
    </row>
    <row r="107" spans="1:77" x14ac:dyDescent="0.35">
      <c r="A107">
        <v>62</v>
      </c>
      <c r="B107" s="19" t="s">
        <v>172</v>
      </c>
      <c r="C107" s="19" t="s">
        <v>1100</v>
      </c>
      <c r="D107" s="19" t="s">
        <v>1859</v>
      </c>
      <c r="F107" s="6">
        <v>1</v>
      </c>
      <c r="G107" s="6">
        <v>8</v>
      </c>
      <c r="I107" s="6">
        <v>0</v>
      </c>
      <c r="J107" s="6">
        <v>6</v>
      </c>
      <c r="L107" s="6">
        <v>1</v>
      </c>
      <c r="N107" s="6">
        <v>2</v>
      </c>
      <c r="P107">
        <f>143+15</f>
        <v>158</v>
      </c>
      <c r="Q107">
        <f>226+17</f>
        <v>243</v>
      </c>
      <c r="R107" s="73">
        <f t="shared" si="72"/>
        <v>13.166666666666666</v>
      </c>
      <c r="S107" s="73">
        <f t="shared" si="73"/>
        <v>20.25</v>
      </c>
      <c r="T107" s="73">
        <f t="shared" si="74"/>
        <v>-7.0833333333333339</v>
      </c>
      <c r="U107">
        <f>80+6</f>
        <v>86</v>
      </c>
      <c r="V107" s="54">
        <f t="shared" si="75"/>
        <v>1.8372093023255813</v>
      </c>
      <c r="W107" s="9">
        <f>1.25*(-4.383-2.212-1.521-0.279-4.389-7.065-0.765-5.009-2.64)-9.397-6.202-2.659</f>
        <v>-53.586749999999995</v>
      </c>
      <c r="X107" s="263">
        <f>488+50+20</f>
        <v>558</v>
      </c>
      <c r="Y107" s="227">
        <f t="shared" si="76"/>
        <v>-2.2327812499999999</v>
      </c>
      <c r="Z107" s="227">
        <f t="shared" si="77"/>
        <v>-2.617770833333334</v>
      </c>
      <c r="AA107" s="89">
        <f t="shared" si="78"/>
        <v>0.99077220119451193</v>
      </c>
      <c r="AB107" s="73">
        <f t="shared" si="79"/>
        <v>46.5</v>
      </c>
      <c r="AC107" s="203">
        <f>44.676+11.505+92.724+0+10.668+6.004+25.792+1.994+10.184+10.404+0+18.801</f>
        <v>232.75199999999998</v>
      </c>
      <c r="AD107" s="89">
        <f t="shared" si="80"/>
        <v>19.395999999999997</v>
      </c>
      <c r="AE107" s="89">
        <f t="shared" si="81"/>
        <v>4.4040890090914369</v>
      </c>
      <c r="AF107" s="9">
        <v>21</v>
      </c>
      <c r="AG107" s="9">
        <v>0</v>
      </c>
      <c r="AI107" s="54">
        <f t="shared" si="82"/>
        <v>21</v>
      </c>
      <c r="AK107" s="49">
        <v>106</v>
      </c>
      <c r="AL107" s="48">
        <f t="shared" si="83"/>
        <v>106</v>
      </c>
      <c r="AM107" s="36">
        <f t="shared" si="84"/>
        <v>0.28129675653606273</v>
      </c>
      <c r="AN107" s="34">
        <f t="shared" si="85"/>
        <v>0.13333333333333333</v>
      </c>
      <c r="AO107" s="34">
        <f t="shared" si="86"/>
        <v>0</v>
      </c>
      <c r="AP107" s="34">
        <f t="shared" si="87"/>
        <v>0.14213836477987413</v>
      </c>
      <c r="AQ107" s="34">
        <f t="shared" si="88"/>
        <v>0.2777777777777779</v>
      </c>
      <c r="AR107" s="34">
        <f t="shared" si="89"/>
        <v>0.25463587036554552</v>
      </c>
      <c r="AS107" s="34">
        <f t="shared" si="90"/>
        <v>0.87407014126812799</v>
      </c>
      <c r="AT107" s="34">
        <f t="shared" si="91"/>
        <v>0.27135396110262999</v>
      </c>
      <c r="AU107" s="34">
        <f t="shared" si="92"/>
        <v>0.21996592877698334</v>
      </c>
      <c r="AV107" s="34">
        <f t="shared" si="93"/>
        <v>0.35555668684877351</v>
      </c>
      <c r="AW107" s="34">
        <f t="shared" si="94"/>
        <v>0.24705882352941178</v>
      </c>
      <c r="AX107" s="48">
        <v>54</v>
      </c>
      <c r="AY107" s="218">
        <v>1</v>
      </c>
      <c r="AZ107" s="220">
        <v>1</v>
      </c>
      <c r="BB107" s="205">
        <v>-0.33333333333333331</v>
      </c>
      <c r="BC107" s="245">
        <f t="shared" si="95"/>
        <v>0</v>
      </c>
      <c r="BD107" s="35">
        <v>0.28045049184637483</v>
      </c>
      <c r="BE107">
        <v>2</v>
      </c>
      <c r="BF107" s="205">
        <v>4.4040890090914369</v>
      </c>
      <c r="BG107" s="34">
        <v>0.14213836477987413</v>
      </c>
      <c r="BH107" s="34">
        <v>0.2777777777777779</v>
      </c>
      <c r="BI107" s="34">
        <f>IF(A107&lt;17, SoC!O$3, IF(A107&lt;33, SoC!O$4, IF(A107&lt;49, SoC!O$5, IF(A107&lt;65, SoC!O$6, IF(A107&lt;81, SoC!O$7, IF(A107&lt;97, SoC!O$8, SoC!O$9))))))</f>
        <v>1.1793104273940098</v>
      </c>
      <c r="BJ107" s="34"/>
      <c r="BK107" s="34"/>
      <c r="BL107" s="34"/>
      <c r="BM107" s="19" t="s">
        <v>1859</v>
      </c>
      <c r="BN107">
        <v>106</v>
      </c>
      <c r="BO107">
        <v>106</v>
      </c>
      <c r="BP107">
        <v>107</v>
      </c>
      <c r="BQ107">
        <v>109</v>
      </c>
      <c r="BR107">
        <v>107</v>
      </c>
      <c r="BS107">
        <v>103</v>
      </c>
      <c r="BT107">
        <v>99</v>
      </c>
      <c r="BU107">
        <v>84</v>
      </c>
      <c r="BV107">
        <v>65</v>
      </c>
      <c r="BW107" s="154">
        <v>82</v>
      </c>
      <c r="BX107">
        <v>59</v>
      </c>
      <c r="BY107">
        <v>59</v>
      </c>
    </row>
    <row r="108" spans="1:77" x14ac:dyDescent="0.35">
      <c r="A108">
        <v>98</v>
      </c>
      <c r="B108" s="69" t="s">
        <v>1296</v>
      </c>
      <c r="C108" s="69" t="s">
        <v>1107</v>
      </c>
      <c r="D108" s="69" t="s">
        <v>959</v>
      </c>
      <c r="F108" s="6">
        <v>0</v>
      </c>
      <c r="G108" s="6">
        <v>9</v>
      </c>
      <c r="I108" s="6">
        <v>0</v>
      </c>
      <c r="J108" s="6">
        <v>5</v>
      </c>
      <c r="L108" s="6">
        <v>1</v>
      </c>
      <c r="M108" s="6">
        <v>1</v>
      </c>
      <c r="N108" s="6">
        <v>3</v>
      </c>
      <c r="P108">
        <f>180+11</f>
        <v>191</v>
      </c>
      <c r="Q108">
        <f>272+20</f>
        <v>292</v>
      </c>
      <c r="R108" s="73">
        <f t="shared" si="72"/>
        <v>13.642857142857142</v>
      </c>
      <c r="S108" s="73">
        <f t="shared" si="73"/>
        <v>20.857142857142858</v>
      </c>
      <c r="T108" s="73">
        <f t="shared" si="74"/>
        <v>-7.2142857142857153</v>
      </c>
      <c r="U108">
        <f>103+8</f>
        <v>111</v>
      </c>
      <c r="V108" s="54">
        <f t="shared" si="75"/>
        <v>1.7207207207207207</v>
      </c>
      <c r="W108" s="9">
        <f>1.25*(0.9-3.89+1.916-2.878-5.509+2.202-7.223-0.896)-7.501-2.583-7.004-7.031-11.205-3.619</f>
        <v>-58.165499999999994</v>
      </c>
      <c r="X108" s="263">
        <f>400+38+48+50+18</f>
        <v>554</v>
      </c>
      <c r="Y108" s="227">
        <f t="shared" si="76"/>
        <v>-2.0773392857142854</v>
      </c>
      <c r="Z108" s="227">
        <f t="shared" si="77"/>
        <v>-3.0596071428571445</v>
      </c>
      <c r="AA108" s="89">
        <f t="shared" si="78"/>
        <v>0.58360499699287127</v>
      </c>
      <c r="AB108" s="73">
        <f t="shared" si="79"/>
        <v>39.571428571428569</v>
      </c>
      <c r="AC108" s="203">
        <f>13.73+7.072+11.227+19.076+3.77+22.981+21.524+44.094+11.74+11.608+0+16.992+12.849+2.245</f>
        <v>198.90799999999999</v>
      </c>
      <c r="AD108" s="89">
        <f t="shared" si="80"/>
        <v>14.207714285714285</v>
      </c>
      <c r="AE108" s="89">
        <f t="shared" si="81"/>
        <v>3.769312176739184</v>
      </c>
      <c r="AF108" s="9">
        <v>28</v>
      </c>
      <c r="AG108" s="9">
        <v>12</v>
      </c>
      <c r="AH108" s="9">
        <v>11</v>
      </c>
      <c r="AI108" s="54">
        <f t="shared" si="82"/>
        <v>51</v>
      </c>
      <c r="AK108" s="49">
        <v>107</v>
      </c>
      <c r="AL108" s="48">
        <f t="shared" si="83"/>
        <v>107</v>
      </c>
      <c r="AM108" s="36">
        <f t="shared" si="84"/>
        <v>0.27262718849386403</v>
      </c>
      <c r="AN108" s="34">
        <f t="shared" si="85"/>
        <v>4.4444444444444446E-2</v>
      </c>
      <c r="AO108" s="34">
        <f t="shared" si="86"/>
        <v>0.05</v>
      </c>
      <c r="AP108" s="34">
        <f t="shared" si="87"/>
        <v>0.18167115902964953</v>
      </c>
      <c r="AQ108" s="34">
        <f t="shared" si="88"/>
        <v>0.22766439909297054</v>
      </c>
      <c r="AR108" s="34">
        <f t="shared" si="89"/>
        <v>0.14174086409838962</v>
      </c>
      <c r="AS108" s="34">
        <f t="shared" si="90"/>
        <v>0.85947944672776888</v>
      </c>
      <c r="AT108" s="34">
        <f t="shared" si="91"/>
        <v>0.23450273671668462</v>
      </c>
      <c r="AU108" s="34">
        <f t="shared" si="92"/>
        <v>0.15906841376132999</v>
      </c>
      <c r="AV108" s="34">
        <f t="shared" si="93"/>
        <v>0.26948290837927436</v>
      </c>
      <c r="AW108" s="34">
        <f t="shared" si="94"/>
        <v>0.6</v>
      </c>
      <c r="AX108" s="48">
        <v>86</v>
      </c>
      <c r="AY108" s="218">
        <v>1</v>
      </c>
      <c r="AZ108" s="220">
        <v>5</v>
      </c>
      <c r="BB108" s="205">
        <v>0.66666666666666663</v>
      </c>
      <c r="BC108" s="245">
        <f t="shared" si="95"/>
        <v>0</v>
      </c>
      <c r="BD108" s="35">
        <v>0.2728777087431361</v>
      </c>
      <c r="BE108">
        <v>4</v>
      </c>
      <c r="BF108" s="205">
        <v>3.769312176739184</v>
      </c>
      <c r="BG108" s="34">
        <v>0.18167115902964953</v>
      </c>
      <c r="BH108" s="34">
        <v>0.22766439909297054</v>
      </c>
      <c r="BI108" s="34">
        <f>IF(A108&lt;17, SoC!O$3, IF(A108&lt;33, SoC!O$4, IF(A108&lt;49, SoC!O$5, IF(A108&lt;65, SoC!O$6, IF(A108&lt;81, SoC!O$7, IF(A108&lt;97, SoC!O$8, SoC!O$9))))))</f>
        <v>0.84292189346881985</v>
      </c>
      <c r="BJ108" s="34"/>
      <c r="BK108" s="34"/>
      <c r="BL108" s="34"/>
      <c r="BM108" s="69" t="s">
        <v>959</v>
      </c>
      <c r="BN108">
        <v>107</v>
      </c>
      <c r="BO108">
        <v>107</v>
      </c>
      <c r="BP108">
        <v>106</v>
      </c>
      <c r="BQ108">
        <v>104</v>
      </c>
      <c r="BR108">
        <v>93</v>
      </c>
      <c r="BS108">
        <v>97</v>
      </c>
      <c r="BT108">
        <v>106</v>
      </c>
      <c r="BU108">
        <v>98</v>
      </c>
      <c r="BV108">
        <v>94</v>
      </c>
      <c r="BW108" s="154">
        <v>83</v>
      </c>
      <c r="BX108">
        <v>60</v>
      </c>
      <c r="BY108">
        <v>27</v>
      </c>
    </row>
    <row r="109" spans="1:77" x14ac:dyDescent="0.35">
      <c r="A109">
        <v>33</v>
      </c>
      <c r="B109" s="17" t="s">
        <v>171</v>
      </c>
      <c r="C109" s="17" t="s">
        <v>1095</v>
      </c>
      <c r="D109" s="17" t="s">
        <v>48</v>
      </c>
      <c r="F109" s="6">
        <v>1</v>
      </c>
      <c r="G109" s="6">
        <v>8</v>
      </c>
      <c r="I109" s="6">
        <v>0</v>
      </c>
      <c r="J109" s="6">
        <v>6</v>
      </c>
      <c r="L109" s="6">
        <v>1</v>
      </c>
      <c r="N109" s="6">
        <v>2</v>
      </c>
      <c r="P109">
        <f>127+25</f>
        <v>152</v>
      </c>
      <c r="Q109">
        <f>241+11</f>
        <v>252</v>
      </c>
      <c r="R109" s="73">
        <f t="shared" si="72"/>
        <v>12.666666666666666</v>
      </c>
      <c r="S109" s="73">
        <f t="shared" si="73"/>
        <v>21</v>
      </c>
      <c r="T109" s="73">
        <f t="shared" si="74"/>
        <v>-8.3333333333333339</v>
      </c>
      <c r="U109">
        <f>74+13</f>
        <v>87</v>
      </c>
      <c r="V109" s="54">
        <f t="shared" si="75"/>
        <v>1.7471264367816093</v>
      </c>
      <c r="W109" s="9">
        <f>1.25*(-4.556+0.734-5.051-10.502-0.043-4.328-7.102-6.455-0.492)-8.738-8.908-4.09</f>
        <v>-68.979749999999996</v>
      </c>
      <c r="X109" s="263">
        <f>311+17+15</f>
        <v>343</v>
      </c>
      <c r="Y109" s="227">
        <f t="shared" si="76"/>
        <v>-2.87415625</v>
      </c>
      <c r="Z109" s="227">
        <f t="shared" si="77"/>
        <v>-2.585020833333334</v>
      </c>
      <c r="AA109" s="89">
        <f t="shared" si="78"/>
        <v>0.3553756915702862</v>
      </c>
      <c r="AB109" s="73">
        <f t="shared" si="79"/>
        <v>28.583333333333332</v>
      </c>
      <c r="AC109" s="203">
        <f>16.982+6.336+0.38+8.459+84.866+7.533+0.51+9.597+0+9.042+1.093+94.124</f>
        <v>238.922</v>
      </c>
      <c r="AD109" s="89">
        <f t="shared" si="80"/>
        <v>19.910166666666665</v>
      </c>
      <c r="AE109" s="89">
        <f t="shared" si="81"/>
        <v>4.462080979393658</v>
      </c>
      <c r="AF109" s="9">
        <v>14</v>
      </c>
      <c r="AG109" s="9">
        <v>0</v>
      </c>
      <c r="AI109" s="54">
        <f t="shared" si="82"/>
        <v>14</v>
      </c>
      <c r="AK109" s="49">
        <v>108</v>
      </c>
      <c r="AL109" s="48">
        <f t="shared" si="83"/>
        <v>108</v>
      </c>
      <c r="AM109" s="36">
        <f t="shared" si="84"/>
        <v>0.25281044905263378</v>
      </c>
      <c r="AN109" s="34">
        <f t="shared" si="85"/>
        <v>0.13333333333333333</v>
      </c>
      <c r="AO109" s="34">
        <f t="shared" si="86"/>
        <v>0</v>
      </c>
      <c r="AP109" s="34">
        <f t="shared" si="87"/>
        <v>0.10062893081760997</v>
      </c>
      <c r="AQ109" s="34">
        <f t="shared" si="88"/>
        <v>0.21587301587301599</v>
      </c>
      <c r="AR109" s="34">
        <f t="shared" si="89"/>
        <v>0.16733198589859161</v>
      </c>
      <c r="AS109" s="34">
        <f t="shared" si="90"/>
        <v>0.93427336086732071</v>
      </c>
      <c r="AT109" s="34">
        <f t="shared" si="91"/>
        <v>0.27408546499360814</v>
      </c>
      <c r="AU109" s="34">
        <f t="shared" si="92"/>
        <v>0.11860921801551198</v>
      </c>
      <c r="AV109" s="34">
        <f t="shared" si="93"/>
        <v>0.36342021896021831</v>
      </c>
      <c r="AW109" s="34">
        <f t="shared" si="94"/>
        <v>0.16470588235294117</v>
      </c>
      <c r="AX109" s="48">
        <v>21</v>
      </c>
      <c r="AY109" s="218">
        <v>1</v>
      </c>
      <c r="AZ109" s="220">
        <v>1</v>
      </c>
      <c r="BB109" s="205">
        <v>0.66666666666666663</v>
      </c>
      <c r="BC109" s="245">
        <f t="shared" si="95"/>
        <v>0</v>
      </c>
      <c r="BD109" s="35">
        <v>0.25234335573393646</v>
      </c>
      <c r="BE109">
        <v>1</v>
      </c>
      <c r="BF109" s="205">
        <v>4.462080979393658</v>
      </c>
      <c r="BG109" s="34">
        <v>0.10062893081760997</v>
      </c>
      <c r="BH109" s="34">
        <v>0.21587301587301599</v>
      </c>
      <c r="BI109" s="34">
        <f>IF(A109&lt;17, SoC!O$3, IF(A109&lt;33, SoC!O$4, IF(A109&lt;49, SoC!O$5, IF(A109&lt;65, SoC!O$6, IF(A109&lt;81, SoC!O$7, IF(A109&lt;97, SoC!O$8, SoC!O$9))))))</f>
        <v>1.0509770295874163</v>
      </c>
      <c r="BJ109" s="34"/>
      <c r="BK109" s="34"/>
      <c r="BL109" s="34"/>
      <c r="BM109" s="17" t="s">
        <v>48</v>
      </c>
      <c r="BN109">
        <v>108</v>
      </c>
      <c r="BO109">
        <v>110</v>
      </c>
      <c r="BP109">
        <v>112</v>
      </c>
      <c r="BQ109">
        <v>111</v>
      </c>
      <c r="BR109">
        <v>111</v>
      </c>
      <c r="BS109">
        <v>111</v>
      </c>
      <c r="BT109">
        <v>111</v>
      </c>
      <c r="BU109">
        <v>112</v>
      </c>
      <c r="BV109">
        <v>110</v>
      </c>
      <c r="BW109" s="154">
        <v>107</v>
      </c>
      <c r="BX109">
        <v>94</v>
      </c>
      <c r="BY109">
        <v>92</v>
      </c>
    </row>
    <row r="110" spans="1:77" x14ac:dyDescent="0.35">
      <c r="A110">
        <v>110</v>
      </c>
      <c r="B110" s="69" t="s">
        <v>1296</v>
      </c>
      <c r="C110" s="69" t="s">
        <v>1109</v>
      </c>
      <c r="D110" s="69" t="s">
        <v>1342</v>
      </c>
      <c r="F110" s="6">
        <v>1</v>
      </c>
      <c r="G110" s="6">
        <v>8</v>
      </c>
      <c r="I110" s="6">
        <v>1</v>
      </c>
      <c r="J110" s="6">
        <v>4</v>
      </c>
      <c r="N110" s="6">
        <v>5</v>
      </c>
      <c r="P110">
        <f>164+14</f>
        <v>178</v>
      </c>
      <c r="Q110">
        <f>302+22</f>
        <v>324</v>
      </c>
      <c r="R110" s="73">
        <f t="shared" si="72"/>
        <v>12.714285714285714</v>
      </c>
      <c r="S110" s="73">
        <f t="shared" si="73"/>
        <v>23.142857142857142</v>
      </c>
      <c r="T110" s="73">
        <f t="shared" si="74"/>
        <v>-10.428571428571429</v>
      </c>
      <c r="U110">
        <f>94+7</f>
        <v>101</v>
      </c>
      <c r="V110" s="54">
        <f t="shared" si="75"/>
        <v>1.7623762376237624</v>
      </c>
      <c r="W110" s="9">
        <f>1.25*(2.668-0.623-2.3+1.135-1.885-3.927-3.275)-7.251-4.384-10.491-12.245-9.159-7.657-2.357</f>
        <v>-63.802749999999989</v>
      </c>
      <c r="X110" s="263">
        <f>323+32+54+54+42+15+15</f>
        <v>535</v>
      </c>
      <c r="Y110" s="227">
        <f t="shared" si="76"/>
        <v>-2.2786696428571425</v>
      </c>
      <c r="Z110" s="227">
        <f t="shared" si="77"/>
        <v>-5.8712321428571439</v>
      </c>
      <c r="AA110" s="89">
        <f t="shared" si="78"/>
        <v>0</v>
      </c>
      <c r="AB110" s="73">
        <f t="shared" si="79"/>
        <v>38.214285714285715</v>
      </c>
      <c r="AC110" s="203">
        <f>4.82+5.834+0+25.871+2.846+4.723+15.334+5.321+6.654+2.801+6.984+4.899+31.289+7.606</f>
        <v>124.98199999999999</v>
      </c>
      <c r="AD110" s="89">
        <f t="shared" si="80"/>
        <v>8.9272857142857127</v>
      </c>
      <c r="AE110" s="89">
        <f t="shared" si="81"/>
        <v>2.9878563744406645</v>
      </c>
      <c r="AF110" s="9">
        <v>28</v>
      </c>
      <c r="AG110" s="9">
        <v>12</v>
      </c>
      <c r="AH110" s="20">
        <v>14</v>
      </c>
      <c r="AI110" s="54">
        <f t="shared" si="82"/>
        <v>54</v>
      </c>
      <c r="AK110" s="49">
        <v>109</v>
      </c>
      <c r="AL110" s="48">
        <f t="shared" si="83"/>
        <v>109</v>
      </c>
      <c r="AM110" s="36">
        <f t="shared" si="84"/>
        <v>0.24658026220756177</v>
      </c>
      <c r="AN110" s="34">
        <f t="shared" si="85"/>
        <v>0.1111111111111111</v>
      </c>
      <c r="AO110" s="34">
        <f t="shared" si="86"/>
        <v>0.2</v>
      </c>
      <c r="AP110" s="34">
        <f t="shared" si="87"/>
        <v>0.1045822102425875</v>
      </c>
      <c r="AQ110" s="34">
        <f t="shared" si="88"/>
        <v>3.9002267573696292E-2</v>
      </c>
      <c r="AR110" s="34">
        <f t="shared" si="89"/>
        <v>0.18211134313626201</v>
      </c>
      <c r="AS110" s="34">
        <f t="shared" si="90"/>
        <v>0.87837749498823325</v>
      </c>
      <c r="AT110" s="34">
        <f t="shared" si="91"/>
        <v>0</v>
      </c>
      <c r="AU110" s="34">
        <f t="shared" si="92"/>
        <v>0</v>
      </c>
      <c r="AV110" s="34">
        <f t="shared" si="93"/>
        <v>0.16351991448503322</v>
      </c>
      <c r="AW110" s="34">
        <f t="shared" si="94"/>
        <v>0.63529411764705879</v>
      </c>
      <c r="AX110" s="48">
        <v>93</v>
      </c>
      <c r="AY110" s="218">
        <v>2</v>
      </c>
      <c r="AZ110" s="220">
        <v>3</v>
      </c>
      <c r="BB110" s="205">
        <v>0.66666666666666663</v>
      </c>
      <c r="BC110" s="245">
        <f t="shared" si="95"/>
        <v>0</v>
      </c>
      <c r="BD110" s="35">
        <v>0.24658026220756177</v>
      </c>
      <c r="BE110">
        <v>4</v>
      </c>
      <c r="BF110" s="205">
        <v>2.9878563744406645</v>
      </c>
      <c r="BG110" s="34">
        <v>0.1045822102425875</v>
      </c>
      <c r="BH110" s="34">
        <v>3.9002267573696292E-2</v>
      </c>
      <c r="BI110" s="34">
        <f>IF(A110&lt;17, SoC!O$3, IF(A110&lt;33, SoC!O$4, IF(A110&lt;49, SoC!O$5, IF(A110&lt;65, SoC!O$6, IF(A110&lt;81, SoC!O$7, IF(A110&lt;97, SoC!O$8, SoC!O$9))))))</f>
        <v>0.84292189346881985</v>
      </c>
      <c r="BJ110" s="34"/>
      <c r="BK110" s="34"/>
      <c r="BL110" s="34"/>
      <c r="BM110" s="69" t="s">
        <v>1342</v>
      </c>
      <c r="BN110">
        <v>109</v>
      </c>
      <c r="BO110">
        <v>109</v>
      </c>
      <c r="BP110">
        <v>109</v>
      </c>
      <c r="BQ110">
        <v>108</v>
      </c>
      <c r="BR110">
        <v>99</v>
      </c>
      <c r="BS110">
        <v>94</v>
      </c>
      <c r="BT110">
        <v>87</v>
      </c>
      <c r="BU110">
        <v>72</v>
      </c>
      <c r="BV110">
        <v>96</v>
      </c>
      <c r="BW110" s="154">
        <v>87</v>
      </c>
      <c r="BX110">
        <v>75</v>
      </c>
      <c r="BY110">
        <v>20</v>
      </c>
    </row>
    <row r="111" spans="1:77" x14ac:dyDescent="0.35">
      <c r="A111">
        <v>2</v>
      </c>
      <c r="B111" s="15" t="s">
        <v>143</v>
      </c>
      <c r="C111" s="15" t="s">
        <v>1085</v>
      </c>
      <c r="D111" s="15" t="s">
        <v>76</v>
      </c>
      <c r="F111" s="6">
        <v>1</v>
      </c>
      <c r="G111" s="6">
        <v>8</v>
      </c>
      <c r="I111" s="6">
        <v>0</v>
      </c>
      <c r="J111" s="6">
        <v>6</v>
      </c>
      <c r="N111" s="6">
        <v>2</v>
      </c>
      <c r="P111">
        <f>133+20</f>
        <v>153</v>
      </c>
      <c r="Q111">
        <f>235+14</f>
        <v>249</v>
      </c>
      <c r="R111" s="73">
        <f t="shared" si="72"/>
        <v>13.909090909090908</v>
      </c>
      <c r="S111" s="73">
        <f t="shared" si="73"/>
        <v>22.636363636363637</v>
      </c>
      <c r="T111" s="73">
        <f t="shared" si="74"/>
        <v>-8.7272727272727284</v>
      </c>
      <c r="U111">
        <f>80+11</f>
        <v>91</v>
      </c>
      <c r="V111" s="54">
        <f t="shared" si="75"/>
        <v>1.6813186813186813</v>
      </c>
      <c r="W111" s="9">
        <f>1.25*(-3.919-3.534-5.414-11.18-7.962-5.663-2-7.913)-10.226-6.725-2.204</f>
        <v>-78.636249999999976</v>
      </c>
      <c r="X111" s="263">
        <f>341+10+8</f>
        <v>359</v>
      </c>
      <c r="Y111" s="227">
        <f t="shared" si="76"/>
        <v>-3.574374999999999</v>
      </c>
      <c r="Z111" s="227">
        <f t="shared" si="77"/>
        <v>-1.5785227272727305</v>
      </c>
      <c r="AA111" s="89">
        <f t="shared" si="78"/>
        <v>0.34536783454379483</v>
      </c>
      <c r="AB111" s="73">
        <f t="shared" si="79"/>
        <v>32.636363636363633</v>
      </c>
      <c r="AC111" s="203">
        <f>17.405+12.157+12.274+18.22+21.969+5.37+2.915+0.163+32.46+4.232+39.053</f>
        <v>166.21800000000002</v>
      </c>
      <c r="AD111" s="89">
        <f t="shared" si="80"/>
        <v>15.110727272727274</v>
      </c>
      <c r="AE111" s="89">
        <f t="shared" si="81"/>
        <v>3.8872518921118648</v>
      </c>
      <c r="AF111" s="9">
        <v>7</v>
      </c>
      <c r="AG111" s="9">
        <v>0</v>
      </c>
      <c r="AI111" s="54">
        <f t="shared" si="82"/>
        <v>7</v>
      </c>
      <c r="AK111" s="49">
        <v>110</v>
      </c>
      <c r="AL111" s="48">
        <f t="shared" si="83"/>
        <v>110</v>
      </c>
      <c r="AM111" s="36">
        <f t="shared" si="84"/>
        <v>0.23878993926318176</v>
      </c>
      <c r="AN111" s="34">
        <f t="shared" si="85"/>
        <v>0.1111111111111111</v>
      </c>
      <c r="AO111" s="34">
        <f t="shared" si="86"/>
        <v>0</v>
      </c>
      <c r="AP111" s="34">
        <f t="shared" si="87"/>
        <v>0.20377358490566028</v>
      </c>
      <c r="AQ111" s="34">
        <f t="shared" si="88"/>
        <v>8.0808080808080884E-2</v>
      </c>
      <c r="AR111" s="34">
        <f t="shared" si="89"/>
        <v>0.10355434466491456</v>
      </c>
      <c r="AS111" s="34">
        <f t="shared" si="90"/>
        <v>1</v>
      </c>
      <c r="AT111" s="34">
        <f t="shared" si="91"/>
        <v>0.35803213653457522</v>
      </c>
      <c r="AU111" s="34">
        <f t="shared" si="92"/>
        <v>0.11665312704703396</v>
      </c>
      <c r="AV111" s="34">
        <f t="shared" si="93"/>
        <v>0.2854751696219005</v>
      </c>
      <c r="AW111" s="34">
        <f t="shared" si="94"/>
        <v>8.2352941176470587E-2</v>
      </c>
      <c r="AX111" s="48">
        <v>8</v>
      </c>
      <c r="AY111" s="218">
        <v>1</v>
      </c>
      <c r="AZ111" s="220">
        <v>1</v>
      </c>
      <c r="BB111" s="205">
        <v>-1</v>
      </c>
      <c r="BC111" s="245">
        <f t="shared" si="95"/>
        <v>0</v>
      </c>
      <c r="BD111" s="35">
        <v>0.23878993926318176</v>
      </c>
      <c r="BE111">
        <v>1</v>
      </c>
      <c r="BF111" s="205">
        <v>3.8872518921118648</v>
      </c>
      <c r="BG111" s="34">
        <v>0.20377358490566028</v>
      </c>
      <c r="BH111" s="34">
        <v>8.0808080808080884E-2</v>
      </c>
      <c r="BI111" s="34">
        <f>IF(A111&lt;17, SoC!O$3, IF(A111&lt;33, SoC!O$4, IF(A111&lt;49, SoC!O$5, IF(A111&lt;65, SoC!O$6, IF(A111&lt;81, SoC!O$7, IF(A111&lt;97, SoC!O$8, SoC!O$9))))))</f>
        <v>1.0968295917365127</v>
      </c>
      <c r="BJ111" s="34"/>
      <c r="BK111" s="34"/>
      <c r="BL111" s="34"/>
      <c r="BM111" s="15" t="s">
        <v>76</v>
      </c>
      <c r="BN111">
        <v>110</v>
      </c>
      <c r="BO111">
        <v>111</v>
      </c>
      <c r="BP111">
        <v>111</v>
      </c>
      <c r="BQ111">
        <v>112</v>
      </c>
      <c r="BR111">
        <v>112</v>
      </c>
      <c r="BS111">
        <v>112</v>
      </c>
      <c r="BT111">
        <v>112</v>
      </c>
      <c r="BU111">
        <v>110</v>
      </c>
      <c r="BV111">
        <v>109</v>
      </c>
      <c r="BW111" s="154">
        <v>108</v>
      </c>
      <c r="BX111">
        <v>92</v>
      </c>
      <c r="BY111">
        <v>105</v>
      </c>
    </row>
    <row r="112" spans="1:77" x14ac:dyDescent="0.35">
      <c r="A112">
        <v>79</v>
      </c>
      <c r="B112" s="21" t="s">
        <v>173</v>
      </c>
      <c r="C112" s="21" t="s">
        <v>3203</v>
      </c>
      <c r="D112" s="21" t="s">
        <v>31</v>
      </c>
      <c r="F112" s="6">
        <v>0</v>
      </c>
      <c r="G112" s="6">
        <v>9</v>
      </c>
      <c r="I112" s="6">
        <v>0</v>
      </c>
      <c r="J112" s="6">
        <v>6</v>
      </c>
      <c r="N112" s="6">
        <v>4</v>
      </c>
      <c r="P112">
        <f>165+11</f>
        <v>176</v>
      </c>
      <c r="Q112">
        <f>266+41</f>
        <v>307</v>
      </c>
      <c r="R112" s="73">
        <f t="shared" si="72"/>
        <v>13.538461538461538</v>
      </c>
      <c r="S112" s="73">
        <f t="shared" si="73"/>
        <v>23.615384615384617</v>
      </c>
      <c r="T112" s="73">
        <f t="shared" si="74"/>
        <v>-10.076923076923078</v>
      </c>
      <c r="U112">
        <f>90+6</f>
        <v>96</v>
      </c>
      <c r="V112" s="54">
        <f t="shared" si="75"/>
        <v>1.8333333333333333</v>
      </c>
      <c r="W112" s="9">
        <f>1.25*(1.203+0.151-3.664-6.327-0.085-0.522-6.402)-4.465-7.769-9.17-0.001-11.623-12.947</f>
        <v>-65.532499999999999</v>
      </c>
      <c r="X112" s="263">
        <f>347+49+54+14+47+53</f>
        <v>564</v>
      </c>
      <c r="Y112" s="227">
        <f t="shared" si="76"/>
        <v>-2.5204807692307694</v>
      </c>
      <c r="Z112" s="227">
        <f t="shared" si="77"/>
        <v>-5.0359615384615397</v>
      </c>
      <c r="AA112" s="89">
        <f t="shared" si="78"/>
        <v>8.3750810008893561E-2</v>
      </c>
      <c r="AB112" s="73">
        <f t="shared" si="79"/>
        <v>43.384615384615387</v>
      </c>
      <c r="AC112" s="203">
        <f>2.898+22.001+19.735+2.282+0+3.441+1.563+15.4+24.106+1.557+8.817+8.486+5.415</f>
        <v>115.70100000000002</v>
      </c>
      <c r="AD112" s="89">
        <f t="shared" si="80"/>
        <v>8.9000769230769254</v>
      </c>
      <c r="AE112" s="89">
        <f t="shared" si="81"/>
        <v>2.9832996703443864</v>
      </c>
      <c r="AF112" s="9">
        <v>35</v>
      </c>
      <c r="AG112" s="9">
        <v>12</v>
      </c>
      <c r="AH112" s="20">
        <v>14</v>
      </c>
      <c r="AI112" s="54">
        <f t="shared" si="82"/>
        <v>61</v>
      </c>
      <c r="AK112" s="49">
        <v>111</v>
      </c>
      <c r="AL112" s="48">
        <f t="shared" si="83"/>
        <v>111</v>
      </c>
      <c r="AM112" s="36">
        <f t="shared" si="84"/>
        <v>0.22419816446948318</v>
      </c>
      <c r="AN112" s="34">
        <f t="shared" si="85"/>
        <v>0</v>
      </c>
      <c r="AO112" s="34">
        <f t="shared" si="86"/>
        <v>0</v>
      </c>
      <c r="AP112" s="34">
        <f t="shared" si="87"/>
        <v>0.17300435413642956</v>
      </c>
      <c r="AQ112" s="34">
        <f t="shared" si="88"/>
        <v>0</v>
      </c>
      <c r="AR112" s="34">
        <f t="shared" si="89"/>
        <v>0.25087947177572112</v>
      </c>
      <c r="AS112" s="34">
        <f t="shared" si="90"/>
        <v>0.90107530569585303</v>
      </c>
      <c r="AT112" s="34">
        <f t="shared" si="91"/>
        <v>6.9665493310725454E-2</v>
      </c>
      <c r="AU112" s="34">
        <f t="shared" si="92"/>
        <v>5.2682793843221595E-2</v>
      </c>
      <c r="AV112" s="34">
        <f t="shared" si="93"/>
        <v>0.16290203947929191</v>
      </c>
      <c r="AW112" s="34">
        <f t="shared" si="94"/>
        <v>0.71764705882352942</v>
      </c>
      <c r="AX112" s="48">
        <v>124</v>
      </c>
      <c r="AY112" s="218">
        <v>2</v>
      </c>
      <c r="AZ112" s="220">
        <v>1</v>
      </c>
      <c r="BB112" s="205">
        <v>0</v>
      </c>
      <c r="BC112" s="245">
        <f t="shared" si="95"/>
        <v>0</v>
      </c>
      <c r="BD112" s="35">
        <v>0.22427586962117932</v>
      </c>
      <c r="BE112">
        <v>5</v>
      </c>
      <c r="BF112" s="205">
        <v>2.9832996703443864</v>
      </c>
      <c r="BG112" s="34">
        <v>0.17300435413642956</v>
      </c>
      <c r="BH112" s="34">
        <v>0</v>
      </c>
      <c r="BI112" s="34">
        <f>IF(A112&lt;17, SoC!O$3, IF(A112&lt;33, SoC!O$4, IF(A112&lt;49, SoC!O$5, IF(A112&lt;65, SoC!O$6, IF(A112&lt;81, SoC!O$7, IF(A112&lt;97, SoC!O$8, SoC!O$9))))))</f>
        <v>0.87413259868968274</v>
      </c>
      <c r="BJ112" s="34"/>
      <c r="BK112" s="34"/>
      <c r="BL112" s="34"/>
      <c r="BM112" s="21" t="s">
        <v>31</v>
      </c>
      <c r="BN112">
        <v>111</v>
      </c>
      <c r="BO112">
        <v>108</v>
      </c>
      <c r="BP112">
        <v>108</v>
      </c>
      <c r="BQ112">
        <v>105</v>
      </c>
      <c r="BR112">
        <v>100</v>
      </c>
      <c r="BS112">
        <v>101</v>
      </c>
      <c r="BT112">
        <v>94</v>
      </c>
      <c r="BU112">
        <v>93</v>
      </c>
      <c r="BV112">
        <v>88</v>
      </c>
      <c r="BW112" s="154">
        <v>79</v>
      </c>
      <c r="BX112">
        <v>62</v>
      </c>
      <c r="BY112">
        <v>5</v>
      </c>
    </row>
    <row r="113" spans="1:77" x14ac:dyDescent="0.35">
      <c r="A113">
        <v>111</v>
      </c>
      <c r="B113" s="69" t="s">
        <v>1296</v>
      </c>
      <c r="C113" s="69" t="s">
        <v>1109</v>
      </c>
      <c r="D113" s="69" t="s">
        <v>964</v>
      </c>
      <c r="F113" s="6">
        <v>0</v>
      </c>
      <c r="G113" s="6">
        <v>9</v>
      </c>
      <c r="I113" s="6">
        <v>0</v>
      </c>
      <c r="J113" s="6">
        <v>5</v>
      </c>
      <c r="M113" s="6">
        <v>1</v>
      </c>
      <c r="N113" s="6">
        <v>2</v>
      </c>
      <c r="P113">
        <f>130+20</f>
        <v>150</v>
      </c>
      <c r="Q113">
        <f>193+40</f>
        <v>233</v>
      </c>
      <c r="R113" s="73">
        <f t="shared" si="72"/>
        <v>12.5</v>
      </c>
      <c r="S113" s="73">
        <f t="shared" si="73"/>
        <v>19.416666666666668</v>
      </c>
      <c r="T113" s="73">
        <f t="shared" si="74"/>
        <v>-6.9166666666666679</v>
      </c>
      <c r="U113">
        <f>81+11</f>
        <v>92</v>
      </c>
      <c r="V113" s="54">
        <f t="shared" si="75"/>
        <v>1.6304347826086956</v>
      </c>
      <c r="W113" s="9">
        <f>1.25*(-2.452-3.957-3.367+0.562+1.343-1.664-6.406-2.202-4.008)-5.418-5.539-12.151</f>
        <v>-50.796750000000003</v>
      </c>
      <c r="X113" s="263">
        <f>208+31+50</f>
        <v>289</v>
      </c>
      <c r="Y113" s="227">
        <f t="shared" si="76"/>
        <v>-2.11653125</v>
      </c>
      <c r="Z113" s="227">
        <f t="shared" si="77"/>
        <v>-2.6836041666666679</v>
      </c>
      <c r="AA113" s="89">
        <f t="shared" si="78"/>
        <v>0.3952251002140395</v>
      </c>
      <c r="AB113" s="73">
        <f t="shared" si="79"/>
        <v>24.083333333333332</v>
      </c>
      <c r="AC113" s="203">
        <f>15.717+27.808+17.353+2.235+7.916+54.352+17.387+8.962+1.918+8.609+4.664+8.283</f>
        <v>175.20399999999998</v>
      </c>
      <c r="AD113" s="89">
        <f t="shared" si="80"/>
        <v>14.600333333333332</v>
      </c>
      <c r="AE113" s="89">
        <f t="shared" si="81"/>
        <v>3.8210382533198137</v>
      </c>
      <c r="AF113" s="9">
        <v>7</v>
      </c>
      <c r="AG113" s="9">
        <v>6</v>
      </c>
      <c r="AI113" s="54">
        <f t="shared" si="82"/>
        <v>13</v>
      </c>
      <c r="AK113" s="49">
        <v>112</v>
      </c>
      <c r="AL113" s="48">
        <f t="shared" si="83"/>
        <v>112</v>
      </c>
      <c r="AM113" s="36">
        <f t="shared" si="84"/>
        <v>0.22211827486290772</v>
      </c>
      <c r="AN113" s="34">
        <f t="shared" si="85"/>
        <v>2.2222222222222223E-2</v>
      </c>
      <c r="AO113" s="34">
        <f t="shared" si="86"/>
        <v>0.05</v>
      </c>
      <c r="AP113" s="34">
        <f t="shared" si="87"/>
        <v>8.6792452830188646E-2</v>
      </c>
      <c r="AQ113" s="34">
        <f t="shared" si="88"/>
        <v>0.34656084656084651</v>
      </c>
      <c r="AR113" s="34">
        <f t="shared" si="89"/>
        <v>5.4240171682302905E-2</v>
      </c>
      <c r="AS113" s="34">
        <f t="shared" si="90"/>
        <v>0.86315823438306671</v>
      </c>
      <c r="AT113" s="34">
        <f t="shared" si="91"/>
        <v>0.26586315175435327</v>
      </c>
      <c r="AU113" s="34">
        <f t="shared" si="92"/>
        <v>0.12621091274775614</v>
      </c>
      <c r="AV113" s="34">
        <f t="shared" si="93"/>
        <v>0.2764968046492422</v>
      </c>
      <c r="AW113" s="34">
        <f t="shared" si="94"/>
        <v>0.15294117647058825</v>
      </c>
      <c r="AX113" s="48">
        <v>22</v>
      </c>
      <c r="AY113" s="218">
        <v>1</v>
      </c>
      <c r="AZ113" s="220">
        <v>1</v>
      </c>
      <c r="BB113" s="205">
        <v>0.66666666666666663</v>
      </c>
      <c r="BC113" s="245">
        <f t="shared" si="95"/>
        <v>0</v>
      </c>
      <c r="BD113" s="35">
        <v>0.22231207444557374</v>
      </c>
      <c r="BE113">
        <v>1</v>
      </c>
      <c r="BF113" s="205">
        <v>3.8210382533198137</v>
      </c>
      <c r="BG113" s="34">
        <v>8.6792452830188646E-2</v>
      </c>
      <c r="BH113" s="34">
        <v>0.34656084656084651</v>
      </c>
      <c r="BI113" s="34">
        <f>IF(A113&lt;17, SoC!O$3, IF(A113&lt;33, SoC!O$4, IF(A113&lt;49, SoC!O$5, IF(A113&lt;65, SoC!O$6, IF(A113&lt;81, SoC!O$7, IF(A113&lt;97, SoC!O$8, SoC!O$9))))))</f>
        <v>0.84292189346881985</v>
      </c>
      <c r="BJ113" s="34"/>
      <c r="BK113" s="34"/>
      <c r="BL113" s="34"/>
      <c r="BM113" s="69" t="s">
        <v>964</v>
      </c>
      <c r="BN113">
        <v>112</v>
      </c>
      <c r="BO113">
        <v>112</v>
      </c>
      <c r="BP113">
        <v>110</v>
      </c>
      <c r="BQ113">
        <v>110</v>
      </c>
      <c r="BR113">
        <v>110</v>
      </c>
      <c r="BS113">
        <v>110</v>
      </c>
      <c r="BT113">
        <v>110</v>
      </c>
      <c r="BU113">
        <v>109</v>
      </c>
      <c r="BV113">
        <v>102</v>
      </c>
      <c r="BW113" s="154">
        <v>100</v>
      </c>
      <c r="BX113">
        <v>98</v>
      </c>
      <c r="BY113">
        <v>91</v>
      </c>
    </row>
    <row r="117" spans="1:77" x14ac:dyDescent="0.35">
      <c r="BW117">
        <f>-(MAX(X:X)+ABS(MIN(X:X)))</f>
        <v>-1586</v>
      </c>
    </row>
    <row r="118" spans="1:77" x14ac:dyDescent="0.35">
      <c r="BW118">
        <f>BW117*1.2</f>
        <v>-1903.1999999999998</v>
      </c>
    </row>
  </sheetData>
  <sortState xmlns:xlrd2="http://schemas.microsoft.com/office/spreadsheetml/2017/richdata2" ref="A2:BY113">
    <sortCondition descending="1" ref="AM2:AM113"/>
  </sortState>
  <conditionalFormatting sqref="AN2:AN113">
    <cfRule type="cellIs" dxfId="11" priority="13" operator="greaterThan">
      <formula>1</formula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1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1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:AU11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AR11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S11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:AT11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:AV1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113 AP2:AV113">
    <cfRule type="cellIs" dxfId="10" priority="16" operator="equal">
      <formula>1</formula>
    </cfRule>
  </conditionalFormatting>
  <conditionalFormatting sqref="AW2:AW1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AW113">
    <cfRule type="cellIs" dxfId="9" priority="14" operator="equal">
      <formula>1</formula>
    </cfRule>
  </conditionalFormatting>
  <conditionalFormatting sqref="AO2:AO113">
    <cfRule type="cellIs" dxfId="8" priority="10" operator="greaterThan">
      <formula>1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:AO113">
    <cfRule type="cellIs" dxfId="7" priority="11" operator="equal">
      <formula>1</formula>
    </cfRule>
  </conditionalFormatting>
  <conditionalFormatting sqref="BC2:BC11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T118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AD2" sqref="AD2"/>
    </sheetView>
  </sheetViews>
  <sheetFormatPr defaultRowHeight="14.5" x14ac:dyDescent="0.35"/>
  <cols>
    <col min="1" max="1" width="4.453125" hidden="1" customWidth="1"/>
    <col min="2" max="2" width="10" style="1" customWidth="1"/>
    <col min="3" max="3" width="13" style="1" bestFit="1" customWidth="1"/>
    <col min="4" max="4" width="16.6328125" style="1" bestFit="1" customWidth="1"/>
    <col min="5" max="5" width="3.36328125" style="9" customWidth="1"/>
    <col min="6" max="7" width="6.08984375" customWidth="1"/>
    <col min="8" max="8" width="1.54296875" customWidth="1"/>
    <col min="9" max="10" width="5.1796875" customWidth="1"/>
    <col min="11" max="11" width="1.54296875" customWidth="1"/>
    <col min="12" max="13" width="5.1796875" customWidth="1"/>
    <col min="14" max="15" width="6.6328125" style="54" hidden="1" customWidth="1"/>
    <col min="16" max="16" width="6.54296875" style="54" customWidth="1"/>
    <col min="17" max="17" width="5.453125" customWidth="1"/>
    <col min="18" max="18" width="7" style="54" customWidth="1"/>
    <col min="19" max="20" width="5.90625" customWidth="1"/>
    <col min="21" max="22" width="7.08984375" style="54" customWidth="1"/>
    <col min="23" max="23" width="7.08984375" style="9" customWidth="1"/>
    <col min="24" max="24" width="7.08984375" style="54" hidden="1" customWidth="1"/>
    <col min="25" max="25" width="7.08984375" style="54" customWidth="1"/>
    <col min="26" max="26" width="4.453125" style="152" bestFit="1" customWidth="1"/>
    <col min="27" max="27" width="5" style="49" customWidth="1"/>
    <col min="28" max="28" width="4.453125" style="48" customWidth="1"/>
    <col min="29" max="29" width="8.90625" style="1" customWidth="1"/>
    <col min="30" max="38" width="7.36328125" customWidth="1"/>
    <col min="39" max="39" width="8.1796875" customWidth="1"/>
    <col min="40" max="42" width="8.90625" customWidth="1"/>
  </cols>
  <sheetData>
    <row r="1" spans="1:46" s="6" customFormat="1" x14ac:dyDescent="0.35">
      <c r="B1" s="6">
        <f>C1-AO1</f>
        <v>5.0767490104170199E-3</v>
      </c>
      <c r="C1" s="6">
        <f>_xlfn.STDEV.P(AC2:AC113)</f>
        <v>0.19345481687270388</v>
      </c>
      <c r="D1" s="6" t="str">
        <f>Archive!M1</f>
        <v>{89.206-0}</v>
      </c>
      <c r="E1" s="9"/>
      <c r="F1" s="6" t="s">
        <v>168</v>
      </c>
      <c r="G1" s="6" t="s">
        <v>169</v>
      </c>
      <c r="I1" s="6" t="s">
        <v>406</v>
      </c>
      <c r="J1" s="6" t="s">
        <v>407</v>
      </c>
      <c r="L1" s="6" t="s">
        <v>1362</v>
      </c>
      <c r="M1" s="6" t="s">
        <v>1363</v>
      </c>
      <c r="N1" s="54" t="s">
        <v>1171</v>
      </c>
      <c r="O1" s="54" t="s">
        <v>1172</v>
      </c>
      <c r="P1" s="54" t="s">
        <v>1173</v>
      </c>
      <c r="Q1" s="6" t="s">
        <v>177</v>
      </c>
      <c r="R1" s="54" t="s">
        <v>409</v>
      </c>
      <c r="S1" s="6" t="s">
        <v>410</v>
      </c>
      <c r="T1" s="6" t="s">
        <v>731</v>
      </c>
      <c r="U1" s="54" t="s">
        <v>741</v>
      </c>
      <c r="V1" s="54" t="s">
        <v>742</v>
      </c>
      <c r="W1" s="9" t="s">
        <v>1289</v>
      </c>
      <c r="X1" s="54" t="s">
        <v>1290</v>
      </c>
      <c r="Y1" s="54" t="s">
        <v>1470</v>
      </c>
      <c r="Z1" s="152" t="s">
        <v>737</v>
      </c>
      <c r="AA1" s="61"/>
      <c r="AB1" s="48"/>
      <c r="AC1" s="6" t="s">
        <v>180</v>
      </c>
      <c r="AD1" s="6" t="s">
        <v>1339</v>
      </c>
      <c r="AE1" s="6" t="s">
        <v>1291</v>
      </c>
      <c r="AF1" s="6" t="s">
        <v>1292</v>
      </c>
      <c r="AG1" s="6" t="s">
        <v>1293</v>
      </c>
      <c r="AH1" s="6" t="s">
        <v>1294</v>
      </c>
      <c r="AI1" s="6" t="s">
        <v>1364</v>
      </c>
      <c r="AJ1" s="6" t="s">
        <v>1340</v>
      </c>
      <c r="AK1" s="6" t="s">
        <v>1341</v>
      </c>
      <c r="AL1" s="6" t="s">
        <v>1365</v>
      </c>
      <c r="AO1" s="6">
        <f>_xlfn.STDEV.P(AN:AN)</f>
        <v>0.18837806786228686</v>
      </c>
    </row>
    <row r="2" spans="1:46" x14ac:dyDescent="0.35">
      <c r="A2">
        <v>13</v>
      </c>
      <c r="B2" s="15" t="s">
        <v>143</v>
      </c>
      <c r="C2" s="15" t="s">
        <v>1082</v>
      </c>
      <c r="D2" s="15" t="s">
        <v>87</v>
      </c>
      <c r="E2" s="9" t="s">
        <v>5</v>
      </c>
      <c r="F2">
        <v>4</v>
      </c>
      <c r="G2">
        <v>0</v>
      </c>
      <c r="I2">
        <v>3</v>
      </c>
      <c r="J2">
        <v>0</v>
      </c>
      <c r="L2">
        <v>103</v>
      </c>
      <c r="M2">
        <f>36+14</f>
        <v>50</v>
      </c>
      <c r="N2" s="73">
        <f t="shared" ref="N2:N33" si="0">IFERROR(L2/(F2+G2), 0)</f>
        <v>25.75</v>
      </c>
      <c r="O2" s="73">
        <f t="shared" ref="O2:O33" si="1">IFERROR(M2/(F2+G2), 0)</f>
        <v>12.5</v>
      </c>
      <c r="P2" s="73">
        <f t="shared" ref="P2:P33" si="2">N2-O2</f>
        <v>13.25</v>
      </c>
      <c r="Q2">
        <v>41</v>
      </c>
      <c r="R2" s="54">
        <f t="shared" ref="R2:R33" si="3">IFERROR(L2/Q2, 0)</f>
        <v>2.5121951219512195</v>
      </c>
      <c r="S2" s="9">
        <f>-0.414+6.498+5.736+11.18</f>
        <v>23</v>
      </c>
      <c r="T2" s="9">
        <f>-0.414+6.498+5.736+11.18</f>
        <v>23</v>
      </c>
      <c r="U2" s="54">
        <f t="shared" ref="U2:U33" si="4">IF(S2&lt;0, (S2/2), S2)/(F2+G2)</f>
        <v>5.75</v>
      </c>
      <c r="V2" s="54">
        <f t="shared" ref="V2:V33" si="5">IF(F2=0, -(MAX($T$2:$T$113)+ABS(MIN($T$2:$T$113))), (((-(ABS(MIN($T$2:$T$113))+T2))*((0.1*G2)+1))/F2))</f>
        <v>-7.9009999999999998</v>
      </c>
      <c r="W2" s="9">
        <f>73.604+77.722+(147.487-23.7435)+28.378</f>
        <v>303.44749999999999</v>
      </c>
      <c r="X2" s="54">
        <f t="shared" ref="X2:X33" si="6">IFERROR(W2/(F2+G2),0)</f>
        <v>75.861874999999998</v>
      </c>
      <c r="Y2" s="54">
        <f t="shared" ref="Y2:Y33" si="7">IFERROR(IF(SQRT(X2)&gt;10, 10, SQRT(X2)), 0)</f>
        <v>8.7098722723126087</v>
      </c>
      <c r="Z2" s="152">
        <v>105</v>
      </c>
      <c r="AA2" s="49">
        <v>1</v>
      </c>
      <c r="AB2" s="48">
        <f t="shared" ref="AB2:AB33" si="8">_xlfn.RANK.EQ(AC2,AC:AC, 0)</f>
        <v>1</v>
      </c>
      <c r="AC2" s="36">
        <f t="shared" ref="AC2:AC33" si="9">((AD2*1.3)+(AE2*0.8)+(AF2*0.6)+(AG2*0.6)+(AH2*0.5)+(AI2*0.5)+(AJ2*0.6)+(AK2*0.6)+(AL2*0.5)+((Z2/LARGE(Z:Z,1))*(9/6)))/6</f>
        <v>0.98625426101756652</v>
      </c>
      <c r="AD2" s="34">
        <f t="shared" ref="AD2:AD33" si="10">IFERROR(IF((F2+G2)=1, IF(F2=0, 0.333, IF(F2=1, 0.666, 0)), IF((F2+G2)=2, IF(F2=0, 0.166, IF(F2=1, 0.5, IF(F2=2, 0.833, 0))),  F2/(F2+G2))), 0)</f>
        <v>1</v>
      </c>
      <c r="AE2" s="34">
        <f t="shared" ref="AE2:AE33" si="11">IFERROR(IF((I2+J2)=1, IF(I2=0, 0.333, IF(I2=1, 0.666, 0)), IF((I2+J2)=2, IF(I2=0, 0.166, IF(I2=1, 0.5, IF(I2=2, 0.833, 0))),  I2/(I2+J2))), 0)</f>
        <v>1</v>
      </c>
      <c r="AF2" s="34">
        <f t="shared" ref="AF2:AF33" si="12">(N2-(SMALL(N:N, 1)))/((LARGE(N:N, 1))-(SMALL(N:N, 1)))</f>
        <v>1</v>
      </c>
      <c r="AG2" s="34">
        <f t="shared" ref="AG2:AG33" si="13">1-(O2-SMALL(O:O,1))/(LARGE(O:O,1)-SMALL(O:O,1))</f>
        <v>0.58208955223880599</v>
      </c>
      <c r="AH2" s="34">
        <f t="shared" ref="AH2:AH33" si="14">(P2-SMALL(P:P,1))/(LARGE(P:P,1)-SMALL(P:P,1))</f>
        <v>1</v>
      </c>
      <c r="AI2" s="34">
        <f t="shared" ref="AI2:AI33" si="15">(R2-SMALL(R:R,1))/(LARGE(R:R,1)-SMALL(R:R,1))</f>
        <v>1</v>
      </c>
      <c r="AJ2" s="34">
        <f t="shared" ref="AJ2:AJ33" si="16">1-(U2-SMALL(U:U,1))/(LARGE(U:U,1)-SMALL(U:U,1))</f>
        <v>0</v>
      </c>
      <c r="AK2" s="34">
        <f t="shared" ref="AK2:AK33" si="17">1-(V2/MIN(V:V))</f>
        <v>0.75</v>
      </c>
      <c r="AL2" s="34">
        <f t="shared" ref="AL2:AL33" si="18">(Y2-SMALL(Y:Y,1))/(LARGE(Y:Y,1)-SMALL(Y:Y,1))</f>
        <v>0.83017424277263874</v>
      </c>
      <c r="AM2" s="34"/>
      <c r="AN2" s="35">
        <v>0.97706367124034388</v>
      </c>
      <c r="AO2">
        <f t="shared" ref="AO2:AO32" si="19">IF(AQ2&lt;12, 5, IF(AND(AQ2&gt;11, AQ2&lt;32), 4, IF(AND(AQ2&gt;31, AQ2&lt;53), 3, IF(AND(AQ2&gt;52, AQ2&lt;85), 2, 1))))</f>
        <v>5</v>
      </c>
      <c r="AP2">
        <v>9.575480840842058</v>
      </c>
      <c r="AQ2">
        <v>8</v>
      </c>
      <c r="AR2">
        <v>3</v>
      </c>
      <c r="AS2" s="154">
        <v>3</v>
      </c>
      <c r="AT2">
        <v>1</v>
      </c>
    </row>
    <row r="3" spans="1:46" x14ac:dyDescent="0.35">
      <c r="A3">
        <v>17</v>
      </c>
      <c r="B3" s="16" t="s">
        <v>144</v>
      </c>
      <c r="C3" s="16" t="s">
        <v>1086</v>
      </c>
      <c r="D3" s="16" t="s">
        <v>59</v>
      </c>
      <c r="E3" s="9" t="s">
        <v>5</v>
      </c>
      <c r="F3">
        <v>4</v>
      </c>
      <c r="G3">
        <v>0</v>
      </c>
      <c r="I3">
        <v>3</v>
      </c>
      <c r="J3">
        <v>0</v>
      </c>
      <c r="L3">
        <f>55+18</f>
        <v>73</v>
      </c>
      <c r="M3">
        <f>15+7</f>
        <v>22</v>
      </c>
      <c r="N3" s="73">
        <f t="shared" si="0"/>
        <v>18.25</v>
      </c>
      <c r="O3" s="73">
        <f t="shared" si="1"/>
        <v>5.5</v>
      </c>
      <c r="P3" s="73">
        <f t="shared" si="2"/>
        <v>12.75</v>
      </c>
      <c r="Q3">
        <v>39</v>
      </c>
      <c r="R3" s="54">
        <f t="shared" si="3"/>
        <v>1.8717948717948718</v>
      </c>
      <c r="S3" s="9">
        <f>0.501+1.655+3.682+2.614</f>
        <v>8.452</v>
      </c>
      <c r="T3" s="9">
        <f>0.501+1.655+3.682+2.614</f>
        <v>8.452</v>
      </c>
      <c r="U3" s="54">
        <f t="shared" si="4"/>
        <v>2.113</v>
      </c>
      <c r="V3" s="54">
        <f t="shared" si="5"/>
        <v>-4.2639999999999993</v>
      </c>
      <c r="W3" s="9">
        <f>(102.091-1.0455)+(358.554-160.5822)+98.295+(106.939-3.4695)</f>
        <v>500.78179999999998</v>
      </c>
      <c r="X3" s="54">
        <f t="shared" si="6"/>
        <v>125.19544999999999</v>
      </c>
      <c r="Y3" s="54">
        <f t="shared" si="7"/>
        <v>10</v>
      </c>
      <c r="Z3" s="152">
        <v>88</v>
      </c>
      <c r="AA3" s="49">
        <v>2</v>
      </c>
      <c r="AB3" s="48">
        <f t="shared" si="8"/>
        <v>2</v>
      </c>
      <c r="AC3" s="36">
        <f t="shared" si="9"/>
        <v>0.97371828590630349</v>
      </c>
      <c r="AD3" s="34">
        <f t="shared" si="10"/>
        <v>1</v>
      </c>
      <c r="AE3" s="34">
        <f t="shared" si="11"/>
        <v>1</v>
      </c>
      <c r="AF3" s="34">
        <f t="shared" si="12"/>
        <v>0.56521739130434778</v>
      </c>
      <c r="AG3" s="34">
        <f t="shared" si="13"/>
        <v>1</v>
      </c>
      <c r="AH3" s="34">
        <f t="shared" si="14"/>
        <v>0.97802197802197799</v>
      </c>
      <c r="AI3" s="34">
        <f t="shared" si="15"/>
        <v>0.41096107108445862</v>
      </c>
      <c r="AJ3" s="34">
        <f t="shared" si="16"/>
        <v>0.41479200524620086</v>
      </c>
      <c r="AK3" s="34">
        <f t="shared" si="17"/>
        <v>0.86508036957347167</v>
      </c>
      <c r="AL3" s="34">
        <f t="shared" si="18"/>
        <v>1</v>
      </c>
      <c r="AM3" s="34"/>
      <c r="AN3" s="35">
        <v>0.94070281430838465</v>
      </c>
      <c r="AO3">
        <f t="shared" si="19"/>
        <v>4</v>
      </c>
      <c r="AP3">
        <v>10</v>
      </c>
      <c r="AQ3">
        <v>25</v>
      </c>
      <c r="AR3">
        <v>4</v>
      </c>
      <c r="AS3" s="154">
        <v>2</v>
      </c>
      <c r="AT3">
        <v>2</v>
      </c>
    </row>
    <row r="4" spans="1:46" x14ac:dyDescent="0.35">
      <c r="A4">
        <v>42</v>
      </c>
      <c r="B4" s="17" t="s">
        <v>171</v>
      </c>
      <c r="C4" s="17" t="s">
        <v>1098</v>
      </c>
      <c r="D4" s="17" t="s">
        <v>118</v>
      </c>
      <c r="E4" s="9" t="s">
        <v>5</v>
      </c>
      <c r="F4">
        <v>4</v>
      </c>
      <c r="G4">
        <v>0</v>
      </c>
      <c r="I4">
        <v>3</v>
      </c>
      <c r="J4">
        <v>0</v>
      </c>
      <c r="L4">
        <f>67+25</f>
        <v>92</v>
      </c>
      <c r="M4">
        <f>34+11</f>
        <v>45</v>
      </c>
      <c r="N4" s="73">
        <f t="shared" si="0"/>
        <v>23</v>
      </c>
      <c r="O4" s="73">
        <f t="shared" si="1"/>
        <v>11.25</v>
      </c>
      <c r="P4" s="73">
        <f t="shared" si="2"/>
        <v>11.75</v>
      </c>
      <c r="Q4">
        <v>39</v>
      </c>
      <c r="R4" s="54">
        <f t="shared" si="3"/>
        <v>2.358974358974359</v>
      </c>
      <c r="S4" s="9">
        <f>1.834-0.677+1.793+10.502</f>
        <v>13.452000000000002</v>
      </c>
      <c r="T4" s="9">
        <f>1.834-0.677+1.793+10.502</f>
        <v>13.452000000000002</v>
      </c>
      <c r="U4" s="54">
        <f t="shared" si="4"/>
        <v>3.3630000000000004</v>
      </c>
      <c r="V4" s="54">
        <f t="shared" si="5"/>
        <v>-5.5140000000000002</v>
      </c>
      <c r="W4" s="9">
        <f>80.334+47.513+(127.864-13.932)+51.019</f>
        <v>292.798</v>
      </c>
      <c r="X4" s="54">
        <f t="shared" si="6"/>
        <v>73.1995</v>
      </c>
      <c r="Y4" s="54">
        <f t="shared" si="7"/>
        <v>8.5556706341466882</v>
      </c>
      <c r="Z4" s="152">
        <v>67</v>
      </c>
      <c r="AA4" s="49">
        <v>3</v>
      </c>
      <c r="AB4" s="48">
        <f t="shared" si="8"/>
        <v>4</v>
      </c>
      <c r="AC4" s="36">
        <f t="shared" si="9"/>
        <v>0.93311104771767572</v>
      </c>
      <c r="AD4" s="34">
        <f t="shared" si="10"/>
        <v>1</v>
      </c>
      <c r="AE4" s="34">
        <f t="shared" si="11"/>
        <v>1</v>
      </c>
      <c r="AF4" s="34">
        <f t="shared" si="12"/>
        <v>0.84057971014492749</v>
      </c>
      <c r="AG4" s="34">
        <f t="shared" si="13"/>
        <v>0.65671641791044777</v>
      </c>
      <c r="AH4" s="34">
        <f t="shared" si="14"/>
        <v>0.93406593406593408</v>
      </c>
      <c r="AI4" s="34">
        <f t="shared" si="15"/>
        <v>0.85906783439032464</v>
      </c>
      <c r="AJ4" s="34">
        <f t="shared" si="16"/>
        <v>0.2722322014084908</v>
      </c>
      <c r="AK4" s="34">
        <f t="shared" si="17"/>
        <v>0.82552841412479427</v>
      </c>
      <c r="AL4" s="34">
        <f t="shared" si="18"/>
        <v>0.80987593477939135</v>
      </c>
      <c r="AM4" s="34"/>
      <c r="AN4" s="35">
        <v>0.91451193214617632</v>
      </c>
      <c r="AO4">
        <f t="shared" si="19"/>
        <v>3</v>
      </c>
      <c r="AP4">
        <v>8.9773604138410317</v>
      </c>
      <c r="AQ4">
        <v>46</v>
      </c>
      <c r="AR4">
        <v>14</v>
      </c>
      <c r="AS4" s="154">
        <v>6</v>
      </c>
      <c r="AT4">
        <v>3</v>
      </c>
    </row>
    <row r="5" spans="1:46" x14ac:dyDescent="0.35">
      <c r="A5">
        <v>72</v>
      </c>
      <c r="B5" s="21" t="s">
        <v>173</v>
      </c>
      <c r="C5" s="21" t="s">
        <v>1368</v>
      </c>
      <c r="D5" s="21" t="s">
        <v>26</v>
      </c>
      <c r="E5" s="9" t="s">
        <v>5</v>
      </c>
      <c r="F5">
        <v>4</v>
      </c>
      <c r="G5">
        <v>0</v>
      </c>
      <c r="I5">
        <v>3</v>
      </c>
      <c r="J5">
        <v>0</v>
      </c>
      <c r="L5">
        <f>66+26</f>
        <v>92</v>
      </c>
      <c r="M5">
        <f>37+11</f>
        <v>48</v>
      </c>
      <c r="N5" s="73">
        <f t="shared" si="0"/>
        <v>23</v>
      </c>
      <c r="O5" s="73">
        <f t="shared" si="1"/>
        <v>12</v>
      </c>
      <c r="P5" s="73">
        <f t="shared" si="2"/>
        <v>11</v>
      </c>
      <c r="Q5">
        <v>40</v>
      </c>
      <c r="R5" s="54">
        <f t="shared" si="3"/>
        <v>2.2999999999999998</v>
      </c>
      <c r="S5" s="9">
        <f>6.16+2.919+3.944+6.327</f>
        <v>19.350000000000001</v>
      </c>
      <c r="T5" s="9">
        <f>6.16+2.919+3.944+6.327</f>
        <v>19.350000000000001</v>
      </c>
      <c r="U5" s="54">
        <f t="shared" si="4"/>
        <v>4.8375000000000004</v>
      </c>
      <c r="V5" s="54">
        <f t="shared" si="5"/>
        <v>-6.9885000000000002</v>
      </c>
      <c r="W5" s="9">
        <f>49.33+28.17+91.221+77.432</f>
        <v>246.15300000000002</v>
      </c>
      <c r="X5" s="54">
        <f t="shared" si="6"/>
        <v>61.538250000000005</v>
      </c>
      <c r="Y5" s="54">
        <f t="shared" si="7"/>
        <v>7.8446319225314838</v>
      </c>
      <c r="Z5" s="152">
        <v>106</v>
      </c>
      <c r="AA5" s="49">
        <v>4</v>
      </c>
      <c r="AB5" s="48">
        <f t="shared" si="8"/>
        <v>3</v>
      </c>
      <c r="AC5" s="36">
        <f t="shared" si="9"/>
        <v>0.95418602655926643</v>
      </c>
      <c r="AD5" s="34">
        <f t="shared" si="10"/>
        <v>1</v>
      </c>
      <c r="AE5" s="34">
        <f t="shared" si="11"/>
        <v>1</v>
      </c>
      <c r="AF5" s="34">
        <f t="shared" si="12"/>
        <v>0.84057971014492749</v>
      </c>
      <c r="AG5" s="34">
        <f t="shared" si="13"/>
        <v>0.61194029850746268</v>
      </c>
      <c r="AH5" s="34">
        <f t="shared" si="14"/>
        <v>0.90109890109890112</v>
      </c>
      <c r="AI5" s="34">
        <f t="shared" si="15"/>
        <v>0.80482333146382479</v>
      </c>
      <c r="AJ5" s="34">
        <f t="shared" si="16"/>
        <v>0.10406865680152821</v>
      </c>
      <c r="AK5" s="34">
        <f t="shared" si="17"/>
        <v>0.77887292747753445</v>
      </c>
      <c r="AL5" s="34">
        <f t="shared" si="18"/>
        <v>0.71627846762435721</v>
      </c>
      <c r="AM5" s="34"/>
      <c r="AN5" s="35">
        <v>0.89172577812463205</v>
      </c>
      <c r="AO5">
        <f t="shared" si="19"/>
        <v>5</v>
      </c>
      <c r="AP5">
        <v>7.4993555278659336</v>
      </c>
      <c r="AQ5">
        <v>7</v>
      </c>
      <c r="AR5">
        <v>19</v>
      </c>
      <c r="AS5" s="154">
        <v>8</v>
      </c>
      <c r="AT5">
        <v>4</v>
      </c>
    </row>
    <row r="6" spans="1:46" x14ac:dyDescent="0.35">
      <c r="A6">
        <v>58</v>
      </c>
      <c r="B6" s="19" t="s">
        <v>172</v>
      </c>
      <c r="C6" s="19" t="s">
        <v>1099</v>
      </c>
      <c r="D6" s="19" t="s">
        <v>41</v>
      </c>
      <c r="E6" s="9" t="s">
        <v>5</v>
      </c>
      <c r="F6">
        <v>4</v>
      </c>
      <c r="G6">
        <v>0</v>
      </c>
      <c r="I6">
        <v>3</v>
      </c>
      <c r="J6">
        <v>0</v>
      </c>
      <c r="L6">
        <v>59</v>
      </c>
      <c r="M6">
        <v>46</v>
      </c>
      <c r="N6" s="73">
        <f t="shared" si="0"/>
        <v>14.75</v>
      </c>
      <c r="O6" s="73">
        <f t="shared" si="1"/>
        <v>11.5</v>
      </c>
      <c r="P6" s="73">
        <f t="shared" si="2"/>
        <v>3.25</v>
      </c>
      <c r="Q6">
        <v>28</v>
      </c>
      <c r="R6" s="54">
        <f t="shared" si="3"/>
        <v>2.1071428571428572</v>
      </c>
      <c r="S6" s="9">
        <f>3.4+1.721+4.978+3.783</f>
        <v>13.882</v>
      </c>
      <c r="T6" s="9">
        <f>3.4+1.721+4.978+3.783</f>
        <v>13.882</v>
      </c>
      <c r="U6" s="54">
        <f t="shared" si="4"/>
        <v>3.4704999999999999</v>
      </c>
      <c r="V6" s="54">
        <f t="shared" si="5"/>
        <v>-5.6214999999999993</v>
      </c>
      <c r="W6" s="9">
        <f>16.028+31.146+30.752+42.144</f>
        <v>120.07</v>
      </c>
      <c r="X6" s="54">
        <f t="shared" si="6"/>
        <v>30.017499999999998</v>
      </c>
      <c r="Y6" s="54">
        <f t="shared" si="7"/>
        <v>5.4788228662733749</v>
      </c>
      <c r="Z6" s="152">
        <v>146</v>
      </c>
      <c r="AA6" s="49">
        <v>5</v>
      </c>
      <c r="AB6" s="48">
        <f t="shared" si="8"/>
        <v>5</v>
      </c>
      <c r="AC6" s="36">
        <f t="shared" si="9"/>
        <v>0.92383236791748879</v>
      </c>
      <c r="AD6" s="34">
        <f t="shared" si="10"/>
        <v>1</v>
      </c>
      <c r="AE6" s="34">
        <f t="shared" si="11"/>
        <v>1</v>
      </c>
      <c r="AF6" s="34">
        <f t="shared" si="12"/>
        <v>0.36231884057971014</v>
      </c>
      <c r="AG6" s="34">
        <f t="shared" si="13"/>
        <v>0.64179104477611948</v>
      </c>
      <c r="AH6" s="34">
        <f t="shared" si="14"/>
        <v>0.56043956043956045</v>
      </c>
      <c r="AI6" s="34">
        <f t="shared" si="15"/>
        <v>0.62743369922281877</v>
      </c>
      <c r="AJ6" s="34">
        <f t="shared" si="16"/>
        <v>0.25997205827844783</v>
      </c>
      <c r="AK6" s="34">
        <f t="shared" si="17"/>
        <v>0.82212694595620806</v>
      </c>
      <c r="AL6" s="34">
        <f t="shared" si="18"/>
        <v>0.40485557064145022</v>
      </c>
      <c r="AM6" s="34"/>
      <c r="AN6" s="35">
        <v>0.89087076681122579</v>
      </c>
      <c r="AO6">
        <f t="shared" si="19"/>
        <v>5</v>
      </c>
      <c r="AP6">
        <v>5.0966001739721882</v>
      </c>
      <c r="AQ6">
        <v>2</v>
      </c>
      <c r="AR6">
        <v>9</v>
      </c>
      <c r="AS6" s="154">
        <v>4</v>
      </c>
      <c r="AT6">
        <v>5</v>
      </c>
    </row>
    <row r="7" spans="1:46" x14ac:dyDescent="0.35">
      <c r="A7">
        <v>106</v>
      </c>
      <c r="B7" s="69" t="s">
        <v>1296</v>
      </c>
      <c r="C7" s="69" t="s">
        <v>918</v>
      </c>
      <c r="D7" s="69" t="s">
        <v>966</v>
      </c>
      <c r="E7" s="9" t="s">
        <v>5</v>
      </c>
      <c r="F7">
        <v>4</v>
      </c>
      <c r="G7">
        <v>0</v>
      </c>
      <c r="I7">
        <v>3</v>
      </c>
      <c r="J7">
        <v>0</v>
      </c>
      <c r="L7">
        <v>58</v>
      </c>
      <c r="M7">
        <v>42</v>
      </c>
      <c r="N7" s="73">
        <f t="shared" si="0"/>
        <v>14.5</v>
      </c>
      <c r="O7" s="73">
        <f t="shared" si="1"/>
        <v>10.5</v>
      </c>
      <c r="P7" s="73">
        <f t="shared" si="2"/>
        <v>4</v>
      </c>
      <c r="Q7">
        <v>25</v>
      </c>
      <c r="R7" s="54">
        <f t="shared" si="3"/>
        <v>2.3199999999999998</v>
      </c>
      <c r="S7" s="9">
        <f>4.53+3.957-1.7+2.997</f>
        <v>9.7839999999999989</v>
      </c>
      <c r="T7" s="9">
        <f>4.53+3.957-1.7+2.997</f>
        <v>9.7839999999999989</v>
      </c>
      <c r="U7" s="54">
        <f t="shared" si="4"/>
        <v>2.4459999999999997</v>
      </c>
      <c r="V7" s="54">
        <f t="shared" si="5"/>
        <v>-4.5969999999999995</v>
      </c>
      <c r="W7" s="9">
        <f>12.881+11.597+(116.565-8.2825)+29.537</f>
        <v>162.29750000000001</v>
      </c>
      <c r="X7" s="54">
        <f t="shared" si="6"/>
        <v>40.574375000000003</v>
      </c>
      <c r="Y7" s="54">
        <f t="shared" si="7"/>
        <v>6.3698018022541332</v>
      </c>
      <c r="Z7" s="152">
        <v>95</v>
      </c>
      <c r="AA7" s="49">
        <v>6</v>
      </c>
      <c r="AB7" s="48">
        <f t="shared" si="8"/>
        <v>6</v>
      </c>
      <c r="AC7" s="36">
        <f t="shared" si="9"/>
        <v>0.89090530525877998</v>
      </c>
      <c r="AD7" s="34">
        <f t="shared" si="10"/>
        <v>1</v>
      </c>
      <c r="AE7" s="34">
        <f t="shared" si="11"/>
        <v>1</v>
      </c>
      <c r="AF7" s="34">
        <f t="shared" si="12"/>
        <v>0.34782608695652173</v>
      </c>
      <c r="AG7" s="34">
        <f t="shared" si="13"/>
        <v>0.70149253731343286</v>
      </c>
      <c r="AH7" s="34">
        <f t="shared" si="14"/>
        <v>0.59340659340659341</v>
      </c>
      <c r="AI7" s="34">
        <f t="shared" si="15"/>
        <v>0.82321929332585508</v>
      </c>
      <c r="AJ7" s="34">
        <f t="shared" si="16"/>
        <v>0.37681407350383489</v>
      </c>
      <c r="AK7" s="34">
        <f t="shared" si="17"/>
        <v>0.85454372864194406</v>
      </c>
      <c r="AL7" s="34">
        <f t="shared" si="18"/>
        <v>0.52213944047020944</v>
      </c>
      <c r="AN7" s="35">
        <v>0.86224555828401461</v>
      </c>
      <c r="AO7">
        <f t="shared" si="19"/>
        <v>4</v>
      </c>
      <c r="AP7">
        <v>6.6523304187329719</v>
      </c>
      <c r="AQ7">
        <v>18</v>
      </c>
      <c r="AR7">
        <v>43</v>
      </c>
      <c r="AS7" s="154">
        <v>24</v>
      </c>
      <c r="AT7">
        <v>6</v>
      </c>
    </row>
    <row r="8" spans="1:46" x14ac:dyDescent="0.35">
      <c r="A8">
        <v>80</v>
      </c>
      <c r="B8" s="21" t="s">
        <v>173</v>
      </c>
      <c r="C8" s="21" t="s">
        <v>1102</v>
      </c>
      <c r="D8" s="21" t="s">
        <v>119</v>
      </c>
      <c r="E8" s="9" t="s">
        <v>5</v>
      </c>
      <c r="F8">
        <v>3</v>
      </c>
      <c r="G8">
        <v>1</v>
      </c>
      <c r="I8">
        <v>3</v>
      </c>
      <c r="J8">
        <v>0</v>
      </c>
      <c r="L8">
        <v>79</v>
      </c>
      <c r="M8">
        <v>45</v>
      </c>
      <c r="N8" s="73">
        <f t="shared" si="0"/>
        <v>19.75</v>
      </c>
      <c r="O8" s="73">
        <f t="shared" si="1"/>
        <v>11.25</v>
      </c>
      <c r="P8" s="73">
        <f t="shared" si="2"/>
        <v>8.5</v>
      </c>
      <c r="Q8">
        <v>37</v>
      </c>
      <c r="R8" s="54">
        <f t="shared" si="3"/>
        <v>2.1351351351351351</v>
      </c>
      <c r="S8" s="9">
        <f>-1.203+2.959+4.174+8.416</f>
        <v>14.346</v>
      </c>
      <c r="T8" s="9">
        <f>-1.203+2.959+8.416</f>
        <v>10.172000000000001</v>
      </c>
      <c r="U8" s="54">
        <f t="shared" si="4"/>
        <v>3.5865</v>
      </c>
      <c r="V8" s="54">
        <f t="shared" si="5"/>
        <v>-6.8845333333333336</v>
      </c>
      <c r="W8" s="9">
        <f>(144.2-22.1)+(235.692-73.7947)+8.154+50.978</f>
        <v>343.1293</v>
      </c>
      <c r="X8" s="54">
        <f t="shared" si="6"/>
        <v>85.782325</v>
      </c>
      <c r="Y8" s="54">
        <f t="shared" si="7"/>
        <v>9.2618748102098643</v>
      </c>
      <c r="Z8" s="152">
        <v>102</v>
      </c>
      <c r="AA8" s="49">
        <v>7</v>
      </c>
      <c r="AB8" s="48">
        <f t="shared" si="8"/>
        <v>7</v>
      </c>
      <c r="AC8" s="36">
        <f t="shared" si="9"/>
        <v>0.8876354875686201</v>
      </c>
      <c r="AD8" s="34">
        <f t="shared" si="10"/>
        <v>0.75</v>
      </c>
      <c r="AE8" s="34">
        <f t="shared" si="11"/>
        <v>1</v>
      </c>
      <c r="AF8" s="34">
        <f t="shared" si="12"/>
        <v>0.65217391304347827</v>
      </c>
      <c r="AG8" s="34">
        <f t="shared" si="13"/>
        <v>0.65671641791044777</v>
      </c>
      <c r="AH8" s="34">
        <f t="shared" si="14"/>
        <v>0.79120879120879117</v>
      </c>
      <c r="AI8" s="34">
        <f t="shared" si="15"/>
        <v>0.6531809431416834</v>
      </c>
      <c r="AJ8" s="34">
        <f t="shared" si="16"/>
        <v>0.24674250848230828</v>
      </c>
      <c r="AK8" s="34">
        <f t="shared" si="17"/>
        <v>0.78216259545205247</v>
      </c>
      <c r="AL8" s="34">
        <f t="shared" si="18"/>
        <v>0.90283700861975924</v>
      </c>
      <c r="AM8" s="34"/>
      <c r="AN8" s="35">
        <v>0.84376741026043645</v>
      </c>
      <c r="AO8">
        <f t="shared" si="19"/>
        <v>5</v>
      </c>
      <c r="AP8">
        <v>9.8683213702567798</v>
      </c>
      <c r="AQ8">
        <v>11</v>
      </c>
      <c r="AR8">
        <v>1</v>
      </c>
      <c r="AS8" s="154">
        <v>1</v>
      </c>
      <c r="AT8">
        <v>7</v>
      </c>
    </row>
    <row r="9" spans="1:46" x14ac:dyDescent="0.35">
      <c r="A9">
        <v>49</v>
      </c>
      <c r="B9" s="19" t="s">
        <v>172</v>
      </c>
      <c r="C9" s="19" t="s">
        <v>1090</v>
      </c>
      <c r="D9" s="19" t="s">
        <v>40</v>
      </c>
      <c r="E9" s="9" t="s">
        <v>5</v>
      </c>
      <c r="F9">
        <v>4</v>
      </c>
      <c r="G9">
        <v>0</v>
      </c>
      <c r="I9">
        <v>3</v>
      </c>
      <c r="J9">
        <v>0</v>
      </c>
      <c r="L9">
        <v>71</v>
      </c>
      <c r="M9">
        <v>52</v>
      </c>
      <c r="N9" s="73">
        <f t="shared" si="0"/>
        <v>17.75</v>
      </c>
      <c r="O9" s="73">
        <f t="shared" si="1"/>
        <v>13</v>
      </c>
      <c r="P9" s="73">
        <f t="shared" si="2"/>
        <v>4.75</v>
      </c>
      <c r="Q9">
        <v>38</v>
      </c>
      <c r="R9" s="54">
        <f t="shared" si="3"/>
        <v>1.868421052631579</v>
      </c>
      <c r="S9" s="9">
        <f>1.39-1.19+2.029+0.023</f>
        <v>2.2520000000000002</v>
      </c>
      <c r="T9" s="9">
        <f>1.39-1.19+2.029+0.023</f>
        <v>2.2520000000000002</v>
      </c>
      <c r="U9" s="54">
        <f t="shared" si="4"/>
        <v>0.56300000000000006</v>
      </c>
      <c r="V9" s="54">
        <f t="shared" si="5"/>
        <v>-2.714</v>
      </c>
      <c r="W9" s="9">
        <f>26.172+80.334+58.771+75.975</f>
        <v>241.25199999999998</v>
      </c>
      <c r="X9" s="54">
        <f t="shared" si="6"/>
        <v>60.312999999999995</v>
      </c>
      <c r="Y9" s="54">
        <f t="shared" si="7"/>
        <v>7.7661444745768149</v>
      </c>
      <c r="Z9" s="152">
        <v>77</v>
      </c>
      <c r="AA9" s="49">
        <v>8</v>
      </c>
      <c r="AB9" s="48">
        <f t="shared" si="8"/>
        <v>8</v>
      </c>
      <c r="AC9" s="36">
        <f t="shared" si="9"/>
        <v>0.87704248376969884</v>
      </c>
      <c r="AD9" s="34">
        <f t="shared" si="10"/>
        <v>1</v>
      </c>
      <c r="AE9" s="34">
        <f t="shared" si="11"/>
        <v>1</v>
      </c>
      <c r="AF9" s="34">
        <f t="shared" si="12"/>
        <v>0.53623188405797106</v>
      </c>
      <c r="AG9" s="34">
        <f t="shared" si="13"/>
        <v>0.55223880597014929</v>
      </c>
      <c r="AH9" s="34">
        <f t="shared" si="14"/>
        <v>0.62637362637362637</v>
      </c>
      <c r="AI9" s="34">
        <f t="shared" si="15"/>
        <v>0.40785783865159253</v>
      </c>
      <c r="AJ9" s="34">
        <f t="shared" si="16"/>
        <v>0.59156616200496104</v>
      </c>
      <c r="AK9" s="34">
        <f t="shared" si="17"/>
        <v>0.91412479432983162</v>
      </c>
      <c r="AL9" s="34">
        <f t="shared" si="18"/>
        <v>0.70594678495783714</v>
      </c>
      <c r="AM9" s="34"/>
      <c r="AN9" s="35">
        <v>0.83888010269317859</v>
      </c>
      <c r="AO9">
        <f t="shared" si="19"/>
        <v>3</v>
      </c>
      <c r="AP9">
        <v>7.422420988689157</v>
      </c>
      <c r="AQ9">
        <v>36</v>
      </c>
      <c r="AR9">
        <v>36</v>
      </c>
      <c r="AS9" s="154">
        <v>11</v>
      </c>
      <c r="AT9">
        <v>8</v>
      </c>
    </row>
    <row r="10" spans="1:46" x14ac:dyDescent="0.35">
      <c r="A10">
        <v>1</v>
      </c>
      <c r="B10" s="15" t="s">
        <v>143</v>
      </c>
      <c r="C10" s="15" t="s">
        <v>1085</v>
      </c>
      <c r="D10" s="15" t="s">
        <v>78</v>
      </c>
      <c r="E10" s="9" t="s">
        <v>6</v>
      </c>
      <c r="F10">
        <v>3</v>
      </c>
      <c r="G10">
        <v>1</v>
      </c>
      <c r="I10">
        <v>2</v>
      </c>
      <c r="J10">
        <v>1</v>
      </c>
      <c r="L10">
        <f>56+21</f>
        <v>77</v>
      </c>
      <c r="M10">
        <f>36+22</f>
        <v>58</v>
      </c>
      <c r="N10" s="73">
        <f t="shared" si="0"/>
        <v>19.25</v>
      </c>
      <c r="O10" s="73">
        <f t="shared" si="1"/>
        <v>14.5</v>
      </c>
      <c r="P10" s="73">
        <f t="shared" si="2"/>
        <v>4.75</v>
      </c>
      <c r="Q10">
        <f>34+9</f>
        <v>43</v>
      </c>
      <c r="R10" s="54">
        <f t="shared" si="3"/>
        <v>1.7906976744186047</v>
      </c>
      <c r="S10" s="9">
        <f>-1.266+1.659+0.96+4.828</f>
        <v>6.181</v>
      </c>
      <c r="T10" s="9">
        <f>-1.266+1.659+0.96</f>
        <v>1.353</v>
      </c>
      <c r="U10" s="54">
        <f t="shared" si="4"/>
        <v>1.54525</v>
      </c>
      <c r="V10" s="54">
        <f t="shared" si="5"/>
        <v>-3.6509</v>
      </c>
      <c r="W10" s="9">
        <f>57.218+37.13+(126.813-13.4065)+18.329</f>
        <v>226.08350000000002</v>
      </c>
      <c r="X10" s="54">
        <f t="shared" si="6"/>
        <v>56.520875000000004</v>
      </c>
      <c r="Y10" s="54">
        <f t="shared" si="7"/>
        <v>7.5180366452951004</v>
      </c>
      <c r="Z10" s="152">
        <v>59</v>
      </c>
      <c r="AA10" s="49">
        <v>9</v>
      </c>
      <c r="AB10" s="48">
        <f t="shared" si="8"/>
        <v>29</v>
      </c>
      <c r="AC10" s="36">
        <f t="shared" si="9"/>
        <v>0.72666341222596176</v>
      </c>
      <c r="AD10" s="34">
        <f t="shared" si="10"/>
        <v>0.75</v>
      </c>
      <c r="AE10" s="34">
        <f t="shared" si="11"/>
        <v>0.66666666666666663</v>
      </c>
      <c r="AF10" s="34">
        <f t="shared" si="12"/>
        <v>0.62318840579710144</v>
      </c>
      <c r="AG10" s="34">
        <f t="shared" si="13"/>
        <v>0.46268656716417911</v>
      </c>
      <c r="AH10" s="34">
        <f t="shared" si="14"/>
        <v>0.62637362637362637</v>
      </c>
      <c r="AI10" s="34">
        <f t="shared" si="15"/>
        <v>0.336368023581891</v>
      </c>
      <c r="AJ10" s="34">
        <f t="shared" si="16"/>
        <v>0.47954266814928859</v>
      </c>
      <c r="AK10" s="34">
        <f t="shared" si="17"/>
        <v>0.88447981268193898</v>
      </c>
      <c r="AL10" s="34">
        <f t="shared" si="18"/>
        <v>0.67328715050650034</v>
      </c>
      <c r="AM10" s="34"/>
      <c r="AN10" s="35">
        <v>0.82034915098969918</v>
      </c>
      <c r="AO10">
        <f t="shared" si="19"/>
        <v>2</v>
      </c>
      <c r="AP10">
        <v>8.3217486143237949</v>
      </c>
      <c r="AQ10">
        <v>54</v>
      </c>
      <c r="AR10">
        <v>23</v>
      </c>
      <c r="AS10" s="154">
        <v>21</v>
      </c>
      <c r="AT10">
        <v>9</v>
      </c>
    </row>
    <row r="11" spans="1:46" x14ac:dyDescent="0.35">
      <c r="A11">
        <v>89</v>
      </c>
      <c r="B11" s="58" t="s">
        <v>799</v>
      </c>
      <c r="C11" s="58" t="s">
        <v>1106</v>
      </c>
      <c r="D11" s="58" t="s">
        <v>790</v>
      </c>
      <c r="E11" s="9" t="s">
        <v>5</v>
      </c>
      <c r="F11">
        <v>4</v>
      </c>
      <c r="G11">
        <v>0</v>
      </c>
      <c r="I11">
        <v>3</v>
      </c>
      <c r="J11">
        <v>0</v>
      </c>
      <c r="L11">
        <f>59+19</f>
        <v>78</v>
      </c>
      <c r="M11">
        <f>37+15</f>
        <v>52</v>
      </c>
      <c r="N11" s="73">
        <f t="shared" si="0"/>
        <v>19.5</v>
      </c>
      <c r="O11" s="73">
        <f t="shared" si="1"/>
        <v>13</v>
      </c>
      <c r="P11" s="73">
        <f t="shared" si="2"/>
        <v>6.5</v>
      </c>
      <c r="Q11">
        <v>37</v>
      </c>
      <c r="R11" s="54">
        <f t="shared" si="3"/>
        <v>2.1081081081081079</v>
      </c>
      <c r="S11" s="9">
        <f>-2.092+5.756+1.805+4.801</f>
        <v>10.27</v>
      </c>
      <c r="T11" s="9">
        <f>-2.092+5.756+1.805+4.801</f>
        <v>10.27</v>
      </c>
      <c r="U11" s="54">
        <f t="shared" si="4"/>
        <v>2.5674999999999999</v>
      </c>
      <c r="V11" s="54">
        <f t="shared" si="5"/>
        <v>-4.7184999999999997</v>
      </c>
      <c r="W11" s="9">
        <f>(108.543-4.2715)+49.706+39.711+20.413</f>
        <v>214.10150000000004</v>
      </c>
      <c r="X11" s="54">
        <f t="shared" si="6"/>
        <v>53.525375000000011</v>
      </c>
      <c r="Y11" s="54">
        <f t="shared" si="7"/>
        <v>7.3161038128227798</v>
      </c>
      <c r="Z11" s="152">
        <v>53</v>
      </c>
      <c r="AA11" s="49">
        <v>10</v>
      </c>
      <c r="AB11" s="48">
        <f t="shared" si="8"/>
        <v>12</v>
      </c>
      <c r="AC11" s="36">
        <f t="shared" si="9"/>
        <v>0.83961288765333542</v>
      </c>
      <c r="AD11" s="34">
        <f t="shared" si="10"/>
        <v>1</v>
      </c>
      <c r="AE11" s="34">
        <f t="shared" si="11"/>
        <v>1</v>
      </c>
      <c r="AF11" s="34">
        <f t="shared" si="12"/>
        <v>0.6376811594202898</v>
      </c>
      <c r="AG11" s="34">
        <f t="shared" si="13"/>
        <v>0.55223880597014929</v>
      </c>
      <c r="AH11" s="34">
        <f t="shared" si="14"/>
        <v>0.70329670329670335</v>
      </c>
      <c r="AI11" s="34">
        <f t="shared" si="15"/>
        <v>0.62832153522002065</v>
      </c>
      <c r="AJ11" s="34">
        <f t="shared" si="16"/>
        <v>0.36295726057080946</v>
      </c>
      <c r="AK11" s="34">
        <f t="shared" si="17"/>
        <v>0.85069927857233263</v>
      </c>
      <c r="AL11" s="34">
        <f t="shared" si="18"/>
        <v>0.64670575437981592</v>
      </c>
      <c r="AM11" s="34"/>
      <c r="AN11" s="35">
        <v>0.81701410050095913</v>
      </c>
      <c r="AO11">
        <f t="shared" si="19"/>
        <v>2</v>
      </c>
      <c r="AP11">
        <v>8.0351000823470358</v>
      </c>
      <c r="AQ11">
        <v>60</v>
      </c>
      <c r="AR11">
        <v>10</v>
      </c>
      <c r="AS11" s="154">
        <v>10</v>
      </c>
      <c r="AT11">
        <v>10</v>
      </c>
    </row>
    <row r="12" spans="1:46" x14ac:dyDescent="0.35">
      <c r="A12">
        <v>59</v>
      </c>
      <c r="B12" s="19" t="s">
        <v>172</v>
      </c>
      <c r="C12" s="19" t="s">
        <v>1099</v>
      </c>
      <c r="D12" s="19" t="s">
        <v>45</v>
      </c>
      <c r="E12" s="9" t="s">
        <v>6</v>
      </c>
      <c r="F12">
        <v>3</v>
      </c>
      <c r="G12">
        <v>1</v>
      </c>
      <c r="I12">
        <v>2</v>
      </c>
      <c r="J12">
        <v>1</v>
      </c>
      <c r="L12">
        <v>64</v>
      </c>
      <c r="M12">
        <v>48</v>
      </c>
      <c r="N12" s="73">
        <f t="shared" si="0"/>
        <v>16</v>
      </c>
      <c r="O12" s="73">
        <f t="shared" si="1"/>
        <v>12</v>
      </c>
      <c r="P12" s="73">
        <f t="shared" si="2"/>
        <v>4</v>
      </c>
      <c r="Q12">
        <v>35</v>
      </c>
      <c r="R12" s="54">
        <f t="shared" si="3"/>
        <v>1.8285714285714285</v>
      </c>
      <c r="S12" s="9">
        <f>2.158+2.212-1.827-0.023</f>
        <v>2.52</v>
      </c>
      <c r="T12" s="9">
        <f>2.158+2.212-1.827</f>
        <v>2.5430000000000001</v>
      </c>
      <c r="U12" s="54">
        <f t="shared" si="4"/>
        <v>0.63</v>
      </c>
      <c r="V12" s="54">
        <f t="shared" si="5"/>
        <v>-4.0872333333333328</v>
      </c>
      <c r="W12" s="9">
        <f>22.523+17.35+76.276+0</f>
        <v>116.149</v>
      </c>
      <c r="X12" s="54">
        <f t="shared" si="6"/>
        <v>29.03725</v>
      </c>
      <c r="Y12" s="54">
        <f t="shared" si="7"/>
        <v>5.3886222729005606</v>
      </c>
      <c r="Z12" s="152">
        <v>58</v>
      </c>
      <c r="AA12" s="49">
        <v>11</v>
      </c>
      <c r="AB12" s="48">
        <f t="shared" si="8"/>
        <v>32</v>
      </c>
      <c r="AC12" s="36">
        <f t="shared" si="9"/>
        <v>0.70701045531811613</v>
      </c>
      <c r="AD12" s="34">
        <f t="shared" si="10"/>
        <v>0.75</v>
      </c>
      <c r="AE12" s="34">
        <f t="shared" si="11"/>
        <v>0.66666666666666663</v>
      </c>
      <c r="AF12" s="34">
        <f t="shared" si="12"/>
        <v>0.43478260869565216</v>
      </c>
      <c r="AG12" s="34">
        <f t="shared" si="13"/>
        <v>0.61194029850746268</v>
      </c>
      <c r="AH12" s="34">
        <f t="shared" si="14"/>
        <v>0.59340659340659341</v>
      </c>
      <c r="AI12" s="34">
        <f t="shared" si="15"/>
        <v>0.37120423043025391</v>
      </c>
      <c r="AJ12" s="34">
        <f t="shared" si="16"/>
        <v>0.58392495651925991</v>
      </c>
      <c r="AK12" s="34">
        <f t="shared" si="17"/>
        <v>0.87067354343332071</v>
      </c>
      <c r="AL12" s="34">
        <f t="shared" si="18"/>
        <v>0.39298202994997594</v>
      </c>
      <c r="AM12" s="34"/>
      <c r="AN12" s="35">
        <v>0.80892002690091847</v>
      </c>
      <c r="AO12">
        <f t="shared" si="19"/>
        <v>2</v>
      </c>
      <c r="AP12">
        <v>6.2222450396407032</v>
      </c>
      <c r="AQ12">
        <v>55</v>
      </c>
      <c r="AR12">
        <v>41</v>
      </c>
      <c r="AS12" s="154">
        <v>25</v>
      </c>
      <c r="AT12">
        <v>11</v>
      </c>
    </row>
    <row r="13" spans="1:46" x14ac:dyDescent="0.35">
      <c r="A13">
        <v>86</v>
      </c>
      <c r="B13" s="58" t="s">
        <v>799</v>
      </c>
      <c r="C13" s="58" t="s">
        <v>1104</v>
      </c>
      <c r="D13" s="58" t="s">
        <v>785</v>
      </c>
      <c r="E13" s="9" t="s">
        <v>5</v>
      </c>
      <c r="F13">
        <v>4</v>
      </c>
      <c r="G13">
        <v>0</v>
      </c>
      <c r="I13">
        <v>3</v>
      </c>
      <c r="J13">
        <v>0</v>
      </c>
      <c r="L13">
        <v>77</v>
      </c>
      <c r="M13">
        <v>44</v>
      </c>
      <c r="N13" s="73">
        <f t="shared" si="0"/>
        <v>19.25</v>
      </c>
      <c r="O13" s="73">
        <f t="shared" si="1"/>
        <v>11</v>
      </c>
      <c r="P13" s="73">
        <f t="shared" si="2"/>
        <v>8.25</v>
      </c>
      <c r="Q13">
        <v>38</v>
      </c>
      <c r="R13" s="54">
        <f t="shared" si="3"/>
        <v>2.0263157894736841</v>
      </c>
      <c r="S13" s="9">
        <f>-1.473+4.016+2.931+0.441</f>
        <v>5.915</v>
      </c>
      <c r="T13" s="9">
        <f>-1.473+4.016+2.931+0.441</f>
        <v>5.915</v>
      </c>
      <c r="U13" s="54">
        <f t="shared" si="4"/>
        <v>1.47875</v>
      </c>
      <c r="V13" s="54">
        <f t="shared" si="5"/>
        <v>-3.6297499999999996</v>
      </c>
      <c r="W13" s="9">
        <f>71.446+36.505+31.074+(165.966-32.983)</f>
        <v>272.00800000000004</v>
      </c>
      <c r="X13" s="54">
        <f t="shared" si="6"/>
        <v>68.00200000000001</v>
      </c>
      <c r="Y13" s="54">
        <f t="shared" si="7"/>
        <v>8.2463325181561782</v>
      </c>
      <c r="Z13" s="152">
        <v>39</v>
      </c>
      <c r="AA13" s="49">
        <v>12</v>
      </c>
      <c r="AB13" s="48">
        <f t="shared" si="8"/>
        <v>10</v>
      </c>
      <c r="AC13" s="36">
        <f t="shared" si="9"/>
        <v>0.85401794849815127</v>
      </c>
      <c r="AD13" s="34">
        <f t="shared" si="10"/>
        <v>1</v>
      </c>
      <c r="AE13" s="34">
        <f t="shared" si="11"/>
        <v>1</v>
      </c>
      <c r="AF13" s="34">
        <f t="shared" si="12"/>
        <v>0.62318840579710144</v>
      </c>
      <c r="AG13" s="34">
        <f t="shared" si="13"/>
        <v>0.67164179104477606</v>
      </c>
      <c r="AH13" s="34">
        <f t="shared" si="14"/>
        <v>0.78021978021978022</v>
      </c>
      <c r="AI13" s="34">
        <f t="shared" si="15"/>
        <v>0.55308911650972625</v>
      </c>
      <c r="AJ13" s="34">
        <f t="shared" si="16"/>
        <v>0.48712684971345477</v>
      </c>
      <c r="AK13" s="34">
        <f t="shared" si="17"/>
        <v>0.88514903176813065</v>
      </c>
      <c r="AL13" s="34">
        <f t="shared" si="18"/>
        <v>0.76915626132384729</v>
      </c>
      <c r="AM13" s="34"/>
      <c r="AN13" s="35">
        <v>0.80001008255083184</v>
      </c>
      <c r="AO13">
        <f t="shared" si="19"/>
        <v>2</v>
      </c>
      <c r="AP13">
        <v>6.8074713856663891</v>
      </c>
      <c r="AQ13">
        <v>74</v>
      </c>
      <c r="AR13">
        <v>25</v>
      </c>
      <c r="AS13" s="154">
        <v>17</v>
      </c>
      <c r="AT13">
        <v>12</v>
      </c>
    </row>
    <row r="14" spans="1:46" x14ac:dyDescent="0.35">
      <c r="A14">
        <v>107</v>
      </c>
      <c r="B14" s="69" t="s">
        <v>1296</v>
      </c>
      <c r="C14" s="69" t="s">
        <v>918</v>
      </c>
      <c r="D14" s="69" t="s">
        <v>1344</v>
      </c>
      <c r="E14" s="9" t="s">
        <v>5</v>
      </c>
      <c r="F14">
        <v>4</v>
      </c>
      <c r="G14">
        <v>0</v>
      </c>
      <c r="I14">
        <v>3</v>
      </c>
      <c r="J14">
        <v>0</v>
      </c>
      <c r="L14">
        <f>51+31</f>
        <v>82</v>
      </c>
      <c r="M14">
        <f>36+10</f>
        <v>46</v>
      </c>
      <c r="N14" s="73">
        <f t="shared" si="0"/>
        <v>20.5</v>
      </c>
      <c r="O14" s="73">
        <f t="shared" si="1"/>
        <v>11.5</v>
      </c>
      <c r="P14" s="73">
        <f t="shared" si="2"/>
        <v>9</v>
      </c>
      <c r="Q14">
        <v>40</v>
      </c>
      <c r="R14" s="54">
        <f t="shared" si="3"/>
        <v>2.0499999999999998</v>
      </c>
      <c r="S14" s="9">
        <f>-2.064-0.515+3.076+4.206</f>
        <v>4.7030000000000003</v>
      </c>
      <c r="T14" s="9">
        <f>-2.064-0.515+3.076+4.206</f>
        <v>4.7030000000000003</v>
      </c>
      <c r="U14" s="54">
        <f t="shared" si="4"/>
        <v>1.1757500000000001</v>
      </c>
      <c r="V14" s="54">
        <f t="shared" si="5"/>
        <v>-3.3267499999999997</v>
      </c>
      <c r="W14" s="9">
        <f>55.575+74.82+19.664+(177.912-38.956)</f>
        <v>289.01499999999999</v>
      </c>
      <c r="X14" s="54">
        <f t="shared" si="6"/>
        <v>72.253749999999997</v>
      </c>
      <c r="Y14" s="54">
        <f t="shared" si="7"/>
        <v>8.5002205853730644</v>
      </c>
      <c r="Z14" s="152">
        <v>42</v>
      </c>
      <c r="AA14" s="49">
        <v>13</v>
      </c>
      <c r="AB14" s="48">
        <f t="shared" si="8"/>
        <v>9</v>
      </c>
      <c r="AC14" s="36">
        <f t="shared" si="9"/>
        <v>0.87481839644115977</v>
      </c>
      <c r="AD14" s="34">
        <f t="shared" si="10"/>
        <v>1</v>
      </c>
      <c r="AE14" s="34">
        <f t="shared" si="11"/>
        <v>1</v>
      </c>
      <c r="AF14" s="34">
        <f t="shared" si="12"/>
        <v>0.69565217391304346</v>
      </c>
      <c r="AG14" s="34">
        <f t="shared" si="13"/>
        <v>0.64179104477611948</v>
      </c>
      <c r="AH14" s="34">
        <f t="shared" si="14"/>
        <v>0.81318681318681318</v>
      </c>
      <c r="AI14" s="34">
        <f t="shared" si="15"/>
        <v>0.57487380818844624</v>
      </c>
      <c r="AJ14" s="34">
        <f t="shared" si="16"/>
        <v>0.5216833461637157</v>
      </c>
      <c r="AK14" s="34">
        <f t="shared" si="17"/>
        <v>0.89473642576889001</v>
      </c>
      <c r="AL14" s="34">
        <f t="shared" si="18"/>
        <v>0.80257677647189973</v>
      </c>
      <c r="AN14" s="35">
        <v>0.79202316230666092</v>
      </c>
      <c r="AO14">
        <f t="shared" si="19"/>
        <v>2</v>
      </c>
      <c r="AP14">
        <v>7.0724583184821004</v>
      </c>
      <c r="AQ14">
        <v>71</v>
      </c>
      <c r="AR14">
        <v>26</v>
      </c>
      <c r="AS14" s="154">
        <v>12</v>
      </c>
      <c r="AT14">
        <v>13</v>
      </c>
    </row>
    <row r="15" spans="1:46" x14ac:dyDescent="0.35">
      <c r="A15">
        <v>12</v>
      </c>
      <c r="B15" s="15" t="s">
        <v>143</v>
      </c>
      <c r="C15" s="15" t="s">
        <v>1083</v>
      </c>
      <c r="D15" s="15" t="s">
        <v>83</v>
      </c>
      <c r="E15" s="9" t="s">
        <v>6</v>
      </c>
      <c r="F15">
        <v>3</v>
      </c>
      <c r="G15">
        <v>1</v>
      </c>
      <c r="I15">
        <v>2</v>
      </c>
      <c r="J15">
        <v>1</v>
      </c>
      <c r="L15">
        <v>71</v>
      </c>
      <c r="M15">
        <v>58</v>
      </c>
      <c r="N15" s="73">
        <f t="shared" si="0"/>
        <v>17.75</v>
      </c>
      <c r="O15" s="73">
        <f t="shared" si="1"/>
        <v>14.5</v>
      </c>
      <c r="P15" s="73">
        <f t="shared" si="2"/>
        <v>3.25</v>
      </c>
      <c r="Q15">
        <v>36</v>
      </c>
      <c r="R15" s="54">
        <f t="shared" si="3"/>
        <v>1.9722222222222223</v>
      </c>
      <c r="S15" s="9">
        <f>-0.695+2.68+3.05+5.012</f>
        <v>10.047000000000001</v>
      </c>
      <c r="T15" s="9">
        <f>-0.695+2.68+3.05</f>
        <v>5.0350000000000001</v>
      </c>
      <c r="U15" s="54">
        <f t="shared" si="4"/>
        <v>2.5117500000000001</v>
      </c>
      <c r="V15" s="54">
        <f t="shared" si="5"/>
        <v>-5.0009666666666668</v>
      </c>
      <c r="W15" s="9">
        <f>82.299+28.752+52.797+3.071</f>
        <v>166.91900000000001</v>
      </c>
      <c r="X15" s="54">
        <f t="shared" si="6"/>
        <v>41.729750000000003</v>
      </c>
      <c r="Y15" s="54">
        <f t="shared" si="7"/>
        <v>6.4598568095585529</v>
      </c>
      <c r="Z15" s="152">
        <v>46</v>
      </c>
      <c r="AA15" s="49">
        <v>14</v>
      </c>
      <c r="AB15" s="48">
        <f t="shared" si="8"/>
        <v>36</v>
      </c>
      <c r="AC15" s="36">
        <f t="shared" si="9"/>
        <v>0.67878412139801858</v>
      </c>
      <c r="AD15" s="34">
        <f t="shared" si="10"/>
        <v>0.75</v>
      </c>
      <c r="AE15" s="34">
        <f t="shared" si="11"/>
        <v>0.66666666666666663</v>
      </c>
      <c r="AF15" s="34">
        <f t="shared" si="12"/>
        <v>0.53623188405797106</v>
      </c>
      <c r="AG15" s="34">
        <f t="shared" si="13"/>
        <v>0.46268656716417911</v>
      </c>
      <c r="AH15" s="34">
        <f t="shared" si="14"/>
        <v>0.56043956043956045</v>
      </c>
      <c r="AI15" s="34">
        <f t="shared" si="15"/>
        <v>0.50333395650277313</v>
      </c>
      <c r="AJ15" s="34">
        <f t="shared" si="16"/>
        <v>0.36931542782197124</v>
      </c>
      <c r="AK15" s="34">
        <f t="shared" si="17"/>
        <v>0.84176159135974349</v>
      </c>
      <c r="AL15" s="34">
        <f t="shared" si="18"/>
        <v>0.53399381696284032</v>
      </c>
      <c r="AM15" s="34"/>
      <c r="AN15" s="35">
        <v>0.77769660328458856</v>
      </c>
      <c r="AO15">
        <f t="shared" si="19"/>
        <v>2</v>
      </c>
      <c r="AP15">
        <v>7.390263865383969</v>
      </c>
      <c r="AQ15">
        <v>67</v>
      </c>
      <c r="AR15">
        <v>21</v>
      </c>
      <c r="AS15" s="154">
        <v>22</v>
      </c>
      <c r="AT15">
        <v>14</v>
      </c>
    </row>
    <row r="16" spans="1:46" x14ac:dyDescent="0.35">
      <c r="A16">
        <v>25</v>
      </c>
      <c r="B16" s="16" t="s">
        <v>144</v>
      </c>
      <c r="C16" s="16" t="s">
        <v>1366</v>
      </c>
      <c r="D16" s="16" t="s">
        <v>115</v>
      </c>
      <c r="E16" s="9" t="s">
        <v>5</v>
      </c>
      <c r="F16">
        <v>4</v>
      </c>
      <c r="G16">
        <v>0</v>
      </c>
      <c r="I16">
        <v>3</v>
      </c>
      <c r="J16">
        <v>0</v>
      </c>
      <c r="L16">
        <v>70</v>
      </c>
      <c r="M16">
        <v>48</v>
      </c>
      <c r="N16" s="73">
        <f t="shared" si="0"/>
        <v>17.5</v>
      </c>
      <c r="O16" s="73">
        <f t="shared" si="1"/>
        <v>12</v>
      </c>
      <c r="P16" s="73">
        <f t="shared" si="2"/>
        <v>5.5</v>
      </c>
      <c r="Q16">
        <v>37</v>
      </c>
      <c r="R16" s="54">
        <f t="shared" si="3"/>
        <v>1.8918918918918919</v>
      </c>
      <c r="S16" s="9">
        <f>-0.16-1.369-0.616+3.474</f>
        <v>1.3290000000000002</v>
      </c>
      <c r="T16" s="9">
        <f>-0.16-1.369-0.616+3.474</f>
        <v>1.3290000000000002</v>
      </c>
      <c r="U16" s="54">
        <f t="shared" si="4"/>
        <v>0.33225000000000005</v>
      </c>
      <c r="V16" s="54">
        <f t="shared" si="5"/>
        <v>-2.48325</v>
      </c>
      <c r="W16" s="9">
        <f>23.824+70.036+(107.683-3.8415)+33.886</f>
        <v>231.58750000000001</v>
      </c>
      <c r="X16" s="54">
        <f t="shared" si="6"/>
        <v>57.896875000000001</v>
      </c>
      <c r="Y16" s="54">
        <f t="shared" si="7"/>
        <v>7.6089996057300464</v>
      </c>
      <c r="Z16" s="152">
        <v>10</v>
      </c>
      <c r="AA16" s="49">
        <v>15</v>
      </c>
      <c r="AB16" s="48">
        <f t="shared" si="8"/>
        <v>20</v>
      </c>
      <c r="AC16" s="36">
        <f t="shared" si="9"/>
        <v>0.78105971985408862</v>
      </c>
      <c r="AD16" s="34">
        <f t="shared" si="10"/>
        <v>1</v>
      </c>
      <c r="AE16" s="34">
        <f t="shared" si="11"/>
        <v>1</v>
      </c>
      <c r="AF16" s="34">
        <f t="shared" si="12"/>
        <v>0.52173913043478259</v>
      </c>
      <c r="AG16" s="34">
        <f t="shared" si="13"/>
        <v>0.61194029850746268</v>
      </c>
      <c r="AH16" s="34">
        <f t="shared" si="14"/>
        <v>0.65934065934065933</v>
      </c>
      <c r="AI16" s="34">
        <f t="shared" si="15"/>
        <v>0.42944627184672052</v>
      </c>
      <c r="AJ16" s="34">
        <f t="shared" si="16"/>
        <v>0.61788270179340232</v>
      </c>
      <c r="AK16" s="34">
        <f t="shared" si="17"/>
        <v>0.92142608530565751</v>
      </c>
      <c r="AL16" s="34">
        <f t="shared" si="18"/>
        <v>0.68526104526434584</v>
      </c>
      <c r="AM16" s="34"/>
      <c r="AN16" s="35">
        <v>0.77552989712702491</v>
      </c>
      <c r="AO16">
        <f t="shared" si="19"/>
        <v>1</v>
      </c>
      <c r="AP16">
        <v>8.1179122931945997</v>
      </c>
      <c r="AQ16">
        <v>103</v>
      </c>
      <c r="AR16">
        <v>55</v>
      </c>
      <c r="AS16" s="154">
        <v>36</v>
      </c>
      <c r="AT16">
        <v>15</v>
      </c>
    </row>
    <row r="17" spans="1:46" x14ac:dyDescent="0.35">
      <c r="A17">
        <v>87</v>
      </c>
      <c r="B17" s="58" t="s">
        <v>799</v>
      </c>
      <c r="C17" s="58" t="s">
        <v>1104</v>
      </c>
      <c r="D17" s="58" t="s">
        <v>795</v>
      </c>
      <c r="E17" s="9" t="s">
        <v>5</v>
      </c>
      <c r="F17">
        <v>3</v>
      </c>
      <c r="G17">
        <v>1</v>
      </c>
      <c r="I17">
        <v>2</v>
      </c>
      <c r="J17">
        <v>1</v>
      </c>
      <c r="L17">
        <v>74</v>
      </c>
      <c r="M17">
        <v>54</v>
      </c>
      <c r="N17" s="73">
        <f t="shared" si="0"/>
        <v>18.5</v>
      </c>
      <c r="O17" s="73">
        <f t="shared" si="1"/>
        <v>13.5</v>
      </c>
      <c r="P17" s="73">
        <f t="shared" si="2"/>
        <v>5</v>
      </c>
      <c r="Q17">
        <v>42</v>
      </c>
      <c r="R17" s="54">
        <f t="shared" si="3"/>
        <v>1.7619047619047619</v>
      </c>
      <c r="S17" s="9">
        <f>1.473-4.489-4.174+4.257</f>
        <v>-2.9330000000000007</v>
      </c>
      <c r="T17" s="9">
        <f>-4.489-4.174+4.257</f>
        <v>-4.4060000000000006</v>
      </c>
      <c r="U17" s="54">
        <f t="shared" si="4"/>
        <v>-0.36662500000000009</v>
      </c>
      <c r="V17" s="54">
        <f t="shared" si="5"/>
        <v>-1.5392666666666663</v>
      </c>
      <c r="W17" s="9">
        <f>1.628+(134.76-17.38)+96.824+41.457</f>
        <v>257.28899999999999</v>
      </c>
      <c r="X17" s="54">
        <f t="shared" si="6"/>
        <v>64.322249999999997</v>
      </c>
      <c r="Y17" s="54">
        <f t="shared" si="7"/>
        <v>8.0201153358290309</v>
      </c>
      <c r="Z17" s="152">
        <v>84</v>
      </c>
      <c r="AA17" s="49">
        <v>16</v>
      </c>
      <c r="AB17" s="48">
        <f t="shared" si="8"/>
        <v>14</v>
      </c>
      <c r="AC17" s="36">
        <f t="shared" si="9"/>
        <v>0.80079707888432672</v>
      </c>
      <c r="AD17" s="34">
        <f t="shared" si="10"/>
        <v>0.75</v>
      </c>
      <c r="AE17" s="34">
        <f t="shared" si="11"/>
        <v>0.66666666666666663</v>
      </c>
      <c r="AF17" s="34">
        <f t="shared" si="12"/>
        <v>0.57971014492753625</v>
      </c>
      <c r="AG17" s="34">
        <f t="shared" si="13"/>
        <v>0.52238805970149249</v>
      </c>
      <c r="AH17" s="34">
        <f t="shared" si="14"/>
        <v>0.63736263736263732</v>
      </c>
      <c r="AI17" s="34">
        <f t="shared" si="15"/>
        <v>0.30988435755681965</v>
      </c>
      <c r="AJ17" s="34">
        <f t="shared" si="16"/>
        <v>0.69758788811906591</v>
      </c>
      <c r="AK17" s="34">
        <f t="shared" si="17"/>
        <v>0.95129519470109269</v>
      </c>
      <c r="AL17" s="34">
        <f t="shared" si="18"/>
        <v>0.73937819868549681</v>
      </c>
      <c r="AM17" s="34"/>
      <c r="AN17" s="35">
        <v>0.75944361302601149</v>
      </c>
      <c r="AO17">
        <f t="shared" si="19"/>
        <v>4</v>
      </c>
      <c r="AP17">
        <v>8.4819809007094573</v>
      </c>
      <c r="AQ17">
        <v>29</v>
      </c>
      <c r="AR17">
        <v>73</v>
      </c>
      <c r="AS17" s="154">
        <v>32</v>
      </c>
      <c r="AT17">
        <v>16</v>
      </c>
    </row>
    <row r="18" spans="1:46" x14ac:dyDescent="0.35">
      <c r="A18">
        <v>48</v>
      </c>
      <c r="B18" s="17" t="s">
        <v>171</v>
      </c>
      <c r="C18" s="17" t="s">
        <v>1097</v>
      </c>
      <c r="D18" s="17" t="s">
        <v>300</v>
      </c>
      <c r="E18" s="9" t="s">
        <v>6</v>
      </c>
      <c r="F18">
        <v>2</v>
      </c>
      <c r="G18">
        <v>2</v>
      </c>
      <c r="I18">
        <v>1</v>
      </c>
      <c r="J18">
        <v>2</v>
      </c>
      <c r="L18">
        <f>46+9</f>
        <v>55</v>
      </c>
      <c r="M18">
        <f>32+18</f>
        <v>50</v>
      </c>
      <c r="N18" s="73">
        <f t="shared" si="0"/>
        <v>13.75</v>
      </c>
      <c r="O18" s="73">
        <f t="shared" si="1"/>
        <v>12.5</v>
      </c>
      <c r="P18" s="73">
        <f t="shared" si="2"/>
        <v>1.25</v>
      </c>
      <c r="Q18">
        <v>33</v>
      </c>
      <c r="R18" s="54">
        <f t="shared" si="3"/>
        <v>1.6666666666666667</v>
      </c>
      <c r="S18" s="9">
        <f>4.294+0.677+0.914+3.312</f>
        <v>9.1969999999999992</v>
      </c>
      <c r="T18" s="9">
        <f>4.294+0.914</f>
        <v>5.2079999999999993</v>
      </c>
      <c r="U18" s="54">
        <f t="shared" si="4"/>
        <v>2.2992499999999998</v>
      </c>
      <c r="V18" s="54">
        <f t="shared" si="5"/>
        <v>-8.2871999999999986</v>
      </c>
      <c r="W18" s="9">
        <f>(155.062-27.531)+9.578+48.537+3.857</f>
        <v>189.50300000000001</v>
      </c>
      <c r="X18" s="54">
        <f t="shared" si="6"/>
        <v>47.375750000000004</v>
      </c>
      <c r="Y18" s="54">
        <f t="shared" si="7"/>
        <v>6.8830044312058964</v>
      </c>
      <c r="Z18" s="152">
        <v>138</v>
      </c>
      <c r="AA18" s="49">
        <v>17</v>
      </c>
      <c r="AB18" s="48">
        <f t="shared" si="8"/>
        <v>35</v>
      </c>
      <c r="AC18" s="36">
        <f t="shared" si="9"/>
        <v>0.68134203395539628</v>
      </c>
      <c r="AD18" s="34">
        <f t="shared" si="10"/>
        <v>0.5</v>
      </c>
      <c r="AE18" s="34">
        <f t="shared" si="11"/>
        <v>0.33333333333333331</v>
      </c>
      <c r="AF18" s="34">
        <f t="shared" si="12"/>
        <v>0.30434782608695654</v>
      </c>
      <c r="AG18" s="34">
        <f t="shared" si="13"/>
        <v>0.58208955223880599</v>
      </c>
      <c r="AH18" s="34">
        <f t="shared" si="14"/>
        <v>0.47252747252747251</v>
      </c>
      <c r="AI18" s="34">
        <f t="shared" si="15"/>
        <v>0.22228453916619934</v>
      </c>
      <c r="AJ18" s="34">
        <f t="shared" si="16"/>
        <v>0.39355059447438201</v>
      </c>
      <c r="AK18" s="34">
        <f t="shared" si="17"/>
        <v>0.73778002784457675</v>
      </c>
      <c r="AL18" s="34">
        <f t="shared" si="18"/>
        <v>0.58969478650484963</v>
      </c>
      <c r="AM18" s="34"/>
      <c r="AN18" s="35">
        <v>0.75282067317422374</v>
      </c>
      <c r="AO18">
        <f t="shared" si="19"/>
        <v>5</v>
      </c>
      <c r="AP18">
        <v>7.8665112979007414</v>
      </c>
      <c r="AQ18">
        <v>3</v>
      </c>
      <c r="AR18">
        <v>2</v>
      </c>
      <c r="AS18" s="154">
        <v>27</v>
      </c>
      <c r="AT18">
        <v>17</v>
      </c>
    </row>
    <row r="19" spans="1:46" x14ac:dyDescent="0.35">
      <c r="A19">
        <v>104</v>
      </c>
      <c r="B19" s="69" t="s">
        <v>1296</v>
      </c>
      <c r="C19" s="69" t="s">
        <v>1108</v>
      </c>
      <c r="D19" s="69" t="s">
        <v>961</v>
      </c>
      <c r="E19" s="9" t="s">
        <v>6</v>
      </c>
      <c r="F19">
        <v>2</v>
      </c>
      <c r="G19">
        <v>2</v>
      </c>
      <c r="I19">
        <v>2</v>
      </c>
      <c r="J19">
        <v>1</v>
      </c>
      <c r="L19">
        <v>61</v>
      </c>
      <c r="M19">
        <f>37+24</f>
        <v>61</v>
      </c>
      <c r="N19" s="73">
        <f t="shared" si="0"/>
        <v>15.25</v>
      </c>
      <c r="O19" s="73">
        <f t="shared" si="1"/>
        <v>15.25</v>
      </c>
      <c r="P19" s="73">
        <f t="shared" si="2"/>
        <v>0</v>
      </c>
      <c r="Q19">
        <v>33</v>
      </c>
      <c r="R19" s="54">
        <f t="shared" si="3"/>
        <v>1.8484848484848484</v>
      </c>
      <c r="S19" s="9">
        <f>-0.57+3.89+4.335+0.668</f>
        <v>8.3230000000000004</v>
      </c>
      <c r="T19" s="9">
        <f>-0.57+3.89</f>
        <v>3.3200000000000003</v>
      </c>
      <c r="U19" s="54">
        <f t="shared" si="4"/>
        <v>2.0807500000000001</v>
      </c>
      <c r="V19" s="54">
        <f t="shared" si="5"/>
        <v>-7.1543999999999999</v>
      </c>
      <c r="W19" s="9">
        <f>68.982+81.803+0+5.778</f>
        <v>156.56299999999999</v>
      </c>
      <c r="X19" s="54">
        <f t="shared" si="6"/>
        <v>39.140749999999997</v>
      </c>
      <c r="Y19" s="54">
        <f t="shared" si="7"/>
        <v>6.2562568681280979</v>
      </c>
      <c r="Z19" s="152">
        <v>91</v>
      </c>
      <c r="AA19" s="49">
        <v>18</v>
      </c>
      <c r="AB19" s="48">
        <f t="shared" si="8"/>
        <v>39</v>
      </c>
      <c r="AC19" s="36">
        <f t="shared" si="9"/>
        <v>0.65178218646749297</v>
      </c>
      <c r="AD19" s="34">
        <f t="shared" si="10"/>
        <v>0.5</v>
      </c>
      <c r="AE19" s="34">
        <f t="shared" si="11"/>
        <v>0.66666666666666663</v>
      </c>
      <c r="AF19" s="34">
        <f t="shared" si="12"/>
        <v>0.39130434782608697</v>
      </c>
      <c r="AG19" s="34">
        <f t="shared" si="13"/>
        <v>0.41791044776119401</v>
      </c>
      <c r="AH19" s="34">
        <f t="shared" si="14"/>
        <v>0.4175824175824176</v>
      </c>
      <c r="AI19" s="34">
        <f t="shared" si="15"/>
        <v>0.38952055609374725</v>
      </c>
      <c r="AJ19" s="34">
        <f t="shared" si="16"/>
        <v>0.41847004818521372</v>
      </c>
      <c r="AK19" s="34">
        <f t="shared" si="17"/>
        <v>0.77362359195038599</v>
      </c>
      <c r="AL19" s="34">
        <f t="shared" si="18"/>
        <v>0.50719297121491325</v>
      </c>
      <c r="AN19" s="35">
        <v>0.75275914007876332</v>
      </c>
      <c r="AO19">
        <f t="shared" si="19"/>
        <v>4</v>
      </c>
      <c r="AP19">
        <v>7.0895462948390895</v>
      </c>
      <c r="AQ19">
        <v>22</v>
      </c>
      <c r="AR19">
        <v>5</v>
      </c>
      <c r="AS19" s="154">
        <v>5</v>
      </c>
      <c r="AT19">
        <v>18</v>
      </c>
    </row>
    <row r="20" spans="1:46" x14ac:dyDescent="0.35">
      <c r="A20">
        <v>39</v>
      </c>
      <c r="B20" s="17" t="s">
        <v>171</v>
      </c>
      <c r="C20" s="17" t="s">
        <v>1096</v>
      </c>
      <c r="D20" s="17" t="s">
        <v>49</v>
      </c>
      <c r="E20" s="9" t="s">
        <v>5</v>
      </c>
      <c r="F20">
        <v>3</v>
      </c>
      <c r="G20">
        <v>1</v>
      </c>
      <c r="I20">
        <v>2</v>
      </c>
      <c r="J20">
        <v>1</v>
      </c>
      <c r="L20">
        <f>51+18</f>
        <v>69</v>
      </c>
      <c r="M20">
        <f>35+11</f>
        <v>46</v>
      </c>
      <c r="N20" s="73">
        <f t="shared" si="0"/>
        <v>17.25</v>
      </c>
      <c r="O20" s="73">
        <f t="shared" si="1"/>
        <v>11.5</v>
      </c>
      <c r="P20" s="73">
        <f t="shared" si="2"/>
        <v>5.75</v>
      </c>
      <c r="Q20">
        <v>39</v>
      </c>
      <c r="R20" s="54">
        <f t="shared" si="3"/>
        <v>1.7692307692307692</v>
      </c>
      <c r="S20" s="9">
        <f>7.153+0.356-2.284+5.423</f>
        <v>10.648</v>
      </c>
      <c r="T20" s="9">
        <f>7.153-2.284+5.423</f>
        <v>10.292</v>
      </c>
      <c r="U20" s="54">
        <f t="shared" si="4"/>
        <v>2.6619999999999999</v>
      </c>
      <c r="V20" s="54">
        <f t="shared" si="5"/>
        <v>-6.9285333333333341</v>
      </c>
      <c r="W20" s="9">
        <f>49.806+10.273+60.344+53.089</f>
        <v>173.512</v>
      </c>
      <c r="X20" s="54">
        <f t="shared" si="6"/>
        <v>43.378</v>
      </c>
      <c r="Y20" s="54">
        <f t="shared" si="7"/>
        <v>6.5861976891071228</v>
      </c>
      <c r="Z20" s="152">
        <v>125</v>
      </c>
      <c r="AA20" s="49">
        <v>19</v>
      </c>
      <c r="AB20" s="48">
        <f t="shared" si="8"/>
        <v>13</v>
      </c>
      <c r="AC20" s="36">
        <f t="shared" si="9"/>
        <v>0.80676365712898168</v>
      </c>
      <c r="AD20" s="34">
        <f t="shared" si="10"/>
        <v>0.75</v>
      </c>
      <c r="AE20" s="34">
        <f t="shared" si="11"/>
        <v>0.66666666666666663</v>
      </c>
      <c r="AF20" s="34">
        <f t="shared" si="12"/>
        <v>0.50724637681159424</v>
      </c>
      <c r="AG20" s="34">
        <f t="shared" si="13"/>
        <v>0.64179104477611948</v>
      </c>
      <c r="AH20" s="34">
        <f t="shared" si="14"/>
        <v>0.67032967032967028</v>
      </c>
      <c r="AI20" s="34">
        <f t="shared" si="15"/>
        <v>0.31662280512532887</v>
      </c>
      <c r="AJ20" s="34">
        <f t="shared" si="16"/>
        <v>0.35217973940067859</v>
      </c>
      <c r="AK20" s="34">
        <f t="shared" si="17"/>
        <v>0.780770366620259</v>
      </c>
      <c r="AL20" s="34">
        <f t="shared" si="18"/>
        <v>0.55062467844859986</v>
      </c>
      <c r="AM20" s="34"/>
      <c r="AN20" s="35">
        <v>0.74491230223514382</v>
      </c>
      <c r="AO20">
        <f t="shared" si="19"/>
        <v>5</v>
      </c>
      <c r="AP20">
        <v>6.3356925430453144</v>
      </c>
      <c r="AQ20">
        <v>4</v>
      </c>
      <c r="AR20">
        <v>15</v>
      </c>
      <c r="AS20" s="154">
        <v>39</v>
      </c>
      <c r="AT20">
        <v>19</v>
      </c>
    </row>
    <row r="21" spans="1:46" x14ac:dyDescent="0.35">
      <c r="A21">
        <v>96</v>
      </c>
      <c r="B21" s="58" t="s">
        <v>799</v>
      </c>
      <c r="C21" s="58" t="s">
        <v>1105</v>
      </c>
      <c r="D21" s="58" t="s">
        <v>788</v>
      </c>
      <c r="E21" s="9" t="s">
        <v>6</v>
      </c>
      <c r="F21">
        <v>2</v>
      </c>
      <c r="G21">
        <v>2</v>
      </c>
      <c r="I21">
        <v>1</v>
      </c>
      <c r="J21">
        <v>2</v>
      </c>
      <c r="L21">
        <v>62</v>
      </c>
      <c r="M21">
        <v>66</v>
      </c>
      <c r="N21" s="73">
        <f t="shared" si="0"/>
        <v>15.5</v>
      </c>
      <c r="O21" s="73">
        <f t="shared" si="1"/>
        <v>16.5</v>
      </c>
      <c r="P21" s="73">
        <f t="shared" si="2"/>
        <v>-1</v>
      </c>
      <c r="Q21">
        <v>33</v>
      </c>
      <c r="R21" s="54">
        <f t="shared" si="3"/>
        <v>1.8787878787878789</v>
      </c>
      <c r="S21" s="9">
        <f>4.136+3.659-3.073-0.441</f>
        <v>4.2809999999999997</v>
      </c>
      <c r="T21" s="9">
        <f>4.136-3.073</f>
        <v>1.0630000000000002</v>
      </c>
      <c r="U21" s="54">
        <f t="shared" si="4"/>
        <v>1.0702499999999999</v>
      </c>
      <c r="V21" s="54">
        <f t="shared" si="5"/>
        <v>-5.8001999999999994</v>
      </c>
      <c r="W21" s="9">
        <f>16.497+12.283+76.66+0</f>
        <v>105.44</v>
      </c>
      <c r="X21" s="54">
        <f t="shared" si="6"/>
        <v>26.36</v>
      </c>
      <c r="Y21" s="54">
        <f t="shared" si="7"/>
        <v>5.134199061197374</v>
      </c>
      <c r="Z21" s="152">
        <v>118</v>
      </c>
      <c r="AA21" s="49">
        <v>20</v>
      </c>
      <c r="AB21" s="48">
        <f t="shared" si="8"/>
        <v>41</v>
      </c>
      <c r="AC21" s="36">
        <f t="shared" si="9"/>
        <v>0.64647862370084419</v>
      </c>
      <c r="AD21" s="34">
        <f t="shared" si="10"/>
        <v>0.5</v>
      </c>
      <c r="AE21" s="34">
        <f t="shared" si="11"/>
        <v>0.33333333333333331</v>
      </c>
      <c r="AF21" s="34">
        <f t="shared" si="12"/>
        <v>0.40579710144927539</v>
      </c>
      <c r="AG21" s="34">
        <f t="shared" si="13"/>
        <v>0.34328358208955223</v>
      </c>
      <c r="AH21" s="34">
        <f t="shared" si="14"/>
        <v>0.37362637362637363</v>
      </c>
      <c r="AI21" s="34">
        <f t="shared" si="15"/>
        <v>0.41739322558167208</v>
      </c>
      <c r="AJ21" s="34">
        <f t="shared" si="16"/>
        <v>0.53371539360761844</v>
      </c>
      <c r="AK21" s="34">
        <f t="shared" si="17"/>
        <v>0.8164725984052652</v>
      </c>
      <c r="AL21" s="34">
        <f t="shared" si="18"/>
        <v>0.35949107114300388</v>
      </c>
      <c r="AM21" s="34"/>
      <c r="AN21" s="35">
        <v>0.73653296021688897</v>
      </c>
      <c r="AO21">
        <f t="shared" si="19"/>
        <v>4</v>
      </c>
      <c r="AP21">
        <v>5.928462420110856</v>
      </c>
      <c r="AQ21">
        <v>17</v>
      </c>
      <c r="AR21">
        <v>22</v>
      </c>
      <c r="AS21" s="154">
        <v>46</v>
      </c>
      <c r="AT21">
        <v>20</v>
      </c>
    </row>
    <row r="22" spans="1:46" x14ac:dyDescent="0.35">
      <c r="A22">
        <v>31</v>
      </c>
      <c r="B22" s="16" t="s">
        <v>144</v>
      </c>
      <c r="C22" s="16" t="s">
        <v>1369</v>
      </c>
      <c r="D22" s="16" t="s">
        <v>71</v>
      </c>
      <c r="E22" s="9" t="s">
        <v>5</v>
      </c>
      <c r="F22">
        <v>4</v>
      </c>
      <c r="G22">
        <v>0</v>
      </c>
      <c r="I22">
        <v>3</v>
      </c>
      <c r="J22">
        <v>0</v>
      </c>
      <c r="L22">
        <f>45+21</f>
        <v>66</v>
      </c>
      <c r="M22">
        <v>57</v>
      </c>
      <c r="N22" s="73">
        <f t="shared" si="0"/>
        <v>16.5</v>
      </c>
      <c r="O22" s="73">
        <f t="shared" si="1"/>
        <v>14.25</v>
      </c>
      <c r="P22" s="73">
        <f t="shared" si="2"/>
        <v>2.25</v>
      </c>
      <c r="Q22">
        <v>33</v>
      </c>
      <c r="R22" s="54">
        <f t="shared" si="3"/>
        <v>2</v>
      </c>
      <c r="S22" s="9">
        <f>-1.551+4.406+0.474+6.032</f>
        <v>9.3610000000000007</v>
      </c>
      <c r="T22" s="9">
        <f>-1.551+4.406+0.474+6.032</f>
        <v>9.3610000000000007</v>
      </c>
      <c r="U22" s="54">
        <f t="shared" si="4"/>
        <v>2.3402500000000002</v>
      </c>
      <c r="V22" s="54">
        <f t="shared" si="5"/>
        <v>-4.49125</v>
      </c>
      <c r="W22" s="9">
        <f>62.275+11.142+38.479+24.498</f>
        <v>136.39400000000001</v>
      </c>
      <c r="X22" s="54">
        <f t="shared" si="6"/>
        <v>34.098500000000001</v>
      </c>
      <c r="Y22" s="54">
        <f t="shared" si="7"/>
        <v>5.8393920916478974</v>
      </c>
      <c r="Z22" s="152">
        <v>33</v>
      </c>
      <c r="AA22" s="49">
        <v>21</v>
      </c>
      <c r="AB22" s="48">
        <f t="shared" si="8"/>
        <v>28</v>
      </c>
      <c r="AC22" s="36">
        <f t="shared" si="9"/>
        <v>0.74616942727359403</v>
      </c>
      <c r="AD22" s="34">
        <f t="shared" si="10"/>
        <v>1</v>
      </c>
      <c r="AE22" s="34">
        <f t="shared" si="11"/>
        <v>1</v>
      </c>
      <c r="AF22" s="34">
        <f t="shared" si="12"/>
        <v>0.46376811594202899</v>
      </c>
      <c r="AG22" s="34">
        <f t="shared" si="13"/>
        <v>0.47761194029850751</v>
      </c>
      <c r="AH22" s="34">
        <f t="shared" si="14"/>
        <v>0.51648351648351654</v>
      </c>
      <c r="AI22" s="34">
        <f t="shared" si="15"/>
        <v>0.52888390353337067</v>
      </c>
      <c r="AJ22" s="34">
        <f t="shared" si="16"/>
        <v>0.3888746329085051</v>
      </c>
      <c r="AK22" s="34">
        <f t="shared" si="17"/>
        <v>0.85788982407290215</v>
      </c>
      <c r="AL22" s="34">
        <f t="shared" si="18"/>
        <v>0.45231904299226611</v>
      </c>
      <c r="AM22" s="34"/>
      <c r="AN22" s="35">
        <v>0.73563859119615926</v>
      </c>
      <c r="AO22">
        <f t="shared" si="19"/>
        <v>2</v>
      </c>
      <c r="AP22">
        <v>6.1072634351783668</v>
      </c>
      <c r="AQ22">
        <v>80</v>
      </c>
      <c r="AR22">
        <v>34</v>
      </c>
      <c r="AS22" s="154">
        <v>30</v>
      </c>
      <c r="AT22">
        <v>21</v>
      </c>
    </row>
    <row r="23" spans="1:46" x14ac:dyDescent="0.35">
      <c r="A23">
        <v>28</v>
      </c>
      <c r="B23" s="16" t="s">
        <v>144</v>
      </c>
      <c r="C23" s="16" t="s">
        <v>1366</v>
      </c>
      <c r="D23" s="16" t="s">
        <v>64</v>
      </c>
      <c r="E23" s="9" t="s">
        <v>6</v>
      </c>
      <c r="F23">
        <v>3</v>
      </c>
      <c r="G23">
        <v>1</v>
      </c>
      <c r="I23">
        <v>2</v>
      </c>
      <c r="J23">
        <v>1</v>
      </c>
      <c r="L23">
        <v>59</v>
      </c>
      <c r="M23">
        <f>37+18</f>
        <v>55</v>
      </c>
      <c r="N23" s="73">
        <f t="shared" si="0"/>
        <v>14.75</v>
      </c>
      <c r="O23" s="73">
        <f t="shared" si="1"/>
        <v>13.75</v>
      </c>
      <c r="P23" s="73">
        <f t="shared" si="2"/>
        <v>1</v>
      </c>
      <c r="Q23">
        <v>35</v>
      </c>
      <c r="R23" s="54">
        <f t="shared" si="3"/>
        <v>1.6857142857142857</v>
      </c>
      <c r="S23" s="9">
        <f>-2.006+2.552-2.74-2.614</f>
        <v>-4.8079999999999998</v>
      </c>
      <c r="T23" s="9">
        <f>-2.006+2.552-2.74</f>
        <v>-2.194</v>
      </c>
      <c r="U23" s="54">
        <f t="shared" si="4"/>
        <v>-0.60099999999999998</v>
      </c>
      <c r="V23" s="54">
        <f t="shared" si="5"/>
        <v>-2.3503333333333334</v>
      </c>
      <c r="W23" s="9">
        <f>26.661+31.917+83.194+0</f>
        <v>141.77199999999999</v>
      </c>
      <c r="X23" s="54">
        <f t="shared" si="6"/>
        <v>35.442999999999998</v>
      </c>
      <c r="Y23" s="54">
        <f t="shared" si="7"/>
        <v>5.9534023885506011</v>
      </c>
      <c r="Z23" s="152">
        <v>4</v>
      </c>
      <c r="AA23" s="49">
        <v>22</v>
      </c>
      <c r="AB23" s="48">
        <f t="shared" si="8"/>
        <v>48</v>
      </c>
      <c r="AC23" s="36">
        <f t="shared" si="9"/>
        <v>0.60712057569462508</v>
      </c>
      <c r="AD23" s="34">
        <f t="shared" si="10"/>
        <v>0.75</v>
      </c>
      <c r="AE23" s="34">
        <f t="shared" si="11"/>
        <v>0.66666666666666663</v>
      </c>
      <c r="AF23" s="34">
        <f t="shared" si="12"/>
        <v>0.36231884057971014</v>
      </c>
      <c r="AG23" s="34">
        <f t="shared" si="13"/>
        <v>0.5074626865671642</v>
      </c>
      <c r="AH23" s="34">
        <f t="shared" si="14"/>
        <v>0.46153846153846156</v>
      </c>
      <c r="AI23" s="34">
        <f t="shared" si="15"/>
        <v>0.23980450284432334</v>
      </c>
      <c r="AJ23" s="34">
        <f t="shared" si="16"/>
        <v>0.72431785133863658</v>
      </c>
      <c r="AK23" s="34">
        <f t="shared" si="17"/>
        <v>0.92563177656836682</v>
      </c>
      <c r="AL23" s="34">
        <f t="shared" si="18"/>
        <v>0.46732677020228813</v>
      </c>
      <c r="AM23" s="34"/>
      <c r="AN23" s="35">
        <v>0.73223853048753063</v>
      </c>
      <c r="AO23">
        <f t="shared" si="19"/>
        <v>1</v>
      </c>
      <c r="AP23">
        <v>6.8743969432477003</v>
      </c>
      <c r="AQ23">
        <v>109</v>
      </c>
      <c r="AR23">
        <v>53</v>
      </c>
      <c r="AS23" s="154">
        <v>40</v>
      </c>
      <c r="AT23">
        <v>22</v>
      </c>
    </row>
    <row r="24" spans="1:46" x14ac:dyDescent="0.35">
      <c r="A24">
        <v>67</v>
      </c>
      <c r="B24" s="21" t="s">
        <v>173</v>
      </c>
      <c r="C24" s="21" t="s">
        <v>166</v>
      </c>
      <c r="D24" s="21" t="s">
        <v>34</v>
      </c>
      <c r="E24" s="9" t="s">
        <v>5</v>
      </c>
      <c r="F24">
        <v>3</v>
      </c>
      <c r="G24">
        <v>1</v>
      </c>
      <c r="I24">
        <v>3</v>
      </c>
      <c r="J24">
        <v>0</v>
      </c>
      <c r="L24">
        <v>59</v>
      </c>
      <c r="M24">
        <v>53</v>
      </c>
      <c r="N24" s="73">
        <f t="shared" si="0"/>
        <v>14.75</v>
      </c>
      <c r="O24" s="73">
        <f t="shared" si="1"/>
        <v>13.25</v>
      </c>
      <c r="P24" s="73">
        <f t="shared" si="2"/>
        <v>1.5</v>
      </c>
      <c r="Q24">
        <v>29</v>
      </c>
      <c r="R24" s="54">
        <f t="shared" si="3"/>
        <v>2.0344827586206895</v>
      </c>
      <c r="S24" s="9">
        <f>5.313+6.027+1.827+2.252</f>
        <v>15.419</v>
      </c>
      <c r="T24" s="9">
        <f>5.313+6.027+2.252</f>
        <v>13.591999999999999</v>
      </c>
      <c r="U24" s="54">
        <f t="shared" si="4"/>
        <v>3.8547500000000001</v>
      </c>
      <c r="V24" s="54">
        <f t="shared" si="5"/>
        <v>-8.1385333333333332</v>
      </c>
      <c r="W24" s="9">
        <f>26.588+3.147+1.255+52.217</f>
        <v>83.206999999999994</v>
      </c>
      <c r="X24" s="54">
        <f t="shared" si="6"/>
        <v>20.801749999999998</v>
      </c>
      <c r="Y24" s="54">
        <f t="shared" si="7"/>
        <v>4.5608935528030026</v>
      </c>
      <c r="Z24" s="152">
        <v>157</v>
      </c>
      <c r="AA24" s="49">
        <v>23</v>
      </c>
      <c r="AB24" s="48">
        <f t="shared" si="8"/>
        <v>11</v>
      </c>
      <c r="AC24" s="36">
        <f t="shared" si="9"/>
        <v>0.84233835674514446</v>
      </c>
      <c r="AD24" s="34">
        <f t="shared" si="10"/>
        <v>0.75</v>
      </c>
      <c r="AE24" s="34">
        <f t="shared" si="11"/>
        <v>1</v>
      </c>
      <c r="AF24" s="34">
        <f t="shared" si="12"/>
        <v>0.36231884057971014</v>
      </c>
      <c r="AG24" s="34">
        <f t="shared" si="13"/>
        <v>0.53731343283582089</v>
      </c>
      <c r="AH24" s="34">
        <f t="shared" si="14"/>
        <v>0.48351648351648352</v>
      </c>
      <c r="AI24" s="34">
        <f t="shared" si="15"/>
        <v>0.56060107915756074</v>
      </c>
      <c r="AJ24" s="34">
        <f t="shared" si="16"/>
        <v>0.21614917457873573</v>
      </c>
      <c r="AK24" s="34">
        <f t="shared" si="17"/>
        <v>0.74248407374593928</v>
      </c>
      <c r="AL24" s="34">
        <f t="shared" si="18"/>
        <v>0.28402409217944263</v>
      </c>
      <c r="AM24" s="34"/>
      <c r="AN24" s="35">
        <v>0.72798536622192145</v>
      </c>
      <c r="AO24">
        <f t="shared" si="19"/>
        <v>5</v>
      </c>
      <c r="AP24">
        <v>3.2140317359976396</v>
      </c>
      <c r="AQ24">
        <v>1</v>
      </c>
      <c r="AR24">
        <v>7</v>
      </c>
      <c r="AS24" s="154">
        <v>7</v>
      </c>
      <c r="AT24">
        <v>23</v>
      </c>
    </row>
    <row r="25" spans="1:46" x14ac:dyDescent="0.35">
      <c r="A25">
        <v>29</v>
      </c>
      <c r="B25" s="16" t="s">
        <v>144</v>
      </c>
      <c r="C25" s="16" t="s">
        <v>1369</v>
      </c>
      <c r="D25" s="16" t="s">
        <v>66</v>
      </c>
      <c r="E25" s="9" t="s">
        <v>5</v>
      </c>
      <c r="F25">
        <v>3</v>
      </c>
      <c r="G25">
        <v>1</v>
      </c>
      <c r="I25">
        <v>2</v>
      </c>
      <c r="J25">
        <v>1</v>
      </c>
      <c r="L25">
        <v>61</v>
      </c>
      <c r="M25">
        <v>41</v>
      </c>
      <c r="N25" s="73">
        <f t="shared" si="0"/>
        <v>15.25</v>
      </c>
      <c r="O25" s="73">
        <f t="shared" si="1"/>
        <v>10.25</v>
      </c>
      <c r="P25" s="73">
        <f t="shared" si="2"/>
        <v>5</v>
      </c>
      <c r="Q25">
        <v>31</v>
      </c>
      <c r="R25" s="54">
        <f t="shared" si="3"/>
        <v>1.967741935483871</v>
      </c>
      <c r="S25" s="9">
        <f>0.562+0.594-4.335+2.205</f>
        <v>-0.97399999999999975</v>
      </c>
      <c r="T25" s="9">
        <f>0.594-4.335+2.205</f>
        <v>-1.536</v>
      </c>
      <c r="U25" s="54">
        <f t="shared" si="4"/>
        <v>-0.12174999999999997</v>
      </c>
      <c r="V25" s="54">
        <f t="shared" si="5"/>
        <v>-2.5916000000000001</v>
      </c>
      <c r="W25" s="9">
        <f>2.626+45.853+82.796+83.885</f>
        <v>215.16000000000003</v>
      </c>
      <c r="X25" s="54">
        <f t="shared" si="6"/>
        <v>53.790000000000006</v>
      </c>
      <c r="Y25" s="54">
        <f t="shared" si="7"/>
        <v>7.334166619323562</v>
      </c>
      <c r="Z25" s="152">
        <v>74</v>
      </c>
      <c r="AA25" s="49">
        <v>24</v>
      </c>
      <c r="AB25" s="48">
        <f t="shared" si="8"/>
        <v>18</v>
      </c>
      <c r="AC25" s="36">
        <f t="shared" si="9"/>
        <v>0.78756624769731276</v>
      </c>
      <c r="AD25" s="34">
        <f t="shared" si="10"/>
        <v>0.75</v>
      </c>
      <c r="AE25" s="34">
        <f t="shared" si="11"/>
        <v>0.66666666666666663</v>
      </c>
      <c r="AF25" s="34">
        <f t="shared" si="12"/>
        <v>0.39130434782608697</v>
      </c>
      <c r="AG25" s="34">
        <f t="shared" si="13"/>
        <v>0.71641791044776126</v>
      </c>
      <c r="AH25" s="34">
        <f t="shared" si="14"/>
        <v>0.63736263736263732</v>
      </c>
      <c r="AI25" s="34">
        <f t="shared" si="15"/>
        <v>0.49921299730428964</v>
      </c>
      <c r="AJ25" s="34">
        <f t="shared" si="16"/>
        <v>0.66966042254725855</v>
      </c>
      <c r="AK25" s="34">
        <f t="shared" si="17"/>
        <v>0.91799772180736616</v>
      </c>
      <c r="AL25" s="34">
        <f t="shared" si="18"/>
        <v>0.64908344902648885</v>
      </c>
      <c r="AM25" s="34"/>
      <c r="AN25" s="35">
        <v>0.72753119359648044</v>
      </c>
      <c r="AO25">
        <f t="shared" si="19"/>
        <v>3</v>
      </c>
      <c r="AP25">
        <v>6.6150081884555014</v>
      </c>
      <c r="AQ25">
        <v>39</v>
      </c>
      <c r="AR25">
        <v>66</v>
      </c>
      <c r="AS25" s="154">
        <v>49</v>
      </c>
      <c r="AT25">
        <v>24</v>
      </c>
    </row>
    <row r="26" spans="1:46" x14ac:dyDescent="0.35">
      <c r="A26">
        <v>61</v>
      </c>
      <c r="B26" s="19" t="s">
        <v>172</v>
      </c>
      <c r="C26" s="19" t="s">
        <v>1100</v>
      </c>
      <c r="D26" s="19" t="s">
        <v>46</v>
      </c>
      <c r="E26" s="9" t="s">
        <v>5</v>
      </c>
      <c r="F26">
        <v>3</v>
      </c>
      <c r="G26">
        <v>1</v>
      </c>
      <c r="I26">
        <v>2</v>
      </c>
      <c r="J26">
        <v>1</v>
      </c>
      <c r="L26">
        <f>44+29</f>
        <v>73</v>
      </c>
      <c r="M26">
        <f>36+18</f>
        <v>54</v>
      </c>
      <c r="N26" s="73">
        <f t="shared" si="0"/>
        <v>18.25</v>
      </c>
      <c r="O26" s="73">
        <f t="shared" si="1"/>
        <v>13.5</v>
      </c>
      <c r="P26" s="73">
        <f t="shared" si="2"/>
        <v>4.75</v>
      </c>
      <c r="Q26">
        <v>40</v>
      </c>
      <c r="R26" s="54">
        <f t="shared" si="3"/>
        <v>1.825</v>
      </c>
      <c r="S26" s="9">
        <f>4.019-1.329-3.416+1.859</f>
        <v>1.1330000000000005</v>
      </c>
      <c r="T26" s="9">
        <f>-1.329-3.416+1.859</f>
        <v>-2.8860000000000001</v>
      </c>
      <c r="U26" s="54">
        <f t="shared" si="4"/>
        <v>0.28325000000000011</v>
      </c>
      <c r="V26" s="54">
        <f t="shared" si="5"/>
        <v>-2.0966</v>
      </c>
      <c r="W26" s="9">
        <f>3.082+46.639+49.244+89.816</f>
        <v>188.78100000000001</v>
      </c>
      <c r="X26" s="54">
        <f t="shared" si="6"/>
        <v>47.195250000000001</v>
      </c>
      <c r="Y26" s="54">
        <f t="shared" si="7"/>
        <v>6.8698799116141762</v>
      </c>
      <c r="Z26" s="152">
        <v>94</v>
      </c>
      <c r="AA26" s="49">
        <v>25</v>
      </c>
      <c r="AB26" s="48">
        <f t="shared" si="8"/>
        <v>16</v>
      </c>
      <c r="AC26" s="36">
        <f t="shared" si="9"/>
        <v>0.79739909738547954</v>
      </c>
      <c r="AD26" s="34">
        <f t="shared" si="10"/>
        <v>0.75</v>
      </c>
      <c r="AE26" s="34">
        <f t="shared" si="11"/>
        <v>0.66666666666666663</v>
      </c>
      <c r="AF26" s="34">
        <f t="shared" si="12"/>
        <v>0.56521739130434778</v>
      </c>
      <c r="AG26" s="34">
        <f t="shared" si="13"/>
        <v>0.52238805970149249</v>
      </c>
      <c r="AH26" s="34">
        <f t="shared" si="14"/>
        <v>0.62637362637362637</v>
      </c>
      <c r="AI26" s="34">
        <f t="shared" si="15"/>
        <v>0.36791923724060566</v>
      </c>
      <c r="AJ26" s="34">
        <f t="shared" si="16"/>
        <v>0.62347104610384052</v>
      </c>
      <c r="AK26" s="34">
        <f t="shared" si="17"/>
        <v>0.93366029616504242</v>
      </c>
      <c r="AL26" s="34">
        <f t="shared" si="18"/>
        <v>0.58796714246614301</v>
      </c>
      <c r="AM26" s="34"/>
      <c r="AN26" s="35">
        <v>0.71436206847030925</v>
      </c>
      <c r="AO26">
        <f t="shared" si="19"/>
        <v>4</v>
      </c>
      <c r="AP26">
        <v>5.7435471037794521</v>
      </c>
      <c r="AQ26">
        <v>19</v>
      </c>
      <c r="AR26">
        <v>67</v>
      </c>
      <c r="AS26" s="154">
        <v>43</v>
      </c>
      <c r="AT26">
        <v>25</v>
      </c>
    </row>
    <row r="27" spans="1:46" x14ac:dyDescent="0.35">
      <c r="A27">
        <v>71</v>
      </c>
      <c r="B27" s="21" t="s">
        <v>173</v>
      </c>
      <c r="C27" s="21" t="s">
        <v>1368</v>
      </c>
      <c r="D27" s="21" t="s">
        <v>33</v>
      </c>
      <c r="E27" s="9" t="s">
        <v>5</v>
      </c>
      <c r="F27">
        <v>3</v>
      </c>
      <c r="G27">
        <v>1</v>
      </c>
      <c r="I27">
        <v>3</v>
      </c>
      <c r="J27">
        <v>0</v>
      </c>
      <c r="L27">
        <f>47+25</f>
        <v>72</v>
      </c>
      <c r="M27">
        <f>37+11</f>
        <v>48</v>
      </c>
      <c r="N27" s="73">
        <f t="shared" si="0"/>
        <v>18</v>
      </c>
      <c r="O27" s="73">
        <f t="shared" si="1"/>
        <v>12</v>
      </c>
      <c r="P27" s="73">
        <f t="shared" si="2"/>
        <v>6</v>
      </c>
      <c r="Q27">
        <f>26+16</f>
        <v>42</v>
      </c>
      <c r="R27" s="54">
        <f t="shared" si="3"/>
        <v>1.7142857142857142</v>
      </c>
      <c r="S27" s="9">
        <f>1.943+1.591+3.416+2.011</f>
        <v>8.9609999999999985</v>
      </c>
      <c r="T27" s="9">
        <f>1.943+1.591+2.011</f>
        <v>5.5449999999999999</v>
      </c>
      <c r="U27" s="54">
        <f t="shared" si="4"/>
        <v>2.2402499999999996</v>
      </c>
      <c r="V27" s="54">
        <f t="shared" si="5"/>
        <v>-5.1879666666666671</v>
      </c>
      <c r="W27" s="9">
        <f>(565.499-326.2485)+19.411+3.243+(108.841-4.4205)</f>
        <v>366.32500000000005</v>
      </c>
      <c r="X27" s="54">
        <f t="shared" si="6"/>
        <v>91.581250000000011</v>
      </c>
      <c r="Y27" s="54">
        <f t="shared" si="7"/>
        <v>9.569809297995441</v>
      </c>
      <c r="Z27" s="152">
        <v>66</v>
      </c>
      <c r="AA27" s="49">
        <v>26</v>
      </c>
      <c r="AB27" s="48">
        <f t="shared" si="8"/>
        <v>15</v>
      </c>
      <c r="AC27" s="36">
        <f t="shared" si="9"/>
        <v>0.79837235907257431</v>
      </c>
      <c r="AD27" s="34">
        <f t="shared" si="10"/>
        <v>0.75</v>
      </c>
      <c r="AE27" s="34">
        <f t="shared" si="11"/>
        <v>1</v>
      </c>
      <c r="AF27" s="34">
        <f t="shared" si="12"/>
        <v>0.55072463768115942</v>
      </c>
      <c r="AG27" s="34">
        <f t="shared" si="13"/>
        <v>0.61194029850746268</v>
      </c>
      <c r="AH27" s="34">
        <f t="shared" si="14"/>
        <v>0.68131868131868134</v>
      </c>
      <c r="AI27" s="34">
        <f t="shared" si="15"/>
        <v>0.26608444836150935</v>
      </c>
      <c r="AJ27" s="34">
        <f t="shared" si="16"/>
        <v>0.40027941721552196</v>
      </c>
      <c r="AK27" s="34">
        <f t="shared" si="17"/>
        <v>0.83584461882462135</v>
      </c>
      <c r="AL27" s="34">
        <f t="shared" si="18"/>
        <v>0.94337191570089496</v>
      </c>
      <c r="AM27" s="34"/>
      <c r="AN27" s="35">
        <v>0.71323265563434657</v>
      </c>
      <c r="AO27">
        <f t="shared" si="19"/>
        <v>3</v>
      </c>
      <c r="AP27">
        <v>9.3435271712560457</v>
      </c>
      <c r="AQ27">
        <v>47</v>
      </c>
      <c r="AR27">
        <v>13</v>
      </c>
      <c r="AS27" s="154">
        <v>9</v>
      </c>
      <c r="AT27">
        <v>26</v>
      </c>
    </row>
    <row r="28" spans="1:46" x14ac:dyDescent="0.35">
      <c r="A28">
        <v>108</v>
      </c>
      <c r="B28" s="69" t="s">
        <v>1296</v>
      </c>
      <c r="C28" s="69" t="s">
        <v>918</v>
      </c>
      <c r="D28" s="69" t="s">
        <v>965</v>
      </c>
      <c r="E28" s="9" t="s">
        <v>5</v>
      </c>
      <c r="F28">
        <v>3</v>
      </c>
      <c r="G28">
        <v>1</v>
      </c>
      <c r="I28">
        <v>2</v>
      </c>
      <c r="J28">
        <v>1</v>
      </c>
      <c r="L28">
        <v>65</v>
      </c>
      <c r="M28">
        <v>45</v>
      </c>
      <c r="N28" s="73">
        <f t="shared" si="0"/>
        <v>16.25</v>
      </c>
      <c r="O28" s="73">
        <f t="shared" si="1"/>
        <v>11.25</v>
      </c>
      <c r="P28" s="73">
        <f t="shared" si="2"/>
        <v>5</v>
      </c>
      <c r="Q28">
        <v>29</v>
      </c>
      <c r="R28" s="54">
        <f t="shared" si="3"/>
        <v>2.2413793103448274</v>
      </c>
      <c r="S28" s="9">
        <f>2.064+0.623+5.051+2.07</f>
        <v>9.8079999999999998</v>
      </c>
      <c r="T28" s="9">
        <f>0.623+5.051+2.07</f>
        <v>7.7439999999999998</v>
      </c>
      <c r="U28" s="54">
        <f t="shared" si="4"/>
        <v>2.452</v>
      </c>
      <c r="V28" s="54">
        <f t="shared" si="5"/>
        <v>-5.9942666666666673</v>
      </c>
      <c r="W28" s="9">
        <f>1.659+44.472+(146.004-23.002)+71.194</f>
        <v>240.327</v>
      </c>
      <c r="X28" s="54">
        <f t="shared" si="6"/>
        <v>60.08175</v>
      </c>
      <c r="Y28" s="54">
        <f t="shared" si="7"/>
        <v>7.7512418359898954</v>
      </c>
      <c r="Z28" s="152">
        <v>80</v>
      </c>
      <c r="AA28" s="49">
        <v>27</v>
      </c>
      <c r="AB28" s="48">
        <f t="shared" si="8"/>
        <v>19</v>
      </c>
      <c r="AC28" s="36">
        <f t="shared" si="9"/>
        <v>0.78237710386763526</v>
      </c>
      <c r="AD28" s="34">
        <f t="shared" si="10"/>
        <v>0.75</v>
      </c>
      <c r="AE28" s="34">
        <f t="shared" si="11"/>
        <v>0.66666666666666663</v>
      </c>
      <c r="AF28" s="34">
        <f t="shared" si="12"/>
        <v>0.44927536231884058</v>
      </c>
      <c r="AG28" s="34">
        <f t="shared" si="13"/>
        <v>0.65671641791044777</v>
      </c>
      <c r="AH28" s="34">
        <f t="shared" si="14"/>
        <v>0.63736263736263732</v>
      </c>
      <c r="AI28" s="34">
        <f t="shared" si="15"/>
        <v>0.75090413290270153</v>
      </c>
      <c r="AJ28" s="34">
        <f t="shared" si="16"/>
        <v>0.37612978644541384</v>
      </c>
      <c r="AK28" s="34">
        <f t="shared" si="17"/>
        <v>0.81033202548200645</v>
      </c>
      <c r="AL28" s="34">
        <f t="shared" si="18"/>
        <v>0.70398507850940206</v>
      </c>
      <c r="AN28" s="35">
        <v>0.7129617547035193</v>
      </c>
      <c r="AO28">
        <f t="shared" si="19"/>
        <v>3</v>
      </c>
      <c r="AP28">
        <v>7.5085062873161839</v>
      </c>
      <c r="AQ28">
        <v>33</v>
      </c>
      <c r="AR28">
        <v>71</v>
      </c>
      <c r="AS28" s="154">
        <v>51</v>
      </c>
      <c r="AT28">
        <v>27</v>
      </c>
    </row>
    <row r="29" spans="1:46" x14ac:dyDescent="0.35">
      <c r="A29">
        <v>82</v>
      </c>
      <c r="B29" s="58" t="s">
        <v>799</v>
      </c>
      <c r="C29" s="58" t="s">
        <v>1103</v>
      </c>
      <c r="D29" s="58" t="s">
        <v>793</v>
      </c>
      <c r="E29" s="9" t="s">
        <v>5</v>
      </c>
      <c r="F29">
        <v>3</v>
      </c>
      <c r="G29">
        <v>1</v>
      </c>
      <c r="I29">
        <v>3</v>
      </c>
      <c r="J29">
        <v>0</v>
      </c>
      <c r="L29">
        <v>74</v>
      </c>
      <c r="M29">
        <v>51</v>
      </c>
      <c r="N29" s="73">
        <f t="shared" si="0"/>
        <v>18.5</v>
      </c>
      <c r="O29" s="73">
        <f t="shared" si="1"/>
        <v>12.75</v>
      </c>
      <c r="P29" s="73">
        <f t="shared" si="2"/>
        <v>5.75</v>
      </c>
      <c r="Q29">
        <v>37</v>
      </c>
      <c r="R29" s="54">
        <f t="shared" si="3"/>
        <v>2</v>
      </c>
      <c r="S29" s="9">
        <f>0.626+4.446+4.136+1.056</f>
        <v>10.263999999999999</v>
      </c>
      <c r="T29" s="9">
        <f>0.626+4.446+1.056</f>
        <v>6.1280000000000001</v>
      </c>
      <c r="U29" s="54">
        <f t="shared" si="4"/>
        <v>2.5659999999999998</v>
      </c>
      <c r="V29" s="54">
        <f t="shared" si="5"/>
        <v>-5.4017333333333335</v>
      </c>
      <c r="W29" s="9">
        <f>63.235+88.59+21.282+39.58</f>
        <v>212.68700000000001</v>
      </c>
      <c r="X29" s="54">
        <f t="shared" si="6"/>
        <v>53.171750000000003</v>
      </c>
      <c r="Y29" s="54">
        <f t="shared" si="7"/>
        <v>7.2918961868638803</v>
      </c>
      <c r="Z29" s="152">
        <v>49</v>
      </c>
      <c r="AA29" s="49">
        <v>28</v>
      </c>
      <c r="AB29" s="48">
        <f t="shared" si="8"/>
        <v>22</v>
      </c>
      <c r="AC29" s="36">
        <f t="shared" si="9"/>
        <v>0.76132821082451241</v>
      </c>
      <c r="AD29" s="34">
        <f t="shared" si="10"/>
        <v>0.75</v>
      </c>
      <c r="AE29" s="34">
        <f t="shared" si="11"/>
        <v>1</v>
      </c>
      <c r="AF29" s="34">
        <f t="shared" si="12"/>
        <v>0.57971014492753625</v>
      </c>
      <c r="AG29" s="34">
        <f t="shared" si="13"/>
        <v>0.56716417910447769</v>
      </c>
      <c r="AH29" s="34">
        <f t="shared" si="14"/>
        <v>0.67032967032967028</v>
      </c>
      <c r="AI29" s="34">
        <f t="shared" si="15"/>
        <v>0.52888390353337067</v>
      </c>
      <c r="AJ29" s="34">
        <f t="shared" si="16"/>
        <v>0.36312833233541475</v>
      </c>
      <c r="AK29" s="34">
        <f t="shared" si="17"/>
        <v>0.82908070708349157</v>
      </c>
      <c r="AL29" s="34">
        <f t="shared" si="18"/>
        <v>0.64351918740592717</v>
      </c>
      <c r="AM29" s="34"/>
      <c r="AN29" s="35">
        <v>0.71269767319502086</v>
      </c>
      <c r="AO29">
        <f t="shared" si="19"/>
        <v>2</v>
      </c>
      <c r="AP29">
        <v>7.5962051929455763</v>
      </c>
      <c r="AQ29">
        <v>64</v>
      </c>
      <c r="AR29">
        <v>30</v>
      </c>
      <c r="AS29" s="154">
        <v>13</v>
      </c>
      <c r="AT29">
        <v>28</v>
      </c>
    </row>
    <row r="30" spans="1:46" x14ac:dyDescent="0.35">
      <c r="A30">
        <v>88</v>
      </c>
      <c r="B30" s="58" t="s">
        <v>799</v>
      </c>
      <c r="C30" s="58" t="s">
        <v>1104</v>
      </c>
      <c r="D30" s="58" t="s">
        <v>908</v>
      </c>
      <c r="E30" s="9" t="s">
        <v>6</v>
      </c>
      <c r="F30">
        <v>3</v>
      </c>
      <c r="G30">
        <v>1</v>
      </c>
      <c r="I30">
        <v>2</v>
      </c>
      <c r="J30">
        <v>1</v>
      </c>
      <c r="L30">
        <v>54</v>
      </c>
      <c r="M30">
        <f>34+16</f>
        <v>50</v>
      </c>
      <c r="N30" s="73">
        <f t="shared" si="0"/>
        <v>13.5</v>
      </c>
      <c r="O30" s="73">
        <f t="shared" si="1"/>
        <v>12.5</v>
      </c>
      <c r="P30" s="73">
        <f t="shared" si="2"/>
        <v>1</v>
      </c>
      <c r="Q30">
        <f>18+7</f>
        <v>25</v>
      </c>
      <c r="R30" s="54">
        <f t="shared" si="3"/>
        <v>2.16</v>
      </c>
      <c r="S30" s="9">
        <f>-2.918+2.915+3.664+2.133</f>
        <v>5.7940000000000005</v>
      </c>
      <c r="T30" s="9">
        <f>-2.918+2.915+3.664</f>
        <v>3.661</v>
      </c>
      <c r="U30" s="54">
        <f t="shared" si="4"/>
        <v>1.4485000000000001</v>
      </c>
      <c r="V30" s="54">
        <f t="shared" si="5"/>
        <v>-4.4971666666666668</v>
      </c>
      <c r="W30" s="9">
        <f>37.405+14.902+21.733+18.922</f>
        <v>92.962000000000003</v>
      </c>
      <c r="X30" s="54">
        <f t="shared" si="6"/>
        <v>23.240500000000001</v>
      </c>
      <c r="Y30" s="54">
        <f t="shared" si="7"/>
        <v>4.820840175737005</v>
      </c>
      <c r="Z30" s="152">
        <v>9</v>
      </c>
      <c r="AA30" s="49">
        <v>29</v>
      </c>
      <c r="AB30" s="48">
        <f t="shared" si="8"/>
        <v>47</v>
      </c>
      <c r="AC30" s="36">
        <f t="shared" si="9"/>
        <v>0.60906185108765865</v>
      </c>
      <c r="AD30" s="34">
        <f t="shared" si="10"/>
        <v>0.75</v>
      </c>
      <c r="AE30" s="34">
        <f t="shared" si="11"/>
        <v>0.66666666666666663</v>
      </c>
      <c r="AF30" s="34">
        <f t="shared" si="12"/>
        <v>0.28985507246376813</v>
      </c>
      <c r="AG30" s="34">
        <f t="shared" si="13"/>
        <v>0.58208955223880599</v>
      </c>
      <c r="AH30" s="34">
        <f t="shared" si="14"/>
        <v>0.46153846153846156</v>
      </c>
      <c r="AI30" s="34">
        <f t="shared" si="15"/>
        <v>0.67605159842961315</v>
      </c>
      <c r="AJ30" s="34">
        <f t="shared" si="16"/>
        <v>0.49057679696632739</v>
      </c>
      <c r="AK30" s="34">
        <f t="shared" si="17"/>
        <v>0.85770261148377847</v>
      </c>
      <c r="AL30" s="34">
        <f t="shared" si="18"/>
        <v>0.31824212434095211</v>
      </c>
      <c r="AM30" s="34"/>
      <c r="AN30" s="35">
        <v>0.70151184013058254</v>
      </c>
      <c r="AO30">
        <f t="shared" si="19"/>
        <v>1</v>
      </c>
      <c r="AP30">
        <v>4.9678969393496883</v>
      </c>
      <c r="AQ30">
        <v>104</v>
      </c>
      <c r="AR30">
        <v>51</v>
      </c>
      <c r="AS30" s="154">
        <v>38</v>
      </c>
      <c r="AT30">
        <v>29</v>
      </c>
    </row>
    <row r="31" spans="1:46" x14ac:dyDescent="0.35">
      <c r="A31">
        <v>4</v>
      </c>
      <c r="B31" s="15" t="s">
        <v>143</v>
      </c>
      <c r="C31" s="15" t="s">
        <v>1085</v>
      </c>
      <c r="D31" s="15" t="s">
        <v>77</v>
      </c>
      <c r="E31" s="9" t="s">
        <v>5</v>
      </c>
      <c r="F31">
        <v>3</v>
      </c>
      <c r="G31">
        <v>1</v>
      </c>
      <c r="I31">
        <v>3</v>
      </c>
      <c r="J31">
        <v>0</v>
      </c>
      <c r="L31">
        <f>51+21</f>
        <v>72</v>
      </c>
      <c r="M31">
        <f>49+15</f>
        <v>64</v>
      </c>
      <c r="N31" s="73">
        <f t="shared" si="0"/>
        <v>18</v>
      </c>
      <c r="O31" s="73">
        <f t="shared" si="1"/>
        <v>16</v>
      </c>
      <c r="P31" s="73">
        <f t="shared" si="2"/>
        <v>2</v>
      </c>
      <c r="Q31">
        <v>32</v>
      </c>
      <c r="R31" s="54">
        <f t="shared" si="3"/>
        <v>2.25</v>
      </c>
      <c r="S31" s="9">
        <f>3.919+3.101-1.805+3.737</f>
        <v>8.952</v>
      </c>
      <c r="T31" s="9">
        <f>3.919+3.101+3.737</f>
        <v>10.757</v>
      </c>
      <c r="U31" s="54">
        <f t="shared" si="4"/>
        <v>2.238</v>
      </c>
      <c r="V31" s="54">
        <f t="shared" si="5"/>
        <v>-7.099033333333332</v>
      </c>
      <c r="W31" s="9">
        <f>18.725+35.517+6.725+55.577</f>
        <v>116.54400000000001</v>
      </c>
      <c r="X31" s="54">
        <f t="shared" si="6"/>
        <v>29.136000000000003</v>
      </c>
      <c r="Y31" s="54">
        <f t="shared" si="7"/>
        <v>5.3977773203421426</v>
      </c>
      <c r="Z31" s="152">
        <v>76</v>
      </c>
      <c r="AA31" s="49">
        <v>30</v>
      </c>
      <c r="AB31" s="48">
        <f t="shared" si="8"/>
        <v>21</v>
      </c>
      <c r="AC31" s="36">
        <f t="shared" si="9"/>
        <v>0.76503907914846658</v>
      </c>
      <c r="AD31" s="34">
        <f t="shared" si="10"/>
        <v>0.75</v>
      </c>
      <c r="AE31" s="34">
        <f t="shared" si="11"/>
        <v>1</v>
      </c>
      <c r="AF31" s="34">
        <f t="shared" si="12"/>
        <v>0.55072463768115942</v>
      </c>
      <c r="AG31" s="34">
        <f t="shared" si="13"/>
        <v>0.37313432835820892</v>
      </c>
      <c r="AH31" s="34">
        <f t="shared" si="14"/>
        <v>0.50549450549450547</v>
      </c>
      <c r="AI31" s="34">
        <f t="shared" si="15"/>
        <v>0.75883342680874932</v>
      </c>
      <c r="AJ31" s="34">
        <f t="shared" si="16"/>
        <v>0.40053602486242978</v>
      </c>
      <c r="AK31" s="34">
        <f t="shared" si="17"/>
        <v>0.77537547989705946</v>
      </c>
      <c r="AL31" s="34">
        <f t="shared" si="18"/>
        <v>0.39418715315665726</v>
      </c>
      <c r="AM31" s="34"/>
      <c r="AN31" s="35">
        <v>0.69825196985703186</v>
      </c>
      <c r="AO31">
        <f t="shared" si="19"/>
        <v>3</v>
      </c>
      <c r="AP31">
        <v>4.5080298727197157</v>
      </c>
      <c r="AQ31">
        <v>37</v>
      </c>
      <c r="AR31">
        <v>48</v>
      </c>
      <c r="AS31" s="154">
        <v>23</v>
      </c>
      <c r="AT31">
        <v>30</v>
      </c>
    </row>
    <row r="32" spans="1:46" x14ac:dyDescent="0.35">
      <c r="A32">
        <v>38</v>
      </c>
      <c r="B32" s="17" t="s">
        <v>171</v>
      </c>
      <c r="C32" s="17" t="s">
        <v>1096</v>
      </c>
      <c r="D32" s="17" t="s">
        <v>50</v>
      </c>
      <c r="E32" s="9" t="s">
        <v>5</v>
      </c>
      <c r="F32">
        <v>3</v>
      </c>
      <c r="G32">
        <v>1</v>
      </c>
      <c r="I32">
        <v>3</v>
      </c>
      <c r="J32">
        <v>0</v>
      </c>
      <c r="L32">
        <f>54+26</f>
        <v>80</v>
      </c>
      <c r="M32">
        <f>48+22</f>
        <v>70</v>
      </c>
      <c r="N32" s="73">
        <f t="shared" si="0"/>
        <v>20</v>
      </c>
      <c r="O32" s="73">
        <f t="shared" si="1"/>
        <v>17.5</v>
      </c>
      <c r="P32" s="73">
        <f t="shared" si="2"/>
        <v>2.5</v>
      </c>
      <c r="Q32">
        <v>39</v>
      </c>
      <c r="R32" s="54">
        <f t="shared" si="3"/>
        <v>2.0512820512820511</v>
      </c>
      <c r="S32" s="9">
        <f>4.059-1.364+2.426+3.735</f>
        <v>8.8559999999999999</v>
      </c>
      <c r="T32" s="9">
        <f>4.059-1.364+3.735</f>
        <v>6.43</v>
      </c>
      <c r="U32" s="54">
        <f t="shared" si="4"/>
        <v>2.214</v>
      </c>
      <c r="V32" s="54">
        <f t="shared" si="5"/>
        <v>-5.5124666666666675</v>
      </c>
      <c r="W32" s="9">
        <f>41.945+60.459+18.622+28.093</f>
        <v>149.119</v>
      </c>
      <c r="X32" s="54">
        <f t="shared" si="6"/>
        <v>37.27975</v>
      </c>
      <c r="Y32" s="54">
        <f t="shared" si="7"/>
        <v>6.1057145363994865</v>
      </c>
      <c r="Z32" s="152">
        <v>70</v>
      </c>
      <c r="AA32" s="49">
        <v>31</v>
      </c>
      <c r="AB32" s="48">
        <f t="shared" si="8"/>
        <v>25</v>
      </c>
      <c r="AC32" s="36">
        <f t="shared" si="9"/>
        <v>0.75778334748880949</v>
      </c>
      <c r="AD32" s="34">
        <f t="shared" si="10"/>
        <v>0.75</v>
      </c>
      <c r="AE32" s="34">
        <f t="shared" si="11"/>
        <v>1</v>
      </c>
      <c r="AF32" s="34">
        <f t="shared" si="12"/>
        <v>0.66666666666666663</v>
      </c>
      <c r="AG32" s="34">
        <f t="shared" si="13"/>
        <v>0.28358208955223885</v>
      </c>
      <c r="AH32" s="34">
        <f t="shared" si="14"/>
        <v>0.52747252747252749</v>
      </c>
      <c r="AI32" s="34">
        <f t="shared" si="15"/>
        <v>0.57605303651293538</v>
      </c>
      <c r="AJ32" s="34">
        <f t="shared" si="16"/>
        <v>0.40327317309611377</v>
      </c>
      <c r="AK32" s="34">
        <f t="shared" si="17"/>
        <v>0.82557693119014464</v>
      </c>
      <c r="AL32" s="34">
        <f t="shared" si="18"/>
        <v>0.48737635543965807</v>
      </c>
      <c r="AM32" s="34"/>
      <c r="AN32" s="35">
        <v>0.69672180282388441</v>
      </c>
      <c r="AO32">
        <f t="shared" si="19"/>
        <v>3</v>
      </c>
      <c r="AP32">
        <v>6.3515352474815092</v>
      </c>
      <c r="AQ32">
        <v>43</v>
      </c>
      <c r="AR32">
        <v>42</v>
      </c>
      <c r="AS32" s="154">
        <v>19</v>
      </c>
      <c r="AT32">
        <v>31</v>
      </c>
    </row>
    <row r="33" spans="1:46" x14ac:dyDescent="0.35">
      <c r="A33">
        <v>3</v>
      </c>
      <c r="B33" s="15" t="s">
        <v>143</v>
      </c>
      <c r="C33" s="15" t="s">
        <v>1085</v>
      </c>
      <c r="D33" s="15" t="s">
        <v>75</v>
      </c>
      <c r="E33" s="9" t="s">
        <v>6</v>
      </c>
      <c r="F33">
        <v>2</v>
      </c>
      <c r="G33">
        <v>2</v>
      </c>
      <c r="I33">
        <v>1</v>
      </c>
      <c r="J33">
        <v>2</v>
      </c>
      <c r="L33">
        <v>58</v>
      </c>
      <c r="M33">
        <v>61</v>
      </c>
      <c r="N33" s="73">
        <f t="shared" si="0"/>
        <v>14.5</v>
      </c>
      <c r="O33" s="73">
        <f t="shared" si="1"/>
        <v>15.25</v>
      </c>
      <c r="P33" s="73">
        <f t="shared" si="2"/>
        <v>-0.75</v>
      </c>
      <c r="Q33">
        <v>29</v>
      </c>
      <c r="R33" s="54">
        <f t="shared" si="3"/>
        <v>2</v>
      </c>
      <c r="S33" s="9">
        <f>1.266+0.72+4.709+0.763</f>
        <v>7.4579999999999993</v>
      </c>
      <c r="T33" s="9">
        <f>0.72+4.709</f>
        <v>5.4289999999999994</v>
      </c>
      <c r="U33" s="54">
        <f t="shared" si="4"/>
        <v>1.8644999999999998</v>
      </c>
      <c r="V33" s="54">
        <f t="shared" si="5"/>
        <v>-8.4197999999999986</v>
      </c>
      <c r="W33" s="9">
        <f>4.979+33.433+57.965+12.526</f>
        <v>108.90300000000001</v>
      </c>
      <c r="X33" s="54">
        <f t="shared" si="6"/>
        <v>27.225750000000001</v>
      </c>
      <c r="Y33" s="54">
        <f t="shared" si="7"/>
        <v>5.2178300087296829</v>
      </c>
      <c r="Z33" s="152">
        <v>93</v>
      </c>
      <c r="AA33" s="49">
        <v>32</v>
      </c>
      <c r="AB33" s="48">
        <f t="shared" si="8"/>
        <v>51</v>
      </c>
      <c r="AC33" s="36">
        <f t="shared" si="9"/>
        <v>0.60211225376529953</v>
      </c>
      <c r="AD33" s="34">
        <f t="shared" si="10"/>
        <v>0.5</v>
      </c>
      <c r="AE33" s="34">
        <f t="shared" si="11"/>
        <v>0.33333333333333331</v>
      </c>
      <c r="AF33" s="34">
        <f t="shared" si="12"/>
        <v>0.34782608695652173</v>
      </c>
      <c r="AG33" s="34">
        <f t="shared" si="13"/>
        <v>0.41791044776119401</v>
      </c>
      <c r="AH33" s="34">
        <f t="shared" si="14"/>
        <v>0.38461538461538464</v>
      </c>
      <c r="AI33" s="34">
        <f t="shared" si="15"/>
        <v>0.52888390353337067</v>
      </c>
      <c r="AJ33" s="34">
        <f t="shared" si="16"/>
        <v>0.4431328942491376</v>
      </c>
      <c r="AK33" s="34">
        <f t="shared" si="17"/>
        <v>0.73358435641058095</v>
      </c>
      <c r="AL33" s="34">
        <f t="shared" si="18"/>
        <v>0.37049981755431854</v>
      </c>
      <c r="AM33" s="34"/>
      <c r="AN33" s="35">
        <v>0.68161903426657122</v>
      </c>
      <c r="AO33">
        <f t="shared" ref="AO33:AO96" si="20">IF(AQ33&lt;12, 5, IF(AND(AQ33&gt;11, AQ33&lt;32), 4, IF(AND(AQ33&gt;31, AQ33&lt;53), 3, IF(AND(AQ33&gt;52, AQ33&lt;85), 2, 1))))</f>
        <v>4</v>
      </c>
      <c r="AP33">
        <v>5.6679508348843912</v>
      </c>
      <c r="AQ33">
        <v>24</v>
      </c>
      <c r="AR33">
        <v>61</v>
      </c>
      <c r="AS33" s="154">
        <v>48</v>
      </c>
      <c r="AT33">
        <v>32</v>
      </c>
    </row>
    <row r="34" spans="1:46" x14ac:dyDescent="0.35">
      <c r="A34">
        <v>94</v>
      </c>
      <c r="B34" s="58" t="s">
        <v>799</v>
      </c>
      <c r="C34" s="58" t="s">
        <v>1105</v>
      </c>
      <c r="D34" s="58" t="s">
        <v>787</v>
      </c>
      <c r="E34" s="9" t="s">
        <v>6</v>
      </c>
      <c r="F34">
        <v>2</v>
      </c>
      <c r="G34">
        <v>2</v>
      </c>
      <c r="I34">
        <v>1</v>
      </c>
      <c r="J34">
        <v>2</v>
      </c>
      <c r="L34">
        <v>80</v>
      </c>
      <c r="M34">
        <v>64</v>
      </c>
      <c r="N34" s="73">
        <f t="shared" ref="N34:N65" si="21">IFERROR(L34/(F34+G34), 0)</f>
        <v>20</v>
      </c>
      <c r="O34" s="73">
        <f t="shared" ref="O34:O65" si="22">IFERROR(M34/(F34+G34), 0)</f>
        <v>16</v>
      </c>
      <c r="P34" s="73">
        <f t="shared" ref="P34:P65" si="23">N34-O34</f>
        <v>4</v>
      </c>
      <c r="Q34">
        <v>38</v>
      </c>
      <c r="R34" s="54">
        <f t="shared" ref="R34:R65" si="24">IFERROR(L34/Q34, 0)</f>
        <v>2.1052631578947367</v>
      </c>
      <c r="S34" s="9">
        <f>0.623+1.426+2.059+6.6</f>
        <v>10.708</v>
      </c>
      <c r="T34" s="9">
        <f>0.623+2.059</f>
        <v>2.6820000000000004</v>
      </c>
      <c r="U34" s="54">
        <f t="shared" ref="U34:U65" si="25">IF(S34&lt;0, (S34/2), S34)/(F34+G34)</f>
        <v>2.677</v>
      </c>
      <c r="V34" s="54">
        <f t="shared" ref="V34:V65" si="26">IF(F34=0, -(MAX($T$2:$T$113)+ABS(MIN($T$2:$T$113))), (((-(ABS(MIN($T$2:$T$113))+T34))*((0.1*G34)+1))/F34))</f>
        <v>-6.7715999999999994</v>
      </c>
      <c r="W34" s="9">
        <f>(101.269-0.6345)+7.332+25.956+4.838</f>
        <v>138.76049999999998</v>
      </c>
      <c r="X34" s="54">
        <f t="shared" ref="X34:X65" si="27">IFERROR(W34/(F34+G34),0)</f>
        <v>34.690124999999995</v>
      </c>
      <c r="Y34" s="54">
        <f t="shared" ref="Y34:Y65" si="28">IFERROR(IF(SQRT(X34)&gt;10, 10, SQRT(X34)), 0)</f>
        <v>5.8898323405679376</v>
      </c>
      <c r="Z34" s="152">
        <v>48</v>
      </c>
      <c r="AA34" s="49">
        <v>33</v>
      </c>
      <c r="AB34" s="48">
        <f t="shared" ref="AB34:AB65" si="29">_xlfn.RANK.EQ(AC34,AC:AC, 0)</f>
        <v>57</v>
      </c>
      <c r="AC34" s="36">
        <f t="shared" ref="AC34:AC65" si="30">((AD34*1.3)+(AE34*0.8)+(AF34*0.6)+(AG34*0.6)+(AH34*0.5)+(AI34*0.5)+(AJ34*0.6)+(AK34*0.6)+(AL34*0.5)+((Z34/LARGE(Z:Z,1))*(9/6)))/6</f>
        <v>0.58665067258204806</v>
      </c>
      <c r="AD34" s="34">
        <f t="shared" ref="AD34:AD65" si="31">IFERROR(IF((F34+G34)=1, IF(F34=0, 0.333, IF(F34=1, 0.666, 0)), IF((F34+G34)=2, IF(F34=0, 0.166, IF(F34=1, 0.5, IF(F34=2, 0.833, 0))),  F34/(F34+G34))), 0)</f>
        <v>0.5</v>
      </c>
      <c r="AE34" s="34">
        <f t="shared" ref="AE34:AE65" si="32">IFERROR(IF((I34+J34)=1, IF(I34=0, 0.333, IF(I34=1, 0.666, 0)), IF((I34+J34)=2, IF(I34=0, 0.166, IF(I34=1, 0.5, IF(I34=2, 0.833, 0))),  I34/(I34+J34))), 0)</f>
        <v>0.33333333333333331</v>
      </c>
      <c r="AF34" s="34">
        <f t="shared" ref="AF34:AF65" si="33">(N34-(SMALL(N:N, 1)))/((LARGE(N:N, 1))-(SMALL(N:N, 1)))</f>
        <v>0.66666666666666663</v>
      </c>
      <c r="AG34" s="34">
        <f t="shared" ref="AG34:AG65" si="34">1-(O34-SMALL(O:O,1))/(LARGE(O:O,1)-SMALL(O:O,1))</f>
        <v>0.37313432835820892</v>
      </c>
      <c r="AH34" s="34">
        <f t="shared" ref="AH34:AH65" si="35">(P34-SMALL(P:P,1))/(LARGE(P:P,1)-SMALL(P:P,1))</f>
        <v>0.59340659340659341</v>
      </c>
      <c r="AI34" s="34">
        <f t="shared" ref="AI34:AI65" si="36">(R34-SMALL(R:R,1))/(LARGE(R:R,1)-SMALL(R:R,1))</f>
        <v>0.62570475543879311</v>
      </c>
      <c r="AJ34" s="34">
        <f t="shared" ref="AJ34:AJ65" si="37">1-(U34-SMALL(U:U,1))/(LARGE(U:U,1)-SMALL(U:U,1))</f>
        <v>0.35046902175462613</v>
      </c>
      <c r="AK34" s="34">
        <f t="shared" ref="AK34:AK65" si="38">1-(V34/MIN(V:V))</f>
        <v>0.78573598278698897</v>
      </c>
      <c r="AL34" s="34">
        <f t="shared" ref="AL34:AL65" si="39">(Y34-SMALL(Y:Y,1))/(LARGE(Y:Y,1)-SMALL(Y:Y,1))</f>
        <v>0.45895873709676954</v>
      </c>
      <c r="AM34" s="34"/>
      <c r="AN34" s="35">
        <v>0.68057913196098097</v>
      </c>
      <c r="AO34">
        <f t="shared" si="20"/>
        <v>2</v>
      </c>
      <c r="AP34">
        <v>6.6813795980570756</v>
      </c>
      <c r="AQ34">
        <v>65</v>
      </c>
      <c r="AR34">
        <v>11</v>
      </c>
      <c r="AS34" s="154">
        <v>41</v>
      </c>
      <c r="AT34">
        <v>33</v>
      </c>
    </row>
    <row r="35" spans="1:46" x14ac:dyDescent="0.35">
      <c r="A35">
        <v>10</v>
      </c>
      <c r="B35" s="15" t="s">
        <v>143</v>
      </c>
      <c r="C35" s="15" t="s">
        <v>1083</v>
      </c>
      <c r="D35" s="15" t="s">
        <v>82</v>
      </c>
      <c r="E35" s="9" t="s">
        <v>5</v>
      </c>
      <c r="F35">
        <v>3</v>
      </c>
      <c r="G35">
        <v>1</v>
      </c>
      <c r="I35">
        <v>2</v>
      </c>
      <c r="J35">
        <v>1</v>
      </c>
      <c r="L35">
        <f>53+27</f>
        <v>80</v>
      </c>
      <c r="M35">
        <f>44+12</f>
        <v>56</v>
      </c>
      <c r="N35" s="73">
        <f t="shared" si="21"/>
        <v>20</v>
      </c>
      <c r="O35" s="73">
        <f t="shared" si="22"/>
        <v>14</v>
      </c>
      <c r="P35" s="73">
        <f t="shared" si="23"/>
        <v>6</v>
      </c>
      <c r="Q35">
        <v>43</v>
      </c>
      <c r="R35" s="54">
        <f t="shared" si="24"/>
        <v>1.8604651162790697</v>
      </c>
      <c r="S35" s="9">
        <f>0.164+0.376-2.336+5.932</f>
        <v>4.136000000000001</v>
      </c>
      <c r="T35" s="9">
        <f>0.164-2.336+5.932</f>
        <v>3.7600000000000007</v>
      </c>
      <c r="U35" s="54">
        <f t="shared" si="25"/>
        <v>1.0340000000000003</v>
      </c>
      <c r="V35" s="54">
        <f t="shared" si="26"/>
        <v>-4.5334666666666674</v>
      </c>
      <c r="W35" s="9">
        <f>34.091+7.645+88.758+71.9</f>
        <v>202.39400000000001</v>
      </c>
      <c r="X35" s="54">
        <f t="shared" si="27"/>
        <v>50.598500000000001</v>
      </c>
      <c r="Y35" s="54">
        <f t="shared" si="28"/>
        <v>7.1132622614381376</v>
      </c>
      <c r="Z35" s="152">
        <v>64</v>
      </c>
      <c r="AA35" s="49">
        <v>34</v>
      </c>
      <c r="AB35" s="48">
        <f t="shared" si="29"/>
        <v>26</v>
      </c>
      <c r="AC35" s="36">
        <f t="shared" si="30"/>
        <v>0.7504824303250256</v>
      </c>
      <c r="AD35" s="34">
        <f t="shared" si="31"/>
        <v>0.75</v>
      </c>
      <c r="AE35" s="34">
        <f t="shared" si="32"/>
        <v>0.66666666666666663</v>
      </c>
      <c r="AF35" s="34">
        <f t="shared" si="33"/>
        <v>0.66666666666666663</v>
      </c>
      <c r="AG35" s="34">
        <f t="shared" si="34"/>
        <v>0.4925373134328358</v>
      </c>
      <c r="AH35" s="34">
        <f t="shared" si="35"/>
        <v>0.68131868131868134</v>
      </c>
      <c r="AI35" s="34">
        <f t="shared" si="36"/>
        <v>0.40053998356571752</v>
      </c>
      <c r="AJ35" s="34">
        <f t="shared" si="37"/>
        <v>0.53784962791891189</v>
      </c>
      <c r="AK35" s="34">
        <f t="shared" si="38"/>
        <v>0.85655402269754877</v>
      </c>
      <c r="AL35" s="34">
        <f t="shared" si="39"/>
        <v>0.62000473918435262</v>
      </c>
      <c r="AM35" s="34"/>
      <c r="AN35" s="35">
        <v>0.67985394392306187</v>
      </c>
      <c r="AO35">
        <f t="shared" si="20"/>
        <v>3</v>
      </c>
      <c r="AP35">
        <v>6.5953013577849493</v>
      </c>
      <c r="AQ35">
        <v>49</v>
      </c>
      <c r="AR35">
        <v>28</v>
      </c>
      <c r="AS35" s="154">
        <v>55</v>
      </c>
      <c r="AT35">
        <v>34</v>
      </c>
    </row>
    <row r="36" spans="1:46" x14ac:dyDescent="0.35">
      <c r="A36">
        <v>7</v>
      </c>
      <c r="B36" s="15" t="s">
        <v>143</v>
      </c>
      <c r="C36" s="15" t="s">
        <v>1084</v>
      </c>
      <c r="D36" s="15" t="s">
        <v>79</v>
      </c>
      <c r="E36" s="9" t="s">
        <v>5</v>
      </c>
      <c r="F36">
        <v>3</v>
      </c>
      <c r="G36">
        <v>1</v>
      </c>
      <c r="I36">
        <v>3</v>
      </c>
      <c r="J36">
        <v>0</v>
      </c>
      <c r="L36">
        <v>72</v>
      </c>
      <c r="M36">
        <v>60</v>
      </c>
      <c r="N36" s="73">
        <f t="shared" si="21"/>
        <v>18</v>
      </c>
      <c r="O36" s="73">
        <f t="shared" si="22"/>
        <v>15</v>
      </c>
      <c r="P36" s="73">
        <f t="shared" si="23"/>
        <v>3</v>
      </c>
      <c r="Q36">
        <v>38</v>
      </c>
      <c r="R36" s="54">
        <f t="shared" si="24"/>
        <v>1.8947368421052631</v>
      </c>
      <c r="S36" s="9">
        <f>1.511+3.534+3.073+2.943</f>
        <v>11.061</v>
      </c>
      <c r="T36" s="9">
        <f>1.511+3.534+2.943</f>
        <v>7.9879999999999995</v>
      </c>
      <c r="U36" s="54">
        <f t="shared" si="25"/>
        <v>2.76525</v>
      </c>
      <c r="V36" s="54">
        <f t="shared" si="26"/>
        <v>-6.0837333333333339</v>
      </c>
      <c r="W36" s="9">
        <f>29.662+56.54+2.387+41.209</f>
        <v>129.798</v>
      </c>
      <c r="X36" s="54">
        <f t="shared" si="27"/>
        <v>32.4495</v>
      </c>
      <c r="Y36" s="54">
        <f t="shared" si="28"/>
        <v>5.6964462606084503</v>
      </c>
      <c r="Z36" s="152">
        <v>83</v>
      </c>
      <c r="AA36" s="49">
        <v>35</v>
      </c>
      <c r="AB36" s="48">
        <f t="shared" si="29"/>
        <v>23</v>
      </c>
      <c r="AC36" s="36">
        <f t="shared" si="30"/>
        <v>0.75906352963677615</v>
      </c>
      <c r="AD36" s="34">
        <f t="shared" si="31"/>
        <v>0.75</v>
      </c>
      <c r="AE36" s="34">
        <f t="shared" si="32"/>
        <v>1</v>
      </c>
      <c r="AF36" s="34">
        <f t="shared" si="33"/>
        <v>0.55072463768115942</v>
      </c>
      <c r="AG36" s="34">
        <f t="shared" si="34"/>
        <v>0.43283582089552242</v>
      </c>
      <c r="AH36" s="34">
        <f t="shared" si="35"/>
        <v>0.5494505494505495</v>
      </c>
      <c r="AI36" s="34">
        <f t="shared" si="36"/>
        <v>0.43206305162794806</v>
      </c>
      <c r="AJ36" s="34">
        <f t="shared" si="37"/>
        <v>0.34040429960368379</v>
      </c>
      <c r="AK36" s="34">
        <f t="shared" si="38"/>
        <v>0.80750116019069318</v>
      </c>
      <c r="AL36" s="34">
        <f t="shared" si="39"/>
        <v>0.43350239137104707</v>
      </c>
      <c r="AM36" s="34"/>
      <c r="AN36" s="35">
        <v>0.67913721089470247</v>
      </c>
      <c r="AO36">
        <f t="shared" si="20"/>
        <v>4</v>
      </c>
      <c r="AP36">
        <v>5.4341205973613311</v>
      </c>
      <c r="AQ36">
        <v>30</v>
      </c>
      <c r="AR36">
        <v>27</v>
      </c>
      <c r="AS36" s="154">
        <v>15</v>
      </c>
      <c r="AT36">
        <v>35</v>
      </c>
    </row>
    <row r="37" spans="1:46" x14ac:dyDescent="0.35">
      <c r="A37">
        <v>109</v>
      </c>
      <c r="B37" s="69" t="s">
        <v>1296</v>
      </c>
      <c r="C37" s="69" t="s">
        <v>1109</v>
      </c>
      <c r="D37" s="69" t="s">
        <v>962</v>
      </c>
      <c r="E37" s="9" t="s">
        <v>5</v>
      </c>
      <c r="F37">
        <v>3</v>
      </c>
      <c r="G37">
        <v>1</v>
      </c>
      <c r="I37">
        <v>3</v>
      </c>
      <c r="J37">
        <v>0</v>
      </c>
      <c r="L37">
        <f>48+24</f>
        <v>72</v>
      </c>
      <c r="M37">
        <f>42+10</f>
        <v>52</v>
      </c>
      <c r="N37" s="73">
        <f t="shared" si="21"/>
        <v>18</v>
      </c>
      <c r="O37" s="73">
        <f t="shared" si="22"/>
        <v>13</v>
      </c>
      <c r="P37" s="73">
        <f t="shared" si="23"/>
        <v>5</v>
      </c>
      <c r="Q37">
        <f>25+14</f>
        <v>39</v>
      </c>
      <c r="R37" s="54">
        <f t="shared" si="24"/>
        <v>1.8461538461538463</v>
      </c>
      <c r="S37" s="9">
        <f>2.452+4.007+2.284-0.668</f>
        <v>8.0749999999999993</v>
      </c>
      <c r="T37" s="9">
        <f>2.452+4.007-0.668</f>
        <v>5.7909999999999995</v>
      </c>
      <c r="U37" s="54">
        <f t="shared" si="25"/>
        <v>2.0187499999999998</v>
      </c>
      <c r="V37" s="54">
        <f t="shared" si="26"/>
        <v>-5.2781666666666665</v>
      </c>
      <c r="W37" s="9">
        <f>52.927+24.167+10.249+(112.729-6.3645)</f>
        <v>193.70749999999998</v>
      </c>
      <c r="X37" s="54">
        <f t="shared" si="27"/>
        <v>48.426874999999995</v>
      </c>
      <c r="Y37" s="54">
        <f t="shared" si="28"/>
        <v>6.9589420891396987</v>
      </c>
      <c r="Z37" s="152">
        <v>81</v>
      </c>
      <c r="AA37" s="49">
        <v>36</v>
      </c>
      <c r="AB37" s="48">
        <f t="shared" si="29"/>
        <v>17</v>
      </c>
      <c r="AC37" s="36">
        <f t="shared" si="30"/>
        <v>0.79633288999627949</v>
      </c>
      <c r="AD37" s="34">
        <f t="shared" si="31"/>
        <v>0.75</v>
      </c>
      <c r="AE37" s="34">
        <f t="shared" si="32"/>
        <v>1</v>
      </c>
      <c r="AF37" s="34">
        <f t="shared" si="33"/>
        <v>0.55072463768115942</v>
      </c>
      <c r="AG37" s="34">
        <f t="shared" si="34"/>
        <v>0.55223880597014929</v>
      </c>
      <c r="AH37" s="34">
        <f t="shared" si="35"/>
        <v>0.63736263736263732</v>
      </c>
      <c r="AI37" s="34">
        <f t="shared" si="36"/>
        <v>0.38737650459467626</v>
      </c>
      <c r="AJ37" s="34">
        <f t="shared" si="37"/>
        <v>0.42554101445556414</v>
      </c>
      <c r="AK37" s="34">
        <f t="shared" si="38"/>
        <v>0.83299054971944475</v>
      </c>
      <c r="AL37" s="34">
        <f t="shared" si="39"/>
        <v>0.599690827969517</v>
      </c>
      <c r="AN37" s="35">
        <v>0.67848783318878292</v>
      </c>
      <c r="AO37">
        <f t="shared" si="20"/>
        <v>3</v>
      </c>
      <c r="AP37">
        <v>5.3957699481476533</v>
      </c>
      <c r="AQ37">
        <v>32</v>
      </c>
      <c r="AR37">
        <v>18</v>
      </c>
      <c r="AS37" s="154">
        <v>18</v>
      </c>
      <c r="AT37">
        <v>36</v>
      </c>
    </row>
    <row r="38" spans="1:46" x14ac:dyDescent="0.35">
      <c r="A38">
        <v>99</v>
      </c>
      <c r="B38" s="69" t="s">
        <v>1296</v>
      </c>
      <c r="C38" s="69" t="s">
        <v>1107</v>
      </c>
      <c r="D38" s="69" t="s">
        <v>1301</v>
      </c>
      <c r="E38" s="9" t="s">
        <v>6</v>
      </c>
      <c r="F38">
        <v>2</v>
      </c>
      <c r="G38">
        <v>2</v>
      </c>
      <c r="I38">
        <v>2</v>
      </c>
      <c r="J38">
        <v>1</v>
      </c>
      <c r="L38">
        <v>52</v>
      </c>
      <c r="M38">
        <v>47</v>
      </c>
      <c r="N38" s="73">
        <f t="shared" si="21"/>
        <v>13</v>
      </c>
      <c r="O38" s="73">
        <f t="shared" si="22"/>
        <v>11.75</v>
      </c>
      <c r="P38" s="73">
        <f t="shared" si="23"/>
        <v>1.25</v>
      </c>
      <c r="Q38">
        <v>29</v>
      </c>
      <c r="R38" s="54">
        <f t="shared" si="24"/>
        <v>1.7931034482758621</v>
      </c>
      <c r="S38" s="9">
        <f>-0.9+3.42+2.74-2.997</f>
        <v>2.2629999999999999</v>
      </c>
      <c r="T38" s="9">
        <f>-0.9+3.42</f>
        <v>2.52</v>
      </c>
      <c r="U38" s="54">
        <f t="shared" si="25"/>
        <v>0.56574999999999998</v>
      </c>
      <c r="V38" s="54">
        <f t="shared" si="26"/>
        <v>-6.6743999999999994</v>
      </c>
      <c r="W38" s="9">
        <f>28.654+(110.291-5.1455)+0+7.311</f>
        <v>141.1105</v>
      </c>
      <c r="X38" s="54">
        <f t="shared" si="27"/>
        <v>35.277625</v>
      </c>
      <c r="Y38" s="54">
        <f t="shared" si="28"/>
        <v>5.9394970325777585</v>
      </c>
      <c r="Z38" s="152">
        <v>60</v>
      </c>
      <c r="AA38" s="49">
        <v>37</v>
      </c>
      <c r="AB38" s="48">
        <f t="shared" si="29"/>
        <v>44</v>
      </c>
      <c r="AC38" s="36">
        <f t="shared" si="30"/>
        <v>0.62592727644386692</v>
      </c>
      <c r="AD38" s="34">
        <f t="shared" si="31"/>
        <v>0.5</v>
      </c>
      <c r="AE38" s="34">
        <f t="shared" si="32"/>
        <v>0.66666666666666663</v>
      </c>
      <c r="AF38" s="34">
        <f t="shared" si="33"/>
        <v>0.2608695652173913</v>
      </c>
      <c r="AG38" s="34">
        <f t="shared" si="34"/>
        <v>0.62686567164179108</v>
      </c>
      <c r="AH38" s="34">
        <f t="shared" si="35"/>
        <v>0.47252747252747251</v>
      </c>
      <c r="AI38" s="34">
        <f t="shared" si="36"/>
        <v>0.33858084978822983</v>
      </c>
      <c r="AJ38" s="34">
        <f t="shared" si="37"/>
        <v>0.59125253043651815</v>
      </c>
      <c r="AK38" s="34">
        <f t="shared" si="38"/>
        <v>0.78881154284267818</v>
      </c>
      <c r="AL38" s="34">
        <f t="shared" si="39"/>
        <v>0.46549634089135694</v>
      </c>
      <c r="AN38" s="35">
        <v>0.67624493315075773</v>
      </c>
      <c r="AO38">
        <f t="shared" si="20"/>
        <v>2</v>
      </c>
      <c r="AP38">
        <v>6.6783106646316872</v>
      </c>
      <c r="AQ38">
        <v>53</v>
      </c>
      <c r="AR38">
        <v>33</v>
      </c>
      <c r="AS38" s="154">
        <v>14</v>
      </c>
      <c r="AT38">
        <v>37</v>
      </c>
    </row>
    <row r="39" spans="1:46" x14ac:dyDescent="0.35">
      <c r="A39">
        <v>91</v>
      </c>
      <c r="B39" s="58" t="s">
        <v>799</v>
      </c>
      <c r="C39" s="58" t="s">
        <v>1106</v>
      </c>
      <c r="D39" s="58" t="s">
        <v>792</v>
      </c>
      <c r="E39" s="9" t="s">
        <v>6</v>
      </c>
      <c r="F39">
        <v>2</v>
      </c>
      <c r="G39">
        <v>2</v>
      </c>
      <c r="I39">
        <v>1</v>
      </c>
      <c r="J39">
        <v>2</v>
      </c>
      <c r="L39">
        <f>52+15</f>
        <v>67</v>
      </c>
      <c r="M39">
        <f>52+21</f>
        <v>73</v>
      </c>
      <c r="N39" s="73">
        <f t="shared" si="21"/>
        <v>16.75</v>
      </c>
      <c r="O39" s="73">
        <f t="shared" si="22"/>
        <v>18.25</v>
      </c>
      <c r="P39" s="73">
        <f t="shared" si="23"/>
        <v>-1.5</v>
      </c>
      <c r="Q39">
        <v>29</v>
      </c>
      <c r="R39" s="54">
        <f t="shared" si="24"/>
        <v>2.3103448275862069</v>
      </c>
      <c r="S39" s="9">
        <f>2.092-3.659+5.414+6.914</f>
        <v>10.760999999999999</v>
      </c>
      <c r="T39" s="9">
        <f>-3.659+5.414</f>
        <v>1.7549999999999999</v>
      </c>
      <c r="U39" s="54">
        <f t="shared" si="25"/>
        <v>2.6902499999999998</v>
      </c>
      <c r="V39" s="54">
        <f t="shared" si="26"/>
        <v>-6.2153999999999989</v>
      </c>
      <c r="W39" s="9">
        <f>0+52.436+46.751+0</f>
        <v>99.186999999999998</v>
      </c>
      <c r="X39" s="54">
        <f t="shared" si="27"/>
        <v>24.796749999999999</v>
      </c>
      <c r="Y39" s="54">
        <f t="shared" si="28"/>
        <v>4.9796335206518965</v>
      </c>
      <c r="Z39" s="152">
        <v>85</v>
      </c>
      <c r="AA39" s="49">
        <v>38</v>
      </c>
      <c r="AB39" s="48">
        <f t="shared" si="29"/>
        <v>53</v>
      </c>
      <c r="AC39" s="36">
        <f t="shared" si="30"/>
        <v>0.60049171248543542</v>
      </c>
      <c r="AD39" s="34">
        <f t="shared" si="31"/>
        <v>0.5</v>
      </c>
      <c r="AE39" s="34">
        <f t="shared" si="32"/>
        <v>0.33333333333333331</v>
      </c>
      <c r="AF39" s="34">
        <f t="shared" si="33"/>
        <v>0.47826086956521741</v>
      </c>
      <c r="AG39" s="34">
        <f t="shared" si="34"/>
        <v>0.23880597014925375</v>
      </c>
      <c r="AH39" s="34">
        <f t="shared" si="35"/>
        <v>0.35164835164835168</v>
      </c>
      <c r="AI39" s="34">
        <f t="shared" si="36"/>
        <v>0.81433848415108201</v>
      </c>
      <c r="AJ39" s="34">
        <f t="shared" si="37"/>
        <v>0.34895788783394632</v>
      </c>
      <c r="AK39" s="34">
        <f t="shared" si="38"/>
        <v>0.80333502088343245</v>
      </c>
      <c r="AL39" s="34">
        <f t="shared" si="39"/>
        <v>0.33914486091818763</v>
      </c>
      <c r="AM39" s="34"/>
      <c r="AN39" s="35">
        <v>0.67314827747377193</v>
      </c>
      <c r="AO39">
        <f t="shared" si="20"/>
        <v>4</v>
      </c>
      <c r="AP39">
        <v>5.7499855072281125</v>
      </c>
      <c r="AQ39">
        <v>28</v>
      </c>
      <c r="AR39">
        <v>85</v>
      </c>
      <c r="AS39" s="154">
        <v>44</v>
      </c>
      <c r="AT39">
        <v>38</v>
      </c>
    </row>
    <row r="40" spans="1:46" x14ac:dyDescent="0.35">
      <c r="A40">
        <v>44</v>
      </c>
      <c r="B40" s="17" t="s">
        <v>171</v>
      </c>
      <c r="C40" s="17" t="s">
        <v>1098</v>
      </c>
      <c r="D40" s="17" t="s">
        <v>145</v>
      </c>
      <c r="E40" s="9" t="s">
        <v>5</v>
      </c>
      <c r="F40">
        <v>3</v>
      </c>
      <c r="G40">
        <v>1</v>
      </c>
      <c r="I40">
        <v>3</v>
      </c>
      <c r="J40">
        <v>0</v>
      </c>
      <c r="L40">
        <v>58</v>
      </c>
      <c r="M40">
        <v>52</v>
      </c>
      <c r="N40" s="73">
        <f t="shared" si="21"/>
        <v>14.5</v>
      </c>
      <c r="O40" s="73">
        <f t="shared" si="22"/>
        <v>13</v>
      </c>
      <c r="P40" s="73">
        <f t="shared" si="23"/>
        <v>1.5</v>
      </c>
      <c r="Q40">
        <v>29</v>
      </c>
      <c r="R40" s="54">
        <f t="shared" si="24"/>
        <v>2</v>
      </c>
      <c r="S40" s="9">
        <f>3.077+3.105-2.029+0.315</f>
        <v>4.4680000000000009</v>
      </c>
      <c r="T40" s="9">
        <f>3.077+3.105+0.315</f>
        <v>6.4970000000000008</v>
      </c>
      <c r="U40" s="54">
        <f t="shared" si="25"/>
        <v>1.1170000000000002</v>
      </c>
      <c r="V40" s="54">
        <f t="shared" si="26"/>
        <v>-5.5370333333333335</v>
      </c>
      <c r="W40" s="9">
        <f>15.521+16.236+4.42+(123.723-11.8615)</f>
        <v>148.0385</v>
      </c>
      <c r="X40" s="54">
        <f t="shared" si="27"/>
        <v>37.009625</v>
      </c>
      <c r="Y40" s="54">
        <f t="shared" si="28"/>
        <v>6.0835536489785307</v>
      </c>
      <c r="Z40" s="152">
        <v>71</v>
      </c>
      <c r="AA40" s="49">
        <v>39</v>
      </c>
      <c r="AB40" s="48">
        <f t="shared" si="29"/>
        <v>24</v>
      </c>
      <c r="AC40" s="36">
        <f t="shared" si="30"/>
        <v>0.75895377330507363</v>
      </c>
      <c r="AD40" s="34">
        <f t="shared" si="31"/>
        <v>0.75</v>
      </c>
      <c r="AE40" s="34">
        <f t="shared" si="32"/>
        <v>1</v>
      </c>
      <c r="AF40" s="34">
        <f t="shared" si="33"/>
        <v>0.34782608695652173</v>
      </c>
      <c r="AG40" s="34">
        <f t="shared" si="34"/>
        <v>0.55223880597014929</v>
      </c>
      <c r="AH40" s="34">
        <f t="shared" si="35"/>
        <v>0.48351648351648352</v>
      </c>
      <c r="AI40" s="34">
        <f t="shared" si="36"/>
        <v>0.52888390353337067</v>
      </c>
      <c r="AJ40" s="34">
        <f t="shared" si="37"/>
        <v>0.52838365694408806</v>
      </c>
      <c r="AK40" s="34">
        <f t="shared" si="38"/>
        <v>0.82479960342572667</v>
      </c>
      <c r="AL40" s="34">
        <f t="shared" si="39"/>
        <v>0.48445921056607227</v>
      </c>
      <c r="AM40" s="34"/>
      <c r="AN40" s="35">
        <v>0.6652490899811806</v>
      </c>
      <c r="AO40">
        <f t="shared" si="20"/>
        <v>3</v>
      </c>
      <c r="AP40">
        <v>3.4726070897813934</v>
      </c>
      <c r="AQ40">
        <v>42</v>
      </c>
      <c r="AR40">
        <v>46</v>
      </c>
      <c r="AS40" s="154">
        <v>28</v>
      </c>
      <c r="AT40">
        <v>39</v>
      </c>
    </row>
    <row r="41" spans="1:46" x14ac:dyDescent="0.35">
      <c r="A41">
        <v>35</v>
      </c>
      <c r="B41" s="17" t="s">
        <v>171</v>
      </c>
      <c r="C41" s="17" t="s">
        <v>1095</v>
      </c>
      <c r="D41" s="17" t="s">
        <v>57</v>
      </c>
      <c r="E41" s="9" t="s">
        <v>6</v>
      </c>
      <c r="F41">
        <v>2</v>
      </c>
      <c r="G41">
        <v>2</v>
      </c>
      <c r="I41">
        <v>2</v>
      </c>
      <c r="J41">
        <v>1</v>
      </c>
      <c r="L41">
        <v>54</v>
      </c>
      <c r="M41">
        <v>67</v>
      </c>
      <c r="N41" s="73">
        <f t="shared" si="21"/>
        <v>13.5</v>
      </c>
      <c r="O41" s="73">
        <f t="shared" si="22"/>
        <v>16.75</v>
      </c>
      <c r="P41" s="73">
        <f t="shared" si="23"/>
        <v>-3.25</v>
      </c>
      <c r="Q41">
        <v>36</v>
      </c>
      <c r="R41" s="54">
        <f t="shared" si="24"/>
        <v>1.5</v>
      </c>
      <c r="S41" s="9">
        <f>3.519-0.356+1.7-0.315</f>
        <v>4.548</v>
      </c>
      <c r="T41" s="9">
        <f>3.519-0.356</f>
        <v>3.1630000000000003</v>
      </c>
      <c r="U41" s="54">
        <f t="shared" si="25"/>
        <v>1.137</v>
      </c>
      <c r="V41" s="54">
        <f t="shared" si="26"/>
        <v>-7.0601999999999991</v>
      </c>
      <c r="W41" s="9">
        <f>32.165+60.648+1.688+0</f>
        <v>94.501000000000005</v>
      </c>
      <c r="X41" s="54">
        <f t="shared" si="27"/>
        <v>23.625250000000001</v>
      </c>
      <c r="Y41" s="54">
        <f t="shared" si="28"/>
        <v>4.8605812409628539</v>
      </c>
      <c r="Z41" s="152">
        <v>97</v>
      </c>
      <c r="AA41" s="49">
        <v>40</v>
      </c>
      <c r="AB41" s="48">
        <f t="shared" si="29"/>
        <v>54</v>
      </c>
      <c r="AC41" s="36">
        <f t="shared" si="30"/>
        <v>0.59937147223129239</v>
      </c>
      <c r="AD41" s="34">
        <f t="shared" si="31"/>
        <v>0.5</v>
      </c>
      <c r="AE41" s="34">
        <f t="shared" si="32"/>
        <v>0.66666666666666663</v>
      </c>
      <c r="AF41" s="34">
        <f t="shared" si="33"/>
        <v>0.28985507246376813</v>
      </c>
      <c r="AG41" s="34">
        <f t="shared" si="34"/>
        <v>0.32835820895522383</v>
      </c>
      <c r="AH41" s="34">
        <f t="shared" si="35"/>
        <v>0.27472527472527475</v>
      </c>
      <c r="AI41" s="34">
        <f t="shared" si="36"/>
        <v>6.8984856982613529E-2</v>
      </c>
      <c r="AJ41" s="34">
        <f t="shared" si="37"/>
        <v>0.52610270008268456</v>
      </c>
      <c r="AK41" s="34">
        <f t="shared" si="38"/>
        <v>0.77660422731299839</v>
      </c>
      <c r="AL41" s="34">
        <f t="shared" si="39"/>
        <v>0.32347343310996812</v>
      </c>
      <c r="AM41" s="34"/>
      <c r="AN41" s="35">
        <v>0.66308332273139881</v>
      </c>
      <c r="AO41">
        <f t="shared" si="20"/>
        <v>4</v>
      </c>
      <c r="AP41">
        <v>5.6125157757758979</v>
      </c>
      <c r="AQ41">
        <v>16</v>
      </c>
      <c r="AR41">
        <v>32</v>
      </c>
      <c r="AS41" s="154">
        <v>16</v>
      </c>
      <c r="AT41">
        <v>40</v>
      </c>
    </row>
    <row r="42" spans="1:46" x14ac:dyDescent="0.35">
      <c r="A42">
        <v>45</v>
      </c>
      <c r="B42" s="17" t="s">
        <v>171</v>
      </c>
      <c r="C42" s="17" t="s">
        <v>1097</v>
      </c>
      <c r="D42" s="17" t="s">
        <v>53</v>
      </c>
      <c r="E42" s="9" t="s">
        <v>6</v>
      </c>
      <c r="F42">
        <v>2</v>
      </c>
      <c r="G42">
        <v>2</v>
      </c>
      <c r="I42">
        <v>1</v>
      </c>
      <c r="J42">
        <v>2</v>
      </c>
      <c r="L42">
        <v>50</v>
      </c>
      <c r="M42">
        <f>38+14</f>
        <v>52</v>
      </c>
      <c r="N42" s="73">
        <f t="shared" si="21"/>
        <v>12.5</v>
      </c>
      <c r="O42" s="73">
        <f t="shared" si="22"/>
        <v>13</v>
      </c>
      <c r="P42" s="73">
        <f t="shared" si="23"/>
        <v>-0.5</v>
      </c>
      <c r="Q42">
        <v>28</v>
      </c>
      <c r="R42" s="54">
        <f t="shared" si="24"/>
        <v>1.7857142857142858</v>
      </c>
      <c r="S42" s="9">
        <f>1.005+3.507-2.515+1.51</f>
        <v>3.5070000000000006</v>
      </c>
      <c r="T42" s="9">
        <f>1.005-2.515</f>
        <v>-1.5100000000000002</v>
      </c>
      <c r="U42" s="54">
        <f t="shared" si="25"/>
        <v>0.87675000000000014</v>
      </c>
      <c r="V42" s="54">
        <f t="shared" si="26"/>
        <v>-4.2563999999999993</v>
      </c>
      <c r="W42" s="9">
        <f>17.214+0+23.237+9.043</f>
        <v>49.493999999999993</v>
      </c>
      <c r="X42" s="54">
        <f t="shared" si="27"/>
        <v>12.373499999999998</v>
      </c>
      <c r="Y42" s="54">
        <f t="shared" si="28"/>
        <v>3.5175986126901968</v>
      </c>
      <c r="Z42" s="152">
        <v>82</v>
      </c>
      <c r="AA42" s="49">
        <v>41</v>
      </c>
      <c r="AB42" s="48">
        <f t="shared" si="29"/>
        <v>59</v>
      </c>
      <c r="AC42" s="36">
        <f t="shared" si="30"/>
        <v>0.5767136653542142</v>
      </c>
      <c r="AD42" s="34">
        <f t="shared" si="31"/>
        <v>0.5</v>
      </c>
      <c r="AE42" s="34">
        <f t="shared" si="32"/>
        <v>0.33333333333333331</v>
      </c>
      <c r="AF42" s="34">
        <f t="shared" si="33"/>
        <v>0.2318840579710145</v>
      </c>
      <c r="AG42" s="34">
        <f t="shared" si="34"/>
        <v>0.55223880597014929</v>
      </c>
      <c r="AH42" s="34">
        <f t="shared" si="35"/>
        <v>0.39560439560439559</v>
      </c>
      <c r="AI42" s="34">
        <f t="shared" si="36"/>
        <v>0.33178431215447485</v>
      </c>
      <c r="AJ42" s="34">
        <f t="shared" si="37"/>
        <v>0.55578365124169582</v>
      </c>
      <c r="AK42" s="34">
        <f t="shared" si="38"/>
        <v>0.86532084546259969</v>
      </c>
      <c r="AL42" s="34">
        <f t="shared" si="39"/>
        <v>0.14669012949209576</v>
      </c>
      <c r="AM42" s="34"/>
      <c r="AN42" s="35">
        <v>0.64811845727712047</v>
      </c>
      <c r="AO42">
        <f t="shared" si="20"/>
        <v>4</v>
      </c>
      <c r="AP42">
        <v>3.6720112563371403</v>
      </c>
      <c r="AQ42">
        <v>31</v>
      </c>
      <c r="AR42">
        <v>31</v>
      </c>
      <c r="AS42" s="154">
        <v>56</v>
      </c>
      <c r="AT42">
        <v>41</v>
      </c>
    </row>
    <row r="43" spans="1:46" x14ac:dyDescent="0.35">
      <c r="A43">
        <v>112</v>
      </c>
      <c r="B43" s="69" t="s">
        <v>1296</v>
      </c>
      <c r="C43" s="69" t="s">
        <v>1109</v>
      </c>
      <c r="D43" s="69" t="s">
        <v>963</v>
      </c>
      <c r="E43" s="9" t="s">
        <v>6</v>
      </c>
      <c r="F43">
        <v>2</v>
      </c>
      <c r="G43">
        <v>2</v>
      </c>
      <c r="I43">
        <v>1</v>
      </c>
      <c r="J43">
        <v>2</v>
      </c>
      <c r="L43">
        <v>61</v>
      </c>
      <c r="M43">
        <v>61</v>
      </c>
      <c r="N43" s="73">
        <f t="shared" si="21"/>
        <v>15.25</v>
      </c>
      <c r="O43" s="73">
        <f t="shared" si="22"/>
        <v>15.25</v>
      </c>
      <c r="P43" s="73">
        <f t="shared" si="23"/>
        <v>0</v>
      </c>
      <c r="Q43">
        <v>42</v>
      </c>
      <c r="R43" s="54">
        <f t="shared" si="24"/>
        <v>1.4523809523809523</v>
      </c>
      <c r="S43" s="9">
        <f>-2.668+0.515-2.426+0.694</f>
        <v>-3.8850000000000007</v>
      </c>
      <c r="T43" s="9">
        <f>-2.668-2.426</f>
        <v>-5.0940000000000003</v>
      </c>
      <c r="U43" s="54">
        <f t="shared" si="25"/>
        <v>-0.48562500000000008</v>
      </c>
      <c r="V43" s="54">
        <f t="shared" si="26"/>
        <v>-2.1059999999999994</v>
      </c>
      <c r="W43" s="9">
        <f>(116.106-8.053)+8.461+41.904+8.49</f>
        <v>166.90800000000002</v>
      </c>
      <c r="X43" s="54">
        <f t="shared" si="27"/>
        <v>41.727000000000004</v>
      </c>
      <c r="Y43" s="54">
        <f t="shared" si="28"/>
        <v>6.4596439530364211</v>
      </c>
      <c r="Z43" s="152">
        <v>56</v>
      </c>
      <c r="AA43" s="49">
        <v>42</v>
      </c>
      <c r="AB43" s="48">
        <f t="shared" si="29"/>
        <v>63</v>
      </c>
      <c r="AC43" s="36">
        <f t="shared" si="30"/>
        <v>0.56871790679910494</v>
      </c>
      <c r="AD43" s="34">
        <f t="shared" si="31"/>
        <v>0.5</v>
      </c>
      <c r="AE43" s="34">
        <f t="shared" si="32"/>
        <v>0.33333333333333331</v>
      </c>
      <c r="AF43" s="34">
        <f t="shared" si="33"/>
        <v>0.39130434782608697</v>
      </c>
      <c r="AG43" s="34">
        <f t="shared" si="34"/>
        <v>0.41791044776119401</v>
      </c>
      <c r="AH43" s="34">
        <f t="shared" si="35"/>
        <v>0.4175824175824176</v>
      </c>
      <c r="AI43" s="34">
        <f t="shared" si="36"/>
        <v>2.5184947787303281E-2</v>
      </c>
      <c r="AJ43" s="34">
        <f t="shared" si="37"/>
        <v>0.71115958144441593</v>
      </c>
      <c r="AK43" s="34">
        <f t="shared" si="38"/>
        <v>0.9333628654600683</v>
      </c>
      <c r="AL43" s="34">
        <f t="shared" si="39"/>
        <v>0.53396579762857121</v>
      </c>
      <c r="AN43" s="35">
        <v>0.63895403346621704</v>
      </c>
      <c r="AO43">
        <f t="shared" si="20"/>
        <v>2</v>
      </c>
      <c r="AP43">
        <v>7.266773699517552</v>
      </c>
      <c r="AQ43">
        <v>57</v>
      </c>
      <c r="AR43">
        <v>12</v>
      </c>
      <c r="AS43" s="154">
        <v>47</v>
      </c>
      <c r="AT43">
        <v>42</v>
      </c>
    </row>
    <row r="44" spans="1:46" x14ac:dyDescent="0.35">
      <c r="A44">
        <v>52</v>
      </c>
      <c r="B44" s="19" t="s">
        <v>172</v>
      </c>
      <c r="C44" s="19" t="s">
        <v>1090</v>
      </c>
      <c r="D44" s="19" t="s">
        <v>900</v>
      </c>
      <c r="E44" s="9" t="s">
        <v>6</v>
      </c>
      <c r="F44">
        <v>2</v>
      </c>
      <c r="G44">
        <v>2</v>
      </c>
      <c r="I44">
        <v>2</v>
      </c>
      <c r="J44">
        <v>1</v>
      </c>
      <c r="L44">
        <f>45+14</f>
        <v>59</v>
      </c>
      <c r="M44">
        <f>47+16</f>
        <v>63</v>
      </c>
      <c r="N44" s="73">
        <f t="shared" si="21"/>
        <v>14.75</v>
      </c>
      <c r="O44" s="73">
        <f t="shared" si="22"/>
        <v>15.75</v>
      </c>
      <c r="P44" s="73">
        <f t="shared" si="23"/>
        <v>-1</v>
      </c>
      <c r="Q44">
        <v>35</v>
      </c>
      <c r="R44" s="54">
        <f t="shared" si="24"/>
        <v>1.6857142857142857</v>
      </c>
      <c r="S44" s="9">
        <f>-2.18+3.266-1.793-3.783</f>
        <v>-4.49</v>
      </c>
      <c r="T44" s="9">
        <f>-2.18+3.266</f>
        <v>1.0859999999999999</v>
      </c>
      <c r="U44" s="54">
        <f t="shared" si="25"/>
        <v>-0.56125000000000003</v>
      </c>
      <c r="V44" s="54">
        <f t="shared" si="26"/>
        <v>-5.8139999999999992</v>
      </c>
      <c r="W44" s="9">
        <f>31.908+91.347+0+24.51</f>
        <v>147.76499999999999</v>
      </c>
      <c r="X44" s="54">
        <f t="shared" si="27"/>
        <v>36.941249999999997</v>
      </c>
      <c r="Y44" s="54">
        <f t="shared" si="28"/>
        <v>6.0779313915180051</v>
      </c>
      <c r="Z44" s="152">
        <v>36</v>
      </c>
      <c r="AA44" s="49">
        <v>43</v>
      </c>
      <c r="AB44" s="48">
        <f t="shared" si="29"/>
        <v>60</v>
      </c>
      <c r="AC44" s="36">
        <f t="shared" si="30"/>
        <v>0.57459612347269762</v>
      </c>
      <c r="AD44" s="34">
        <f t="shared" si="31"/>
        <v>0.5</v>
      </c>
      <c r="AE44" s="34">
        <f t="shared" si="32"/>
        <v>0.66666666666666663</v>
      </c>
      <c r="AF44" s="34">
        <f t="shared" si="33"/>
        <v>0.36231884057971014</v>
      </c>
      <c r="AG44" s="34">
        <f t="shared" si="34"/>
        <v>0.38805970149253732</v>
      </c>
      <c r="AH44" s="34">
        <f t="shared" si="35"/>
        <v>0.37362637362637363</v>
      </c>
      <c r="AI44" s="34">
        <f t="shared" si="36"/>
        <v>0.23980450284432334</v>
      </c>
      <c r="AJ44" s="34">
        <f t="shared" si="37"/>
        <v>0.71978444957659748</v>
      </c>
      <c r="AK44" s="34">
        <f t="shared" si="38"/>
        <v>0.81603594481711172</v>
      </c>
      <c r="AL44" s="34">
        <f t="shared" si="39"/>
        <v>0.48371912560388608</v>
      </c>
      <c r="AM44" s="34"/>
      <c r="AN44" s="35">
        <v>0.63683005084611699</v>
      </c>
      <c r="AO44">
        <f t="shared" si="20"/>
        <v>2</v>
      </c>
      <c r="AP44">
        <v>6.4097581857664494</v>
      </c>
      <c r="AQ44">
        <v>77</v>
      </c>
      <c r="AR44">
        <v>40</v>
      </c>
      <c r="AS44" s="154">
        <v>20</v>
      </c>
      <c r="AT44">
        <v>43</v>
      </c>
    </row>
    <row r="45" spans="1:46" x14ac:dyDescent="0.35">
      <c r="A45">
        <v>76</v>
      </c>
      <c r="B45" s="21" t="s">
        <v>173</v>
      </c>
      <c r="C45" s="21" t="s">
        <v>167</v>
      </c>
      <c r="D45" s="21" t="s">
        <v>30</v>
      </c>
      <c r="E45" s="9" t="s">
        <v>5</v>
      </c>
      <c r="F45">
        <v>3</v>
      </c>
      <c r="G45">
        <v>1</v>
      </c>
      <c r="I45">
        <v>2</v>
      </c>
      <c r="J45">
        <v>1</v>
      </c>
      <c r="L45">
        <f>58+22</f>
        <v>80</v>
      </c>
      <c r="M45">
        <f>53+21</f>
        <v>74</v>
      </c>
      <c r="N45" s="73">
        <f t="shared" si="21"/>
        <v>20</v>
      </c>
      <c r="O45" s="73">
        <f t="shared" si="22"/>
        <v>18.5</v>
      </c>
      <c r="P45" s="73">
        <f t="shared" si="23"/>
        <v>1.5</v>
      </c>
      <c r="Q45">
        <v>41</v>
      </c>
      <c r="R45" s="54">
        <f t="shared" si="24"/>
        <v>1.9512195121951219</v>
      </c>
      <c r="S45" s="9">
        <f>0.059-0.151-4.136+5.577</f>
        <v>1.3490000000000002</v>
      </c>
      <c r="T45" s="9">
        <f>-0.151-4.136+5.577</f>
        <v>1.29</v>
      </c>
      <c r="U45" s="54">
        <f t="shared" si="25"/>
        <v>0.33725000000000005</v>
      </c>
      <c r="V45" s="54">
        <f t="shared" si="26"/>
        <v>-3.6277999999999992</v>
      </c>
      <c r="W45" s="9">
        <f>11.54+44.708+58.589+19.821</f>
        <v>134.65799999999999</v>
      </c>
      <c r="X45" s="54">
        <f t="shared" si="27"/>
        <v>33.664499999999997</v>
      </c>
      <c r="Y45" s="54">
        <f t="shared" si="28"/>
        <v>5.8021116845507201</v>
      </c>
      <c r="Z45" s="152">
        <v>35</v>
      </c>
      <c r="AA45" s="49">
        <v>44</v>
      </c>
      <c r="AB45" s="48">
        <f t="shared" si="29"/>
        <v>38</v>
      </c>
      <c r="AC45" s="36">
        <f t="shared" si="30"/>
        <v>0.66434040470223998</v>
      </c>
      <c r="AD45" s="34">
        <f t="shared" si="31"/>
        <v>0.75</v>
      </c>
      <c r="AE45" s="34">
        <f t="shared" si="32"/>
        <v>0.66666666666666663</v>
      </c>
      <c r="AF45" s="34">
        <f t="shared" si="33"/>
        <v>0.66666666666666663</v>
      </c>
      <c r="AG45" s="34">
        <f t="shared" si="34"/>
        <v>0.22388059701492535</v>
      </c>
      <c r="AH45" s="34">
        <f t="shared" si="35"/>
        <v>0.48351648351648352</v>
      </c>
      <c r="AI45" s="34">
        <f t="shared" si="36"/>
        <v>0.48401570386988213</v>
      </c>
      <c r="AJ45" s="34">
        <f t="shared" si="37"/>
        <v>0.6173124625780515</v>
      </c>
      <c r="AK45" s="34">
        <f t="shared" si="38"/>
        <v>0.88521073281863061</v>
      </c>
      <c r="AL45" s="34">
        <f t="shared" si="39"/>
        <v>0.44741164256271998</v>
      </c>
      <c r="AM45" s="34"/>
      <c r="AN45" s="35">
        <v>0.63656609029141575</v>
      </c>
      <c r="AO45">
        <f t="shared" si="20"/>
        <v>2</v>
      </c>
      <c r="AP45">
        <v>6.1870025052524422</v>
      </c>
      <c r="AQ45">
        <v>78</v>
      </c>
      <c r="AR45">
        <v>87</v>
      </c>
      <c r="AS45" s="154">
        <v>60</v>
      </c>
      <c r="AT45">
        <v>44</v>
      </c>
    </row>
    <row r="46" spans="1:46" x14ac:dyDescent="0.35">
      <c r="A46">
        <v>103</v>
      </c>
      <c r="B46" s="69" t="s">
        <v>1296</v>
      </c>
      <c r="C46" s="69" t="s">
        <v>1108</v>
      </c>
      <c r="D46" s="69" t="s">
        <v>960</v>
      </c>
      <c r="E46" s="9" t="s">
        <v>5</v>
      </c>
      <c r="F46">
        <v>3</v>
      </c>
      <c r="G46">
        <v>1</v>
      </c>
      <c r="I46">
        <v>3</v>
      </c>
      <c r="J46">
        <v>0</v>
      </c>
      <c r="L46">
        <v>54</v>
      </c>
      <c r="M46">
        <v>41</v>
      </c>
      <c r="N46" s="73">
        <f t="shared" si="21"/>
        <v>13.5</v>
      </c>
      <c r="O46" s="73">
        <f t="shared" si="22"/>
        <v>10.25</v>
      </c>
      <c r="P46" s="73">
        <f t="shared" si="23"/>
        <v>3.25</v>
      </c>
      <c r="Q46">
        <v>30</v>
      </c>
      <c r="R46" s="54">
        <f t="shared" si="24"/>
        <v>1.8</v>
      </c>
      <c r="S46" s="9">
        <f>-2.123+2.446-0.474-0.694</f>
        <v>-0.84499999999999997</v>
      </c>
      <c r="T46" s="9">
        <f>-2.123+2.446-0.694</f>
        <v>-0.371</v>
      </c>
      <c r="U46" s="54">
        <f t="shared" si="25"/>
        <v>-0.105625</v>
      </c>
      <c r="V46" s="54">
        <f t="shared" si="26"/>
        <v>-3.0187666666666666</v>
      </c>
      <c r="W46" s="9">
        <f>39.491+58.524+8.872+45.918</f>
        <v>152.80500000000001</v>
      </c>
      <c r="X46" s="54">
        <f t="shared" si="27"/>
        <v>38.201250000000002</v>
      </c>
      <c r="Y46" s="54">
        <f t="shared" si="28"/>
        <v>6.1807159779430085</v>
      </c>
      <c r="Z46" s="152">
        <v>14</v>
      </c>
      <c r="AA46" s="49">
        <v>45</v>
      </c>
      <c r="AB46" s="48">
        <f t="shared" si="29"/>
        <v>34</v>
      </c>
      <c r="AC46" s="36">
        <f t="shared" si="30"/>
        <v>0.69286833234954359</v>
      </c>
      <c r="AD46" s="34">
        <f t="shared" si="31"/>
        <v>0.75</v>
      </c>
      <c r="AE46" s="34">
        <f t="shared" si="32"/>
        <v>1</v>
      </c>
      <c r="AF46" s="34">
        <f t="shared" si="33"/>
        <v>0.28985507246376813</v>
      </c>
      <c r="AG46" s="34">
        <f t="shared" si="34"/>
        <v>0.71641791044776126</v>
      </c>
      <c r="AH46" s="34">
        <f t="shared" si="35"/>
        <v>0.56043956043956045</v>
      </c>
      <c r="AI46" s="34">
        <f t="shared" si="36"/>
        <v>0.34492428491306787</v>
      </c>
      <c r="AJ46" s="34">
        <f t="shared" si="37"/>
        <v>0.66782140107775212</v>
      </c>
      <c r="AK46" s="34">
        <f t="shared" si="38"/>
        <v>0.9044815002320381</v>
      </c>
      <c r="AL46" s="34">
        <f t="shared" si="39"/>
        <v>0.4972491582094305</v>
      </c>
      <c r="AN46" s="35">
        <v>0.6341418286583691</v>
      </c>
      <c r="AO46">
        <f t="shared" si="20"/>
        <v>1</v>
      </c>
      <c r="AP46">
        <v>5.96900326687798</v>
      </c>
      <c r="AQ46">
        <v>99</v>
      </c>
      <c r="AR46">
        <v>47</v>
      </c>
      <c r="AS46" s="154">
        <v>33</v>
      </c>
      <c r="AT46">
        <v>45</v>
      </c>
    </row>
    <row r="47" spans="1:46" x14ac:dyDescent="0.35">
      <c r="A47">
        <v>32</v>
      </c>
      <c r="B47" s="16" t="s">
        <v>144</v>
      </c>
      <c r="C47" s="16" t="s">
        <v>1369</v>
      </c>
      <c r="D47" s="16" t="s">
        <v>60</v>
      </c>
      <c r="E47" s="9" t="s">
        <v>5</v>
      </c>
      <c r="F47">
        <v>3</v>
      </c>
      <c r="G47">
        <v>1</v>
      </c>
      <c r="I47">
        <v>2</v>
      </c>
      <c r="J47">
        <v>1</v>
      </c>
      <c r="L47">
        <f>45+17</f>
        <v>62</v>
      </c>
      <c r="M47">
        <v>49</v>
      </c>
      <c r="N47" s="73">
        <f t="shared" si="21"/>
        <v>15.5</v>
      </c>
      <c r="O47" s="73">
        <f t="shared" si="22"/>
        <v>12.25</v>
      </c>
      <c r="P47" s="73">
        <f t="shared" si="23"/>
        <v>3.25</v>
      </c>
      <c r="Q47">
        <v>37</v>
      </c>
      <c r="R47" s="54">
        <f t="shared" si="24"/>
        <v>1.6756756756756757</v>
      </c>
      <c r="S47" s="9">
        <f>-0.562+1.369+3.97+3.023</f>
        <v>7.8000000000000007</v>
      </c>
      <c r="T47" s="9">
        <f>-0.562+3.97+3.023</f>
        <v>6.4310000000000009</v>
      </c>
      <c r="U47" s="54">
        <f t="shared" si="25"/>
        <v>1.9500000000000002</v>
      </c>
      <c r="V47" s="54">
        <f t="shared" si="26"/>
        <v>-5.5128333333333339</v>
      </c>
      <c r="W47" s="9">
        <f>46.293+7.35+52.894+70.328</f>
        <v>176.86500000000001</v>
      </c>
      <c r="X47" s="54">
        <f t="shared" si="27"/>
        <v>44.216250000000002</v>
      </c>
      <c r="Y47" s="54">
        <f t="shared" si="28"/>
        <v>6.6495300585830881</v>
      </c>
      <c r="Z47" s="152">
        <v>76</v>
      </c>
      <c r="AA47" s="49">
        <v>46</v>
      </c>
      <c r="AB47" s="48">
        <f t="shared" si="29"/>
        <v>31</v>
      </c>
      <c r="AC47" s="36">
        <f t="shared" si="30"/>
        <v>0.71108157928760807</v>
      </c>
      <c r="AD47" s="34">
        <f t="shared" si="31"/>
        <v>0.75</v>
      </c>
      <c r="AE47" s="34">
        <f t="shared" si="32"/>
        <v>0.66666666666666663</v>
      </c>
      <c r="AF47" s="34">
        <f t="shared" si="33"/>
        <v>0.40579710144927539</v>
      </c>
      <c r="AG47" s="34">
        <f t="shared" si="34"/>
        <v>0.59701492537313428</v>
      </c>
      <c r="AH47" s="34">
        <f t="shared" si="35"/>
        <v>0.56043956043956045</v>
      </c>
      <c r="AI47" s="34">
        <f t="shared" si="36"/>
        <v>0.2305710084734201</v>
      </c>
      <c r="AJ47" s="34">
        <f t="shared" si="37"/>
        <v>0.43338180366663814</v>
      </c>
      <c r="AK47" s="34">
        <f t="shared" si="38"/>
        <v>0.82556532928321302</v>
      </c>
      <c r="AL47" s="34">
        <f t="shared" si="39"/>
        <v>0.55896142478187838</v>
      </c>
      <c r="AM47" s="34"/>
      <c r="AN47" s="35">
        <v>0.63242367042973491</v>
      </c>
      <c r="AO47">
        <f t="shared" si="20"/>
        <v>3</v>
      </c>
      <c r="AP47">
        <v>5.9592225443704763</v>
      </c>
      <c r="AQ47">
        <v>41</v>
      </c>
      <c r="AR47">
        <v>24</v>
      </c>
      <c r="AS47" s="154">
        <v>54</v>
      </c>
      <c r="AT47">
        <v>46</v>
      </c>
    </row>
    <row r="48" spans="1:46" x14ac:dyDescent="0.35">
      <c r="A48">
        <v>100</v>
      </c>
      <c r="B48" s="69" t="s">
        <v>1296</v>
      </c>
      <c r="C48" s="69" t="s">
        <v>1107</v>
      </c>
      <c r="D48" s="69" t="s">
        <v>1302</v>
      </c>
      <c r="E48" s="9" t="s">
        <v>6</v>
      </c>
      <c r="F48">
        <v>2</v>
      </c>
      <c r="G48">
        <v>2</v>
      </c>
      <c r="I48">
        <v>2</v>
      </c>
      <c r="J48">
        <v>1</v>
      </c>
      <c r="L48">
        <v>52</v>
      </c>
      <c r="M48">
        <v>68</v>
      </c>
      <c r="N48" s="73">
        <f t="shared" si="21"/>
        <v>13</v>
      </c>
      <c r="O48" s="73">
        <f t="shared" si="22"/>
        <v>17</v>
      </c>
      <c r="P48" s="73">
        <f t="shared" si="23"/>
        <v>-4</v>
      </c>
      <c r="Q48">
        <v>28</v>
      </c>
      <c r="R48" s="54">
        <f t="shared" si="24"/>
        <v>1.8571428571428572</v>
      </c>
      <c r="S48" s="9">
        <f>3.323+4.054+0.616-2.07</f>
        <v>5.923</v>
      </c>
      <c r="T48" s="9">
        <f>3.323+4.054</f>
        <v>7.3770000000000007</v>
      </c>
      <c r="U48" s="54">
        <f t="shared" si="25"/>
        <v>1.48075</v>
      </c>
      <c r="V48" s="54">
        <f t="shared" si="26"/>
        <v>-9.5885999999999996</v>
      </c>
      <c r="W48" s="9">
        <f>13.827+7.981+3.056+3.285</f>
        <v>28.149000000000001</v>
      </c>
      <c r="X48" s="54">
        <f t="shared" si="27"/>
        <v>7.0372500000000002</v>
      </c>
      <c r="Y48" s="54">
        <f t="shared" si="28"/>
        <v>2.652781559043262</v>
      </c>
      <c r="Z48" s="152">
        <v>90</v>
      </c>
      <c r="AA48" s="49">
        <v>47</v>
      </c>
      <c r="AB48" s="48">
        <f t="shared" si="29"/>
        <v>61</v>
      </c>
      <c r="AC48" s="36">
        <f t="shared" si="30"/>
        <v>0.57232231695243396</v>
      </c>
      <c r="AD48" s="34">
        <f t="shared" si="31"/>
        <v>0.5</v>
      </c>
      <c r="AE48" s="34">
        <f t="shared" si="32"/>
        <v>0.66666666666666663</v>
      </c>
      <c r="AF48" s="34">
        <f t="shared" si="33"/>
        <v>0.2608695652173913</v>
      </c>
      <c r="AG48" s="34">
        <f t="shared" si="34"/>
        <v>0.31343283582089554</v>
      </c>
      <c r="AH48" s="34">
        <f t="shared" si="35"/>
        <v>0.24175824175824176</v>
      </c>
      <c r="AI48" s="34">
        <f t="shared" si="36"/>
        <v>0.39748417594744012</v>
      </c>
      <c r="AJ48" s="34">
        <f t="shared" si="37"/>
        <v>0.48689875402731442</v>
      </c>
      <c r="AK48" s="34">
        <f t="shared" si="38"/>
        <v>0.6966016959878496</v>
      </c>
      <c r="AL48" s="34">
        <f t="shared" si="39"/>
        <v>3.285007486278109E-2</v>
      </c>
      <c r="AN48" s="35">
        <v>0.63058405574951026</v>
      </c>
      <c r="AO48">
        <f t="shared" si="20"/>
        <v>4</v>
      </c>
      <c r="AP48">
        <v>2.8788886744714532</v>
      </c>
      <c r="AQ48">
        <v>23</v>
      </c>
      <c r="AR48">
        <v>37</v>
      </c>
      <c r="AS48" s="154">
        <v>26</v>
      </c>
      <c r="AT48">
        <v>47</v>
      </c>
    </row>
    <row r="49" spans="1:46" x14ac:dyDescent="0.35">
      <c r="A49">
        <v>57</v>
      </c>
      <c r="B49" s="19" t="s">
        <v>172</v>
      </c>
      <c r="C49" s="19" t="s">
        <v>1099</v>
      </c>
      <c r="D49" s="19" t="s">
        <v>44</v>
      </c>
      <c r="E49" s="9" t="s">
        <v>6</v>
      </c>
      <c r="F49">
        <v>2</v>
      </c>
      <c r="G49">
        <v>2</v>
      </c>
      <c r="I49">
        <v>1</v>
      </c>
      <c r="J49">
        <v>2</v>
      </c>
      <c r="L49">
        <v>68</v>
      </c>
      <c r="M49">
        <f>45+26</f>
        <v>71</v>
      </c>
      <c r="N49" s="73">
        <f t="shared" si="21"/>
        <v>17</v>
      </c>
      <c r="O49" s="73">
        <f t="shared" si="22"/>
        <v>17.75</v>
      </c>
      <c r="P49" s="73">
        <f t="shared" si="23"/>
        <v>-0.75</v>
      </c>
      <c r="Q49">
        <v>35</v>
      </c>
      <c r="R49" s="54">
        <f t="shared" si="24"/>
        <v>1.9428571428571428</v>
      </c>
      <c r="S49" s="9">
        <f>-2.158-3.634+4.357+1.341</f>
        <v>-9.3999999999999639E-2</v>
      </c>
      <c r="T49" s="9">
        <f>-3.634+4.357</f>
        <v>0.72300000000000031</v>
      </c>
      <c r="U49" s="54">
        <f t="shared" si="25"/>
        <v>-1.1749999999999955E-2</v>
      </c>
      <c r="V49" s="54">
        <f t="shared" si="26"/>
        <v>-5.5961999999999996</v>
      </c>
      <c r="W49" s="9">
        <f>19.514+67.21+62.292+3.218</f>
        <v>152.23399999999998</v>
      </c>
      <c r="X49" s="54">
        <f t="shared" si="27"/>
        <v>38.058499999999995</v>
      </c>
      <c r="Y49" s="54">
        <f t="shared" si="28"/>
        <v>6.1691571547497475</v>
      </c>
      <c r="Z49" s="152">
        <v>6</v>
      </c>
      <c r="AA49" s="49">
        <v>48</v>
      </c>
      <c r="AB49" s="48">
        <f t="shared" si="29"/>
        <v>76</v>
      </c>
      <c r="AC49" s="36">
        <f t="shared" si="30"/>
        <v>0.49953279989022303</v>
      </c>
      <c r="AD49" s="34">
        <f t="shared" si="31"/>
        <v>0.5</v>
      </c>
      <c r="AE49" s="34">
        <f t="shared" si="32"/>
        <v>0.33333333333333331</v>
      </c>
      <c r="AF49" s="34">
        <f t="shared" si="33"/>
        <v>0.49275362318840582</v>
      </c>
      <c r="AG49" s="34">
        <f t="shared" si="34"/>
        <v>0.26865671641791045</v>
      </c>
      <c r="AH49" s="34">
        <f t="shared" si="35"/>
        <v>0.38461538461538464</v>
      </c>
      <c r="AI49" s="34">
        <f t="shared" si="36"/>
        <v>0.47632401249899842</v>
      </c>
      <c r="AJ49" s="34">
        <f t="shared" si="37"/>
        <v>0.65711515980954016</v>
      </c>
      <c r="AK49" s="34">
        <f t="shared" si="38"/>
        <v>0.82292747753448925</v>
      </c>
      <c r="AL49" s="34">
        <f t="shared" si="39"/>
        <v>0.49572761436588297</v>
      </c>
      <c r="AM49" s="34"/>
      <c r="AN49" s="35">
        <v>0.62240037997768527</v>
      </c>
      <c r="AO49">
        <f t="shared" si="20"/>
        <v>1</v>
      </c>
      <c r="AP49">
        <v>7.0478365474803679</v>
      </c>
      <c r="AQ49">
        <v>107</v>
      </c>
      <c r="AR49">
        <v>103</v>
      </c>
      <c r="AS49" s="154">
        <v>59</v>
      </c>
      <c r="AT49">
        <v>48</v>
      </c>
    </row>
    <row r="50" spans="1:46" x14ac:dyDescent="0.35">
      <c r="A50">
        <v>75</v>
      </c>
      <c r="B50" s="21" t="s">
        <v>173</v>
      </c>
      <c r="C50" s="21" t="s">
        <v>167</v>
      </c>
      <c r="D50" s="21" t="s">
        <v>27</v>
      </c>
      <c r="E50" s="9" t="s">
        <v>6</v>
      </c>
      <c r="F50">
        <v>2</v>
      </c>
      <c r="G50">
        <v>2</v>
      </c>
      <c r="I50">
        <v>1</v>
      </c>
      <c r="J50">
        <v>2</v>
      </c>
      <c r="L50">
        <f>53+23</f>
        <v>76</v>
      </c>
      <c r="M50">
        <f>35+24</f>
        <v>59</v>
      </c>
      <c r="N50" s="73">
        <f t="shared" si="21"/>
        <v>19</v>
      </c>
      <c r="O50" s="73">
        <f t="shared" si="22"/>
        <v>14.75</v>
      </c>
      <c r="P50" s="73">
        <f t="shared" si="23"/>
        <v>4.25</v>
      </c>
      <c r="Q50">
        <v>41</v>
      </c>
      <c r="R50" s="54">
        <f t="shared" si="24"/>
        <v>1.8536585365853659</v>
      </c>
      <c r="S50" s="9">
        <f>-3.487-4.55+1.222+5.835</f>
        <v>-0.97999999999999954</v>
      </c>
      <c r="T50" s="9">
        <f>-4.55+1.222</f>
        <v>-3.3279999999999998</v>
      </c>
      <c r="U50" s="54">
        <f t="shared" si="25"/>
        <v>-0.12249999999999994</v>
      </c>
      <c r="V50" s="54">
        <f t="shared" si="26"/>
        <v>-3.1656</v>
      </c>
      <c r="W50" s="9">
        <f>10.345+(126.811-13.4055)+21.44+8.663</f>
        <v>153.85350000000003</v>
      </c>
      <c r="X50" s="54">
        <f t="shared" si="27"/>
        <v>38.463375000000006</v>
      </c>
      <c r="Y50" s="54">
        <f t="shared" si="28"/>
        <v>6.2018847941573378</v>
      </c>
      <c r="Z50" s="152">
        <v>1</v>
      </c>
      <c r="AA50" s="49">
        <v>49</v>
      </c>
      <c r="AB50" s="48">
        <f t="shared" si="29"/>
        <v>68</v>
      </c>
      <c r="AC50" s="36">
        <f t="shared" si="30"/>
        <v>0.541866513056109</v>
      </c>
      <c r="AD50" s="34">
        <f t="shared" si="31"/>
        <v>0.5</v>
      </c>
      <c r="AE50" s="34">
        <f t="shared" si="32"/>
        <v>0.33333333333333331</v>
      </c>
      <c r="AF50" s="34">
        <f t="shared" si="33"/>
        <v>0.60869565217391308</v>
      </c>
      <c r="AG50" s="34">
        <f t="shared" si="34"/>
        <v>0.44776119402985071</v>
      </c>
      <c r="AH50" s="34">
        <f t="shared" si="35"/>
        <v>0.60439560439560436</v>
      </c>
      <c r="AI50" s="34">
        <f t="shared" si="36"/>
        <v>0.39427930454290527</v>
      </c>
      <c r="AJ50" s="34">
        <f t="shared" si="37"/>
        <v>0.66974595842956119</v>
      </c>
      <c r="AK50" s="34">
        <f t="shared" si="38"/>
        <v>0.89983546386533353</v>
      </c>
      <c r="AL50" s="34">
        <f t="shared" si="39"/>
        <v>0.5000357119482991</v>
      </c>
      <c r="AM50" s="34"/>
      <c r="AN50" s="35">
        <v>0.62032643421027733</v>
      </c>
      <c r="AO50">
        <f t="shared" si="20"/>
        <v>1</v>
      </c>
      <c r="AP50">
        <v>6.9567832604827746</v>
      </c>
      <c r="AQ50">
        <v>112</v>
      </c>
      <c r="AR50">
        <v>105</v>
      </c>
      <c r="AS50" s="154">
        <v>45</v>
      </c>
      <c r="AT50">
        <v>49</v>
      </c>
    </row>
    <row r="51" spans="1:46" x14ac:dyDescent="0.35">
      <c r="A51">
        <v>54</v>
      </c>
      <c r="B51" s="19" t="s">
        <v>172</v>
      </c>
      <c r="C51" s="19" t="s">
        <v>1088</v>
      </c>
      <c r="D51" s="19" t="s">
        <v>39</v>
      </c>
      <c r="E51" s="9" t="s">
        <v>6</v>
      </c>
      <c r="F51">
        <v>2</v>
      </c>
      <c r="G51">
        <v>2</v>
      </c>
      <c r="I51">
        <v>2</v>
      </c>
      <c r="J51">
        <v>1</v>
      </c>
      <c r="L51">
        <f>39+18</f>
        <v>57</v>
      </c>
      <c r="M51">
        <f>31+29</f>
        <v>60</v>
      </c>
      <c r="N51" s="73">
        <f t="shared" si="21"/>
        <v>14.25</v>
      </c>
      <c r="O51" s="73">
        <f t="shared" si="22"/>
        <v>15</v>
      </c>
      <c r="P51" s="73">
        <f t="shared" si="23"/>
        <v>-0.75</v>
      </c>
      <c r="Q51">
        <v>36</v>
      </c>
      <c r="R51" s="54">
        <f t="shared" si="24"/>
        <v>1.5833333333333333</v>
      </c>
      <c r="S51" s="9">
        <f>-1.658+2.477+2.515-1.859</f>
        <v>1.4750000000000001</v>
      </c>
      <c r="T51" s="9">
        <f>-1.658+2.477</f>
        <v>0.81899999999999995</v>
      </c>
      <c r="U51" s="54">
        <f t="shared" si="25"/>
        <v>0.36875000000000002</v>
      </c>
      <c r="V51" s="54">
        <f t="shared" si="26"/>
        <v>-5.6537999999999986</v>
      </c>
      <c r="W51" s="9">
        <f>43.379+30.361+11.218+20.837</f>
        <v>105.795</v>
      </c>
      <c r="X51" s="54">
        <f t="shared" si="27"/>
        <v>26.44875</v>
      </c>
      <c r="Y51" s="54">
        <f t="shared" si="28"/>
        <v>5.1428348213801307</v>
      </c>
      <c r="Z51" s="152">
        <v>30</v>
      </c>
      <c r="AA51" s="49">
        <v>50</v>
      </c>
      <c r="AB51" s="48">
        <f t="shared" si="29"/>
        <v>69</v>
      </c>
      <c r="AC51" s="36">
        <f t="shared" si="30"/>
        <v>0.5393321529056061</v>
      </c>
      <c r="AD51" s="34">
        <f t="shared" si="31"/>
        <v>0.5</v>
      </c>
      <c r="AE51" s="34">
        <f t="shared" si="32"/>
        <v>0.66666666666666663</v>
      </c>
      <c r="AF51" s="34">
        <f t="shared" si="33"/>
        <v>0.33333333333333331</v>
      </c>
      <c r="AG51" s="34">
        <f t="shared" si="34"/>
        <v>0.43283582089552242</v>
      </c>
      <c r="AH51" s="34">
        <f t="shared" si="35"/>
        <v>0.38461538461538464</v>
      </c>
      <c r="AI51" s="34">
        <f t="shared" si="36"/>
        <v>0.14563469807440632</v>
      </c>
      <c r="AJ51" s="34">
        <f t="shared" si="37"/>
        <v>0.61371995552134129</v>
      </c>
      <c r="AK51" s="34">
        <f t="shared" si="38"/>
        <v>0.82110492342741426</v>
      </c>
      <c r="AL51" s="34">
        <f t="shared" si="39"/>
        <v>0.36062783805436965</v>
      </c>
      <c r="AM51" s="34"/>
      <c r="AN51" s="35">
        <v>0.6163888873854203</v>
      </c>
      <c r="AO51">
        <f t="shared" si="20"/>
        <v>2</v>
      </c>
      <c r="AP51">
        <v>5.3215912407223964</v>
      </c>
      <c r="AQ51">
        <v>83</v>
      </c>
      <c r="AR51">
        <v>38</v>
      </c>
      <c r="AS51" s="154">
        <v>31</v>
      </c>
      <c r="AT51">
        <v>50</v>
      </c>
    </row>
    <row r="52" spans="1:46" x14ac:dyDescent="0.35">
      <c r="A52">
        <v>92</v>
      </c>
      <c r="B52" s="58" t="s">
        <v>799</v>
      </c>
      <c r="C52" s="58" t="s">
        <v>1106</v>
      </c>
      <c r="D52" s="58" t="s">
        <v>791</v>
      </c>
      <c r="E52" s="9" t="s">
        <v>6</v>
      </c>
      <c r="F52">
        <v>2</v>
      </c>
      <c r="G52">
        <v>2</v>
      </c>
      <c r="I52">
        <v>2</v>
      </c>
      <c r="J52">
        <v>1</v>
      </c>
      <c r="L52">
        <v>62</v>
      </c>
      <c r="M52">
        <v>70</v>
      </c>
      <c r="N52" s="73">
        <f t="shared" si="21"/>
        <v>15.5</v>
      </c>
      <c r="O52" s="73">
        <f t="shared" si="22"/>
        <v>17.5</v>
      </c>
      <c r="P52" s="73">
        <f t="shared" si="23"/>
        <v>-2</v>
      </c>
      <c r="Q52">
        <v>36</v>
      </c>
      <c r="R52" s="54">
        <f t="shared" si="24"/>
        <v>1.7222222222222223</v>
      </c>
      <c r="S52" s="9">
        <f>-1.288-1.426-0.96-1.056</f>
        <v>-4.7300000000000004</v>
      </c>
      <c r="T52" s="9">
        <f>-1.288-1.426</f>
        <v>-2.714</v>
      </c>
      <c r="U52" s="54">
        <f t="shared" si="25"/>
        <v>-0.59125000000000005</v>
      </c>
      <c r="V52" s="54">
        <f t="shared" si="26"/>
        <v>-3.5339999999999994</v>
      </c>
      <c r="W52" s="9">
        <f>43.322+46.896+0+14.026</f>
        <v>104.244</v>
      </c>
      <c r="X52" s="54">
        <f t="shared" si="27"/>
        <v>26.061</v>
      </c>
      <c r="Y52" s="54">
        <f t="shared" si="28"/>
        <v>5.1049975514195891</v>
      </c>
      <c r="Z52" s="152">
        <v>27</v>
      </c>
      <c r="AA52" s="49">
        <v>51</v>
      </c>
      <c r="AB52" s="48">
        <f t="shared" si="29"/>
        <v>66</v>
      </c>
      <c r="AC52" s="36">
        <f t="shared" si="30"/>
        <v>0.55018405636875345</v>
      </c>
      <c r="AD52" s="34">
        <f t="shared" si="31"/>
        <v>0.5</v>
      </c>
      <c r="AE52" s="34">
        <f t="shared" si="32"/>
        <v>0.66666666666666663</v>
      </c>
      <c r="AF52" s="34">
        <f t="shared" si="33"/>
        <v>0.40579710144927539</v>
      </c>
      <c r="AG52" s="34">
        <f t="shared" si="34"/>
        <v>0.28358208955223885</v>
      </c>
      <c r="AH52" s="34">
        <f t="shared" si="35"/>
        <v>0.32967032967032966</v>
      </c>
      <c r="AI52" s="34">
        <f t="shared" si="36"/>
        <v>0.27338443322739459</v>
      </c>
      <c r="AJ52" s="34">
        <f t="shared" si="37"/>
        <v>0.72320588486870241</v>
      </c>
      <c r="AK52" s="34">
        <f t="shared" si="38"/>
        <v>0.88817871155549932</v>
      </c>
      <c r="AL52" s="34">
        <f t="shared" si="39"/>
        <v>0.35564713507081047</v>
      </c>
      <c r="AM52" s="34"/>
      <c r="AN52" s="35">
        <v>0.61259751694697606</v>
      </c>
      <c r="AO52">
        <f t="shared" si="20"/>
        <v>1</v>
      </c>
      <c r="AP52">
        <v>5.4838550916911242</v>
      </c>
      <c r="AQ52">
        <v>86</v>
      </c>
      <c r="AR52">
        <v>45</v>
      </c>
      <c r="AS52" s="154">
        <v>29</v>
      </c>
      <c r="AT52">
        <v>51</v>
      </c>
    </row>
    <row r="53" spans="1:46" x14ac:dyDescent="0.35">
      <c r="A53">
        <v>23</v>
      </c>
      <c r="B53" s="16" t="s">
        <v>144</v>
      </c>
      <c r="C53" s="16" t="s">
        <v>1087</v>
      </c>
      <c r="D53" s="16" t="s">
        <v>69</v>
      </c>
      <c r="E53" s="9" t="s">
        <v>6</v>
      </c>
      <c r="F53">
        <v>1</v>
      </c>
      <c r="G53">
        <v>3</v>
      </c>
      <c r="I53">
        <v>1</v>
      </c>
      <c r="J53">
        <v>2</v>
      </c>
      <c r="L53">
        <v>67</v>
      </c>
      <c r="M53">
        <f>56+15</f>
        <v>71</v>
      </c>
      <c r="N53" s="73">
        <f t="shared" si="21"/>
        <v>16.75</v>
      </c>
      <c r="O53" s="73">
        <f t="shared" si="22"/>
        <v>17.75</v>
      </c>
      <c r="P53" s="73">
        <f t="shared" si="23"/>
        <v>-1</v>
      </c>
      <c r="Q53">
        <v>32</v>
      </c>
      <c r="R53" s="54">
        <f t="shared" si="24"/>
        <v>2.09375</v>
      </c>
      <c r="S53" s="9">
        <f>6.628+5.374+2.336-2.205</f>
        <v>12.132999999999999</v>
      </c>
      <c r="T53" s="9">
        <f>6.628</f>
        <v>6.6280000000000001</v>
      </c>
      <c r="U53" s="54">
        <f t="shared" si="25"/>
        <v>3.0332499999999998</v>
      </c>
      <c r="V53" s="54">
        <f t="shared" si="26"/>
        <v>-19.801600000000001</v>
      </c>
      <c r="W53" s="9">
        <f>71.598+22.683+10.327+0</f>
        <v>104.608</v>
      </c>
      <c r="X53" s="54">
        <f t="shared" si="27"/>
        <v>26.152000000000001</v>
      </c>
      <c r="Y53" s="54">
        <f t="shared" si="28"/>
        <v>5.1139026193309549</v>
      </c>
      <c r="Z53" s="152">
        <v>135</v>
      </c>
      <c r="AA53" s="49">
        <v>52</v>
      </c>
      <c r="AB53" s="48">
        <f t="shared" si="29"/>
        <v>62</v>
      </c>
      <c r="AC53" s="36">
        <f t="shared" si="30"/>
        <v>0.56872966864825125</v>
      </c>
      <c r="AD53" s="34">
        <f t="shared" si="31"/>
        <v>0.25</v>
      </c>
      <c r="AE53" s="34">
        <f t="shared" si="32"/>
        <v>0.33333333333333331</v>
      </c>
      <c r="AF53" s="34">
        <f t="shared" si="33"/>
        <v>0.47826086956521741</v>
      </c>
      <c r="AG53" s="34">
        <f t="shared" si="34"/>
        <v>0.26865671641791045</v>
      </c>
      <c r="AH53" s="34">
        <f t="shared" si="35"/>
        <v>0.37362637362637363</v>
      </c>
      <c r="AI53" s="34">
        <f t="shared" si="36"/>
        <v>0.61511497476163768</v>
      </c>
      <c r="AJ53" s="34">
        <f t="shared" si="37"/>
        <v>0.30983947766087871</v>
      </c>
      <c r="AK53" s="34">
        <f t="shared" si="38"/>
        <v>0.37344639918997591</v>
      </c>
      <c r="AL53" s="34">
        <f t="shared" si="39"/>
        <v>0.35681935226198708</v>
      </c>
      <c r="AM53" s="34"/>
      <c r="AN53" s="35">
        <v>0.60597887529322325</v>
      </c>
      <c r="AO53">
        <f t="shared" si="20"/>
        <v>5</v>
      </c>
      <c r="AP53">
        <v>5.9050261077605182</v>
      </c>
      <c r="AQ53">
        <v>6</v>
      </c>
      <c r="AR53">
        <v>6</v>
      </c>
      <c r="AS53" s="154">
        <v>34</v>
      </c>
      <c r="AT53">
        <v>52</v>
      </c>
    </row>
    <row r="54" spans="1:46" x14ac:dyDescent="0.35">
      <c r="A54">
        <v>56</v>
      </c>
      <c r="B54" s="19" t="s">
        <v>172</v>
      </c>
      <c r="C54" s="19" t="s">
        <v>1088</v>
      </c>
      <c r="D54" s="19" t="s">
        <v>36</v>
      </c>
      <c r="E54" s="9" t="s">
        <v>5</v>
      </c>
      <c r="F54">
        <v>2</v>
      </c>
      <c r="G54">
        <v>2</v>
      </c>
      <c r="I54">
        <v>2</v>
      </c>
      <c r="J54">
        <v>1</v>
      </c>
      <c r="L54">
        <f>54+19</f>
        <v>73</v>
      </c>
      <c r="M54">
        <f>44+7</f>
        <v>51</v>
      </c>
      <c r="N54" s="73">
        <f t="shared" si="21"/>
        <v>18.25</v>
      </c>
      <c r="O54" s="73">
        <f t="shared" si="22"/>
        <v>12.75</v>
      </c>
      <c r="P54" s="73">
        <f t="shared" si="23"/>
        <v>5.5</v>
      </c>
      <c r="Q54">
        <v>39</v>
      </c>
      <c r="R54" s="54">
        <f t="shared" si="24"/>
        <v>1.8717948717948718</v>
      </c>
      <c r="S54" s="9">
        <f>6.02+1.19-0.914+0.279</f>
        <v>6.5749999999999993</v>
      </c>
      <c r="T54" s="9">
        <f>6.02+0.279</f>
        <v>6.2989999999999995</v>
      </c>
      <c r="U54" s="54">
        <f t="shared" si="25"/>
        <v>1.6437499999999998</v>
      </c>
      <c r="V54" s="54">
        <f t="shared" si="26"/>
        <v>-8.9417999999999989</v>
      </c>
      <c r="W54" s="9">
        <f>(186.896-43.448)+16.619+0+(146.619-23.3095)</f>
        <v>283.37649999999996</v>
      </c>
      <c r="X54" s="54">
        <f t="shared" si="27"/>
        <v>70.844124999999991</v>
      </c>
      <c r="Y54" s="54">
        <f t="shared" si="28"/>
        <v>8.4168952114185185</v>
      </c>
      <c r="Z54" s="152">
        <v>104</v>
      </c>
      <c r="AA54" s="49">
        <v>53</v>
      </c>
      <c r="AB54" s="48">
        <f t="shared" si="29"/>
        <v>27</v>
      </c>
      <c r="AC54" s="36">
        <f t="shared" si="30"/>
        <v>0.74976228173127923</v>
      </c>
      <c r="AD54" s="34">
        <f t="shared" si="31"/>
        <v>0.5</v>
      </c>
      <c r="AE54" s="34">
        <f t="shared" si="32"/>
        <v>0.66666666666666663</v>
      </c>
      <c r="AF54" s="34">
        <f t="shared" si="33"/>
        <v>0.56521739130434778</v>
      </c>
      <c r="AG54" s="34">
        <f t="shared" si="34"/>
        <v>0.56716417910447769</v>
      </c>
      <c r="AH54" s="34">
        <f t="shared" si="35"/>
        <v>0.65934065934065933</v>
      </c>
      <c r="AI54" s="34">
        <f t="shared" si="36"/>
        <v>0.41096107108445862</v>
      </c>
      <c r="AJ54" s="34">
        <f t="shared" si="37"/>
        <v>0.46830895560687713</v>
      </c>
      <c r="AK54" s="34">
        <f t="shared" si="38"/>
        <v>0.71706745981521336</v>
      </c>
      <c r="AL54" s="34">
        <f t="shared" si="39"/>
        <v>0.79160825418965275</v>
      </c>
      <c r="AM54" s="34"/>
      <c r="AN54" s="35">
        <v>0.59281412465475691</v>
      </c>
      <c r="AO54">
        <f t="shared" si="20"/>
        <v>4</v>
      </c>
      <c r="AP54">
        <v>7.3044963321687453</v>
      </c>
      <c r="AQ54">
        <v>13</v>
      </c>
      <c r="AR54">
        <v>8</v>
      </c>
      <c r="AS54" s="154">
        <v>37</v>
      </c>
      <c r="AT54">
        <v>53</v>
      </c>
    </row>
    <row r="55" spans="1:46" x14ac:dyDescent="0.35">
      <c r="A55">
        <v>14</v>
      </c>
      <c r="B55" s="15" t="s">
        <v>143</v>
      </c>
      <c r="C55" s="15" t="s">
        <v>1082</v>
      </c>
      <c r="D55" s="15" t="s">
        <v>85</v>
      </c>
      <c r="E55" s="9" t="s">
        <v>5</v>
      </c>
      <c r="F55">
        <v>3</v>
      </c>
      <c r="G55">
        <v>1</v>
      </c>
      <c r="I55">
        <v>3</v>
      </c>
      <c r="J55">
        <v>0</v>
      </c>
      <c r="L55">
        <v>56</v>
      </c>
      <c r="M55">
        <v>58</v>
      </c>
      <c r="N55" s="73">
        <f t="shared" si="21"/>
        <v>14</v>
      </c>
      <c r="O55" s="73">
        <f t="shared" si="22"/>
        <v>14.5</v>
      </c>
      <c r="P55" s="73">
        <f t="shared" si="23"/>
        <v>-0.5</v>
      </c>
      <c r="Q55">
        <v>33</v>
      </c>
      <c r="R55" s="54">
        <f t="shared" si="24"/>
        <v>1.696969696969697</v>
      </c>
      <c r="S55" s="9">
        <f>-1.281-0.376-3.682-0.763</f>
        <v>-6.1020000000000003</v>
      </c>
      <c r="T55" s="9">
        <f>-1.281-0.376-0.763</f>
        <v>-2.42</v>
      </c>
      <c r="U55" s="54">
        <f t="shared" si="25"/>
        <v>-0.76275000000000004</v>
      </c>
      <c r="V55" s="54">
        <f t="shared" si="26"/>
        <v>-2.2674666666666665</v>
      </c>
      <c r="W55" s="9">
        <f>35.999+45.35+0.386+50.318</f>
        <v>132.053</v>
      </c>
      <c r="X55" s="54">
        <f t="shared" si="27"/>
        <v>33.013249999999999</v>
      </c>
      <c r="Y55" s="54">
        <f t="shared" si="28"/>
        <v>5.7457157952686799</v>
      </c>
      <c r="Z55" s="152">
        <v>26</v>
      </c>
      <c r="AA55" s="49">
        <v>54</v>
      </c>
      <c r="AB55" s="48">
        <f t="shared" si="29"/>
        <v>37</v>
      </c>
      <c r="AC55" s="36">
        <f t="shared" si="30"/>
        <v>0.67296834356759749</v>
      </c>
      <c r="AD55" s="34">
        <f t="shared" si="31"/>
        <v>0.75</v>
      </c>
      <c r="AE55" s="34">
        <f t="shared" si="32"/>
        <v>1</v>
      </c>
      <c r="AF55" s="34">
        <f t="shared" si="33"/>
        <v>0.3188405797101449</v>
      </c>
      <c r="AG55" s="34">
        <f t="shared" si="34"/>
        <v>0.46268656716417911</v>
      </c>
      <c r="AH55" s="34">
        <f t="shared" si="35"/>
        <v>0.39560439560439559</v>
      </c>
      <c r="AI55" s="34">
        <f t="shared" si="36"/>
        <v>0.250157208654124</v>
      </c>
      <c r="AJ55" s="34">
        <f t="shared" si="37"/>
        <v>0.74276508995523627</v>
      </c>
      <c r="AK55" s="34">
        <f t="shared" si="38"/>
        <v>0.92825380753491116</v>
      </c>
      <c r="AL55" s="34">
        <f t="shared" si="39"/>
        <v>0.43998797869108075</v>
      </c>
      <c r="AM55" s="34"/>
      <c r="AN55" s="35">
        <v>0.59099269306283231</v>
      </c>
      <c r="AO55">
        <f t="shared" si="20"/>
        <v>1</v>
      </c>
      <c r="AP55">
        <v>5.2196743193421558</v>
      </c>
      <c r="AQ55">
        <v>87</v>
      </c>
      <c r="AR55">
        <v>50</v>
      </c>
      <c r="AS55" s="154">
        <v>35</v>
      </c>
      <c r="AT55">
        <v>54</v>
      </c>
    </row>
    <row r="56" spans="1:46" x14ac:dyDescent="0.35">
      <c r="A56">
        <v>36</v>
      </c>
      <c r="B56" s="17" t="s">
        <v>171</v>
      </c>
      <c r="C56" s="17" t="s">
        <v>1095</v>
      </c>
      <c r="D56" s="17" t="s">
        <v>58</v>
      </c>
      <c r="E56" s="9" t="s">
        <v>5</v>
      </c>
      <c r="F56">
        <v>2</v>
      </c>
      <c r="G56">
        <v>2</v>
      </c>
      <c r="I56">
        <v>2</v>
      </c>
      <c r="J56">
        <v>1</v>
      </c>
      <c r="L56">
        <v>69</v>
      </c>
      <c r="M56">
        <v>56</v>
      </c>
      <c r="N56" s="73">
        <f t="shared" si="21"/>
        <v>17.25</v>
      </c>
      <c r="O56" s="73">
        <f t="shared" si="22"/>
        <v>14</v>
      </c>
      <c r="P56" s="73">
        <f t="shared" si="23"/>
        <v>3.25</v>
      </c>
      <c r="Q56">
        <v>32</v>
      </c>
      <c r="R56" s="54">
        <f t="shared" si="24"/>
        <v>2.15625</v>
      </c>
      <c r="S56" s="9">
        <f>4.556+1.364-3.076+1.564</f>
        <v>4.4079999999999995</v>
      </c>
      <c r="T56" s="9">
        <f>4.556+1.564</f>
        <v>6.12</v>
      </c>
      <c r="U56" s="54">
        <f t="shared" si="25"/>
        <v>1.1019999999999999</v>
      </c>
      <c r="V56" s="54">
        <f t="shared" si="26"/>
        <v>-8.8344000000000005</v>
      </c>
      <c r="W56" s="9">
        <f>41.837+1.714+14.429+65.306</f>
        <v>123.286</v>
      </c>
      <c r="X56" s="54">
        <f t="shared" si="27"/>
        <v>30.8215</v>
      </c>
      <c r="Y56" s="54">
        <f t="shared" si="28"/>
        <v>5.551711447833001</v>
      </c>
      <c r="Z56" s="152">
        <v>98</v>
      </c>
      <c r="AA56" s="49">
        <v>55</v>
      </c>
      <c r="AB56" s="48">
        <f t="shared" si="29"/>
        <v>30</v>
      </c>
      <c r="AC56" s="36">
        <f t="shared" si="30"/>
        <v>0.71559857412284433</v>
      </c>
      <c r="AD56" s="34">
        <f t="shared" si="31"/>
        <v>0.5</v>
      </c>
      <c r="AE56" s="34">
        <f t="shared" si="32"/>
        <v>0.66666666666666663</v>
      </c>
      <c r="AF56" s="34">
        <f t="shared" si="33"/>
        <v>0.50724637681159424</v>
      </c>
      <c r="AG56" s="34">
        <f t="shared" si="34"/>
        <v>0.4925373134328358</v>
      </c>
      <c r="AH56" s="34">
        <f t="shared" si="35"/>
        <v>0.56043956043956045</v>
      </c>
      <c r="AI56" s="34">
        <f t="shared" si="36"/>
        <v>0.67260235558048231</v>
      </c>
      <c r="AJ56" s="34">
        <f t="shared" si="37"/>
        <v>0.53009437459014053</v>
      </c>
      <c r="AK56" s="34">
        <f t="shared" si="38"/>
        <v>0.7204657638273636</v>
      </c>
      <c r="AL56" s="34">
        <f t="shared" si="39"/>
        <v>0.41445024742495024</v>
      </c>
      <c r="AM56" s="34"/>
      <c r="AN56" s="35">
        <v>0.58812882178652537</v>
      </c>
      <c r="AO56">
        <f t="shared" si="20"/>
        <v>4</v>
      </c>
      <c r="AP56">
        <v>4.3962104893495111</v>
      </c>
      <c r="AQ56">
        <v>15</v>
      </c>
      <c r="AR56">
        <v>20</v>
      </c>
      <c r="AS56" s="154">
        <v>42</v>
      </c>
      <c r="AT56">
        <v>55</v>
      </c>
    </row>
    <row r="57" spans="1:46" x14ac:dyDescent="0.35">
      <c r="A57">
        <v>51</v>
      </c>
      <c r="B57" s="19" t="s">
        <v>172</v>
      </c>
      <c r="C57" s="19" t="s">
        <v>1090</v>
      </c>
      <c r="D57" s="19" t="s">
        <v>2011</v>
      </c>
      <c r="E57" s="9" t="s">
        <v>5</v>
      </c>
      <c r="F57">
        <v>3</v>
      </c>
      <c r="G57">
        <v>1</v>
      </c>
      <c r="I57">
        <v>2</v>
      </c>
      <c r="J57">
        <v>1</v>
      </c>
      <c r="L57">
        <f>38+26</f>
        <v>64</v>
      </c>
      <c r="M57">
        <v>40</v>
      </c>
      <c r="N57" s="73">
        <f t="shared" si="21"/>
        <v>16</v>
      </c>
      <c r="O57" s="73">
        <f t="shared" si="22"/>
        <v>10</v>
      </c>
      <c r="P57" s="73">
        <f t="shared" si="23"/>
        <v>6</v>
      </c>
      <c r="Q57">
        <v>36</v>
      </c>
      <c r="R57" s="54">
        <f t="shared" si="24"/>
        <v>1.7777777777777777</v>
      </c>
      <c r="S57" s="9">
        <f>-1.39+2.823+0.524-1.341</f>
        <v>0.6160000000000001</v>
      </c>
      <c r="T57" s="9">
        <f>2.823+0.524-1.341</f>
        <v>2.0060000000000002</v>
      </c>
      <c r="U57" s="54">
        <f t="shared" si="25"/>
        <v>0.15400000000000003</v>
      </c>
      <c r="V57" s="54">
        <f t="shared" si="26"/>
        <v>-3.8903333333333339</v>
      </c>
      <c r="W57" s="9">
        <f>15.765+31.478+34.638+(144.923-22.4615)</f>
        <v>204.3425</v>
      </c>
      <c r="X57" s="54">
        <f t="shared" si="27"/>
        <v>51.085625</v>
      </c>
      <c r="Y57" s="54">
        <f t="shared" si="28"/>
        <v>7.1474208635003436</v>
      </c>
      <c r="Z57" s="152">
        <v>32</v>
      </c>
      <c r="AA57" s="49">
        <v>56</v>
      </c>
      <c r="AB57" s="48">
        <f t="shared" si="29"/>
        <v>33</v>
      </c>
      <c r="AC57" s="36">
        <f t="shared" si="30"/>
        <v>0.70632712601655789</v>
      </c>
      <c r="AD57" s="34">
        <f t="shared" si="31"/>
        <v>0.75</v>
      </c>
      <c r="AE57" s="34">
        <f t="shared" si="32"/>
        <v>0.66666666666666663</v>
      </c>
      <c r="AF57" s="34">
        <f t="shared" si="33"/>
        <v>0.43478260869565216</v>
      </c>
      <c r="AG57" s="34">
        <f t="shared" si="34"/>
        <v>0.73134328358208955</v>
      </c>
      <c r="AH57" s="34">
        <f t="shared" si="35"/>
        <v>0.68131868131868134</v>
      </c>
      <c r="AI57" s="34">
        <f t="shared" si="36"/>
        <v>0.32448432728858967</v>
      </c>
      <c r="AJ57" s="34">
        <f t="shared" si="37"/>
        <v>0.63821172982065977</v>
      </c>
      <c r="AK57" s="34">
        <f t="shared" si="38"/>
        <v>0.87690376745559628</v>
      </c>
      <c r="AL57" s="34">
        <f t="shared" si="39"/>
        <v>0.62450120130709208</v>
      </c>
      <c r="AM57" s="34"/>
      <c r="AN57" s="35">
        <v>0.57337741156785771</v>
      </c>
      <c r="AO57">
        <f t="shared" si="20"/>
        <v>2</v>
      </c>
      <c r="AP57">
        <v>5.2243340883472094</v>
      </c>
      <c r="AQ57">
        <v>81</v>
      </c>
      <c r="AR57">
        <v>83</v>
      </c>
      <c r="AS57" s="154">
        <v>68</v>
      </c>
      <c r="AT57">
        <v>56</v>
      </c>
    </row>
    <row r="58" spans="1:46" x14ac:dyDescent="0.35">
      <c r="A58">
        <v>50</v>
      </c>
      <c r="B58" s="19" t="s">
        <v>172</v>
      </c>
      <c r="C58" s="19" t="s">
        <v>1090</v>
      </c>
      <c r="D58" s="19" t="s">
        <v>35</v>
      </c>
      <c r="E58" s="9" t="s">
        <v>6</v>
      </c>
      <c r="F58">
        <v>1</v>
      </c>
      <c r="G58">
        <v>3</v>
      </c>
      <c r="I58">
        <v>0</v>
      </c>
      <c r="J58">
        <v>3</v>
      </c>
      <c r="L58">
        <v>67</v>
      </c>
      <c r="M58">
        <f>51+14</f>
        <v>65</v>
      </c>
      <c r="N58" s="73">
        <f t="shared" si="21"/>
        <v>16.75</v>
      </c>
      <c r="O58" s="73">
        <f t="shared" si="22"/>
        <v>16.25</v>
      </c>
      <c r="P58" s="73">
        <f t="shared" si="23"/>
        <v>0.5</v>
      </c>
      <c r="Q58">
        <v>35</v>
      </c>
      <c r="R58" s="54">
        <f t="shared" si="24"/>
        <v>1.9142857142857144</v>
      </c>
      <c r="S58" s="9">
        <f>2.18-2.477-3.25+0.644</f>
        <v>-2.9029999999999996</v>
      </c>
      <c r="T58" s="9">
        <f>-3.25</f>
        <v>-3.25</v>
      </c>
      <c r="U58" s="54">
        <f t="shared" si="25"/>
        <v>-0.36287499999999995</v>
      </c>
      <c r="V58" s="54">
        <f t="shared" si="26"/>
        <v>-6.9601999999999995</v>
      </c>
      <c r="W58" s="9">
        <f>4.939+8.027+86.776+3.221</f>
        <v>102.96299999999999</v>
      </c>
      <c r="X58" s="54">
        <f t="shared" si="27"/>
        <v>25.740749999999998</v>
      </c>
      <c r="Y58" s="54">
        <f t="shared" si="28"/>
        <v>5.0735342710974169</v>
      </c>
      <c r="Z58" s="152">
        <v>75</v>
      </c>
      <c r="AA58" s="49">
        <v>57</v>
      </c>
      <c r="AB58" s="48">
        <f t="shared" si="29"/>
        <v>73</v>
      </c>
      <c r="AC58" s="36">
        <f t="shared" si="30"/>
        <v>0.50835909146164149</v>
      </c>
      <c r="AD58" s="34">
        <f t="shared" si="31"/>
        <v>0.25</v>
      </c>
      <c r="AE58" s="34">
        <f t="shared" si="32"/>
        <v>0</v>
      </c>
      <c r="AF58" s="34">
        <f t="shared" si="33"/>
        <v>0.47826086956521741</v>
      </c>
      <c r="AG58" s="34">
        <f t="shared" si="34"/>
        <v>0.35820895522388063</v>
      </c>
      <c r="AH58" s="34">
        <f t="shared" si="35"/>
        <v>0.43956043956043955</v>
      </c>
      <c r="AI58" s="34">
        <f t="shared" si="36"/>
        <v>0.45004406698181243</v>
      </c>
      <c r="AJ58" s="34">
        <f t="shared" si="37"/>
        <v>0.6971602087075528</v>
      </c>
      <c r="AK58" s="34">
        <f t="shared" si="38"/>
        <v>0.77976838374889257</v>
      </c>
      <c r="AL58" s="34">
        <f t="shared" si="39"/>
        <v>0.35150547119451531</v>
      </c>
      <c r="AM58" s="34"/>
      <c r="AN58" s="35">
        <v>0.57033851318215112</v>
      </c>
      <c r="AO58">
        <f t="shared" si="20"/>
        <v>3</v>
      </c>
      <c r="AP58">
        <v>5.7660500633738287</v>
      </c>
      <c r="AQ58">
        <v>38</v>
      </c>
      <c r="AR58">
        <v>70</v>
      </c>
      <c r="AS58" s="154">
        <v>88</v>
      </c>
      <c r="AT58">
        <v>57</v>
      </c>
    </row>
    <row r="59" spans="1:46" x14ac:dyDescent="0.35">
      <c r="A59">
        <v>20</v>
      </c>
      <c r="B59" s="16" t="s">
        <v>144</v>
      </c>
      <c r="C59" s="16" t="s">
        <v>1086</v>
      </c>
      <c r="D59" s="16" t="s">
        <v>61</v>
      </c>
      <c r="E59" s="9" t="s">
        <v>6</v>
      </c>
      <c r="F59">
        <v>2</v>
      </c>
      <c r="G59">
        <v>2</v>
      </c>
      <c r="I59">
        <v>1</v>
      </c>
      <c r="J59">
        <v>2</v>
      </c>
      <c r="L59">
        <f>47+14</f>
        <v>61</v>
      </c>
      <c r="M59">
        <f>39+19</f>
        <v>58</v>
      </c>
      <c r="N59" s="73">
        <f t="shared" si="21"/>
        <v>15.25</v>
      </c>
      <c r="O59" s="73">
        <f t="shared" si="22"/>
        <v>14.5</v>
      </c>
      <c r="P59" s="73">
        <f t="shared" si="23"/>
        <v>0.75</v>
      </c>
      <c r="Q59">
        <v>37</v>
      </c>
      <c r="R59" s="54">
        <f t="shared" si="24"/>
        <v>1.6486486486486487</v>
      </c>
      <c r="S59" s="9">
        <f>1.077+3.965-1.917-3.474</f>
        <v>-0.3490000000000002</v>
      </c>
      <c r="T59" s="9">
        <f>1.077-1.917</f>
        <v>-0.84000000000000008</v>
      </c>
      <c r="U59" s="54">
        <f t="shared" si="25"/>
        <v>-4.3625000000000025E-2</v>
      </c>
      <c r="V59" s="54">
        <f t="shared" si="26"/>
        <v>-4.6583999999999994</v>
      </c>
      <c r="W59" s="9">
        <f>21.061+13.955+79.409+14.798</f>
        <v>129.22300000000001</v>
      </c>
      <c r="X59" s="54">
        <f t="shared" si="27"/>
        <v>32.305750000000003</v>
      </c>
      <c r="Y59" s="54">
        <f t="shared" si="28"/>
        <v>5.6838147401195265</v>
      </c>
      <c r="Z59" s="152">
        <v>20</v>
      </c>
      <c r="AA59" s="49">
        <v>58</v>
      </c>
      <c r="AB59" s="48">
        <f t="shared" si="29"/>
        <v>71</v>
      </c>
      <c r="AC59" s="36">
        <f t="shared" si="30"/>
        <v>0.51203419803217409</v>
      </c>
      <c r="AD59" s="34">
        <f t="shared" si="31"/>
        <v>0.5</v>
      </c>
      <c r="AE59" s="34">
        <f t="shared" si="32"/>
        <v>0.33333333333333331</v>
      </c>
      <c r="AF59" s="34">
        <f t="shared" si="33"/>
        <v>0.39130434782608697</v>
      </c>
      <c r="AG59" s="34">
        <f t="shared" si="34"/>
        <v>0.46268656716417911</v>
      </c>
      <c r="AH59" s="34">
        <f t="shared" si="35"/>
        <v>0.45054945054945056</v>
      </c>
      <c r="AI59" s="34">
        <f t="shared" si="36"/>
        <v>0.20571160055175758</v>
      </c>
      <c r="AJ59" s="34">
        <f t="shared" si="37"/>
        <v>0.6607504348074017</v>
      </c>
      <c r="AK59" s="34">
        <f t="shared" si="38"/>
        <v>0.852600936590305</v>
      </c>
      <c r="AL59" s="34">
        <f t="shared" si="39"/>
        <v>0.43183964319043888</v>
      </c>
      <c r="AM59" s="34"/>
      <c r="AN59" s="35">
        <v>0.56870089949506319</v>
      </c>
      <c r="AO59">
        <f t="shared" si="20"/>
        <v>1</v>
      </c>
      <c r="AP59">
        <v>6.1758939973631897</v>
      </c>
      <c r="AQ59">
        <v>93</v>
      </c>
      <c r="AR59">
        <v>54</v>
      </c>
      <c r="AS59" s="154">
        <v>77</v>
      </c>
      <c r="AT59">
        <v>58</v>
      </c>
    </row>
    <row r="60" spans="1:46" x14ac:dyDescent="0.35">
      <c r="A60">
        <v>63</v>
      </c>
      <c r="B60" s="19" t="s">
        <v>172</v>
      </c>
      <c r="C60" s="19" t="s">
        <v>1100</v>
      </c>
      <c r="D60" s="19" t="s">
        <v>1858</v>
      </c>
      <c r="E60" s="9" t="s">
        <v>5</v>
      </c>
      <c r="F60">
        <v>3</v>
      </c>
      <c r="G60">
        <v>1</v>
      </c>
      <c r="I60">
        <v>2</v>
      </c>
      <c r="J60">
        <v>1</v>
      </c>
      <c r="L60">
        <f>46+16</f>
        <v>62</v>
      </c>
      <c r="M60">
        <f>44+14</f>
        <v>58</v>
      </c>
      <c r="N60" s="73">
        <f t="shared" si="21"/>
        <v>15.5</v>
      </c>
      <c r="O60" s="73">
        <f t="shared" si="22"/>
        <v>14.5</v>
      </c>
      <c r="P60" s="73">
        <f t="shared" si="23"/>
        <v>1</v>
      </c>
      <c r="Q60">
        <v>34</v>
      </c>
      <c r="R60" s="54">
        <f t="shared" si="24"/>
        <v>1.8235294117647058</v>
      </c>
      <c r="S60" s="9">
        <f>-4.019-1.721+3.543+4.347</f>
        <v>2.1500000000000004</v>
      </c>
      <c r="T60" s="9">
        <f>-4.019+3.543+4.347</f>
        <v>3.8710000000000004</v>
      </c>
      <c r="U60" s="54">
        <f t="shared" si="25"/>
        <v>0.53750000000000009</v>
      </c>
      <c r="V60" s="54">
        <f t="shared" si="26"/>
        <v>-4.5741666666666667</v>
      </c>
      <c r="W60" s="9">
        <f>38.099+9.238+26.179+22.428</f>
        <v>95.943999999999988</v>
      </c>
      <c r="X60" s="54">
        <f t="shared" si="27"/>
        <v>23.985999999999997</v>
      </c>
      <c r="Y60" s="54">
        <f t="shared" si="28"/>
        <v>4.8975504081122017</v>
      </c>
      <c r="Z60" s="152">
        <v>23</v>
      </c>
      <c r="AA60" s="49">
        <v>59</v>
      </c>
      <c r="AB60" s="48">
        <f t="shared" si="29"/>
        <v>45</v>
      </c>
      <c r="AC60" s="36">
        <f t="shared" si="30"/>
        <v>0.61620592871196556</v>
      </c>
      <c r="AD60" s="34">
        <f t="shared" si="31"/>
        <v>0.75</v>
      </c>
      <c r="AE60" s="34">
        <f t="shared" si="32"/>
        <v>0.66666666666666663</v>
      </c>
      <c r="AF60" s="34">
        <f t="shared" si="33"/>
        <v>0.40579710144927539</v>
      </c>
      <c r="AG60" s="34">
        <f t="shared" si="34"/>
        <v>0.46268656716417911</v>
      </c>
      <c r="AH60" s="34">
        <f t="shared" si="35"/>
        <v>0.46153846153846156</v>
      </c>
      <c r="AI60" s="34">
        <f t="shared" si="36"/>
        <v>0.3665665929860446</v>
      </c>
      <c r="AJ60" s="34">
        <f t="shared" si="37"/>
        <v>0.59447438200325031</v>
      </c>
      <c r="AK60" s="34">
        <f t="shared" si="38"/>
        <v>0.85526621102813993</v>
      </c>
      <c r="AL60" s="34">
        <f t="shared" si="39"/>
        <v>0.32833986351872851</v>
      </c>
      <c r="AM60" s="34"/>
      <c r="AN60" s="35">
        <v>0.56248030251282388</v>
      </c>
      <c r="AO60">
        <f t="shared" si="20"/>
        <v>1</v>
      </c>
      <c r="AP60">
        <v>4.9502861870131643</v>
      </c>
      <c r="AQ60">
        <v>90</v>
      </c>
      <c r="AR60">
        <v>39</v>
      </c>
      <c r="AS60" s="154">
        <v>65</v>
      </c>
      <c r="AT60">
        <v>59</v>
      </c>
    </row>
    <row r="61" spans="1:46" x14ac:dyDescent="0.35">
      <c r="A61">
        <v>40</v>
      </c>
      <c r="B61" s="17" t="s">
        <v>171</v>
      </c>
      <c r="C61" s="17" t="s">
        <v>1096</v>
      </c>
      <c r="D61" s="17" t="s">
        <v>51</v>
      </c>
      <c r="E61" s="9" t="s">
        <v>5</v>
      </c>
      <c r="F61">
        <v>3</v>
      </c>
      <c r="G61">
        <v>1</v>
      </c>
      <c r="I61">
        <v>2</v>
      </c>
      <c r="J61">
        <v>1</v>
      </c>
      <c r="L61">
        <f>49+18</f>
        <v>67</v>
      </c>
      <c r="M61">
        <f>45+9</f>
        <v>54</v>
      </c>
      <c r="N61" s="73">
        <f t="shared" si="21"/>
        <v>16.75</v>
      </c>
      <c r="O61" s="73">
        <f t="shared" si="22"/>
        <v>13.5</v>
      </c>
      <c r="P61" s="73">
        <f t="shared" si="23"/>
        <v>3.25</v>
      </c>
      <c r="Q61">
        <v>36</v>
      </c>
      <c r="R61" s="54">
        <f t="shared" si="24"/>
        <v>1.8611111111111112</v>
      </c>
      <c r="S61" s="9">
        <f>-4.059-0.734+3.367-3.312</f>
        <v>-4.7379999999999995</v>
      </c>
      <c r="T61" s="9">
        <f>-0.734+3.367-3.312</f>
        <v>-0.67899999999999983</v>
      </c>
      <c r="U61" s="54">
        <f t="shared" si="25"/>
        <v>-0.59224999999999994</v>
      </c>
      <c r="V61" s="54">
        <f t="shared" si="26"/>
        <v>-2.9058333333333333</v>
      </c>
      <c r="W61" s="9">
        <f>14.173+54.638+17.415+52.733</f>
        <v>138.959</v>
      </c>
      <c r="X61" s="54">
        <f t="shared" si="27"/>
        <v>34.739750000000001</v>
      </c>
      <c r="Y61" s="54">
        <f t="shared" si="28"/>
        <v>5.894043603503456</v>
      </c>
      <c r="Z61" s="152">
        <v>5</v>
      </c>
      <c r="AA61" s="49">
        <v>60</v>
      </c>
      <c r="AB61" s="48">
        <f t="shared" si="29"/>
        <v>42</v>
      </c>
      <c r="AC61" s="36">
        <f t="shared" si="30"/>
        <v>0.64097694851960196</v>
      </c>
      <c r="AD61" s="34">
        <f t="shared" si="31"/>
        <v>0.75</v>
      </c>
      <c r="AE61" s="34">
        <f t="shared" si="32"/>
        <v>0.66666666666666663</v>
      </c>
      <c r="AF61" s="34">
        <f t="shared" si="33"/>
        <v>0.47826086956521741</v>
      </c>
      <c r="AG61" s="34">
        <f t="shared" si="34"/>
        <v>0.52238805970149249</v>
      </c>
      <c r="AH61" s="34">
        <f t="shared" si="35"/>
        <v>0.56043956043956045</v>
      </c>
      <c r="AI61" s="34">
        <f t="shared" si="36"/>
        <v>0.40113416838038263</v>
      </c>
      <c r="AJ61" s="34">
        <f t="shared" si="37"/>
        <v>0.72331993271177253</v>
      </c>
      <c r="AK61" s="34">
        <f t="shared" si="38"/>
        <v>0.90805488756697461</v>
      </c>
      <c r="AL61" s="34">
        <f t="shared" si="39"/>
        <v>0.45951308602018193</v>
      </c>
      <c r="AM61" s="34"/>
      <c r="AN61" s="35">
        <v>0.56222549813578537</v>
      </c>
      <c r="AO61">
        <f t="shared" si="20"/>
        <v>1</v>
      </c>
      <c r="AP61">
        <v>5.3611565916320707</v>
      </c>
      <c r="AQ61">
        <v>108</v>
      </c>
      <c r="AR61">
        <v>100</v>
      </c>
      <c r="AS61" s="154">
        <v>70</v>
      </c>
      <c r="AT61">
        <v>60</v>
      </c>
    </row>
    <row r="62" spans="1:46" x14ac:dyDescent="0.35">
      <c r="A62">
        <v>78</v>
      </c>
      <c r="B62" s="21" t="s">
        <v>173</v>
      </c>
      <c r="C62" s="21" t="s">
        <v>1102</v>
      </c>
      <c r="D62" s="21" t="s">
        <v>292</v>
      </c>
      <c r="E62" s="9" t="s">
        <v>6</v>
      </c>
      <c r="F62">
        <v>1</v>
      </c>
      <c r="G62">
        <v>3</v>
      </c>
      <c r="I62">
        <v>1</v>
      </c>
      <c r="J62">
        <v>2</v>
      </c>
      <c r="L62">
        <v>56</v>
      </c>
      <c r="M62">
        <f>57+25</f>
        <v>82</v>
      </c>
      <c r="N62" s="73">
        <f t="shared" si="21"/>
        <v>14</v>
      </c>
      <c r="O62" s="73">
        <f t="shared" si="22"/>
        <v>20.5</v>
      </c>
      <c r="P62" s="73">
        <f t="shared" si="23"/>
        <v>-6.5</v>
      </c>
      <c r="Q62">
        <v>28</v>
      </c>
      <c r="R62" s="54">
        <f t="shared" si="24"/>
        <v>2</v>
      </c>
      <c r="S62" s="9">
        <f>2.337-2.41-2.931-2.011</f>
        <v>-5.0150000000000006</v>
      </c>
      <c r="T62" s="9">
        <f>-2.41</f>
        <v>-2.41</v>
      </c>
      <c r="U62" s="54">
        <f t="shared" si="25"/>
        <v>-0.62687500000000007</v>
      </c>
      <c r="V62" s="54">
        <f t="shared" si="26"/>
        <v>-8.0521999999999991</v>
      </c>
      <c r="W62" s="9">
        <f>3.664+55.114+26.465+4.983</f>
        <v>90.225999999999999</v>
      </c>
      <c r="X62" s="54">
        <f t="shared" si="27"/>
        <v>22.5565</v>
      </c>
      <c r="Y62" s="54">
        <f t="shared" si="28"/>
        <v>4.7493683790584198</v>
      </c>
      <c r="Z62" s="152">
        <v>69</v>
      </c>
      <c r="AA62" s="49">
        <v>61</v>
      </c>
      <c r="AB62" s="48">
        <f t="shared" si="29"/>
        <v>79</v>
      </c>
      <c r="AC62" s="36">
        <f t="shared" si="30"/>
        <v>0.4788628369833508</v>
      </c>
      <c r="AD62" s="34">
        <f t="shared" si="31"/>
        <v>0.25</v>
      </c>
      <c r="AE62" s="34">
        <f t="shared" si="32"/>
        <v>0.33333333333333331</v>
      </c>
      <c r="AF62" s="34">
        <f t="shared" si="33"/>
        <v>0.3188405797101449</v>
      </c>
      <c r="AG62" s="34">
        <f t="shared" si="34"/>
        <v>0.10447761194029848</v>
      </c>
      <c r="AH62" s="34">
        <f t="shared" si="35"/>
        <v>0.13186813186813187</v>
      </c>
      <c r="AI62" s="34">
        <f t="shared" si="36"/>
        <v>0.52888390353337067</v>
      </c>
      <c r="AJ62" s="34">
        <f t="shared" si="37"/>
        <v>0.72726883927807717</v>
      </c>
      <c r="AK62" s="34">
        <f t="shared" si="38"/>
        <v>0.74521579546892802</v>
      </c>
      <c r="AL62" s="34">
        <f t="shared" si="39"/>
        <v>0.30883394580881701</v>
      </c>
      <c r="AM62" s="34"/>
      <c r="AN62" s="35">
        <v>0.55622882438963117</v>
      </c>
      <c r="AO62">
        <f t="shared" si="20"/>
        <v>3</v>
      </c>
      <c r="AP62">
        <v>5.3305096691904925</v>
      </c>
      <c r="AQ62">
        <v>44</v>
      </c>
      <c r="AR62">
        <v>80</v>
      </c>
      <c r="AS62" s="154">
        <v>50</v>
      </c>
      <c r="AT62">
        <v>61</v>
      </c>
    </row>
    <row r="63" spans="1:46" x14ac:dyDescent="0.35">
      <c r="A63">
        <v>18</v>
      </c>
      <c r="B63" s="16" t="s">
        <v>144</v>
      </c>
      <c r="C63" s="16" t="s">
        <v>1086</v>
      </c>
      <c r="D63" s="16" t="s">
        <v>72</v>
      </c>
      <c r="E63" s="9" t="s">
        <v>5</v>
      </c>
      <c r="F63">
        <v>3</v>
      </c>
      <c r="G63">
        <v>1</v>
      </c>
      <c r="I63">
        <v>2</v>
      </c>
      <c r="J63">
        <v>1</v>
      </c>
      <c r="L63">
        <f>46+17</f>
        <v>63</v>
      </c>
      <c r="M63">
        <f>43+5</f>
        <v>48</v>
      </c>
      <c r="N63" s="73">
        <f t="shared" si="21"/>
        <v>15.75</v>
      </c>
      <c r="O63" s="73">
        <f t="shared" si="22"/>
        <v>12</v>
      </c>
      <c r="P63" s="73">
        <f t="shared" si="23"/>
        <v>3.75</v>
      </c>
      <c r="Q63">
        <f>30+12</f>
        <v>42</v>
      </c>
      <c r="R63" s="54">
        <f t="shared" si="24"/>
        <v>1.5</v>
      </c>
      <c r="S63" s="9">
        <f>-1.077-5.374+1.703+1.423</f>
        <v>-3.3249999999999993</v>
      </c>
      <c r="T63" s="9">
        <f>-5.374+1.703+1.423</f>
        <v>-2.2479999999999993</v>
      </c>
      <c r="U63" s="54">
        <f t="shared" si="25"/>
        <v>-0.41562499999999991</v>
      </c>
      <c r="V63" s="54">
        <f t="shared" si="26"/>
        <v>-2.3305333333333333</v>
      </c>
      <c r="W63" s="9">
        <f>14.759+59.719+58.549+(131.402-15.701)</f>
        <v>248.72800000000001</v>
      </c>
      <c r="X63" s="54">
        <f t="shared" si="27"/>
        <v>62.182000000000002</v>
      </c>
      <c r="Y63" s="54">
        <f t="shared" si="28"/>
        <v>7.885556416639222</v>
      </c>
      <c r="Z63" s="152">
        <v>3</v>
      </c>
      <c r="AA63" s="49">
        <v>62</v>
      </c>
      <c r="AB63" s="48">
        <f t="shared" si="29"/>
        <v>43</v>
      </c>
      <c r="AC63" s="36">
        <f t="shared" si="30"/>
        <v>0.6367547585299006</v>
      </c>
      <c r="AD63" s="34">
        <f t="shared" si="31"/>
        <v>0.75</v>
      </c>
      <c r="AE63" s="34">
        <f t="shared" si="32"/>
        <v>0.66666666666666663</v>
      </c>
      <c r="AF63" s="34">
        <f t="shared" si="33"/>
        <v>0.42028985507246375</v>
      </c>
      <c r="AG63" s="34">
        <f t="shared" si="34"/>
        <v>0.61194029850746268</v>
      </c>
      <c r="AH63" s="34">
        <f t="shared" si="35"/>
        <v>0.58241758241758246</v>
      </c>
      <c r="AI63" s="34">
        <f t="shared" si="36"/>
        <v>6.8984856982613529E-2</v>
      </c>
      <c r="AJ63" s="34">
        <f t="shared" si="37"/>
        <v>0.70317623242950411</v>
      </c>
      <c r="AK63" s="34">
        <f t="shared" si="38"/>
        <v>0.92625827954267392</v>
      </c>
      <c r="AL63" s="34">
        <f t="shared" si="39"/>
        <v>0.72166555686508804</v>
      </c>
      <c r="AM63" s="34"/>
      <c r="AN63" s="35">
        <v>0.55546868617028622</v>
      </c>
      <c r="AO63">
        <f t="shared" si="20"/>
        <v>1</v>
      </c>
      <c r="AP63">
        <v>6.6590039295177874</v>
      </c>
      <c r="AQ63">
        <v>110</v>
      </c>
      <c r="AR63">
        <v>104</v>
      </c>
      <c r="AS63" s="154">
        <v>69</v>
      </c>
      <c r="AT63">
        <v>62</v>
      </c>
    </row>
    <row r="64" spans="1:46" x14ac:dyDescent="0.35">
      <c r="A64">
        <v>37</v>
      </c>
      <c r="B64" s="17" t="s">
        <v>171</v>
      </c>
      <c r="C64" s="17" t="s">
        <v>1096</v>
      </c>
      <c r="D64" s="17" t="s">
        <v>52</v>
      </c>
      <c r="E64" s="9" t="s">
        <v>5</v>
      </c>
      <c r="F64">
        <v>3</v>
      </c>
      <c r="G64">
        <v>1</v>
      </c>
      <c r="I64">
        <v>2</v>
      </c>
      <c r="J64">
        <v>1</v>
      </c>
      <c r="L64">
        <v>57</v>
      </c>
      <c r="M64">
        <v>52</v>
      </c>
      <c r="N64" s="73">
        <f t="shared" si="21"/>
        <v>14.25</v>
      </c>
      <c r="O64" s="73">
        <f t="shared" si="22"/>
        <v>13</v>
      </c>
      <c r="P64" s="73">
        <f t="shared" si="23"/>
        <v>1.25</v>
      </c>
      <c r="Q64">
        <v>40</v>
      </c>
      <c r="R64" s="54">
        <f t="shared" si="24"/>
        <v>1.425</v>
      </c>
      <c r="S64" s="9">
        <f>-7.153-2.029+2.3-1.51</f>
        <v>-8.3919999999999995</v>
      </c>
      <c r="T64" s="9">
        <f>-2.029+2.3-1.51</f>
        <v>-1.2390000000000001</v>
      </c>
      <c r="U64" s="54">
        <f t="shared" si="25"/>
        <v>-1.0489999999999999</v>
      </c>
      <c r="V64" s="54">
        <f t="shared" si="26"/>
        <v>-2.7004999999999999</v>
      </c>
      <c r="W64" s="9">
        <f>5.388+37.785+81.927+51.403</f>
        <v>176.50299999999999</v>
      </c>
      <c r="X64" s="54">
        <f t="shared" si="27"/>
        <v>44.125749999999996</v>
      </c>
      <c r="Y64" s="54">
        <f t="shared" si="28"/>
        <v>6.6427215807980389</v>
      </c>
      <c r="Z64" s="152">
        <v>12</v>
      </c>
      <c r="AA64" s="49">
        <v>63</v>
      </c>
      <c r="AB64" s="48">
        <f t="shared" si="29"/>
        <v>46</v>
      </c>
      <c r="AC64" s="36">
        <f t="shared" si="30"/>
        <v>0.61393342915765126</v>
      </c>
      <c r="AD64" s="34">
        <f t="shared" si="31"/>
        <v>0.75</v>
      </c>
      <c r="AE64" s="34">
        <f t="shared" si="32"/>
        <v>0.66666666666666663</v>
      </c>
      <c r="AF64" s="34">
        <f t="shared" si="33"/>
        <v>0.33333333333333331</v>
      </c>
      <c r="AG64" s="34">
        <f t="shared" si="34"/>
        <v>0.55223880597014929</v>
      </c>
      <c r="AH64" s="34">
        <f t="shared" si="35"/>
        <v>0.47252747252747251</v>
      </c>
      <c r="AI64" s="34">
        <f t="shared" si="36"/>
        <v>0</v>
      </c>
      <c r="AJ64" s="34">
        <f t="shared" si="37"/>
        <v>0.77541128503407175</v>
      </c>
      <c r="AK64" s="34">
        <f t="shared" si="38"/>
        <v>0.9145519554486774</v>
      </c>
      <c r="AL64" s="34">
        <f t="shared" si="39"/>
        <v>0.55806519189687231</v>
      </c>
      <c r="AM64" s="34"/>
      <c r="AN64" s="35">
        <v>0.55222769716669251</v>
      </c>
      <c r="AO64">
        <f t="shared" si="20"/>
        <v>1</v>
      </c>
      <c r="AP64">
        <v>6.4575537163851759</v>
      </c>
      <c r="AQ64">
        <v>101</v>
      </c>
      <c r="AR64">
        <v>108</v>
      </c>
      <c r="AS64" s="154">
        <v>73</v>
      </c>
      <c r="AT64">
        <v>63</v>
      </c>
    </row>
    <row r="65" spans="1:46" x14ac:dyDescent="0.35">
      <c r="A65">
        <v>77</v>
      </c>
      <c r="B65" s="21" t="s">
        <v>173</v>
      </c>
      <c r="C65" s="21" t="s">
        <v>1102</v>
      </c>
      <c r="D65" s="21" t="s">
        <v>32</v>
      </c>
      <c r="E65" s="9" t="s">
        <v>6</v>
      </c>
      <c r="F65">
        <v>2</v>
      </c>
      <c r="G65">
        <v>2</v>
      </c>
      <c r="I65">
        <v>1</v>
      </c>
      <c r="J65">
        <v>2</v>
      </c>
      <c r="L65">
        <f>52+16</f>
        <v>68</v>
      </c>
      <c r="M65">
        <f>55+20</f>
        <v>75</v>
      </c>
      <c r="N65" s="73">
        <f t="shared" si="21"/>
        <v>17</v>
      </c>
      <c r="O65" s="73">
        <f t="shared" si="22"/>
        <v>18.75</v>
      </c>
      <c r="P65" s="73">
        <f t="shared" si="23"/>
        <v>-1.75</v>
      </c>
      <c r="Q65">
        <v>38</v>
      </c>
      <c r="R65" s="54">
        <f t="shared" si="24"/>
        <v>1.7894736842105263</v>
      </c>
      <c r="S65" s="9">
        <f>-2.337+4.55+3.67+2.737</f>
        <v>8.6199999999999992</v>
      </c>
      <c r="T65" s="9">
        <f>-2.337+3.67</f>
        <v>1.3329999999999997</v>
      </c>
      <c r="U65" s="54">
        <f t="shared" si="25"/>
        <v>2.1549999999999998</v>
      </c>
      <c r="V65" s="54">
        <f t="shared" si="26"/>
        <v>-5.9621999999999993</v>
      </c>
      <c r="W65" s="9">
        <f>79.342+5.454+33.776+2.737</f>
        <v>121.309</v>
      </c>
      <c r="X65" s="54">
        <f t="shared" si="27"/>
        <v>30.327249999999999</v>
      </c>
      <c r="Y65" s="54">
        <f t="shared" si="28"/>
        <v>5.5070182494703976</v>
      </c>
      <c r="Z65" s="152">
        <v>28</v>
      </c>
      <c r="AA65" s="49">
        <v>64</v>
      </c>
      <c r="AB65" s="48">
        <f t="shared" si="29"/>
        <v>78</v>
      </c>
      <c r="AC65" s="36">
        <f t="shared" si="30"/>
        <v>0.48004189964278371</v>
      </c>
      <c r="AD65" s="34">
        <f t="shared" si="31"/>
        <v>0.5</v>
      </c>
      <c r="AE65" s="34">
        <f t="shared" si="32"/>
        <v>0.33333333333333331</v>
      </c>
      <c r="AF65" s="34">
        <f t="shared" si="33"/>
        <v>0.49275362318840582</v>
      </c>
      <c r="AG65" s="34">
        <f t="shared" si="34"/>
        <v>0.20895522388059706</v>
      </c>
      <c r="AH65" s="34">
        <f t="shared" si="35"/>
        <v>0.34065934065934067</v>
      </c>
      <c r="AI65" s="34">
        <f t="shared" si="36"/>
        <v>0.33524219972252561</v>
      </c>
      <c r="AJ65" s="34">
        <f t="shared" si="37"/>
        <v>0.41000199583725383</v>
      </c>
      <c r="AK65" s="34">
        <f t="shared" si="38"/>
        <v>0.81134666497911656</v>
      </c>
      <c r="AL65" s="34">
        <f t="shared" si="39"/>
        <v>0.40856706540199866</v>
      </c>
      <c r="AM65" s="34"/>
      <c r="AN65" s="35">
        <v>0.53994804444158728</v>
      </c>
      <c r="AO65">
        <f t="shared" si="20"/>
        <v>1</v>
      </c>
      <c r="AP65">
        <v>6.2868115925324179</v>
      </c>
      <c r="AQ65">
        <v>85</v>
      </c>
      <c r="AR65">
        <v>29</v>
      </c>
      <c r="AS65" s="154">
        <v>72</v>
      </c>
      <c r="AT65">
        <v>64</v>
      </c>
    </row>
    <row r="66" spans="1:46" x14ac:dyDescent="0.35">
      <c r="A66">
        <v>62</v>
      </c>
      <c r="B66" s="19" t="s">
        <v>172</v>
      </c>
      <c r="C66" s="19" t="s">
        <v>1100</v>
      </c>
      <c r="D66" s="19" t="s">
        <v>1859</v>
      </c>
      <c r="E66" s="9" t="s">
        <v>6</v>
      </c>
      <c r="F66">
        <v>1</v>
      </c>
      <c r="G66">
        <v>3</v>
      </c>
      <c r="I66">
        <v>0</v>
      </c>
      <c r="J66">
        <v>3</v>
      </c>
      <c r="L66">
        <v>60</v>
      </c>
      <c r="M66">
        <f>46+19</f>
        <v>65</v>
      </c>
      <c r="N66" s="73">
        <f t="shared" ref="N66:N97" si="40">IFERROR(L66/(F66+G66), 0)</f>
        <v>15</v>
      </c>
      <c r="O66" s="73">
        <f t="shared" ref="O66:O97" si="41">IFERROR(M66/(F66+G66), 0)</f>
        <v>16.25</v>
      </c>
      <c r="P66" s="73">
        <f t="shared" ref="P66:P97" si="42">N66-O66</f>
        <v>-1.25</v>
      </c>
      <c r="Q66">
        <v>35</v>
      </c>
      <c r="R66" s="54">
        <f t="shared" ref="R66:R97" si="43">IFERROR(L66/Q66, 0)</f>
        <v>1.7142857142857142</v>
      </c>
      <c r="S66" s="9">
        <f>-4.383-2.212-1.521-0.279</f>
        <v>-8.3949999999999996</v>
      </c>
      <c r="T66" s="9">
        <f>-1.521</f>
        <v>-1.5209999999999999</v>
      </c>
      <c r="U66" s="54">
        <f t="shared" ref="U66:U97" si="44">IF(S66&lt;0, (S66/2), S66)/(F66+G66)</f>
        <v>-1.0493749999999999</v>
      </c>
      <c r="V66" s="54">
        <f t="shared" ref="V66:V97" si="45">IF(F66=0, -(MAX($T$2:$T$113)+ABS(MIN($T$2:$T$113))), (((-(ABS(MIN($T$2:$T$113))+T66))*((0.1*G66)+1))/F66))</f>
        <v>-9.2078999999999986</v>
      </c>
      <c r="W66" s="9">
        <f>44.676+11.505+92.724+0</f>
        <v>148.905</v>
      </c>
      <c r="X66" s="54">
        <f t="shared" ref="X66:X97" si="46">IFERROR(W66/(F66+G66),0)</f>
        <v>37.22625</v>
      </c>
      <c r="Y66" s="54">
        <f t="shared" ref="Y66:Y97" si="47">IFERROR(IF(SQRT(X66)&gt;10, 10, SQRT(X66)), 0)</f>
        <v>6.1013318218238224</v>
      </c>
      <c r="Z66" s="152">
        <v>54</v>
      </c>
      <c r="AA66" s="49">
        <v>65</v>
      </c>
      <c r="AB66" s="48">
        <f t="shared" ref="AB66:AB97" si="48">_xlfn.RANK.EQ(AC66,AC:AC, 0)</f>
        <v>84</v>
      </c>
      <c r="AC66" s="36">
        <f t="shared" ref="AC66:AC97" si="49">((AD66*1.3)+(AE66*0.8)+(AF66*0.6)+(AG66*0.6)+(AH66*0.5)+(AI66*0.5)+(AJ66*0.6)+(AK66*0.6)+(AL66*0.5)+((Z66/LARGE(Z:Z,1))*(9/6)))/6</f>
        <v>0.45502625604944952</v>
      </c>
      <c r="AD66" s="34">
        <f t="shared" ref="AD66:AD97" si="50">IFERROR(IF((F66+G66)=1, IF(F66=0, 0.333, IF(F66=1, 0.666, 0)), IF((F66+G66)=2, IF(F66=0, 0.166, IF(F66=1, 0.5, IF(F66=2, 0.833, 0))),  F66/(F66+G66))), 0)</f>
        <v>0.25</v>
      </c>
      <c r="AE66" s="34">
        <f t="shared" ref="AE66:AE97" si="51">IFERROR(IF((I66+J66)=1, IF(I66=0, 0.333, IF(I66=1, 0.666, 0)), IF((I66+J66)=2, IF(I66=0, 0.166, IF(I66=1, 0.5, IF(I66=2, 0.833, 0))),  I66/(I66+J66))), 0)</f>
        <v>0</v>
      </c>
      <c r="AF66" s="34">
        <f t="shared" ref="AF66:AF97" si="52">(N66-(SMALL(N:N, 1)))/((LARGE(N:N, 1))-(SMALL(N:N, 1)))</f>
        <v>0.37681159420289856</v>
      </c>
      <c r="AG66" s="34">
        <f t="shared" ref="AG66:AG97" si="53">1-(O66-SMALL(O:O,1))/(LARGE(O:O,1)-SMALL(O:O,1))</f>
        <v>0.35820895522388063</v>
      </c>
      <c r="AH66" s="34">
        <f t="shared" ref="AH66:AH97" si="54">(P66-SMALL(P:P,1))/(LARGE(P:P,1)-SMALL(P:P,1))</f>
        <v>0.36263736263736263</v>
      </c>
      <c r="AI66" s="34">
        <f t="shared" ref="AI66:AI97" si="55">(R66-SMALL(R:R,1))/(LARGE(R:R,1)-SMALL(R:R,1))</f>
        <v>0.26608444836150935</v>
      </c>
      <c r="AJ66" s="34">
        <f t="shared" ref="AJ66:AJ97" si="56">1-(U66-SMALL(U:U,1))/(LARGE(U:U,1)-SMALL(U:U,1))</f>
        <v>0.77545405297522307</v>
      </c>
      <c r="AK66" s="34">
        <f t="shared" ref="AK66:AK97" si="57">1-(V66/MIN(V:V))</f>
        <v>0.70864763953929888</v>
      </c>
      <c r="AL66" s="34">
        <f t="shared" ref="AL66:AL97" si="58">(Y66-SMALL(Y:Y,1))/(LARGE(Y:Y,1)-SMALL(Y:Y,1))</f>
        <v>0.486799437506999</v>
      </c>
      <c r="AM66" s="34"/>
      <c r="AN66" s="35">
        <v>0.53677604625663455</v>
      </c>
      <c r="AO66">
        <f t="shared" si="20"/>
        <v>2</v>
      </c>
      <c r="AP66">
        <v>7.0452111394904264</v>
      </c>
      <c r="AQ66">
        <v>59</v>
      </c>
      <c r="AR66">
        <v>59</v>
      </c>
      <c r="AS66" s="154">
        <v>82</v>
      </c>
      <c r="AT66">
        <v>65</v>
      </c>
    </row>
    <row r="67" spans="1:46" x14ac:dyDescent="0.35">
      <c r="A67">
        <v>74</v>
      </c>
      <c r="B67" s="21" t="s">
        <v>173</v>
      </c>
      <c r="C67" s="21" t="s">
        <v>167</v>
      </c>
      <c r="D67" s="21" t="s">
        <v>29</v>
      </c>
      <c r="E67" s="9" t="s">
        <v>6</v>
      </c>
      <c r="F67">
        <v>2</v>
      </c>
      <c r="G67">
        <v>2</v>
      </c>
      <c r="I67">
        <v>1</v>
      </c>
      <c r="J67">
        <v>2</v>
      </c>
      <c r="L67">
        <v>52</v>
      </c>
      <c r="M67">
        <f>39+13</f>
        <v>52</v>
      </c>
      <c r="N67" s="73">
        <f t="shared" si="40"/>
        <v>13</v>
      </c>
      <c r="O67" s="73">
        <f t="shared" si="41"/>
        <v>13</v>
      </c>
      <c r="P67" s="73">
        <f t="shared" si="42"/>
        <v>0</v>
      </c>
      <c r="Q67">
        <v>26</v>
      </c>
      <c r="R67" s="54">
        <f t="shared" si="43"/>
        <v>2</v>
      </c>
      <c r="S67" s="9">
        <f>3.487+2.41+3.551+1.274</f>
        <v>10.722000000000001</v>
      </c>
      <c r="T67" s="9">
        <f>3.487+3.551</f>
        <v>7.0380000000000003</v>
      </c>
      <c r="U67" s="54">
        <f t="shared" si="44"/>
        <v>2.6805000000000003</v>
      </c>
      <c r="V67" s="54">
        <f t="shared" si="45"/>
        <v>-9.3851999999999993</v>
      </c>
      <c r="W67" s="9">
        <f>15.87+1.767+19.707+8.958</f>
        <v>46.302</v>
      </c>
      <c r="X67" s="54">
        <f t="shared" si="46"/>
        <v>11.5755</v>
      </c>
      <c r="Y67" s="54">
        <f t="shared" si="47"/>
        <v>3.4022786482003498</v>
      </c>
      <c r="Z67" s="152">
        <v>34</v>
      </c>
      <c r="AA67" s="49">
        <v>66</v>
      </c>
      <c r="AB67" s="48">
        <f t="shared" si="48"/>
        <v>77</v>
      </c>
      <c r="AC67" s="36">
        <f t="shared" si="49"/>
        <v>0.48337084719283063</v>
      </c>
      <c r="AD67" s="34">
        <f t="shared" si="50"/>
        <v>0.5</v>
      </c>
      <c r="AE67" s="34">
        <f t="shared" si="51"/>
        <v>0.33333333333333331</v>
      </c>
      <c r="AF67" s="34">
        <f t="shared" si="52"/>
        <v>0.2608695652173913</v>
      </c>
      <c r="AG67" s="34">
        <f t="shared" si="53"/>
        <v>0.55223880597014929</v>
      </c>
      <c r="AH67" s="34">
        <f t="shared" si="54"/>
        <v>0.4175824175824176</v>
      </c>
      <c r="AI67" s="34">
        <f t="shared" si="55"/>
        <v>0.52888390353337067</v>
      </c>
      <c r="AJ67" s="34">
        <f t="shared" si="56"/>
        <v>0.35006985430388049</v>
      </c>
      <c r="AK67" s="34">
        <f t="shared" si="57"/>
        <v>0.70303759017845846</v>
      </c>
      <c r="AL67" s="34">
        <f t="shared" si="58"/>
        <v>0.13151000439857005</v>
      </c>
      <c r="AM67" s="34"/>
      <c r="AN67" s="35">
        <v>0.533867974924356</v>
      </c>
      <c r="AO67">
        <f t="shared" si="20"/>
        <v>2</v>
      </c>
      <c r="AP67">
        <v>3.5281723313919913</v>
      </c>
      <c r="AQ67">
        <v>79</v>
      </c>
      <c r="AR67">
        <v>56</v>
      </c>
      <c r="AS67" s="154">
        <v>75</v>
      </c>
      <c r="AT67">
        <v>66</v>
      </c>
    </row>
    <row r="68" spans="1:46" x14ac:dyDescent="0.35">
      <c r="A68">
        <v>30</v>
      </c>
      <c r="B68" s="16" t="s">
        <v>144</v>
      </c>
      <c r="C68" s="16" t="s">
        <v>1369</v>
      </c>
      <c r="D68" s="16" t="s">
        <v>62</v>
      </c>
      <c r="E68" s="9" t="s">
        <v>6</v>
      </c>
      <c r="F68">
        <v>1</v>
      </c>
      <c r="G68">
        <v>3</v>
      </c>
      <c r="I68">
        <v>0</v>
      </c>
      <c r="J68">
        <v>3</v>
      </c>
      <c r="L68">
        <v>70</v>
      </c>
      <c r="M68">
        <f>52+19</f>
        <v>71</v>
      </c>
      <c r="N68" s="73">
        <f t="shared" si="40"/>
        <v>17.5</v>
      </c>
      <c r="O68" s="73">
        <f t="shared" si="41"/>
        <v>17.75</v>
      </c>
      <c r="P68" s="73">
        <f t="shared" si="42"/>
        <v>-0.25</v>
      </c>
      <c r="Q68">
        <v>40</v>
      </c>
      <c r="R68" s="54">
        <f t="shared" si="43"/>
        <v>1.75</v>
      </c>
      <c r="S68" s="9">
        <f>1.551-2.552+1.439+0.972</f>
        <v>1.41</v>
      </c>
      <c r="T68" s="9">
        <f>1.439</f>
        <v>1.4390000000000001</v>
      </c>
      <c r="U68" s="54">
        <f t="shared" si="44"/>
        <v>0.35249999999999998</v>
      </c>
      <c r="V68" s="54">
        <f t="shared" si="45"/>
        <v>-13.055899999999999</v>
      </c>
      <c r="W68" s="9">
        <f>8.907+32.633+(106.014-3.007)+7.039</f>
        <v>151.58599999999998</v>
      </c>
      <c r="X68" s="54">
        <f t="shared" si="46"/>
        <v>37.896499999999996</v>
      </c>
      <c r="Y68" s="54">
        <f t="shared" si="47"/>
        <v>6.1560133203234706</v>
      </c>
      <c r="Z68" s="152">
        <v>78</v>
      </c>
      <c r="AA68" s="49">
        <v>67</v>
      </c>
      <c r="AB68" s="48">
        <f t="shared" si="48"/>
        <v>80</v>
      </c>
      <c r="AC68" s="36">
        <f t="shared" si="49"/>
        <v>0.47761692084983703</v>
      </c>
      <c r="AD68" s="34">
        <f t="shared" si="50"/>
        <v>0.25</v>
      </c>
      <c r="AE68" s="34">
        <f t="shared" si="51"/>
        <v>0</v>
      </c>
      <c r="AF68" s="34">
        <f t="shared" si="52"/>
        <v>0.52173913043478259</v>
      </c>
      <c r="AG68" s="34">
        <f t="shared" si="53"/>
        <v>0.26865671641791045</v>
      </c>
      <c r="AH68" s="34">
        <f t="shared" si="54"/>
        <v>0.40659340659340659</v>
      </c>
      <c r="AI68" s="34">
        <f t="shared" si="55"/>
        <v>0.29893438025799213</v>
      </c>
      <c r="AJ68" s="34">
        <f t="shared" si="56"/>
        <v>0.61557323297123134</v>
      </c>
      <c r="AK68" s="34">
        <f t="shared" si="57"/>
        <v>0.58689089988609044</v>
      </c>
      <c r="AL68" s="34">
        <f t="shared" si="58"/>
        <v>0.49399742782201667</v>
      </c>
      <c r="AM68" s="34"/>
      <c r="AN68" s="35">
        <v>0.53117536532814291</v>
      </c>
      <c r="AO68">
        <f t="shared" si="20"/>
        <v>3</v>
      </c>
      <c r="AP68">
        <v>6.9413495325716985</v>
      </c>
      <c r="AQ68">
        <v>35</v>
      </c>
      <c r="AR68">
        <v>72</v>
      </c>
      <c r="AS68" s="154">
        <v>80</v>
      </c>
      <c r="AT68">
        <v>67</v>
      </c>
    </row>
    <row r="69" spans="1:46" x14ac:dyDescent="0.35">
      <c r="A69">
        <v>83</v>
      </c>
      <c r="B69" s="58" t="s">
        <v>799</v>
      </c>
      <c r="C69" s="58" t="s">
        <v>1103</v>
      </c>
      <c r="D69" s="58" t="s">
        <v>783</v>
      </c>
      <c r="E69" s="9" t="s">
        <v>6</v>
      </c>
      <c r="F69">
        <v>1</v>
      </c>
      <c r="G69">
        <v>3</v>
      </c>
      <c r="I69">
        <v>1</v>
      </c>
      <c r="J69">
        <v>2</v>
      </c>
      <c r="L69">
        <f>42+15</f>
        <v>57</v>
      </c>
      <c r="M69">
        <f>52+19</f>
        <v>71</v>
      </c>
      <c r="N69" s="73">
        <f t="shared" si="40"/>
        <v>14.25</v>
      </c>
      <c r="O69" s="73">
        <f t="shared" si="41"/>
        <v>17.75</v>
      </c>
      <c r="P69" s="73">
        <f t="shared" si="42"/>
        <v>-3.5</v>
      </c>
      <c r="Q69">
        <v>29</v>
      </c>
      <c r="R69" s="54">
        <f t="shared" si="43"/>
        <v>1.9655172413793103</v>
      </c>
      <c r="S69" s="9">
        <f>4.825+4.489-1.222-4.801</f>
        <v>3.2910000000000004</v>
      </c>
      <c r="T69" s="9">
        <f>4.825</f>
        <v>4.8250000000000002</v>
      </c>
      <c r="U69" s="54">
        <f t="shared" si="44"/>
        <v>0.82275000000000009</v>
      </c>
      <c r="V69" s="54">
        <f t="shared" si="45"/>
        <v>-17.457699999999999</v>
      </c>
      <c r="W69" s="9">
        <f>29.938+3.999+11.167+21.518</f>
        <v>66.622</v>
      </c>
      <c r="X69" s="54">
        <f t="shared" si="46"/>
        <v>16.6555</v>
      </c>
      <c r="Y69" s="54">
        <f t="shared" si="47"/>
        <v>4.0811150437104811</v>
      </c>
      <c r="Z69" s="152">
        <v>105</v>
      </c>
      <c r="AA69" s="49">
        <v>68</v>
      </c>
      <c r="AB69" s="48">
        <f t="shared" si="48"/>
        <v>72</v>
      </c>
      <c r="AC69" s="36">
        <f t="shared" si="49"/>
        <v>0.50877719102017283</v>
      </c>
      <c r="AD69" s="34">
        <f t="shared" si="50"/>
        <v>0.25</v>
      </c>
      <c r="AE69" s="34">
        <f t="shared" si="51"/>
        <v>0.33333333333333331</v>
      </c>
      <c r="AF69" s="34">
        <f t="shared" si="52"/>
        <v>0.33333333333333331</v>
      </c>
      <c r="AG69" s="34">
        <f t="shared" si="53"/>
        <v>0.26865671641791045</v>
      </c>
      <c r="AH69" s="34">
        <f t="shared" si="54"/>
        <v>0.26373626373626374</v>
      </c>
      <c r="AI69" s="34">
        <f t="shared" si="55"/>
        <v>0.49716672790918048</v>
      </c>
      <c r="AJ69" s="34">
        <f t="shared" si="56"/>
        <v>0.56194223476748495</v>
      </c>
      <c r="AK69" s="34">
        <f t="shared" si="57"/>
        <v>0.44761106189089994</v>
      </c>
      <c r="AL69" s="34">
        <f t="shared" si="58"/>
        <v>0.22086852482015021</v>
      </c>
      <c r="AM69" s="34"/>
      <c r="AN69" s="35">
        <v>0.52788541997883165</v>
      </c>
      <c r="AO69">
        <f t="shared" si="20"/>
        <v>4</v>
      </c>
      <c r="AP69">
        <v>3.8774562107993775</v>
      </c>
      <c r="AQ69">
        <v>12</v>
      </c>
      <c r="AR69">
        <v>17</v>
      </c>
      <c r="AS69" s="154">
        <v>52</v>
      </c>
      <c r="AT69">
        <v>68</v>
      </c>
    </row>
    <row r="70" spans="1:46" x14ac:dyDescent="0.35">
      <c r="A70">
        <v>73</v>
      </c>
      <c r="B70" s="21" t="s">
        <v>173</v>
      </c>
      <c r="C70" s="21" t="s">
        <v>167</v>
      </c>
      <c r="D70" s="21" t="s">
        <v>28</v>
      </c>
      <c r="E70" s="9" t="s">
        <v>6</v>
      </c>
      <c r="F70">
        <v>2</v>
      </c>
      <c r="G70">
        <v>2</v>
      </c>
      <c r="I70">
        <v>1</v>
      </c>
      <c r="J70">
        <v>2</v>
      </c>
      <c r="L70">
        <v>48</v>
      </c>
      <c r="M70">
        <f>49+19</f>
        <v>68</v>
      </c>
      <c r="N70" s="73">
        <f t="shared" si="40"/>
        <v>12</v>
      </c>
      <c r="O70" s="73">
        <f t="shared" si="41"/>
        <v>17</v>
      </c>
      <c r="P70" s="73">
        <f t="shared" si="42"/>
        <v>-5</v>
      </c>
      <c r="Q70">
        <v>33</v>
      </c>
      <c r="R70" s="54">
        <f t="shared" si="43"/>
        <v>1.4545454545454546</v>
      </c>
      <c r="S70" s="9">
        <f>-0.059-2.959+2.665-2.252</f>
        <v>-2.605</v>
      </c>
      <c r="T70" s="9">
        <f>-0.059+2.665</f>
        <v>2.6059999999999999</v>
      </c>
      <c r="U70" s="54">
        <f t="shared" si="44"/>
        <v>-0.325625</v>
      </c>
      <c r="V70" s="54">
        <f t="shared" si="45"/>
        <v>-6.7259999999999991</v>
      </c>
      <c r="W70" s="9">
        <f>24.005+1.223+20.463+3.824</f>
        <v>49.515000000000001</v>
      </c>
      <c r="X70" s="54">
        <f t="shared" si="46"/>
        <v>12.37875</v>
      </c>
      <c r="Y70" s="54">
        <f t="shared" si="47"/>
        <v>3.5183447812856543</v>
      </c>
      <c r="Z70" s="152">
        <v>45</v>
      </c>
      <c r="AA70" s="49">
        <v>69</v>
      </c>
      <c r="AB70" s="48">
        <f t="shared" si="48"/>
        <v>83</v>
      </c>
      <c r="AC70" s="36">
        <f t="shared" si="49"/>
        <v>0.45505657734097477</v>
      </c>
      <c r="AD70" s="34">
        <f t="shared" si="50"/>
        <v>0.5</v>
      </c>
      <c r="AE70" s="34">
        <f t="shared" si="51"/>
        <v>0.33333333333333331</v>
      </c>
      <c r="AF70" s="34">
        <f t="shared" si="52"/>
        <v>0.20289855072463769</v>
      </c>
      <c r="AG70" s="34">
        <f t="shared" si="53"/>
        <v>0.31343283582089554</v>
      </c>
      <c r="AH70" s="34">
        <f t="shared" si="54"/>
        <v>0.19780219780219779</v>
      </c>
      <c r="AI70" s="34">
        <f t="shared" si="55"/>
        <v>2.7175852750726558E-2</v>
      </c>
      <c r="AJ70" s="34">
        <f t="shared" si="56"/>
        <v>0.69291192655318912</v>
      </c>
      <c r="AK70" s="34">
        <f t="shared" si="57"/>
        <v>0.78717883812175682</v>
      </c>
      <c r="AL70" s="34">
        <f t="shared" si="58"/>
        <v>0.14678835127589543</v>
      </c>
      <c r="AM70" s="34"/>
      <c r="AN70" s="35">
        <v>0.51809689818515503</v>
      </c>
      <c r="AO70">
        <f t="shared" si="20"/>
        <v>2</v>
      </c>
      <c r="AP70">
        <v>3.9026059669576347</v>
      </c>
      <c r="AQ70">
        <v>68</v>
      </c>
      <c r="AR70">
        <v>49</v>
      </c>
      <c r="AS70" s="154">
        <v>76</v>
      </c>
      <c r="AT70">
        <v>69</v>
      </c>
    </row>
    <row r="71" spans="1:46" x14ac:dyDescent="0.35">
      <c r="A71">
        <v>64</v>
      </c>
      <c r="B71" s="19" t="s">
        <v>172</v>
      </c>
      <c r="C71" s="19" t="s">
        <v>1100</v>
      </c>
      <c r="D71" s="19" t="s">
        <v>42</v>
      </c>
      <c r="E71" s="9" t="s">
        <v>5</v>
      </c>
      <c r="F71">
        <v>2</v>
      </c>
      <c r="G71">
        <v>2</v>
      </c>
      <c r="I71">
        <v>2</v>
      </c>
      <c r="J71">
        <v>1</v>
      </c>
      <c r="L71">
        <v>58</v>
      </c>
      <c r="M71">
        <v>69</v>
      </c>
      <c r="N71" s="73">
        <f t="shared" si="40"/>
        <v>14.5</v>
      </c>
      <c r="O71" s="73">
        <f t="shared" si="41"/>
        <v>17.25</v>
      </c>
      <c r="P71" s="73">
        <f t="shared" si="42"/>
        <v>-2.75</v>
      </c>
      <c r="Q71">
        <v>27</v>
      </c>
      <c r="R71" s="54">
        <f t="shared" si="43"/>
        <v>2.1481481481481484</v>
      </c>
      <c r="S71" s="9">
        <f>4.383+3.634-3.944+2.818</f>
        <v>6.891</v>
      </c>
      <c r="T71" s="9">
        <f>4.383+2.818</f>
        <v>7.2010000000000005</v>
      </c>
      <c r="U71" s="54">
        <f t="shared" si="44"/>
        <v>1.72275</v>
      </c>
      <c r="V71" s="54">
        <f t="shared" si="45"/>
        <v>-9.4829999999999988</v>
      </c>
      <c r="W71" s="9">
        <f>20.8+0.605+1.903+71.189</f>
        <v>94.496999999999986</v>
      </c>
      <c r="X71" s="54">
        <f t="shared" si="46"/>
        <v>23.624249999999996</v>
      </c>
      <c r="Y71" s="54">
        <f t="shared" si="47"/>
        <v>4.8604783715185889</v>
      </c>
      <c r="Z71" s="152">
        <v>104</v>
      </c>
      <c r="AA71" s="49">
        <v>70</v>
      </c>
      <c r="AB71" s="48">
        <f t="shared" si="48"/>
        <v>40</v>
      </c>
      <c r="AC71" s="36">
        <f t="shared" si="49"/>
        <v>0.65049435120569521</v>
      </c>
      <c r="AD71" s="34">
        <f t="shared" si="50"/>
        <v>0.5</v>
      </c>
      <c r="AE71" s="34">
        <f t="shared" si="51"/>
        <v>0.66666666666666663</v>
      </c>
      <c r="AF71" s="34">
        <f t="shared" si="52"/>
        <v>0.34782608695652173</v>
      </c>
      <c r="AG71" s="34">
        <f t="shared" si="53"/>
        <v>0.29850746268656714</v>
      </c>
      <c r="AH71" s="34">
        <f t="shared" si="54"/>
        <v>0.2967032967032967</v>
      </c>
      <c r="AI71" s="34">
        <f t="shared" si="55"/>
        <v>0.66515028769655815</v>
      </c>
      <c r="AJ71" s="34">
        <f t="shared" si="56"/>
        <v>0.4592991760043339</v>
      </c>
      <c r="AK71" s="34">
        <f t="shared" si="57"/>
        <v>0.69994304518415396</v>
      </c>
      <c r="AL71" s="34">
        <f t="shared" si="58"/>
        <v>0.32345989190711438</v>
      </c>
      <c r="AM71" s="34"/>
      <c r="AN71" s="35">
        <v>0.51550708940233625</v>
      </c>
      <c r="AO71">
        <f t="shared" si="20"/>
        <v>5</v>
      </c>
      <c r="AP71">
        <v>2.7873523877208877</v>
      </c>
      <c r="AQ71">
        <v>9</v>
      </c>
      <c r="AR71">
        <v>35</v>
      </c>
      <c r="AS71" s="154">
        <v>53</v>
      </c>
      <c r="AT71">
        <v>70</v>
      </c>
    </row>
    <row r="72" spans="1:46" x14ac:dyDescent="0.35">
      <c r="A72">
        <v>21</v>
      </c>
      <c r="B72" s="16" t="s">
        <v>144</v>
      </c>
      <c r="C72" s="16" t="s">
        <v>1087</v>
      </c>
      <c r="D72" s="16" t="s">
        <v>67</v>
      </c>
      <c r="E72" s="9" t="s">
        <v>5</v>
      </c>
      <c r="F72">
        <v>2</v>
      </c>
      <c r="G72">
        <v>2</v>
      </c>
      <c r="I72">
        <v>2</v>
      </c>
      <c r="J72">
        <v>1</v>
      </c>
      <c r="L72">
        <f>46+19</f>
        <v>65</v>
      </c>
      <c r="M72">
        <f>60+14</f>
        <v>74</v>
      </c>
      <c r="N72" s="73">
        <f t="shared" si="40"/>
        <v>16.25</v>
      </c>
      <c r="O72" s="73">
        <f t="shared" si="41"/>
        <v>18.5</v>
      </c>
      <c r="P72" s="73">
        <f t="shared" si="42"/>
        <v>-2.25</v>
      </c>
      <c r="Q72">
        <f>28+13</f>
        <v>41</v>
      </c>
      <c r="R72" s="54">
        <f t="shared" si="43"/>
        <v>1.5853658536585367</v>
      </c>
      <c r="S72" s="9">
        <f>-2.826-1.655-3.05-0.972</f>
        <v>-8.5030000000000001</v>
      </c>
      <c r="T72" s="9">
        <f>-2.826-0.972</f>
        <v>-3.798</v>
      </c>
      <c r="U72" s="54">
        <f t="shared" si="44"/>
        <v>-1.062875</v>
      </c>
      <c r="V72" s="54">
        <f t="shared" si="45"/>
        <v>-2.8835999999999995</v>
      </c>
      <c r="W72" s="9">
        <f>63.449+0.416+19.994+40.413</f>
        <v>124.27199999999999</v>
      </c>
      <c r="X72" s="54">
        <f t="shared" si="46"/>
        <v>31.067999999999998</v>
      </c>
      <c r="Y72" s="54">
        <f t="shared" si="47"/>
        <v>5.5738675979969239</v>
      </c>
      <c r="Z72" s="152">
        <v>63</v>
      </c>
      <c r="AA72" s="49">
        <v>71</v>
      </c>
      <c r="AB72" s="48">
        <f t="shared" si="48"/>
        <v>49</v>
      </c>
      <c r="AC72" s="36">
        <f t="shared" si="49"/>
        <v>0.6070608556957594</v>
      </c>
      <c r="AD72" s="34">
        <f t="shared" si="50"/>
        <v>0.5</v>
      </c>
      <c r="AE72" s="34">
        <f t="shared" si="51"/>
        <v>0.66666666666666663</v>
      </c>
      <c r="AF72" s="34">
        <f t="shared" si="52"/>
        <v>0.44927536231884058</v>
      </c>
      <c r="AG72" s="34">
        <f t="shared" si="53"/>
        <v>0.22388059701492535</v>
      </c>
      <c r="AH72" s="34">
        <f t="shared" si="54"/>
        <v>0.31868131868131866</v>
      </c>
      <c r="AI72" s="34">
        <f t="shared" si="55"/>
        <v>0.14750420639371847</v>
      </c>
      <c r="AJ72" s="34">
        <f t="shared" si="56"/>
        <v>0.77699369885667036</v>
      </c>
      <c r="AK72" s="34">
        <f t="shared" si="57"/>
        <v>0.90875838501455508</v>
      </c>
      <c r="AL72" s="34">
        <f t="shared" si="58"/>
        <v>0.41736676871046363</v>
      </c>
      <c r="AM72" s="34"/>
      <c r="AN72" s="35">
        <v>0.5083431857346925</v>
      </c>
      <c r="AO72">
        <f t="shared" si="20"/>
        <v>3</v>
      </c>
      <c r="AP72">
        <v>5.2870596743369562</v>
      </c>
      <c r="AQ72">
        <v>50</v>
      </c>
      <c r="AR72">
        <v>16</v>
      </c>
      <c r="AS72" s="154">
        <v>57</v>
      </c>
      <c r="AT72">
        <v>71</v>
      </c>
    </row>
    <row r="73" spans="1:46" x14ac:dyDescent="0.35">
      <c r="A73">
        <v>97</v>
      </c>
      <c r="B73" s="69" t="s">
        <v>1296</v>
      </c>
      <c r="C73" s="69" t="s">
        <v>1107</v>
      </c>
      <c r="D73" s="69" t="s">
        <v>958</v>
      </c>
      <c r="E73" s="9" t="s">
        <v>6</v>
      </c>
      <c r="F73">
        <v>1</v>
      </c>
      <c r="G73">
        <v>3</v>
      </c>
      <c r="I73">
        <v>0</v>
      </c>
      <c r="J73">
        <v>3</v>
      </c>
      <c r="L73">
        <v>58</v>
      </c>
      <c r="M73">
        <f>39+31</f>
        <v>70</v>
      </c>
      <c r="N73" s="73">
        <f t="shared" si="40"/>
        <v>14.5</v>
      </c>
      <c r="O73" s="73">
        <f t="shared" si="41"/>
        <v>17.5</v>
      </c>
      <c r="P73" s="73">
        <f t="shared" si="42"/>
        <v>-3</v>
      </c>
      <c r="Q73">
        <v>32</v>
      </c>
      <c r="R73" s="54">
        <f t="shared" si="43"/>
        <v>1.8125</v>
      </c>
      <c r="S73" s="9">
        <f>-3.323-2.446+0.947-4.206</f>
        <v>-9.0280000000000005</v>
      </c>
      <c r="T73" s="9">
        <f>0.947</f>
        <v>0.94699999999999995</v>
      </c>
      <c r="U73" s="54">
        <f t="shared" si="44"/>
        <v>-1.1285000000000001</v>
      </c>
      <c r="V73" s="54">
        <f t="shared" si="45"/>
        <v>-12.416299999999998</v>
      </c>
      <c r="W73" s="9">
        <f>24.663+17.763+(281.694-104.2647)+0.389</f>
        <v>220.24430000000001</v>
      </c>
      <c r="X73" s="54">
        <f t="shared" si="46"/>
        <v>55.061075000000002</v>
      </c>
      <c r="Y73" s="54">
        <f t="shared" si="47"/>
        <v>7.4203150202669965</v>
      </c>
      <c r="Z73" s="152">
        <v>29</v>
      </c>
      <c r="AA73" s="49">
        <v>72</v>
      </c>
      <c r="AB73" s="48">
        <f t="shared" si="48"/>
        <v>89</v>
      </c>
      <c r="AC73" s="36">
        <f t="shared" si="49"/>
        <v>0.41119315713460286</v>
      </c>
      <c r="AD73" s="34">
        <f t="shared" si="50"/>
        <v>0.25</v>
      </c>
      <c r="AE73" s="34">
        <f t="shared" si="51"/>
        <v>0</v>
      </c>
      <c r="AF73" s="34">
        <f t="shared" si="52"/>
        <v>0.34782608695652173</v>
      </c>
      <c r="AG73" s="34">
        <f t="shared" si="53"/>
        <v>0.28358208955223885</v>
      </c>
      <c r="AH73" s="34">
        <f t="shared" si="54"/>
        <v>0.2857142857142857</v>
      </c>
      <c r="AI73" s="34">
        <f t="shared" si="55"/>
        <v>0.35642176107683676</v>
      </c>
      <c r="AJ73" s="34">
        <f t="shared" si="56"/>
        <v>0.78447808855815016</v>
      </c>
      <c r="AK73" s="34">
        <f t="shared" si="57"/>
        <v>0.60712884445006965</v>
      </c>
      <c r="AL73" s="34">
        <f t="shared" si="58"/>
        <v>0.66042358001520141</v>
      </c>
      <c r="AN73" s="35">
        <v>0.50521977210986957</v>
      </c>
      <c r="AO73">
        <f t="shared" si="20"/>
        <v>2</v>
      </c>
      <c r="AP73">
        <v>8.5606717026177339</v>
      </c>
      <c r="AQ73">
        <v>84</v>
      </c>
      <c r="AR73">
        <v>82</v>
      </c>
      <c r="AS73" s="154">
        <v>96</v>
      </c>
      <c r="AT73">
        <v>72</v>
      </c>
    </row>
    <row r="74" spans="1:46" x14ac:dyDescent="0.35">
      <c r="A74">
        <v>93</v>
      </c>
      <c r="B74" s="58" t="s">
        <v>799</v>
      </c>
      <c r="C74" s="58" t="s">
        <v>1105</v>
      </c>
      <c r="D74" s="58" t="s">
        <v>909</v>
      </c>
      <c r="E74" s="9" t="s">
        <v>5</v>
      </c>
      <c r="F74">
        <v>2</v>
      </c>
      <c r="G74">
        <v>2</v>
      </c>
      <c r="I74">
        <v>2</v>
      </c>
      <c r="J74">
        <v>1</v>
      </c>
      <c r="L74">
        <v>62</v>
      </c>
      <c r="M74">
        <v>68</v>
      </c>
      <c r="N74" s="73">
        <f t="shared" si="40"/>
        <v>15.5</v>
      </c>
      <c r="O74" s="73">
        <f t="shared" si="41"/>
        <v>17</v>
      </c>
      <c r="P74" s="73">
        <f t="shared" si="42"/>
        <v>-1.5</v>
      </c>
      <c r="Q74">
        <v>32</v>
      </c>
      <c r="R74" s="54">
        <f t="shared" si="43"/>
        <v>1.9375</v>
      </c>
      <c r="S74" s="9">
        <f>-0.623-1.906+3.592-2.133</f>
        <v>-1.0699999999999998</v>
      </c>
      <c r="T74" s="9">
        <f>-1.906-2.133</f>
        <v>-4.0389999999999997</v>
      </c>
      <c r="U74" s="54">
        <f t="shared" si="44"/>
        <v>-0.13374999999999998</v>
      </c>
      <c r="V74" s="54">
        <f t="shared" si="45"/>
        <v>-2.7389999999999994</v>
      </c>
      <c r="W74" s="9">
        <f>4.609+57.672+13.735+29.978</f>
        <v>105.994</v>
      </c>
      <c r="X74" s="54">
        <f t="shared" si="46"/>
        <v>26.4985</v>
      </c>
      <c r="Y74" s="54">
        <f t="shared" si="47"/>
        <v>5.1476693755523968</v>
      </c>
      <c r="Z74" s="152">
        <v>43</v>
      </c>
      <c r="AA74" s="49">
        <v>73</v>
      </c>
      <c r="AB74" s="48">
        <f t="shared" si="48"/>
        <v>55</v>
      </c>
      <c r="AC74" s="36">
        <f t="shared" si="49"/>
        <v>0.59474525439926851</v>
      </c>
      <c r="AD74" s="34">
        <f t="shared" si="50"/>
        <v>0.5</v>
      </c>
      <c r="AE74" s="34">
        <f t="shared" si="51"/>
        <v>0.66666666666666663</v>
      </c>
      <c r="AF74" s="34">
        <f t="shared" si="52"/>
        <v>0.40579710144927539</v>
      </c>
      <c r="AG74" s="34">
        <f t="shared" si="53"/>
        <v>0.31343283582089554</v>
      </c>
      <c r="AH74" s="34">
        <f t="shared" si="54"/>
        <v>0.35164835164835168</v>
      </c>
      <c r="AI74" s="34">
        <f t="shared" si="55"/>
        <v>0.47139652271452603</v>
      </c>
      <c r="AJ74" s="34">
        <f t="shared" si="56"/>
        <v>0.67102899666410054</v>
      </c>
      <c r="AK74" s="34">
        <f t="shared" si="57"/>
        <v>0.91333375522085813</v>
      </c>
      <c r="AL74" s="34">
        <f t="shared" si="58"/>
        <v>0.36126423382010792</v>
      </c>
      <c r="AM74" s="34"/>
      <c r="AN74" s="35">
        <v>0.5051324065139019</v>
      </c>
      <c r="AO74">
        <f t="shared" si="20"/>
        <v>2</v>
      </c>
      <c r="AP74">
        <v>5.0337527419080352</v>
      </c>
      <c r="AQ74">
        <v>70</v>
      </c>
      <c r="AR74">
        <v>107</v>
      </c>
      <c r="AS74" s="154">
        <v>58</v>
      </c>
      <c r="AT74">
        <v>73</v>
      </c>
    </row>
    <row r="75" spans="1:46" x14ac:dyDescent="0.35">
      <c r="A75">
        <v>9</v>
      </c>
      <c r="B75" s="15" t="s">
        <v>143</v>
      </c>
      <c r="C75" s="15" t="s">
        <v>1083</v>
      </c>
      <c r="D75" s="15" t="s">
        <v>84</v>
      </c>
      <c r="E75" s="9" t="s">
        <v>6</v>
      </c>
      <c r="F75">
        <v>1</v>
      </c>
      <c r="G75">
        <v>3</v>
      </c>
      <c r="I75">
        <v>0</v>
      </c>
      <c r="J75">
        <v>3</v>
      </c>
      <c r="L75">
        <f>39+14</f>
        <v>53</v>
      </c>
      <c r="M75">
        <f>44+18</f>
        <v>62</v>
      </c>
      <c r="N75" s="73">
        <f t="shared" si="40"/>
        <v>13.25</v>
      </c>
      <c r="O75" s="73">
        <f t="shared" si="41"/>
        <v>15.5</v>
      </c>
      <c r="P75" s="73">
        <f t="shared" si="42"/>
        <v>-2.25</v>
      </c>
      <c r="Q75">
        <v>30</v>
      </c>
      <c r="R75" s="54">
        <f t="shared" si="43"/>
        <v>1.7666666666666666</v>
      </c>
      <c r="S75" s="9">
        <f>-0.164-0.803-3.718+0.716</f>
        <v>-3.9690000000000003</v>
      </c>
      <c r="T75" s="9">
        <f>-3.718</f>
        <v>-3.718</v>
      </c>
      <c r="U75" s="54">
        <f t="shared" si="44"/>
        <v>-0.49612500000000004</v>
      </c>
      <c r="V75" s="54">
        <f t="shared" si="45"/>
        <v>-6.351799999999999</v>
      </c>
      <c r="W75" s="9">
        <f>2.993+6.099+41.687+16.747</f>
        <v>67.525999999999996</v>
      </c>
      <c r="X75" s="54">
        <f t="shared" si="46"/>
        <v>16.881499999999999</v>
      </c>
      <c r="Y75" s="54">
        <f t="shared" si="47"/>
        <v>4.1087102599234226</v>
      </c>
      <c r="Z75" s="152">
        <v>51</v>
      </c>
      <c r="AA75" s="49">
        <v>74</v>
      </c>
      <c r="AB75" s="48">
        <f t="shared" si="48"/>
        <v>88</v>
      </c>
      <c r="AC75" s="36">
        <f t="shared" si="49"/>
        <v>0.42580310694747842</v>
      </c>
      <c r="AD75" s="34">
        <f t="shared" si="50"/>
        <v>0.25</v>
      </c>
      <c r="AE75" s="34">
        <f t="shared" si="51"/>
        <v>0</v>
      </c>
      <c r="AF75" s="34">
        <f t="shared" si="52"/>
        <v>0.27536231884057971</v>
      </c>
      <c r="AG75" s="34">
        <f t="shared" si="53"/>
        <v>0.40298507462686572</v>
      </c>
      <c r="AH75" s="34">
        <f t="shared" si="54"/>
        <v>0.31868131868131866</v>
      </c>
      <c r="AI75" s="34">
        <f t="shared" si="55"/>
        <v>0.31426434847635065</v>
      </c>
      <c r="AJ75" s="34">
        <f t="shared" si="56"/>
        <v>0.71235708379665263</v>
      </c>
      <c r="AK75" s="34">
        <f t="shared" si="57"/>
        <v>0.79901911150487281</v>
      </c>
      <c r="AL75" s="34">
        <f t="shared" si="58"/>
        <v>0.22450101669567643</v>
      </c>
      <c r="AM75" s="34"/>
      <c r="AN75" s="35">
        <v>0.49596766965472211</v>
      </c>
      <c r="AO75">
        <f t="shared" si="20"/>
        <v>2</v>
      </c>
      <c r="AP75">
        <v>4.1141625312247125</v>
      </c>
      <c r="AQ75">
        <v>62</v>
      </c>
      <c r="AR75">
        <v>86</v>
      </c>
      <c r="AS75" s="154">
        <v>101</v>
      </c>
      <c r="AT75">
        <v>74</v>
      </c>
    </row>
    <row r="76" spans="1:46" x14ac:dyDescent="0.35">
      <c r="A76">
        <v>60</v>
      </c>
      <c r="B76" s="19" t="s">
        <v>172</v>
      </c>
      <c r="C76" s="19" t="s">
        <v>1099</v>
      </c>
      <c r="D76" s="19" t="s">
        <v>43</v>
      </c>
      <c r="E76" s="9" t="s">
        <v>5</v>
      </c>
      <c r="F76">
        <v>2</v>
      </c>
      <c r="G76">
        <v>2</v>
      </c>
      <c r="I76">
        <v>1</v>
      </c>
      <c r="J76">
        <v>2</v>
      </c>
      <c r="L76">
        <v>46</v>
      </c>
      <c r="M76">
        <v>46</v>
      </c>
      <c r="N76" s="73">
        <f t="shared" si="40"/>
        <v>11.5</v>
      </c>
      <c r="O76" s="73">
        <f t="shared" si="41"/>
        <v>11.5</v>
      </c>
      <c r="P76" s="73">
        <f t="shared" si="42"/>
        <v>0</v>
      </c>
      <c r="Q76">
        <v>29</v>
      </c>
      <c r="R76" s="54">
        <f t="shared" si="43"/>
        <v>1.5862068965517242</v>
      </c>
      <c r="S76" s="9">
        <f>-3.4+1.329+0.834-0.644</f>
        <v>-1.8809999999999998</v>
      </c>
      <c r="T76" s="9">
        <f>0.834-0.644</f>
        <v>0.18999999999999995</v>
      </c>
      <c r="U76" s="54">
        <f t="shared" si="44"/>
        <v>-0.23512499999999997</v>
      </c>
      <c r="V76" s="54">
        <f t="shared" si="45"/>
        <v>-5.2763999999999989</v>
      </c>
      <c r="W76" s="9">
        <f>17.715+3.294+49.741+40.953</f>
        <v>111.703</v>
      </c>
      <c r="X76" s="54">
        <f t="shared" si="46"/>
        <v>27.925750000000001</v>
      </c>
      <c r="Y76" s="54">
        <f t="shared" si="47"/>
        <v>5.284481999212411</v>
      </c>
      <c r="Z76" s="152">
        <v>87</v>
      </c>
      <c r="AA76" s="49">
        <v>75</v>
      </c>
      <c r="AB76" s="48">
        <f t="shared" si="48"/>
        <v>50</v>
      </c>
      <c r="AC76" s="36">
        <f t="shared" si="49"/>
        <v>0.60320806938200955</v>
      </c>
      <c r="AD76" s="34">
        <f t="shared" si="50"/>
        <v>0.5</v>
      </c>
      <c r="AE76" s="34">
        <f t="shared" si="51"/>
        <v>0.33333333333333331</v>
      </c>
      <c r="AF76" s="34">
        <f t="shared" si="52"/>
        <v>0.17391304347826086</v>
      </c>
      <c r="AG76" s="34">
        <f t="shared" si="53"/>
        <v>0.64179104477611948</v>
      </c>
      <c r="AH76" s="34">
        <f t="shared" si="54"/>
        <v>0.4175824175824176</v>
      </c>
      <c r="AI76" s="34">
        <f t="shared" si="55"/>
        <v>0.14827779604308897</v>
      </c>
      <c r="AJ76" s="34">
        <f t="shared" si="56"/>
        <v>0.68259059675533884</v>
      </c>
      <c r="AK76" s="34">
        <f t="shared" si="57"/>
        <v>0.83304644981647891</v>
      </c>
      <c r="AL76" s="34">
        <f t="shared" si="58"/>
        <v>0.37927354166823274</v>
      </c>
      <c r="AM76" s="34"/>
      <c r="AN76" s="35">
        <v>0.49194830605340339</v>
      </c>
      <c r="AO76">
        <f t="shared" si="20"/>
        <v>4</v>
      </c>
      <c r="AP76">
        <v>4.8562674281111553</v>
      </c>
      <c r="AQ76">
        <v>26</v>
      </c>
      <c r="AR76">
        <v>58</v>
      </c>
      <c r="AS76" s="154">
        <v>84</v>
      </c>
      <c r="AT76">
        <v>75</v>
      </c>
    </row>
    <row r="77" spans="1:46" x14ac:dyDescent="0.35">
      <c r="A77">
        <v>105</v>
      </c>
      <c r="B77" s="69" t="s">
        <v>1296</v>
      </c>
      <c r="C77" s="69" t="s">
        <v>918</v>
      </c>
      <c r="D77" s="69" t="s">
        <v>1343</v>
      </c>
      <c r="E77" s="9" t="s">
        <v>5</v>
      </c>
      <c r="F77">
        <v>2</v>
      </c>
      <c r="G77">
        <v>2</v>
      </c>
      <c r="I77">
        <v>1</v>
      </c>
      <c r="J77">
        <v>2</v>
      </c>
      <c r="L77">
        <f>48+18</f>
        <v>66</v>
      </c>
      <c r="M77">
        <f>41+16</f>
        <v>57</v>
      </c>
      <c r="N77" s="73">
        <f t="shared" si="40"/>
        <v>16.5</v>
      </c>
      <c r="O77" s="73">
        <f t="shared" si="41"/>
        <v>14.25</v>
      </c>
      <c r="P77" s="73">
        <f t="shared" si="42"/>
        <v>2.25</v>
      </c>
      <c r="Q77">
        <v>31</v>
      </c>
      <c r="R77" s="54">
        <f t="shared" si="43"/>
        <v>2.129032258064516</v>
      </c>
      <c r="S77" s="9">
        <f>-4.53-4.007-0.605+2.878</f>
        <v>-6.2639999999999993</v>
      </c>
      <c r="T77" s="9">
        <f>-0.605+2.878</f>
        <v>2.2730000000000001</v>
      </c>
      <c r="U77" s="54">
        <f t="shared" si="44"/>
        <v>-0.78299999999999992</v>
      </c>
      <c r="V77" s="54">
        <f t="shared" si="45"/>
        <v>-6.5261999999999993</v>
      </c>
      <c r="W77" s="9">
        <f>12.159+18.11+81.415+31.644</f>
        <v>143.328</v>
      </c>
      <c r="X77" s="54">
        <f t="shared" si="46"/>
        <v>35.832000000000001</v>
      </c>
      <c r="Y77" s="54">
        <f t="shared" si="47"/>
        <v>5.9859836284440338</v>
      </c>
      <c r="Z77" s="152">
        <v>15</v>
      </c>
      <c r="AA77" s="49">
        <v>76</v>
      </c>
      <c r="AB77" s="48">
        <f t="shared" si="48"/>
        <v>64</v>
      </c>
      <c r="AC77" s="36">
        <f t="shared" si="49"/>
        <v>0.56096422531954993</v>
      </c>
      <c r="AD77" s="34">
        <f t="shared" si="50"/>
        <v>0.5</v>
      </c>
      <c r="AE77" s="34">
        <f t="shared" si="51"/>
        <v>0.33333333333333331</v>
      </c>
      <c r="AF77" s="34">
        <f t="shared" si="52"/>
        <v>0.46376811594202899</v>
      </c>
      <c r="AG77" s="34">
        <f t="shared" si="53"/>
        <v>0.47761194029850751</v>
      </c>
      <c r="AH77" s="34">
        <f t="shared" si="54"/>
        <v>0.51648351648351654</v>
      </c>
      <c r="AI77" s="34">
        <f t="shared" si="55"/>
        <v>0.64756752844969501</v>
      </c>
      <c r="AJ77" s="34">
        <f t="shared" si="56"/>
        <v>0.74507455877740703</v>
      </c>
      <c r="AK77" s="34">
        <f t="shared" si="57"/>
        <v>0.79350082268067335</v>
      </c>
      <c r="AL77" s="34">
        <f t="shared" si="58"/>
        <v>0.47161559650805779</v>
      </c>
      <c r="AN77" s="35">
        <v>0.49102526639767247</v>
      </c>
      <c r="AO77">
        <f t="shared" si="20"/>
        <v>1</v>
      </c>
      <c r="AP77">
        <v>6.1014752314501779</v>
      </c>
      <c r="AQ77">
        <v>98</v>
      </c>
      <c r="AR77">
        <v>91</v>
      </c>
      <c r="AS77" s="154">
        <v>97</v>
      </c>
      <c r="AT77">
        <v>76</v>
      </c>
    </row>
    <row r="78" spans="1:46" x14ac:dyDescent="0.35">
      <c r="A78">
        <v>5</v>
      </c>
      <c r="B78" s="15" t="s">
        <v>143</v>
      </c>
      <c r="C78" s="15" t="s">
        <v>1084</v>
      </c>
      <c r="D78" s="15" t="s">
        <v>74</v>
      </c>
      <c r="E78" s="9" t="s">
        <v>5</v>
      </c>
      <c r="F78">
        <v>2</v>
      </c>
      <c r="G78">
        <v>2</v>
      </c>
      <c r="I78">
        <v>2</v>
      </c>
      <c r="J78">
        <v>1</v>
      </c>
      <c r="L78">
        <f>38+18</f>
        <v>56</v>
      </c>
      <c r="M78">
        <f>45+14</f>
        <v>59</v>
      </c>
      <c r="N78" s="73">
        <f t="shared" si="40"/>
        <v>14</v>
      </c>
      <c r="O78" s="73">
        <f t="shared" si="41"/>
        <v>14.75</v>
      </c>
      <c r="P78" s="73">
        <f t="shared" si="42"/>
        <v>-0.75</v>
      </c>
      <c r="Q78">
        <v>34</v>
      </c>
      <c r="R78" s="54">
        <f t="shared" si="43"/>
        <v>1.6470588235294117</v>
      </c>
      <c r="S78" s="9">
        <f>1.029-1.659-2.059-0.716</f>
        <v>-3.4050000000000002</v>
      </c>
      <c r="T78" s="9">
        <f>1.029-0.716</f>
        <v>0.31299999999999994</v>
      </c>
      <c r="U78" s="54">
        <f t="shared" si="44"/>
        <v>-0.42562500000000003</v>
      </c>
      <c r="V78" s="54">
        <f t="shared" si="45"/>
        <v>-5.3502000000000001</v>
      </c>
      <c r="W78" s="9">
        <f>17.564+25.294+10.278+42.619</f>
        <v>95.754999999999995</v>
      </c>
      <c r="X78" s="54">
        <f t="shared" si="46"/>
        <v>23.938749999999999</v>
      </c>
      <c r="Y78" s="54">
        <f t="shared" si="47"/>
        <v>4.892724190060175</v>
      </c>
      <c r="Z78" s="152">
        <v>61</v>
      </c>
      <c r="AA78" s="49">
        <v>77</v>
      </c>
      <c r="AB78" s="48">
        <f t="shared" si="48"/>
        <v>52</v>
      </c>
      <c r="AC78" s="36">
        <f t="shared" si="49"/>
        <v>0.6008997282249503</v>
      </c>
      <c r="AD78" s="34">
        <f t="shared" si="50"/>
        <v>0.5</v>
      </c>
      <c r="AE78" s="34">
        <f t="shared" si="51"/>
        <v>0.66666666666666663</v>
      </c>
      <c r="AF78" s="34">
        <f t="shared" si="52"/>
        <v>0.3188405797101449</v>
      </c>
      <c r="AG78" s="34">
        <f t="shared" si="53"/>
        <v>0.44776119402985071</v>
      </c>
      <c r="AH78" s="34">
        <f t="shared" si="54"/>
        <v>0.38461538461538464</v>
      </c>
      <c r="AI78" s="34">
        <f t="shared" si="55"/>
        <v>0.20424928243871851</v>
      </c>
      <c r="AJ78" s="34">
        <f t="shared" si="56"/>
        <v>0.70431671086020586</v>
      </c>
      <c r="AK78" s="34">
        <f t="shared" si="57"/>
        <v>0.83071130236678903</v>
      </c>
      <c r="AL78" s="34">
        <f t="shared" si="58"/>
        <v>0.32770456507684559</v>
      </c>
      <c r="AM78" s="34"/>
      <c r="AN78" s="35">
        <v>0.47918234874268012</v>
      </c>
      <c r="AO78">
        <f t="shared" si="20"/>
        <v>3</v>
      </c>
      <c r="AP78">
        <v>4.2085627000200434</v>
      </c>
      <c r="AQ78">
        <v>52</v>
      </c>
      <c r="AR78">
        <v>44</v>
      </c>
      <c r="AS78" s="154">
        <v>62</v>
      </c>
      <c r="AT78">
        <v>77</v>
      </c>
    </row>
    <row r="79" spans="1:46" x14ac:dyDescent="0.35">
      <c r="A79">
        <v>65</v>
      </c>
      <c r="B79" s="21" t="s">
        <v>173</v>
      </c>
      <c r="C79" s="21" t="s">
        <v>166</v>
      </c>
      <c r="D79" s="21" t="s">
        <v>23</v>
      </c>
      <c r="E79" s="9" t="s">
        <v>5</v>
      </c>
      <c r="F79">
        <v>2</v>
      </c>
      <c r="G79">
        <v>2</v>
      </c>
      <c r="I79">
        <v>2</v>
      </c>
      <c r="J79">
        <v>1</v>
      </c>
      <c r="L79">
        <v>58</v>
      </c>
      <c r="M79">
        <v>58</v>
      </c>
      <c r="N79" s="73">
        <f t="shared" si="40"/>
        <v>14.5</v>
      </c>
      <c r="O79" s="73">
        <f t="shared" si="41"/>
        <v>14.5</v>
      </c>
      <c r="P79" s="73">
        <f t="shared" si="42"/>
        <v>0</v>
      </c>
      <c r="Q79">
        <v>34</v>
      </c>
      <c r="R79" s="54">
        <f t="shared" si="43"/>
        <v>1.7058823529411764</v>
      </c>
      <c r="S79" s="9">
        <f>-0.499-1.591-4.978-1.274</f>
        <v>-8.3419999999999987</v>
      </c>
      <c r="T79" s="9">
        <f>-0.499-1.274</f>
        <v>-1.7730000000000001</v>
      </c>
      <c r="U79" s="54">
        <f t="shared" si="44"/>
        <v>-1.0427499999999998</v>
      </c>
      <c r="V79" s="54">
        <f t="shared" si="45"/>
        <v>-4.0985999999999994</v>
      </c>
      <c r="W79" s="9">
        <f>51.269+30.385+15.82+30.896</f>
        <v>128.37</v>
      </c>
      <c r="X79" s="54">
        <f t="shared" si="46"/>
        <v>32.092500000000001</v>
      </c>
      <c r="Y79" s="54">
        <f t="shared" si="47"/>
        <v>5.6650242717926638</v>
      </c>
      <c r="Z79" s="152">
        <v>16</v>
      </c>
      <c r="AA79" s="49">
        <v>78</v>
      </c>
      <c r="AB79" s="48">
        <f t="shared" si="48"/>
        <v>65</v>
      </c>
      <c r="AC79" s="36">
        <f t="shared" si="49"/>
        <v>0.5603610677655918</v>
      </c>
      <c r="AD79" s="34">
        <f t="shared" si="50"/>
        <v>0.5</v>
      </c>
      <c r="AE79" s="34">
        <f t="shared" si="51"/>
        <v>0.66666666666666663</v>
      </c>
      <c r="AF79" s="34">
        <f t="shared" si="52"/>
        <v>0.34782608695652173</v>
      </c>
      <c r="AG79" s="34">
        <f t="shared" si="53"/>
        <v>0.46268656716417911</v>
      </c>
      <c r="AH79" s="34">
        <f t="shared" si="54"/>
        <v>0.4175824175824176</v>
      </c>
      <c r="AI79" s="34">
        <f t="shared" si="55"/>
        <v>0.25835505262116054</v>
      </c>
      <c r="AJ79" s="34">
        <f t="shared" si="56"/>
        <v>0.77469848601488323</v>
      </c>
      <c r="AK79" s="34">
        <f t="shared" si="57"/>
        <v>0.8703138843184407</v>
      </c>
      <c r="AL79" s="34">
        <f t="shared" si="58"/>
        <v>0.4293661628955952</v>
      </c>
      <c r="AM79" s="34"/>
      <c r="AN79" s="35">
        <v>0.46009815456575914</v>
      </c>
      <c r="AO79">
        <f t="shared" si="20"/>
        <v>1</v>
      </c>
      <c r="AP79">
        <v>5.7001169578644024</v>
      </c>
      <c r="AQ79">
        <v>97</v>
      </c>
      <c r="AR79">
        <v>52</v>
      </c>
      <c r="AS79" s="154">
        <v>66</v>
      </c>
      <c r="AT79">
        <v>78</v>
      </c>
    </row>
    <row r="80" spans="1:46" x14ac:dyDescent="0.35">
      <c r="A80">
        <v>8</v>
      </c>
      <c r="B80" s="15" t="s">
        <v>143</v>
      </c>
      <c r="C80" s="15" t="s">
        <v>1084</v>
      </c>
      <c r="D80" s="15" t="s">
        <v>73</v>
      </c>
      <c r="E80" s="9" t="s">
        <v>5</v>
      </c>
      <c r="F80">
        <v>2</v>
      </c>
      <c r="G80">
        <v>2</v>
      </c>
      <c r="I80">
        <v>1</v>
      </c>
      <c r="J80">
        <v>2</v>
      </c>
      <c r="L80">
        <v>62</v>
      </c>
      <c r="M80">
        <v>65</v>
      </c>
      <c r="N80" s="73">
        <f t="shared" si="40"/>
        <v>15.5</v>
      </c>
      <c r="O80" s="73">
        <f t="shared" si="41"/>
        <v>16.25</v>
      </c>
      <c r="P80" s="73">
        <f t="shared" si="42"/>
        <v>-0.75</v>
      </c>
      <c r="Q80">
        <v>42</v>
      </c>
      <c r="R80" s="54">
        <f t="shared" si="43"/>
        <v>1.4761904761904763</v>
      </c>
      <c r="S80" s="9">
        <f>-1.511-3.101-3.592-5.012</f>
        <v>-13.216000000000001</v>
      </c>
      <c r="T80" s="9">
        <f>-3.592-5.012</f>
        <v>-8.6039999999999992</v>
      </c>
      <c r="U80" s="54">
        <f t="shared" si="44"/>
        <v>-1.6520000000000001</v>
      </c>
      <c r="V80" s="54">
        <f t="shared" si="45"/>
        <v>0</v>
      </c>
      <c r="W80" s="9">
        <f>26.952+22.038+44.302+35.91</f>
        <v>129.202</v>
      </c>
      <c r="X80" s="54">
        <f t="shared" si="46"/>
        <v>32.3005</v>
      </c>
      <c r="Y80" s="54">
        <f t="shared" si="47"/>
        <v>5.6833528836418381</v>
      </c>
      <c r="Z80" s="152">
        <v>38</v>
      </c>
      <c r="AA80" s="49">
        <v>79</v>
      </c>
      <c r="AB80" s="48">
        <f t="shared" si="48"/>
        <v>67</v>
      </c>
      <c r="AC80" s="36">
        <f t="shared" si="49"/>
        <v>0.54606274550802258</v>
      </c>
      <c r="AD80" s="34">
        <f t="shared" si="50"/>
        <v>0.5</v>
      </c>
      <c r="AE80" s="34">
        <f t="shared" si="51"/>
        <v>0.33333333333333331</v>
      </c>
      <c r="AF80" s="34">
        <f t="shared" si="52"/>
        <v>0.40579710144927539</v>
      </c>
      <c r="AG80" s="34">
        <f t="shared" si="53"/>
        <v>0.35820895522388063</v>
      </c>
      <c r="AH80" s="34">
        <f t="shared" si="54"/>
        <v>0.38461538461538464</v>
      </c>
      <c r="AI80" s="34">
        <f t="shared" si="55"/>
        <v>4.7084902384958507E-2</v>
      </c>
      <c r="AJ80" s="34">
        <f t="shared" si="56"/>
        <v>0.84418213440538303</v>
      </c>
      <c r="AK80" s="34">
        <f t="shared" si="57"/>
        <v>1</v>
      </c>
      <c r="AL80" s="34">
        <f t="shared" si="58"/>
        <v>0.43177884678681888</v>
      </c>
      <c r="AM80" s="34"/>
      <c r="AN80" s="35">
        <v>0.45543188016242708</v>
      </c>
      <c r="AO80">
        <f t="shared" si="20"/>
        <v>2</v>
      </c>
      <c r="AP80">
        <v>5.576498303894061</v>
      </c>
      <c r="AQ80">
        <v>75</v>
      </c>
      <c r="AR80">
        <v>78</v>
      </c>
      <c r="AS80" s="154">
        <v>94</v>
      </c>
      <c r="AT80">
        <v>79</v>
      </c>
    </row>
    <row r="81" spans="1:46" x14ac:dyDescent="0.35">
      <c r="A81">
        <v>22</v>
      </c>
      <c r="B81" s="16" t="s">
        <v>144</v>
      </c>
      <c r="C81" s="16" t="s">
        <v>1087</v>
      </c>
      <c r="D81" s="16" t="s">
        <v>68</v>
      </c>
      <c r="E81" s="9" t="s">
        <v>6</v>
      </c>
      <c r="F81">
        <v>1</v>
      </c>
      <c r="G81">
        <v>3</v>
      </c>
      <c r="I81">
        <v>1</v>
      </c>
      <c r="J81">
        <v>2</v>
      </c>
      <c r="L81">
        <v>52</v>
      </c>
      <c r="M81">
        <f>57+17</f>
        <v>74</v>
      </c>
      <c r="N81" s="73">
        <f t="shared" si="40"/>
        <v>13</v>
      </c>
      <c r="O81" s="73">
        <f t="shared" si="41"/>
        <v>18.5</v>
      </c>
      <c r="P81" s="73">
        <f t="shared" si="42"/>
        <v>-5.5</v>
      </c>
      <c r="Q81">
        <v>27</v>
      </c>
      <c r="R81" s="54">
        <f t="shared" si="43"/>
        <v>1.9259259259259258</v>
      </c>
      <c r="S81" s="9">
        <f>-6.628-3.965+3.718-3.023</f>
        <v>-9.8979999999999997</v>
      </c>
      <c r="T81" s="9">
        <f>-3.965</f>
        <v>-3.9649999999999999</v>
      </c>
      <c r="U81" s="54">
        <f t="shared" si="44"/>
        <v>-1.23725</v>
      </c>
      <c r="V81" s="54">
        <f t="shared" si="45"/>
        <v>-6.0306999999999995</v>
      </c>
      <c r="W81" s="9">
        <f>3.331+55.721+5.202+0.133</f>
        <v>64.387</v>
      </c>
      <c r="X81" s="54">
        <f t="shared" si="46"/>
        <v>16.09675</v>
      </c>
      <c r="Y81" s="54">
        <f t="shared" si="47"/>
        <v>4.0120755227188836</v>
      </c>
      <c r="Z81" s="152">
        <v>13</v>
      </c>
      <c r="AA81" s="49">
        <v>80</v>
      </c>
      <c r="AB81" s="48">
        <f t="shared" si="48"/>
        <v>92</v>
      </c>
      <c r="AC81" s="36">
        <f t="shared" si="49"/>
        <v>0.39908904902371245</v>
      </c>
      <c r="AD81" s="34">
        <f t="shared" si="50"/>
        <v>0.25</v>
      </c>
      <c r="AE81" s="34">
        <f t="shared" si="51"/>
        <v>0.33333333333333331</v>
      </c>
      <c r="AF81" s="34">
        <f t="shared" si="52"/>
        <v>0.2608695652173913</v>
      </c>
      <c r="AG81" s="34">
        <f t="shared" si="53"/>
        <v>0.22388059701492535</v>
      </c>
      <c r="AH81" s="34">
        <f t="shared" si="54"/>
        <v>0.17582417582417584</v>
      </c>
      <c r="AI81" s="34">
        <f t="shared" si="55"/>
        <v>0.46075071145177693</v>
      </c>
      <c r="AJ81" s="34">
        <f t="shared" si="56"/>
        <v>0.79688079149203084</v>
      </c>
      <c r="AK81" s="34">
        <f t="shared" si="57"/>
        <v>0.80917921782052904</v>
      </c>
      <c r="AL81" s="34">
        <f t="shared" si="58"/>
        <v>0.21178051850931046</v>
      </c>
      <c r="AM81" s="34"/>
      <c r="AN81" s="35">
        <v>0.45459819250532418</v>
      </c>
      <c r="AO81">
        <f t="shared" si="20"/>
        <v>1</v>
      </c>
      <c r="AP81">
        <v>4.6279585132107659</v>
      </c>
      <c r="AQ81">
        <v>100</v>
      </c>
      <c r="AR81">
        <v>109</v>
      </c>
      <c r="AS81" s="154">
        <v>67</v>
      </c>
      <c r="AT81">
        <v>80</v>
      </c>
    </row>
    <row r="82" spans="1:46" x14ac:dyDescent="0.35">
      <c r="A82">
        <v>41</v>
      </c>
      <c r="B82" s="17" t="s">
        <v>171</v>
      </c>
      <c r="C82" s="17" t="s">
        <v>1098</v>
      </c>
      <c r="D82" s="17" t="s">
        <v>117</v>
      </c>
      <c r="E82" s="9" t="s">
        <v>6</v>
      </c>
      <c r="F82">
        <v>1</v>
      </c>
      <c r="G82">
        <v>3</v>
      </c>
      <c r="I82">
        <v>1</v>
      </c>
      <c r="J82">
        <v>2</v>
      </c>
      <c r="L82">
        <v>58</v>
      </c>
      <c r="M82">
        <v>77</v>
      </c>
      <c r="N82" s="73">
        <f t="shared" si="40"/>
        <v>14.5</v>
      </c>
      <c r="O82" s="73">
        <f t="shared" si="41"/>
        <v>19.25</v>
      </c>
      <c r="P82" s="73">
        <f t="shared" si="42"/>
        <v>-4.75</v>
      </c>
      <c r="Q82">
        <v>30</v>
      </c>
      <c r="R82" s="54">
        <f t="shared" si="43"/>
        <v>1.9333333333333333</v>
      </c>
      <c r="S82" s="9">
        <f>-3.077-3.507+3.25+3.623</f>
        <v>0.28900000000000059</v>
      </c>
      <c r="T82" s="9">
        <f>-3.507</f>
        <v>-3.5070000000000001</v>
      </c>
      <c r="U82" s="54">
        <f t="shared" si="44"/>
        <v>7.2250000000000147E-2</v>
      </c>
      <c r="V82" s="54">
        <f t="shared" si="45"/>
        <v>-6.6260999999999992</v>
      </c>
      <c r="W82" s="9">
        <f>12.688+68.323+14.743+10.538</f>
        <v>106.29199999999999</v>
      </c>
      <c r="X82" s="54">
        <f t="shared" si="46"/>
        <v>26.572999999999997</v>
      </c>
      <c r="Y82" s="54">
        <f t="shared" si="47"/>
        <v>5.1549005810005681</v>
      </c>
      <c r="Z82" s="152">
        <v>18</v>
      </c>
      <c r="AA82" s="49">
        <v>81</v>
      </c>
      <c r="AB82" s="48">
        <f t="shared" si="48"/>
        <v>90</v>
      </c>
      <c r="AC82" s="36">
        <f t="shared" si="49"/>
        <v>0.41030169774312802</v>
      </c>
      <c r="AD82" s="34">
        <f t="shared" si="50"/>
        <v>0.25</v>
      </c>
      <c r="AE82" s="34">
        <f t="shared" si="51"/>
        <v>0.33333333333333331</v>
      </c>
      <c r="AF82" s="34">
        <f t="shared" si="52"/>
        <v>0.34782608695652173</v>
      </c>
      <c r="AG82" s="34">
        <f t="shared" si="53"/>
        <v>0.17910447761194026</v>
      </c>
      <c r="AH82" s="34">
        <f t="shared" si="54"/>
        <v>0.2087912087912088</v>
      </c>
      <c r="AI82" s="34">
        <f t="shared" si="55"/>
        <v>0.4675640306599364</v>
      </c>
      <c r="AJ82" s="34">
        <f t="shared" si="56"/>
        <v>0.64753514099164589</v>
      </c>
      <c r="AK82" s="34">
        <f t="shared" si="57"/>
        <v>0.79033983040121503</v>
      </c>
      <c r="AL82" s="34">
        <f t="shared" si="58"/>
        <v>0.36221611239348273</v>
      </c>
      <c r="AM82" s="34"/>
      <c r="AN82" s="35">
        <v>0.45242152853553769</v>
      </c>
      <c r="AO82">
        <f t="shared" si="20"/>
        <v>1</v>
      </c>
      <c r="AP82">
        <v>5.6496017558762492</v>
      </c>
      <c r="AQ82">
        <v>95</v>
      </c>
      <c r="AR82">
        <v>96</v>
      </c>
      <c r="AS82" s="154">
        <v>63</v>
      </c>
      <c r="AT82">
        <v>81</v>
      </c>
    </row>
    <row r="83" spans="1:46" x14ac:dyDescent="0.35">
      <c r="A83">
        <v>15</v>
      </c>
      <c r="B83" s="15" t="s">
        <v>143</v>
      </c>
      <c r="C83" s="15" t="s">
        <v>1082</v>
      </c>
      <c r="D83" s="15" t="s">
        <v>81</v>
      </c>
      <c r="E83" s="9" t="s">
        <v>5</v>
      </c>
      <c r="F83">
        <v>2</v>
      </c>
      <c r="G83">
        <v>2</v>
      </c>
      <c r="I83">
        <v>2</v>
      </c>
      <c r="J83">
        <v>1</v>
      </c>
      <c r="L83">
        <f>38+22</f>
        <v>60</v>
      </c>
      <c r="M83">
        <f>44+21</f>
        <v>65</v>
      </c>
      <c r="N83" s="73">
        <f t="shared" si="40"/>
        <v>15</v>
      </c>
      <c r="O83" s="73">
        <f t="shared" si="41"/>
        <v>16.25</v>
      </c>
      <c r="P83" s="73">
        <f t="shared" si="42"/>
        <v>-1.25</v>
      </c>
      <c r="Q83">
        <v>33</v>
      </c>
      <c r="R83" s="54">
        <f t="shared" si="43"/>
        <v>1.8181818181818181</v>
      </c>
      <c r="S83" s="9">
        <f>1.281+0.803+1.917-4.828</f>
        <v>-0.82699999999999996</v>
      </c>
      <c r="T83" s="9">
        <f>0.803-4.828</f>
        <v>-4.0250000000000004</v>
      </c>
      <c r="U83" s="54">
        <f t="shared" si="44"/>
        <v>-0.10337499999999999</v>
      </c>
      <c r="V83" s="54">
        <f t="shared" si="45"/>
        <v>-2.7473999999999994</v>
      </c>
      <c r="W83" s="9">
        <f>17.114+57.25+1.005+42.744</f>
        <v>118.113</v>
      </c>
      <c r="X83" s="54">
        <f t="shared" si="46"/>
        <v>29.52825</v>
      </c>
      <c r="Y83" s="54">
        <f t="shared" si="47"/>
        <v>5.4339902465867569</v>
      </c>
      <c r="Z83" s="152">
        <v>41</v>
      </c>
      <c r="AA83" s="49">
        <v>82</v>
      </c>
      <c r="AB83" s="48">
        <f t="shared" si="48"/>
        <v>56</v>
      </c>
      <c r="AC83" s="36">
        <f t="shared" si="49"/>
        <v>0.58767745108299563</v>
      </c>
      <c r="AD83" s="34">
        <f t="shared" si="50"/>
        <v>0.5</v>
      </c>
      <c r="AE83" s="34">
        <f t="shared" si="51"/>
        <v>0.66666666666666663</v>
      </c>
      <c r="AF83" s="34">
        <f t="shared" si="52"/>
        <v>0.37681159420289856</v>
      </c>
      <c r="AG83" s="34">
        <f t="shared" si="53"/>
        <v>0.35820895522388063</v>
      </c>
      <c r="AH83" s="34">
        <f t="shared" si="54"/>
        <v>0.36263736263736263</v>
      </c>
      <c r="AI83" s="34">
        <f t="shared" si="55"/>
        <v>0.36164788660582259</v>
      </c>
      <c r="AJ83" s="34">
        <f t="shared" si="56"/>
        <v>0.66756479343084418</v>
      </c>
      <c r="AK83" s="34">
        <f t="shared" si="57"/>
        <v>0.91306796608024299</v>
      </c>
      <c r="AL83" s="34">
        <f t="shared" si="58"/>
        <v>0.39895403591479633</v>
      </c>
      <c r="AM83" s="34"/>
      <c r="AN83" s="35">
        <v>0.44854810733462785</v>
      </c>
      <c r="AO83">
        <f t="shared" si="20"/>
        <v>2</v>
      </c>
      <c r="AP83">
        <v>5.0122849081032896</v>
      </c>
      <c r="AQ83">
        <v>72</v>
      </c>
      <c r="AR83">
        <v>81</v>
      </c>
      <c r="AS83" s="154">
        <v>61</v>
      </c>
      <c r="AT83">
        <v>82</v>
      </c>
    </row>
    <row r="84" spans="1:46" ht="13.75" customHeight="1" x14ac:dyDescent="0.35">
      <c r="A84">
        <v>11</v>
      </c>
      <c r="B84" s="15" t="s">
        <v>143</v>
      </c>
      <c r="C84" s="15" t="s">
        <v>1083</v>
      </c>
      <c r="D84" s="15" t="s">
        <v>86</v>
      </c>
      <c r="E84" s="9" t="s">
        <v>6</v>
      </c>
      <c r="F84">
        <v>1</v>
      </c>
      <c r="G84">
        <v>3</v>
      </c>
      <c r="I84">
        <v>0</v>
      </c>
      <c r="J84">
        <v>3</v>
      </c>
      <c r="L84">
        <v>58</v>
      </c>
      <c r="M84">
        <v>85</v>
      </c>
      <c r="N84" s="73">
        <f t="shared" si="40"/>
        <v>14.5</v>
      </c>
      <c r="O84" s="73">
        <f t="shared" si="41"/>
        <v>21.25</v>
      </c>
      <c r="P84" s="73">
        <f t="shared" si="42"/>
        <v>-6.75</v>
      </c>
      <c r="Q84">
        <v>38</v>
      </c>
      <c r="R84" s="54">
        <f t="shared" si="43"/>
        <v>1.5263157894736843</v>
      </c>
      <c r="S84" s="9">
        <f>0.695-6.498-1.172-2.943</f>
        <v>-9.9179999999999993</v>
      </c>
      <c r="T84" s="9">
        <f>-1.172</f>
        <v>-1.1719999999999999</v>
      </c>
      <c r="U84" s="54">
        <f t="shared" si="44"/>
        <v>-1.2397499999999999</v>
      </c>
      <c r="V84" s="54">
        <f t="shared" si="45"/>
        <v>-9.6616</v>
      </c>
      <c r="W84" s="9">
        <f>2.511+23.015+29.752+16.167</f>
        <v>71.444999999999993</v>
      </c>
      <c r="X84" s="54">
        <f t="shared" si="46"/>
        <v>17.861249999999998</v>
      </c>
      <c r="Y84" s="54">
        <f t="shared" si="47"/>
        <v>4.2262572093993516</v>
      </c>
      <c r="Z84" s="152">
        <v>73</v>
      </c>
      <c r="AA84" s="49">
        <v>83</v>
      </c>
      <c r="AB84" s="48">
        <f t="shared" si="48"/>
        <v>93</v>
      </c>
      <c r="AC84" s="36">
        <f t="shared" si="49"/>
        <v>0.39814419690821151</v>
      </c>
      <c r="AD84" s="34">
        <f t="shared" si="50"/>
        <v>0.25</v>
      </c>
      <c r="AE84" s="34">
        <f t="shared" si="51"/>
        <v>0</v>
      </c>
      <c r="AF84" s="34">
        <f t="shared" si="52"/>
        <v>0.34782608695652173</v>
      </c>
      <c r="AG84" s="34">
        <f t="shared" si="53"/>
        <v>5.9701492537313383E-2</v>
      </c>
      <c r="AH84" s="34">
        <f t="shared" si="54"/>
        <v>0.12087912087912088</v>
      </c>
      <c r="AI84" s="34">
        <f t="shared" si="55"/>
        <v>9.3190069958969252E-2</v>
      </c>
      <c r="AJ84" s="34">
        <f t="shared" si="56"/>
        <v>0.79716591109970625</v>
      </c>
      <c r="AK84" s="34">
        <f t="shared" si="57"/>
        <v>0.69429186178964686</v>
      </c>
      <c r="AL84" s="34">
        <f t="shared" si="58"/>
        <v>0.23997429060189626</v>
      </c>
      <c r="AM84" s="34"/>
      <c r="AN84" s="35">
        <v>0.43143275877412712</v>
      </c>
      <c r="AO84">
        <f t="shared" si="20"/>
        <v>3</v>
      </c>
      <c r="AP84">
        <v>4.2925516886812209</v>
      </c>
      <c r="AQ84">
        <v>40</v>
      </c>
      <c r="AR84">
        <v>84</v>
      </c>
      <c r="AS84" s="154">
        <v>93</v>
      </c>
      <c r="AT84">
        <v>83</v>
      </c>
    </row>
    <row r="85" spans="1:46" x14ac:dyDescent="0.35">
      <c r="A85">
        <v>95</v>
      </c>
      <c r="B85" s="58" t="s">
        <v>799</v>
      </c>
      <c r="C85" s="58" t="s">
        <v>1105</v>
      </c>
      <c r="D85" s="58" t="s">
        <v>789</v>
      </c>
      <c r="E85" s="9" t="s">
        <v>6</v>
      </c>
      <c r="F85">
        <v>1</v>
      </c>
      <c r="G85">
        <v>3</v>
      </c>
      <c r="I85">
        <v>0</v>
      </c>
      <c r="J85">
        <v>3</v>
      </c>
      <c r="L85">
        <v>54</v>
      </c>
      <c r="M85">
        <v>67</v>
      </c>
      <c r="N85" s="73">
        <f t="shared" si="40"/>
        <v>13.5</v>
      </c>
      <c r="O85" s="73">
        <f t="shared" si="41"/>
        <v>16.75</v>
      </c>
      <c r="P85" s="73">
        <f t="shared" si="42"/>
        <v>-3.25</v>
      </c>
      <c r="Q85">
        <v>34</v>
      </c>
      <c r="R85" s="54">
        <f t="shared" si="43"/>
        <v>1.588235294117647</v>
      </c>
      <c r="S85" s="9">
        <f>-4.136-5.756-1.324-4.257</f>
        <v>-15.472999999999999</v>
      </c>
      <c r="T85" s="9">
        <f>-1.324</f>
        <v>-1.3240000000000001</v>
      </c>
      <c r="U85" s="54">
        <f t="shared" si="44"/>
        <v>-1.9341249999999999</v>
      </c>
      <c r="V85" s="54">
        <f t="shared" si="45"/>
        <v>-9.4639999999999986</v>
      </c>
      <c r="W85" s="9">
        <f>16.734+13.607+57.433+8.056</f>
        <v>95.83</v>
      </c>
      <c r="X85" s="54">
        <f t="shared" si="46"/>
        <v>23.9575</v>
      </c>
      <c r="Y85" s="54">
        <f t="shared" si="47"/>
        <v>4.8946399254694928</v>
      </c>
      <c r="Z85" s="152">
        <v>25</v>
      </c>
      <c r="AA85" s="49">
        <v>84</v>
      </c>
      <c r="AB85" s="48">
        <f t="shared" si="48"/>
        <v>96</v>
      </c>
      <c r="AC85" s="36">
        <f t="shared" si="49"/>
        <v>0.37622258450843771</v>
      </c>
      <c r="AD85" s="34">
        <f t="shared" si="50"/>
        <v>0.25</v>
      </c>
      <c r="AE85" s="34">
        <f t="shared" si="51"/>
        <v>0</v>
      </c>
      <c r="AF85" s="34">
        <f t="shared" si="52"/>
        <v>0.28985507246376813</v>
      </c>
      <c r="AG85" s="34">
        <f t="shared" si="53"/>
        <v>0.32835820895522383</v>
      </c>
      <c r="AH85" s="34">
        <f t="shared" si="54"/>
        <v>0.27472527472527475</v>
      </c>
      <c r="AI85" s="34">
        <f t="shared" si="55"/>
        <v>0.15014351225627648</v>
      </c>
      <c r="AJ85" s="34">
        <f t="shared" si="56"/>
        <v>0.87635788213155419</v>
      </c>
      <c r="AK85" s="34">
        <f t="shared" si="57"/>
        <v>0.70054423490697382</v>
      </c>
      <c r="AL85" s="34">
        <f t="shared" si="58"/>
        <v>0.32795674260125074</v>
      </c>
      <c r="AM85" s="34"/>
      <c r="AN85" s="35">
        <v>0.42837251184194641</v>
      </c>
      <c r="AO85">
        <f t="shared" si="20"/>
        <v>1</v>
      </c>
      <c r="AP85">
        <v>5.4090664628935743</v>
      </c>
      <c r="AQ85">
        <v>88</v>
      </c>
      <c r="AR85">
        <v>88</v>
      </c>
      <c r="AS85" s="154">
        <v>103</v>
      </c>
      <c r="AT85">
        <v>84</v>
      </c>
    </row>
    <row r="86" spans="1:46" x14ac:dyDescent="0.35">
      <c r="A86">
        <v>43</v>
      </c>
      <c r="B86" s="17" t="s">
        <v>171</v>
      </c>
      <c r="C86" s="17" t="s">
        <v>1098</v>
      </c>
      <c r="D86" s="17" t="s">
        <v>56</v>
      </c>
      <c r="E86" s="9" t="s">
        <v>6</v>
      </c>
      <c r="F86">
        <v>1</v>
      </c>
      <c r="G86">
        <v>3</v>
      </c>
      <c r="I86">
        <v>1</v>
      </c>
      <c r="J86">
        <v>2</v>
      </c>
      <c r="L86">
        <v>53</v>
      </c>
      <c r="M86">
        <v>67</v>
      </c>
      <c r="N86" s="73">
        <f t="shared" si="40"/>
        <v>13.25</v>
      </c>
      <c r="O86" s="73">
        <f t="shared" si="41"/>
        <v>16.75</v>
      </c>
      <c r="P86" s="73">
        <f t="shared" si="42"/>
        <v>-3.5</v>
      </c>
      <c r="Q86">
        <v>37</v>
      </c>
      <c r="R86" s="54">
        <f t="shared" si="43"/>
        <v>1.4324324324324325</v>
      </c>
      <c r="S86" s="9">
        <f>-1.834+0.104-0.524-1.564</f>
        <v>-3.8180000000000001</v>
      </c>
      <c r="T86" s="9">
        <f>0.104</f>
        <v>0.104</v>
      </c>
      <c r="U86" s="54">
        <f t="shared" si="44"/>
        <v>-0.47725000000000001</v>
      </c>
      <c r="V86" s="54">
        <f t="shared" si="45"/>
        <v>-11.320399999999998</v>
      </c>
      <c r="W86" s="9">
        <f>4.899+83.871+1.866+2.269</f>
        <v>92.905000000000001</v>
      </c>
      <c r="X86" s="54">
        <f t="shared" si="46"/>
        <v>23.22625</v>
      </c>
      <c r="Y86" s="54">
        <f t="shared" si="47"/>
        <v>4.8193619909693437</v>
      </c>
      <c r="Z86" s="152">
        <v>17</v>
      </c>
      <c r="AA86" s="49">
        <v>85</v>
      </c>
      <c r="AB86" s="48">
        <f t="shared" si="48"/>
        <v>97</v>
      </c>
      <c r="AC86" s="36">
        <f t="shared" si="49"/>
        <v>0.37030583286393659</v>
      </c>
      <c r="AD86" s="34">
        <f t="shared" si="50"/>
        <v>0.25</v>
      </c>
      <c r="AE86" s="34">
        <f t="shared" si="51"/>
        <v>0.33333333333333331</v>
      </c>
      <c r="AF86" s="34">
        <f t="shared" si="52"/>
        <v>0.27536231884057971</v>
      </c>
      <c r="AG86" s="34">
        <f t="shared" si="53"/>
        <v>0.32835820895522383</v>
      </c>
      <c r="AH86" s="34">
        <f t="shared" si="54"/>
        <v>0.26373626373626374</v>
      </c>
      <c r="AI86" s="34">
        <f t="shared" si="55"/>
        <v>6.8363371784571827E-3</v>
      </c>
      <c r="AJ86" s="34">
        <f t="shared" si="56"/>
        <v>0.71020443075870321</v>
      </c>
      <c r="AK86" s="34">
        <f t="shared" si="57"/>
        <v>0.64180483483103412</v>
      </c>
      <c r="AL86" s="34">
        <f t="shared" si="58"/>
        <v>0.31804754372532579</v>
      </c>
      <c r="AM86" s="34"/>
      <c r="AN86" s="35">
        <v>0.42634073809022638</v>
      </c>
      <c r="AO86">
        <f t="shared" si="20"/>
        <v>1</v>
      </c>
      <c r="AP86">
        <v>5.4965443689649227</v>
      </c>
      <c r="AQ86">
        <v>96</v>
      </c>
      <c r="AR86">
        <v>110</v>
      </c>
      <c r="AS86" s="154">
        <v>71</v>
      </c>
      <c r="AT86">
        <v>85</v>
      </c>
    </row>
    <row r="87" spans="1:46" x14ac:dyDescent="0.35">
      <c r="A87">
        <v>26</v>
      </c>
      <c r="B87" s="16" t="s">
        <v>144</v>
      </c>
      <c r="C87" s="16" t="s">
        <v>1366</v>
      </c>
      <c r="D87" s="16" t="s">
        <v>63</v>
      </c>
      <c r="E87" s="9" t="s">
        <v>6</v>
      </c>
      <c r="F87">
        <v>1</v>
      </c>
      <c r="G87">
        <v>3</v>
      </c>
      <c r="I87">
        <v>0</v>
      </c>
      <c r="J87">
        <v>3</v>
      </c>
      <c r="L87">
        <v>56</v>
      </c>
      <c r="M87">
        <f>55+17</f>
        <v>72</v>
      </c>
      <c r="N87" s="73">
        <f t="shared" si="40"/>
        <v>14</v>
      </c>
      <c r="O87" s="73">
        <f t="shared" si="41"/>
        <v>18</v>
      </c>
      <c r="P87" s="73">
        <f t="shared" si="42"/>
        <v>-4</v>
      </c>
      <c r="Q87">
        <v>27</v>
      </c>
      <c r="R87" s="54">
        <f t="shared" si="43"/>
        <v>2.074074074074074</v>
      </c>
      <c r="S87" s="9">
        <f>0.16-0.594-1.916-1.423</f>
        <v>-3.7729999999999997</v>
      </c>
      <c r="T87" s="9">
        <f>-1.916</f>
        <v>-1.9159999999999999</v>
      </c>
      <c r="U87" s="54">
        <f t="shared" si="44"/>
        <v>-0.47162499999999996</v>
      </c>
      <c r="V87" s="54">
        <f t="shared" si="45"/>
        <v>-8.6943999999999981</v>
      </c>
      <c r="W87" s="9">
        <f>11.247+11.857+46.66+0</f>
        <v>69.763999999999996</v>
      </c>
      <c r="X87" s="54">
        <f t="shared" si="46"/>
        <v>17.440999999999999</v>
      </c>
      <c r="Y87" s="54">
        <f t="shared" si="47"/>
        <v>4.1762423301336336</v>
      </c>
      <c r="Z87" s="152">
        <v>7</v>
      </c>
      <c r="AA87" s="49">
        <v>86</v>
      </c>
      <c r="AB87" s="48">
        <f t="shared" si="48"/>
        <v>98</v>
      </c>
      <c r="AC87" s="36">
        <f t="shared" si="49"/>
        <v>0.35536336584065231</v>
      </c>
      <c r="AD87" s="34">
        <f t="shared" si="50"/>
        <v>0.25</v>
      </c>
      <c r="AE87" s="34">
        <f t="shared" si="51"/>
        <v>0</v>
      </c>
      <c r="AF87" s="34">
        <f t="shared" si="52"/>
        <v>0.3188405797101449</v>
      </c>
      <c r="AG87" s="34">
        <f t="shared" si="53"/>
        <v>0.25373134328358204</v>
      </c>
      <c r="AH87" s="34">
        <f t="shared" si="54"/>
        <v>0.24175824175824176</v>
      </c>
      <c r="AI87" s="34">
        <f t="shared" si="55"/>
        <v>0.5970170956149643</v>
      </c>
      <c r="AJ87" s="34">
        <f t="shared" si="56"/>
        <v>0.70956291164143359</v>
      </c>
      <c r="AK87" s="34">
        <f t="shared" si="57"/>
        <v>0.72489558283761557</v>
      </c>
      <c r="AL87" s="34">
        <f t="shared" si="58"/>
        <v>0.23339058996385081</v>
      </c>
      <c r="AM87" s="34"/>
      <c r="AN87" s="35">
        <v>0.42606318328640896</v>
      </c>
      <c r="AO87">
        <f t="shared" si="20"/>
        <v>1</v>
      </c>
      <c r="AP87">
        <v>4.822309267007526</v>
      </c>
      <c r="AQ87">
        <v>106</v>
      </c>
      <c r="AR87">
        <v>99</v>
      </c>
      <c r="AS87" s="154">
        <v>109</v>
      </c>
      <c r="AT87">
        <v>86</v>
      </c>
    </row>
    <row r="88" spans="1:46" x14ac:dyDescent="0.35">
      <c r="A88">
        <v>19</v>
      </c>
      <c r="B88" s="16" t="s">
        <v>144</v>
      </c>
      <c r="C88" s="16" t="s">
        <v>1086</v>
      </c>
      <c r="D88" s="16" t="s">
        <v>114</v>
      </c>
      <c r="E88" s="9" t="s">
        <v>5</v>
      </c>
      <c r="F88">
        <v>2</v>
      </c>
      <c r="G88">
        <v>2</v>
      </c>
      <c r="I88">
        <v>2</v>
      </c>
      <c r="J88">
        <v>1</v>
      </c>
      <c r="L88">
        <v>51</v>
      </c>
      <c r="M88">
        <v>72</v>
      </c>
      <c r="N88" s="73">
        <f t="shared" si="40"/>
        <v>12.75</v>
      </c>
      <c r="O88" s="73">
        <f t="shared" si="41"/>
        <v>18</v>
      </c>
      <c r="P88" s="73">
        <f t="shared" si="42"/>
        <v>-5.25</v>
      </c>
      <c r="Q88">
        <v>30</v>
      </c>
      <c r="R88" s="54">
        <f t="shared" si="43"/>
        <v>1.7</v>
      </c>
      <c r="S88" s="9">
        <f>-0.501-0.228-5.736+2.592</f>
        <v>-3.8729999999999998</v>
      </c>
      <c r="T88" s="9">
        <f>-0.228+2.592</f>
        <v>2.3639999999999999</v>
      </c>
      <c r="U88" s="54">
        <f t="shared" si="44"/>
        <v>-0.48412499999999997</v>
      </c>
      <c r="V88" s="54">
        <f t="shared" si="45"/>
        <v>-6.5808</v>
      </c>
      <c r="W88" s="9">
        <f>5.332+39.222+3.477+75.107</f>
        <v>123.13800000000001</v>
      </c>
      <c r="X88" s="54">
        <f t="shared" si="46"/>
        <v>30.784500000000001</v>
      </c>
      <c r="Y88" s="54">
        <f t="shared" si="47"/>
        <v>5.5483781414031252</v>
      </c>
      <c r="Z88" s="152">
        <v>68</v>
      </c>
      <c r="AA88" s="49">
        <v>87</v>
      </c>
      <c r="AB88" s="48">
        <f t="shared" si="48"/>
        <v>58</v>
      </c>
      <c r="AC88" s="36">
        <f t="shared" si="49"/>
        <v>0.57693689033021389</v>
      </c>
      <c r="AD88" s="34">
        <f t="shared" si="50"/>
        <v>0.5</v>
      </c>
      <c r="AE88" s="34">
        <f t="shared" si="51"/>
        <v>0.66666666666666663</v>
      </c>
      <c r="AF88" s="34">
        <f t="shared" si="52"/>
        <v>0.24637681159420291</v>
      </c>
      <c r="AG88" s="34">
        <f t="shared" si="53"/>
        <v>0.25373134328358204</v>
      </c>
      <c r="AH88" s="34">
        <f t="shared" si="54"/>
        <v>0.18681318681318682</v>
      </c>
      <c r="AI88" s="34">
        <f t="shared" si="55"/>
        <v>0.25294447560291639</v>
      </c>
      <c r="AJ88" s="34">
        <f t="shared" si="56"/>
        <v>0.71098850967981075</v>
      </c>
      <c r="AK88" s="34">
        <f t="shared" si="57"/>
        <v>0.79177319326667517</v>
      </c>
      <c r="AL88" s="34">
        <f t="shared" si="58"/>
        <v>0.41401146816583051</v>
      </c>
      <c r="AM88" s="34"/>
      <c r="AN88" s="35">
        <v>0.41980692990671403</v>
      </c>
      <c r="AO88">
        <f t="shared" si="20"/>
        <v>3</v>
      </c>
      <c r="AP88">
        <v>4.0012914581836361</v>
      </c>
      <c r="AQ88">
        <v>45</v>
      </c>
      <c r="AR88">
        <v>90</v>
      </c>
      <c r="AS88" s="154">
        <v>64</v>
      </c>
      <c r="AT88">
        <v>87</v>
      </c>
    </row>
    <row r="89" spans="1:46" x14ac:dyDescent="0.35">
      <c r="A89">
        <v>79</v>
      </c>
      <c r="B89" s="21" t="s">
        <v>173</v>
      </c>
      <c r="C89" s="21" t="s">
        <v>1102</v>
      </c>
      <c r="D89" s="21" t="s">
        <v>31</v>
      </c>
      <c r="E89" s="9" t="s">
        <v>6</v>
      </c>
      <c r="F89">
        <v>0</v>
      </c>
      <c r="G89">
        <v>4</v>
      </c>
      <c r="I89">
        <v>0</v>
      </c>
      <c r="J89">
        <v>3</v>
      </c>
      <c r="L89">
        <v>55</v>
      </c>
      <c r="M89">
        <f>63+26</f>
        <v>89</v>
      </c>
      <c r="N89" s="73">
        <f t="shared" si="40"/>
        <v>13.75</v>
      </c>
      <c r="O89" s="73">
        <f t="shared" si="41"/>
        <v>22.25</v>
      </c>
      <c r="P89" s="73">
        <f t="shared" si="42"/>
        <v>-8.5</v>
      </c>
      <c r="Q89">
        <v>31</v>
      </c>
      <c r="R89" s="54">
        <f t="shared" si="43"/>
        <v>1.7741935483870968</v>
      </c>
      <c r="S89" s="9">
        <f>1.203+0.151-3.664-6.327</f>
        <v>-8.6370000000000005</v>
      </c>
      <c r="T89" s="9">
        <v>0</v>
      </c>
      <c r="U89" s="54">
        <f t="shared" si="44"/>
        <v>-1.0796250000000001</v>
      </c>
      <c r="V89" s="54">
        <f t="shared" si="45"/>
        <v>-31.603999999999999</v>
      </c>
      <c r="W89" s="9">
        <f>2.898+22.001+19.735+2.282</f>
        <v>46.915999999999997</v>
      </c>
      <c r="X89" s="54">
        <f t="shared" si="46"/>
        <v>11.728999999999999</v>
      </c>
      <c r="Y89" s="54">
        <f t="shared" si="47"/>
        <v>3.4247627655065394</v>
      </c>
      <c r="Z89" s="152">
        <v>124</v>
      </c>
      <c r="AA89" s="49">
        <v>88</v>
      </c>
      <c r="AB89" s="48">
        <f t="shared" si="48"/>
        <v>99</v>
      </c>
      <c r="AC89" s="36">
        <f t="shared" si="49"/>
        <v>0.34741185372022515</v>
      </c>
      <c r="AD89" s="34">
        <f t="shared" si="50"/>
        <v>0</v>
      </c>
      <c r="AE89" s="34">
        <f t="shared" si="51"/>
        <v>0</v>
      </c>
      <c r="AF89" s="34">
        <f t="shared" si="52"/>
        <v>0.30434782608695654</v>
      </c>
      <c r="AG89" s="34">
        <f t="shared" si="53"/>
        <v>0</v>
      </c>
      <c r="AH89" s="34">
        <f t="shared" si="54"/>
        <v>4.3956043956043959E-2</v>
      </c>
      <c r="AI89" s="34">
        <f t="shared" si="55"/>
        <v>0.32118755992980291</v>
      </c>
      <c r="AJ89" s="34">
        <f t="shared" si="56"/>
        <v>0.77890400022809569</v>
      </c>
      <c r="AK89" s="34">
        <f t="shared" si="57"/>
        <v>0</v>
      </c>
      <c r="AL89" s="34">
        <f t="shared" si="58"/>
        <v>0.13446969758643532</v>
      </c>
      <c r="AM89" s="34"/>
      <c r="AN89" s="35">
        <v>0.41080734022456572</v>
      </c>
      <c r="AO89">
        <f t="shared" si="20"/>
        <v>5</v>
      </c>
      <c r="AP89">
        <v>3.8572010577619622</v>
      </c>
      <c r="AQ89">
        <v>5</v>
      </c>
      <c r="AR89">
        <v>62</v>
      </c>
      <c r="AS89" s="154">
        <v>79</v>
      </c>
      <c r="AT89">
        <v>88</v>
      </c>
    </row>
    <row r="90" spans="1:46" x14ac:dyDescent="0.35">
      <c r="A90">
        <v>46</v>
      </c>
      <c r="B90" s="17" t="s">
        <v>171</v>
      </c>
      <c r="C90" s="17" t="s">
        <v>1097</v>
      </c>
      <c r="D90" s="17" t="s">
        <v>54</v>
      </c>
      <c r="E90" s="9" t="s">
        <v>6</v>
      </c>
      <c r="F90">
        <v>1</v>
      </c>
      <c r="G90">
        <v>3</v>
      </c>
      <c r="I90">
        <v>0</v>
      </c>
      <c r="J90">
        <v>3</v>
      </c>
      <c r="L90">
        <f>31+22</f>
        <v>53</v>
      </c>
      <c r="M90">
        <f>53+26</f>
        <v>79</v>
      </c>
      <c r="N90" s="73">
        <f t="shared" si="40"/>
        <v>13.25</v>
      </c>
      <c r="O90" s="73">
        <f t="shared" si="41"/>
        <v>19.75</v>
      </c>
      <c r="P90" s="73">
        <f t="shared" si="42"/>
        <v>-6.5</v>
      </c>
      <c r="Q90">
        <f>18+9</f>
        <v>27</v>
      </c>
      <c r="R90" s="54">
        <f t="shared" si="43"/>
        <v>1.962962962962963</v>
      </c>
      <c r="S90" s="9">
        <f>-4.294-0.104-1.416-3.735</f>
        <v>-9.5489999999999995</v>
      </c>
      <c r="T90" s="9">
        <f>-1.416</f>
        <v>-1.4159999999999999</v>
      </c>
      <c r="U90" s="54">
        <f t="shared" si="44"/>
        <v>-1.1936249999999999</v>
      </c>
      <c r="V90" s="54">
        <f t="shared" si="45"/>
        <v>-9.3443999999999985</v>
      </c>
      <c r="W90" s="9">
        <f>0.596+8.386+25.242+30.686</f>
        <v>64.91</v>
      </c>
      <c r="X90" s="54">
        <f t="shared" si="46"/>
        <v>16.227499999999999</v>
      </c>
      <c r="Y90" s="54">
        <f t="shared" si="47"/>
        <v>4.0283371259118814</v>
      </c>
      <c r="Z90" s="152">
        <v>55</v>
      </c>
      <c r="AA90" s="49">
        <v>89</v>
      </c>
      <c r="AB90" s="48">
        <f t="shared" si="48"/>
        <v>91</v>
      </c>
      <c r="AC90" s="36">
        <f t="shared" si="49"/>
        <v>0.40388183750428469</v>
      </c>
      <c r="AD90" s="34">
        <f t="shared" si="50"/>
        <v>0.25</v>
      </c>
      <c r="AE90" s="34">
        <f t="shared" si="51"/>
        <v>0</v>
      </c>
      <c r="AF90" s="34">
        <f t="shared" si="52"/>
        <v>0.27536231884057971</v>
      </c>
      <c r="AG90" s="34">
        <f t="shared" si="53"/>
        <v>0.14925373134328357</v>
      </c>
      <c r="AH90" s="34">
        <f t="shared" si="54"/>
        <v>0.13186813186813187</v>
      </c>
      <c r="AI90" s="34">
        <f t="shared" si="55"/>
        <v>0.49481730749257391</v>
      </c>
      <c r="AJ90" s="34">
        <f t="shared" si="56"/>
        <v>0.79190545433809478</v>
      </c>
      <c r="AK90" s="34">
        <f t="shared" si="57"/>
        <v>0.70432856600430327</v>
      </c>
      <c r="AL90" s="34">
        <f t="shared" si="58"/>
        <v>0.21392111204645742</v>
      </c>
      <c r="AM90" s="34"/>
      <c r="AN90" s="35">
        <v>0.40371705657787266</v>
      </c>
      <c r="AO90">
        <f t="shared" si="20"/>
        <v>2</v>
      </c>
      <c r="AP90">
        <v>3.3775730932135284</v>
      </c>
      <c r="AQ90">
        <v>58</v>
      </c>
      <c r="AR90">
        <v>102</v>
      </c>
      <c r="AS90" s="154">
        <v>110</v>
      </c>
      <c r="AT90">
        <v>89</v>
      </c>
    </row>
    <row r="91" spans="1:46" x14ac:dyDescent="0.35">
      <c r="A91">
        <v>16</v>
      </c>
      <c r="B91" s="15" t="s">
        <v>143</v>
      </c>
      <c r="C91" s="15" t="s">
        <v>1082</v>
      </c>
      <c r="D91" s="15" t="s">
        <v>88</v>
      </c>
      <c r="E91" s="9" t="s">
        <v>6</v>
      </c>
      <c r="F91">
        <v>0</v>
      </c>
      <c r="G91">
        <v>4</v>
      </c>
      <c r="I91">
        <v>0</v>
      </c>
      <c r="J91">
        <v>3</v>
      </c>
      <c r="L91">
        <v>46</v>
      </c>
      <c r="M91">
        <f>49+21</f>
        <v>70</v>
      </c>
      <c r="N91" s="73">
        <f t="shared" si="40"/>
        <v>11.5</v>
      </c>
      <c r="O91" s="73">
        <f t="shared" si="41"/>
        <v>17.5</v>
      </c>
      <c r="P91" s="73">
        <f t="shared" si="42"/>
        <v>-6</v>
      </c>
      <c r="Q91">
        <v>24</v>
      </c>
      <c r="R91" s="54">
        <f t="shared" si="43"/>
        <v>1.9166666666666667</v>
      </c>
      <c r="S91" s="9">
        <f>0.414-2.68-1.703-3.737</f>
        <v>-7.7060000000000004</v>
      </c>
      <c r="T91" s="9">
        <v>0</v>
      </c>
      <c r="U91" s="54">
        <f t="shared" si="44"/>
        <v>-0.96325000000000005</v>
      </c>
      <c r="V91" s="54">
        <f t="shared" si="45"/>
        <v>-31.603999999999999</v>
      </c>
      <c r="W91" s="9">
        <f>2.438+17.576+4.838+20.06</f>
        <v>44.911999999999999</v>
      </c>
      <c r="X91" s="54">
        <f t="shared" si="46"/>
        <v>11.228</v>
      </c>
      <c r="Y91" s="54">
        <f t="shared" si="47"/>
        <v>3.3508207949694953</v>
      </c>
      <c r="Z91" s="152">
        <v>125</v>
      </c>
      <c r="AA91" s="49">
        <v>90</v>
      </c>
      <c r="AB91" s="48">
        <f t="shared" si="48"/>
        <v>94</v>
      </c>
      <c r="AC91" s="36">
        <f t="shared" si="49"/>
        <v>0.38225864873947435</v>
      </c>
      <c r="AD91" s="34">
        <f t="shared" si="50"/>
        <v>0</v>
      </c>
      <c r="AE91" s="34">
        <f t="shared" si="51"/>
        <v>0</v>
      </c>
      <c r="AF91" s="34">
        <f t="shared" si="52"/>
        <v>0.17391304347826086</v>
      </c>
      <c r="AG91" s="34">
        <f t="shared" si="53"/>
        <v>0.28358208955223885</v>
      </c>
      <c r="AH91" s="34">
        <f t="shared" si="54"/>
        <v>0.15384615384615385</v>
      </c>
      <c r="AI91" s="34">
        <f t="shared" si="55"/>
        <v>0.45223406244157793</v>
      </c>
      <c r="AJ91" s="34">
        <f t="shared" si="56"/>
        <v>0.76563168249080493</v>
      </c>
      <c r="AK91" s="34">
        <f t="shared" si="57"/>
        <v>0</v>
      </c>
      <c r="AL91" s="34">
        <f t="shared" si="58"/>
        <v>0.1247363581132607</v>
      </c>
      <c r="AM91" s="34"/>
      <c r="AN91" s="35">
        <v>0.39509490138735481</v>
      </c>
      <c r="AO91">
        <f t="shared" si="20"/>
        <v>5</v>
      </c>
      <c r="AP91">
        <v>2.878193878111758</v>
      </c>
      <c r="AQ91">
        <v>10</v>
      </c>
      <c r="AR91">
        <v>57</v>
      </c>
      <c r="AS91" s="154">
        <v>78</v>
      </c>
      <c r="AT91">
        <v>90</v>
      </c>
    </row>
    <row r="92" spans="1:46" ht="13.75" customHeight="1" x14ac:dyDescent="0.35">
      <c r="A92">
        <v>69</v>
      </c>
      <c r="B92" s="21" t="s">
        <v>173</v>
      </c>
      <c r="C92" s="21" t="s">
        <v>1368</v>
      </c>
      <c r="D92" s="21" t="s">
        <v>22</v>
      </c>
      <c r="E92" s="9" t="s">
        <v>5</v>
      </c>
      <c r="F92">
        <v>2</v>
      </c>
      <c r="G92">
        <v>2</v>
      </c>
      <c r="I92">
        <v>2</v>
      </c>
      <c r="J92">
        <v>1</v>
      </c>
      <c r="L92">
        <v>48</v>
      </c>
      <c r="M92">
        <f>55+16</f>
        <v>71</v>
      </c>
      <c r="N92" s="73">
        <f t="shared" si="40"/>
        <v>12</v>
      </c>
      <c r="O92" s="73">
        <f t="shared" si="41"/>
        <v>17.75</v>
      </c>
      <c r="P92" s="73">
        <f t="shared" si="42"/>
        <v>-5.75</v>
      </c>
      <c r="Q92">
        <v>26</v>
      </c>
      <c r="R92" s="54">
        <f t="shared" si="43"/>
        <v>1.8461538461538463</v>
      </c>
      <c r="S92" s="9">
        <f>-1.943-2.064+1.521-2.737</f>
        <v>-5.2229999999999999</v>
      </c>
      <c r="T92" s="9">
        <f>-2.064-2.737</f>
        <v>-4.8010000000000002</v>
      </c>
      <c r="U92" s="54">
        <f t="shared" si="44"/>
        <v>-0.65287499999999998</v>
      </c>
      <c r="V92" s="54">
        <f t="shared" si="45"/>
        <v>-2.2817999999999992</v>
      </c>
      <c r="W92" s="9">
        <f>0+34.677+1.575+35.813</f>
        <v>72.064999999999998</v>
      </c>
      <c r="X92" s="54">
        <f t="shared" si="46"/>
        <v>18.016249999999999</v>
      </c>
      <c r="Y92" s="54">
        <f t="shared" si="47"/>
        <v>4.2445553359568775</v>
      </c>
      <c r="Z92" s="152">
        <v>31</v>
      </c>
      <c r="AA92" s="49">
        <v>91</v>
      </c>
      <c r="AB92" s="48">
        <f t="shared" si="48"/>
        <v>70</v>
      </c>
      <c r="AC92" s="36">
        <f t="shared" si="49"/>
        <v>0.52576046167539026</v>
      </c>
      <c r="AD92" s="34">
        <f t="shared" si="50"/>
        <v>0.5</v>
      </c>
      <c r="AE92" s="34">
        <f t="shared" si="51"/>
        <v>0.66666666666666663</v>
      </c>
      <c r="AF92" s="34">
        <f t="shared" si="52"/>
        <v>0.20289855072463769</v>
      </c>
      <c r="AG92" s="34">
        <f t="shared" si="53"/>
        <v>0.26865671641791045</v>
      </c>
      <c r="AH92" s="34">
        <f t="shared" si="54"/>
        <v>0.16483516483516483</v>
      </c>
      <c r="AI92" s="34">
        <f t="shared" si="55"/>
        <v>0.38737650459467626</v>
      </c>
      <c r="AJ92" s="34">
        <f t="shared" si="56"/>
        <v>0.73023408319790151</v>
      </c>
      <c r="AK92" s="34">
        <f t="shared" si="57"/>
        <v>0.9278002784457664</v>
      </c>
      <c r="AL92" s="34">
        <f t="shared" si="58"/>
        <v>0.24238296156662645</v>
      </c>
      <c r="AM92" s="34"/>
      <c r="AN92" s="35">
        <v>0.39444367596008906</v>
      </c>
      <c r="AO92">
        <f t="shared" si="20"/>
        <v>2</v>
      </c>
      <c r="AP92">
        <v>3.4762048271067116</v>
      </c>
      <c r="AQ92">
        <v>82</v>
      </c>
      <c r="AR92">
        <v>111</v>
      </c>
      <c r="AS92" s="154">
        <v>74</v>
      </c>
      <c r="AT92">
        <v>91</v>
      </c>
    </row>
    <row r="93" spans="1:46" x14ac:dyDescent="0.35">
      <c r="A93">
        <v>24</v>
      </c>
      <c r="B93" s="16" t="s">
        <v>144</v>
      </c>
      <c r="C93" s="16" t="s">
        <v>1087</v>
      </c>
      <c r="D93" s="16" t="s">
        <v>70</v>
      </c>
      <c r="E93" s="9" t="s">
        <v>6</v>
      </c>
      <c r="F93">
        <v>0</v>
      </c>
      <c r="G93">
        <v>4</v>
      </c>
      <c r="I93">
        <v>0</v>
      </c>
      <c r="J93">
        <v>3</v>
      </c>
      <c r="L93">
        <v>64</v>
      </c>
      <c r="M93">
        <v>71</v>
      </c>
      <c r="N93" s="73">
        <f t="shared" si="40"/>
        <v>16</v>
      </c>
      <c r="O93" s="73">
        <f t="shared" si="41"/>
        <v>17.75</v>
      </c>
      <c r="P93" s="73">
        <f t="shared" si="42"/>
        <v>-1.75</v>
      </c>
      <c r="Q93">
        <v>33</v>
      </c>
      <c r="R93" s="54">
        <f t="shared" si="43"/>
        <v>1.9393939393939394</v>
      </c>
      <c r="S93" s="9">
        <f>2.826+0.228+1.172-6.032</f>
        <v>-1.806</v>
      </c>
      <c r="T93" s="9">
        <v>0</v>
      </c>
      <c r="U93" s="54">
        <f t="shared" si="44"/>
        <v>-0.22575000000000001</v>
      </c>
      <c r="V93" s="54">
        <f t="shared" si="45"/>
        <v>-31.603999999999999</v>
      </c>
      <c r="W93" s="9">
        <f>0+8.408+9.431+34.717</f>
        <v>52.555999999999997</v>
      </c>
      <c r="X93" s="54">
        <f t="shared" si="46"/>
        <v>13.138999999999999</v>
      </c>
      <c r="Y93" s="54">
        <f t="shared" si="47"/>
        <v>3.6247758551391835</v>
      </c>
      <c r="Z93" s="152">
        <v>99</v>
      </c>
      <c r="AA93" s="49">
        <v>92</v>
      </c>
      <c r="AB93" s="48">
        <f t="shared" si="48"/>
        <v>95</v>
      </c>
      <c r="AC93" s="36">
        <f t="shared" si="49"/>
        <v>0.3773557422599329</v>
      </c>
      <c r="AD93" s="34">
        <f t="shared" si="50"/>
        <v>0</v>
      </c>
      <c r="AE93" s="34">
        <f t="shared" si="51"/>
        <v>0</v>
      </c>
      <c r="AF93" s="34">
        <f t="shared" si="52"/>
        <v>0.43478260869565216</v>
      </c>
      <c r="AG93" s="34">
        <f t="shared" si="53"/>
        <v>0.26865671641791045</v>
      </c>
      <c r="AH93" s="34">
        <f t="shared" si="54"/>
        <v>0.34065934065934067</v>
      </c>
      <c r="AI93" s="34">
        <f t="shared" si="55"/>
        <v>0.4731385645575214</v>
      </c>
      <c r="AJ93" s="34">
        <f t="shared" si="56"/>
        <v>0.681521398226556</v>
      </c>
      <c r="AK93" s="34">
        <f t="shared" si="57"/>
        <v>0</v>
      </c>
      <c r="AL93" s="34">
        <f t="shared" si="58"/>
        <v>0.16079838867125978</v>
      </c>
      <c r="AM93" s="34"/>
      <c r="AN93" s="35">
        <v>0.35129332603317714</v>
      </c>
      <c r="AO93">
        <f t="shared" si="20"/>
        <v>4</v>
      </c>
      <c r="AP93">
        <v>2.4385104743128196</v>
      </c>
      <c r="AQ93">
        <v>14</v>
      </c>
      <c r="AR93">
        <v>63</v>
      </c>
      <c r="AS93" s="154">
        <v>81</v>
      </c>
      <c r="AT93">
        <v>92</v>
      </c>
    </row>
    <row r="94" spans="1:46" x14ac:dyDescent="0.35">
      <c r="A94">
        <v>53</v>
      </c>
      <c r="B94" s="19" t="s">
        <v>172</v>
      </c>
      <c r="C94" s="19" t="s">
        <v>1088</v>
      </c>
      <c r="D94" s="19" t="s">
        <v>38</v>
      </c>
      <c r="E94" s="9" t="s">
        <v>6</v>
      </c>
      <c r="F94">
        <v>1</v>
      </c>
      <c r="G94">
        <v>3</v>
      </c>
      <c r="I94">
        <v>0</v>
      </c>
      <c r="J94">
        <v>3</v>
      </c>
      <c r="L94">
        <v>34</v>
      </c>
      <c r="M94">
        <v>58</v>
      </c>
      <c r="N94" s="73">
        <f t="shared" si="40"/>
        <v>8.5</v>
      </c>
      <c r="O94" s="73">
        <f t="shared" si="41"/>
        <v>14.5</v>
      </c>
      <c r="P94" s="73">
        <f t="shared" si="42"/>
        <v>-6</v>
      </c>
      <c r="Q94">
        <v>22</v>
      </c>
      <c r="R94" s="54">
        <f t="shared" si="43"/>
        <v>1.5454545454545454</v>
      </c>
      <c r="S94" s="9">
        <f>-6.02-2.823-3.08-2.818</f>
        <v>-14.741</v>
      </c>
      <c r="T94" s="9">
        <f>-3.08</f>
        <v>-3.08</v>
      </c>
      <c r="U94" s="54">
        <f t="shared" si="44"/>
        <v>-1.842625</v>
      </c>
      <c r="V94" s="54">
        <f t="shared" si="45"/>
        <v>-7.1811999999999987</v>
      </c>
      <c r="W94" s="9">
        <f>1.471+8.129+17.897+5.673</f>
        <v>33.17</v>
      </c>
      <c r="X94" s="54">
        <f t="shared" si="46"/>
        <v>8.2925000000000004</v>
      </c>
      <c r="Y94" s="54">
        <f t="shared" si="47"/>
        <v>2.8796701199963861</v>
      </c>
      <c r="Z94" s="152">
        <v>2</v>
      </c>
      <c r="AA94" s="49">
        <v>93</v>
      </c>
      <c r="AB94" s="48">
        <f t="shared" si="48"/>
        <v>103</v>
      </c>
      <c r="AC94" s="36">
        <f t="shared" si="49"/>
        <v>0.29476955779215969</v>
      </c>
      <c r="AD94" s="34">
        <f t="shared" si="50"/>
        <v>0.25</v>
      </c>
      <c r="AE94" s="34">
        <f t="shared" si="51"/>
        <v>0</v>
      </c>
      <c r="AF94" s="34">
        <f t="shared" si="52"/>
        <v>0</v>
      </c>
      <c r="AG94" s="34">
        <f t="shared" si="53"/>
        <v>0.46268656716417911</v>
      </c>
      <c r="AH94" s="34">
        <f t="shared" si="54"/>
        <v>0.15384615384615385</v>
      </c>
      <c r="AI94" s="34">
        <f t="shared" si="55"/>
        <v>0.11079386121450051</v>
      </c>
      <c r="AJ94" s="34">
        <f t="shared" si="56"/>
        <v>0.86592250449063379</v>
      </c>
      <c r="AK94" s="34">
        <f t="shared" si="57"/>
        <v>0.77277559802556639</v>
      </c>
      <c r="AL94" s="34">
        <f t="shared" si="58"/>
        <v>6.2716514319252584E-2</v>
      </c>
      <c r="AM94" s="34"/>
      <c r="AN94" s="35">
        <v>0.34123132493145109</v>
      </c>
      <c r="AO94">
        <f t="shared" si="20"/>
        <v>1</v>
      </c>
      <c r="AP94">
        <v>3.0274852050285341</v>
      </c>
      <c r="AQ94">
        <v>111</v>
      </c>
      <c r="AR94">
        <v>112</v>
      </c>
      <c r="AS94" s="154">
        <v>112</v>
      </c>
      <c r="AT94">
        <v>93</v>
      </c>
    </row>
    <row r="95" spans="1:46" x14ac:dyDescent="0.35">
      <c r="A95">
        <v>98</v>
      </c>
      <c r="B95" s="69" t="s">
        <v>1296</v>
      </c>
      <c r="C95" s="69" t="s">
        <v>1107</v>
      </c>
      <c r="D95" s="69" t="s">
        <v>959</v>
      </c>
      <c r="E95" s="9" t="s">
        <v>6</v>
      </c>
      <c r="F95">
        <v>0</v>
      </c>
      <c r="G95">
        <v>4</v>
      </c>
      <c r="I95">
        <v>0</v>
      </c>
      <c r="J95">
        <v>3</v>
      </c>
      <c r="L95">
        <v>56</v>
      </c>
      <c r="M95">
        <f>56+18</f>
        <v>74</v>
      </c>
      <c r="N95" s="73">
        <f t="shared" si="40"/>
        <v>14</v>
      </c>
      <c r="O95" s="73">
        <f t="shared" si="41"/>
        <v>18.5</v>
      </c>
      <c r="P95" s="73">
        <f t="shared" si="42"/>
        <v>-4.5</v>
      </c>
      <c r="Q95">
        <v>32</v>
      </c>
      <c r="R95" s="54">
        <f t="shared" si="43"/>
        <v>1.75</v>
      </c>
      <c r="S95" s="9">
        <f>0.9-3.89+1.916-2.878</f>
        <v>-3.9520000000000004</v>
      </c>
      <c r="T95" s="9">
        <v>0</v>
      </c>
      <c r="U95" s="54">
        <f t="shared" si="44"/>
        <v>-0.49400000000000005</v>
      </c>
      <c r="V95" s="54">
        <f t="shared" si="45"/>
        <v>-31.603999999999999</v>
      </c>
      <c r="W95" s="9">
        <f>13.73+7.072+11.227+19.076</f>
        <v>51.104999999999997</v>
      </c>
      <c r="X95" s="54">
        <f t="shared" si="46"/>
        <v>12.776249999999999</v>
      </c>
      <c r="Y95" s="54">
        <f t="shared" si="47"/>
        <v>3.5743880595145234</v>
      </c>
      <c r="Z95" s="152">
        <v>86</v>
      </c>
      <c r="AA95" s="49">
        <v>94</v>
      </c>
      <c r="AB95" s="48">
        <f t="shared" si="48"/>
        <v>100</v>
      </c>
      <c r="AC95" s="36">
        <f t="shared" si="49"/>
        <v>0.31849961598526572</v>
      </c>
      <c r="AD95" s="34">
        <f t="shared" si="50"/>
        <v>0</v>
      </c>
      <c r="AE95" s="34">
        <f t="shared" si="51"/>
        <v>0</v>
      </c>
      <c r="AF95" s="34">
        <f t="shared" si="52"/>
        <v>0.3188405797101449</v>
      </c>
      <c r="AG95" s="34">
        <f t="shared" si="53"/>
        <v>0.22388059701492535</v>
      </c>
      <c r="AH95" s="34">
        <f t="shared" si="54"/>
        <v>0.21978021978021978</v>
      </c>
      <c r="AI95" s="34">
        <f t="shared" si="55"/>
        <v>0.29893438025799213</v>
      </c>
      <c r="AJ95" s="34">
        <f t="shared" si="56"/>
        <v>0.71211473213012866</v>
      </c>
      <c r="AK95" s="34">
        <f t="shared" si="57"/>
        <v>0</v>
      </c>
      <c r="AL95" s="34">
        <f t="shared" si="58"/>
        <v>0.15416559924790985</v>
      </c>
      <c r="AN95" s="35">
        <v>0.33517352457828836</v>
      </c>
      <c r="AO95">
        <f t="shared" si="20"/>
        <v>4</v>
      </c>
      <c r="AP95">
        <v>3.2674658886258219</v>
      </c>
      <c r="AQ95">
        <v>27</v>
      </c>
      <c r="AR95">
        <v>60</v>
      </c>
      <c r="AS95" s="154">
        <v>83</v>
      </c>
      <c r="AT95">
        <v>94</v>
      </c>
    </row>
    <row r="96" spans="1:46" x14ac:dyDescent="0.35">
      <c r="A96">
        <v>47</v>
      </c>
      <c r="B96" s="17" t="s">
        <v>171</v>
      </c>
      <c r="C96" s="17" t="s">
        <v>1097</v>
      </c>
      <c r="D96" s="17" t="s">
        <v>55</v>
      </c>
      <c r="E96" s="9" t="s">
        <v>6</v>
      </c>
      <c r="F96">
        <v>0</v>
      </c>
      <c r="G96">
        <v>4</v>
      </c>
      <c r="I96">
        <v>0</v>
      </c>
      <c r="J96">
        <v>3</v>
      </c>
      <c r="L96">
        <v>48</v>
      </c>
      <c r="M96">
        <f>43+18</f>
        <v>61</v>
      </c>
      <c r="N96" s="73">
        <f t="shared" si="40"/>
        <v>12</v>
      </c>
      <c r="O96" s="73">
        <f t="shared" si="41"/>
        <v>15.25</v>
      </c>
      <c r="P96" s="73">
        <f t="shared" si="42"/>
        <v>-3.25</v>
      </c>
      <c r="Q96">
        <v>24</v>
      </c>
      <c r="R96" s="54">
        <f t="shared" si="43"/>
        <v>2</v>
      </c>
      <c r="S96" s="9">
        <f>-1.005-3.105+3.08-5.423</f>
        <v>-6.4529999999999994</v>
      </c>
      <c r="T96" s="9">
        <v>0</v>
      </c>
      <c r="U96" s="54">
        <f t="shared" si="44"/>
        <v>-0.80662499999999993</v>
      </c>
      <c r="V96" s="54">
        <f t="shared" si="45"/>
        <v>-31.603999999999999</v>
      </c>
      <c r="W96" s="9">
        <f>13.96+20.828+11.913+4.755</f>
        <v>51.455999999999996</v>
      </c>
      <c r="X96" s="54">
        <f t="shared" si="46"/>
        <v>12.863999999999999</v>
      </c>
      <c r="Y96" s="54">
        <f t="shared" si="47"/>
        <v>3.5866418834335829</v>
      </c>
      <c r="Z96" s="152">
        <v>52</v>
      </c>
      <c r="AA96" s="49">
        <v>95</v>
      </c>
      <c r="AB96" s="48">
        <f t="shared" si="48"/>
        <v>101</v>
      </c>
      <c r="AC96" s="36">
        <f t="shared" si="49"/>
        <v>0.2996093254979077</v>
      </c>
      <c r="AD96" s="34">
        <f t="shared" si="50"/>
        <v>0</v>
      </c>
      <c r="AE96" s="34">
        <f t="shared" si="51"/>
        <v>0</v>
      </c>
      <c r="AF96" s="34">
        <f t="shared" si="52"/>
        <v>0.20289855072463769</v>
      </c>
      <c r="AG96" s="34">
        <f t="shared" si="53"/>
        <v>0.41791044776119401</v>
      </c>
      <c r="AH96" s="34">
        <f t="shared" si="54"/>
        <v>0.27472527472527475</v>
      </c>
      <c r="AI96" s="34">
        <f t="shared" si="55"/>
        <v>0.52888390353337067</v>
      </c>
      <c r="AJ96" s="34">
        <f t="shared" si="56"/>
        <v>0.7477689390699398</v>
      </c>
      <c r="AK96" s="34">
        <f t="shared" si="57"/>
        <v>0</v>
      </c>
      <c r="AL96" s="34">
        <f t="shared" si="58"/>
        <v>0.15577862940091286</v>
      </c>
      <c r="AM96" s="34"/>
      <c r="AN96" s="35">
        <v>0.32200603487653506</v>
      </c>
      <c r="AO96">
        <f t="shared" si="20"/>
        <v>2</v>
      </c>
      <c r="AP96">
        <v>3.9455037701160545</v>
      </c>
      <c r="AQ96">
        <v>61</v>
      </c>
      <c r="AR96">
        <v>76</v>
      </c>
      <c r="AS96" s="154">
        <v>85</v>
      </c>
      <c r="AT96">
        <v>95</v>
      </c>
    </row>
    <row r="97" spans="1:46" x14ac:dyDescent="0.35">
      <c r="A97">
        <v>110</v>
      </c>
      <c r="B97" s="69" t="s">
        <v>1296</v>
      </c>
      <c r="C97" s="69" t="s">
        <v>1109</v>
      </c>
      <c r="D97" s="69" t="s">
        <v>1342</v>
      </c>
      <c r="E97" s="9" t="s">
        <v>5</v>
      </c>
      <c r="F97">
        <v>1</v>
      </c>
      <c r="G97">
        <v>3</v>
      </c>
      <c r="I97">
        <v>1</v>
      </c>
      <c r="J97">
        <v>2</v>
      </c>
      <c r="L97">
        <v>47</v>
      </c>
      <c r="M97">
        <v>69</v>
      </c>
      <c r="N97" s="73">
        <f t="shared" si="40"/>
        <v>11.75</v>
      </c>
      <c r="O97" s="73">
        <f t="shared" si="41"/>
        <v>17.25</v>
      </c>
      <c r="P97" s="73">
        <f t="shared" si="42"/>
        <v>-5.5</v>
      </c>
      <c r="Q97">
        <v>26</v>
      </c>
      <c r="R97" s="54">
        <f t="shared" si="43"/>
        <v>1.8076923076923077</v>
      </c>
      <c r="S97" s="9">
        <f>2.668-0.623-2.3+1.135</f>
        <v>0.88000000000000012</v>
      </c>
      <c r="T97" s="9">
        <f>1.135</f>
        <v>1.135</v>
      </c>
      <c r="U97" s="54">
        <f t="shared" si="44"/>
        <v>0.22000000000000003</v>
      </c>
      <c r="V97" s="54">
        <f t="shared" si="45"/>
        <v>-12.660699999999999</v>
      </c>
      <c r="W97" s="9">
        <f>4.82+5.834+0+25.871</f>
        <v>36.524999999999999</v>
      </c>
      <c r="X97" s="54">
        <f t="shared" si="46"/>
        <v>9.1312499999999996</v>
      </c>
      <c r="Y97" s="54">
        <f t="shared" si="47"/>
        <v>3.0217958236783637</v>
      </c>
      <c r="Z97" s="152">
        <v>93</v>
      </c>
      <c r="AA97" s="49">
        <v>96</v>
      </c>
      <c r="AB97" s="48">
        <f t="shared" si="48"/>
        <v>81</v>
      </c>
      <c r="AC97" s="36">
        <f t="shared" si="49"/>
        <v>0.46917038416856521</v>
      </c>
      <c r="AD97" s="34">
        <f t="shared" si="50"/>
        <v>0.25</v>
      </c>
      <c r="AE97" s="34">
        <f t="shared" si="51"/>
        <v>0.33333333333333331</v>
      </c>
      <c r="AF97" s="34">
        <f t="shared" si="52"/>
        <v>0.18840579710144928</v>
      </c>
      <c r="AG97" s="34">
        <f t="shared" si="53"/>
        <v>0.29850746268656714</v>
      </c>
      <c r="AH97" s="34">
        <f t="shared" si="54"/>
        <v>0.17582417582417584</v>
      </c>
      <c r="AI97" s="34">
        <f t="shared" si="55"/>
        <v>0.35199965486000256</v>
      </c>
      <c r="AJ97" s="34">
        <f t="shared" si="56"/>
        <v>0.63068457217802865</v>
      </c>
      <c r="AK97" s="34">
        <f t="shared" si="57"/>
        <v>0.59939564612074425</v>
      </c>
      <c r="AL97" s="34">
        <f t="shared" si="58"/>
        <v>8.1425208606855662E-2</v>
      </c>
      <c r="AN97" s="35">
        <v>0.29912511068788278</v>
      </c>
      <c r="AO97">
        <f t="shared" ref="AO97:AO113" si="59">IF(AQ97&lt;12, 5, IF(AND(AQ97&gt;11, AQ97&lt;32), 4, IF(AND(AQ97&gt;31, AQ97&lt;53), 3, IF(AND(AQ97&gt;52, AQ97&lt;85), 2, 1))))</f>
        <v>4</v>
      </c>
      <c r="AP97">
        <v>1.884498164852737</v>
      </c>
      <c r="AQ97">
        <v>20</v>
      </c>
      <c r="AR97">
        <v>75</v>
      </c>
      <c r="AS97" s="154">
        <v>87</v>
      </c>
      <c r="AT97">
        <v>96</v>
      </c>
    </row>
    <row r="98" spans="1:46" x14ac:dyDescent="0.35">
      <c r="A98">
        <v>6</v>
      </c>
      <c r="B98" s="15" t="s">
        <v>143</v>
      </c>
      <c r="C98" s="15" t="s">
        <v>1084</v>
      </c>
      <c r="D98" s="15" t="s">
        <v>80</v>
      </c>
      <c r="E98" s="9" t="s">
        <v>6</v>
      </c>
      <c r="F98">
        <v>0</v>
      </c>
      <c r="G98">
        <v>4</v>
      </c>
      <c r="I98">
        <v>0</v>
      </c>
      <c r="J98">
        <v>3</v>
      </c>
      <c r="L98">
        <v>52</v>
      </c>
      <c r="M98">
        <f>48+27</f>
        <v>75</v>
      </c>
      <c r="N98" s="73">
        <f t="shared" ref="N98:N113" si="60">IFERROR(L98/(F98+G98), 0)</f>
        <v>13</v>
      </c>
      <c r="O98" s="73">
        <f t="shared" ref="O98:O113" si="61">IFERROR(M98/(F98+G98), 0)</f>
        <v>18.75</v>
      </c>
      <c r="P98" s="73">
        <f t="shared" ref="P98:P113" si="62">N98-O98</f>
        <v>-5.75</v>
      </c>
      <c r="Q98">
        <v>27</v>
      </c>
      <c r="R98" s="54">
        <f t="shared" ref="R98:R113" si="63">IFERROR(L98/Q98, 0)</f>
        <v>1.9259259259259258</v>
      </c>
      <c r="S98" s="9">
        <f>-1.029-0.72+1.324-5.932</f>
        <v>-6.3570000000000002</v>
      </c>
      <c r="T98" s="9">
        <v>0</v>
      </c>
      <c r="U98" s="54">
        <f t="shared" ref="U98:U113" si="64">IF(S98&lt;0, (S98/2), S98)/(F98+G98)</f>
        <v>-0.79462500000000003</v>
      </c>
      <c r="V98" s="54">
        <f t="shared" ref="V98:V113" si="65">IF(F98=0, -(MAX($T$2:$T$113)+ABS(MIN($T$2:$T$113))), (((-(ABS(MIN($T$2:$T$113))+T98))*((0.1*G98)+1))/F98))</f>
        <v>-31.603999999999999</v>
      </c>
      <c r="W98" s="9">
        <f>12.737+15.494+8.417+2.144</f>
        <v>38.792000000000002</v>
      </c>
      <c r="X98" s="54">
        <f t="shared" ref="X98:X113" si="66">IFERROR(W98/(F98+G98),0)</f>
        <v>9.6980000000000004</v>
      </c>
      <c r="Y98" s="54">
        <f t="shared" ref="Y98:Y113" si="67">IFERROR(IF(SQRT(X98)&gt;10, 10, SQRT(X98)), 0)</f>
        <v>3.114161203277698</v>
      </c>
      <c r="Z98" s="152">
        <v>47</v>
      </c>
      <c r="AA98" s="49">
        <v>97</v>
      </c>
      <c r="AB98" s="48">
        <f t="shared" ref="AB98:AB113" si="68">_xlfn.RANK.EQ(AC98,AC:AC, 0)</f>
        <v>105</v>
      </c>
      <c r="AC98" s="36">
        <f t="shared" ref="AC98:AC113" si="69">((AD98*1.3)+(AE98*0.8)+(AF98*0.6)+(AG98*0.6)+(AH98*0.5)+(AI98*0.5)+(AJ98*0.6)+(AK98*0.6)+(AL98*0.5)+((Z98/LARGE(Z:Z,1))*(9/6)))/6</f>
        <v>0.25639407864250147</v>
      </c>
      <c r="AD98" s="34">
        <f t="shared" ref="AD98:AD113" si="70">IFERROR(IF((F98+G98)=1, IF(F98=0, 0.333, IF(F98=1, 0.666, 0)), IF((F98+G98)=2, IF(F98=0, 0.166, IF(F98=1, 0.5, IF(F98=2, 0.833, 0))),  F98/(F98+G98))), 0)</f>
        <v>0</v>
      </c>
      <c r="AE98" s="34">
        <f t="shared" ref="AE98:AE113" si="71">IFERROR(IF((I98+J98)=1, IF(I98=0, 0.333, IF(I98=1, 0.666, 0)), IF((I98+J98)=2, IF(I98=0, 0.166, IF(I98=1, 0.5, IF(I98=2, 0.833, 0))),  I98/(I98+J98))), 0)</f>
        <v>0</v>
      </c>
      <c r="AF98" s="34">
        <f t="shared" ref="AF98:AF113" si="72">(N98-(SMALL(N:N, 1)))/((LARGE(N:N, 1))-(SMALL(N:N, 1)))</f>
        <v>0.2608695652173913</v>
      </c>
      <c r="AG98" s="34">
        <f t="shared" ref="AG98:AG113" si="73">1-(O98-SMALL(O:O,1))/(LARGE(O:O,1)-SMALL(O:O,1))</f>
        <v>0.20895522388059706</v>
      </c>
      <c r="AH98" s="34">
        <f t="shared" ref="AH98:AH113" si="74">(P98-SMALL(P:P,1))/(LARGE(P:P,1)-SMALL(P:P,1))</f>
        <v>0.16483516483516483</v>
      </c>
      <c r="AI98" s="34">
        <f t="shared" ref="AI98:AI113" si="75">(R98-SMALL(R:R,1))/(LARGE(R:R,1)-SMALL(R:R,1))</f>
        <v>0.46075071145177693</v>
      </c>
      <c r="AJ98" s="34">
        <f t="shared" ref="AJ98:AJ113" si="76">1-(U98-SMALL(U:U,1))/(LARGE(U:U,1)-SMALL(U:U,1))</f>
        <v>0.74640036495309781</v>
      </c>
      <c r="AK98" s="34">
        <f t="shared" ref="AK98:AK113" si="77">1-(V98/MIN(V:V))</f>
        <v>0</v>
      </c>
      <c r="AL98" s="34">
        <f t="shared" ref="AL98:AL113" si="78">(Y98-SMALL(Y:Y,1))/(LARGE(Y:Y,1)-SMALL(Y:Y,1))</f>
        <v>9.3583710587250624E-2</v>
      </c>
      <c r="AM98" s="34"/>
      <c r="AN98" s="35">
        <v>0.29871987609953166</v>
      </c>
      <c r="AO98">
        <f t="shared" si="59"/>
        <v>2</v>
      </c>
      <c r="AP98">
        <v>3.4951394821952388</v>
      </c>
      <c r="AQ98">
        <v>66</v>
      </c>
      <c r="AR98">
        <v>68</v>
      </c>
      <c r="AS98" s="154">
        <v>86</v>
      </c>
      <c r="AT98">
        <v>97</v>
      </c>
    </row>
    <row r="99" spans="1:46" x14ac:dyDescent="0.35">
      <c r="A99">
        <v>55</v>
      </c>
      <c r="B99" s="19" t="s">
        <v>172</v>
      </c>
      <c r="C99" s="19" t="s">
        <v>1088</v>
      </c>
      <c r="D99" s="19" t="s">
        <v>37</v>
      </c>
      <c r="E99" s="9" t="s">
        <v>6</v>
      </c>
      <c r="F99">
        <v>0</v>
      </c>
      <c r="G99">
        <v>4</v>
      </c>
      <c r="I99">
        <v>0</v>
      </c>
      <c r="J99">
        <v>3</v>
      </c>
      <c r="L99">
        <v>44</v>
      </c>
      <c r="M99">
        <f>49+16</f>
        <v>65</v>
      </c>
      <c r="N99" s="73">
        <f t="shared" si="60"/>
        <v>11</v>
      </c>
      <c r="O99" s="73">
        <f t="shared" si="61"/>
        <v>16.25</v>
      </c>
      <c r="P99" s="73">
        <f t="shared" si="62"/>
        <v>-5.25</v>
      </c>
      <c r="Q99">
        <v>27</v>
      </c>
      <c r="R99" s="54">
        <f t="shared" si="63"/>
        <v>1.6296296296296295</v>
      </c>
      <c r="S99" s="9">
        <f>1.658-3.266+1.416-4.347</f>
        <v>-4.5390000000000006</v>
      </c>
      <c r="T99" s="9">
        <v>0</v>
      </c>
      <c r="U99" s="54">
        <f t="shared" si="64"/>
        <v>-0.56737500000000007</v>
      </c>
      <c r="V99" s="54">
        <f t="shared" si="65"/>
        <v>-31.603999999999999</v>
      </c>
      <c r="W99" s="9">
        <f>7.57+4.513+1.35+15.066</f>
        <v>28.499000000000002</v>
      </c>
      <c r="X99" s="54">
        <f t="shared" si="66"/>
        <v>7.1247500000000006</v>
      </c>
      <c r="Y99" s="54">
        <f t="shared" si="67"/>
        <v>2.6692227333064582</v>
      </c>
      <c r="Z99" s="152">
        <v>79</v>
      </c>
      <c r="AA99" s="49">
        <v>98</v>
      </c>
      <c r="AB99" s="48">
        <f t="shared" si="68"/>
        <v>104</v>
      </c>
      <c r="AC99" s="36">
        <f t="shared" si="69"/>
        <v>0.28232857976336917</v>
      </c>
      <c r="AD99" s="34">
        <f t="shared" si="70"/>
        <v>0</v>
      </c>
      <c r="AE99" s="34">
        <f t="shared" si="71"/>
        <v>0</v>
      </c>
      <c r="AF99" s="34">
        <f t="shared" si="72"/>
        <v>0.14492753623188406</v>
      </c>
      <c r="AG99" s="34">
        <f t="shared" si="73"/>
        <v>0.35820895522388063</v>
      </c>
      <c r="AH99" s="34">
        <f t="shared" si="74"/>
        <v>0.18681318681318682</v>
      </c>
      <c r="AI99" s="34">
        <f t="shared" si="75"/>
        <v>0.18821794312540235</v>
      </c>
      <c r="AJ99" s="34">
        <f t="shared" si="76"/>
        <v>0.72048299261540216</v>
      </c>
      <c r="AK99" s="34">
        <f t="shared" si="77"/>
        <v>0</v>
      </c>
      <c r="AL99" s="34">
        <f t="shared" si="78"/>
        <v>3.5014306209051993E-2</v>
      </c>
      <c r="AM99" s="34"/>
      <c r="AN99" s="35">
        <v>0.29734621971774683</v>
      </c>
      <c r="AO99">
        <f t="shared" si="59"/>
        <v>3</v>
      </c>
      <c r="AP99">
        <v>2.1160497788725734</v>
      </c>
      <c r="AQ99">
        <v>34</v>
      </c>
      <c r="AR99">
        <v>69</v>
      </c>
      <c r="AS99" s="154">
        <v>91</v>
      </c>
      <c r="AT99">
        <v>98</v>
      </c>
    </row>
    <row r="100" spans="1:46" x14ac:dyDescent="0.35">
      <c r="A100">
        <v>70</v>
      </c>
      <c r="B100" s="21" t="s">
        <v>173</v>
      </c>
      <c r="C100" s="21" t="s">
        <v>1368</v>
      </c>
      <c r="D100" s="21" t="s">
        <v>1860</v>
      </c>
      <c r="E100" s="9" t="s">
        <v>6</v>
      </c>
      <c r="F100">
        <v>0</v>
      </c>
      <c r="G100">
        <v>4</v>
      </c>
      <c r="I100">
        <v>0</v>
      </c>
      <c r="J100">
        <v>3</v>
      </c>
      <c r="L100">
        <v>55</v>
      </c>
      <c r="M100">
        <f>63+19</f>
        <v>82</v>
      </c>
      <c r="N100" s="73">
        <f t="shared" si="60"/>
        <v>13.75</v>
      </c>
      <c r="O100" s="73">
        <f t="shared" si="61"/>
        <v>20.5</v>
      </c>
      <c r="P100" s="73">
        <f t="shared" si="62"/>
        <v>-6.75</v>
      </c>
      <c r="Q100">
        <v>30</v>
      </c>
      <c r="R100" s="54">
        <f t="shared" si="63"/>
        <v>1.8333333333333333</v>
      </c>
      <c r="S100" s="9">
        <f>-6.16-6.027-3.543-8.416</f>
        <v>-24.146000000000001</v>
      </c>
      <c r="T100" s="9">
        <v>0</v>
      </c>
      <c r="U100" s="54">
        <f t="shared" si="64"/>
        <v>-3.0182500000000001</v>
      </c>
      <c r="V100" s="54">
        <f t="shared" si="65"/>
        <v>-31.603999999999999</v>
      </c>
      <c r="W100" s="9">
        <f>10.92+30.673+34.27+3.379</f>
        <v>79.242000000000004</v>
      </c>
      <c r="X100" s="54">
        <f t="shared" si="66"/>
        <v>19.810500000000001</v>
      </c>
      <c r="Y100" s="54">
        <f t="shared" si="67"/>
        <v>4.4508987856386941</v>
      </c>
      <c r="Z100" s="152">
        <v>19</v>
      </c>
      <c r="AA100" s="49">
        <v>99</v>
      </c>
      <c r="AB100" s="48">
        <f t="shared" si="68"/>
        <v>107</v>
      </c>
      <c r="AC100" s="36">
        <f t="shared" si="69"/>
        <v>0.23497134510725756</v>
      </c>
      <c r="AD100" s="34">
        <f t="shared" si="70"/>
        <v>0</v>
      </c>
      <c r="AE100" s="34">
        <f t="shared" si="71"/>
        <v>0</v>
      </c>
      <c r="AF100" s="34">
        <f t="shared" si="72"/>
        <v>0.30434782608695654</v>
      </c>
      <c r="AG100" s="34">
        <f t="shared" si="73"/>
        <v>0.10447761194029848</v>
      </c>
      <c r="AH100" s="34">
        <f t="shared" si="74"/>
        <v>0.12087912087912088</v>
      </c>
      <c r="AI100" s="34">
        <f t="shared" si="75"/>
        <v>0.37558422134978492</v>
      </c>
      <c r="AJ100" s="34">
        <f t="shared" si="76"/>
        <v>1</v>
      </c>
      <c r="AK100" s="34">
        <f t="shared" si="77"/>
        <v>0</v>
      </c>
      <c r="AL100" s="34">
        <f t="shared" si="78"/>
        <v>0.26954494858471456</v>
      </c>
      <c r="AM100" s="34"/>
      <c r="AN100" s="35">
        <v>0.29074133428567484</v>
      </c>
      <c r="AO100">
        <f t="shared" si="59"/>
        <v>1</v>
      </c>
      <c r="AP100">
        <v>5.028684387259422</v>
      </c>
      <c r="AQ100">
        <v>94</v>
      </c>
      <c r="AR100">
        <v>101</v>
      </c>
      <c r="AS100" s="154">
        <v>99</v>
      </c>
      <c r="AT100">
        <v>99</v>
      </c>
    </row>
    <row r="101" spans="1:46" x14ac:dyDescent="0.35">
      <c r="A101">
        <v>101</v>
      </c>
      <c r="B101" s="69" t="s">
        <v>1296</v>
      </c>
      <c r="C101" s="69" t="s">
        <v>1108</v>
      </c>
      <c r="D101" s="69" t="s">
        <v>3913</v>
      </c>
      <c r="E101" s="9" t="s">
        <v>5</v>
      </c>
      <c r="F101">
        <v>1</v>
      </c>
      <c r="G101">
        <v>3</v>
      </c>
      <c r="I101">
        <v>1</v>
      </c>
      <c r="J101">
        <v>2</v>
      </c>
      <c r="L101">
        <f>34+23</f>
        <v>57</v>
      </c>
      <c r="M101">
        <f>65+9</f>
        <v>74</v>
      </c>
      <c r="N101" s="73">
        <f t="shared" si="60"/>
        <v>14.25</v>
      </c>
      <c r="O101" s="73">
        <f t="shared" si="61"/>
        <v>18.5</v>
      </c>
      <c r="P101" s="73">
        <f t="shared" si="62"/>
        <v>-4.25</v>
      </c>
      <c r="Q101">
        <f>21+13</f>
        <v>34</v>
      </c>
      <c r="R101" s="54">
        <f t="shared" si="63"/>
        <v>1.6764705882352942</v>
      </c>
      <c r="S101" s="9">
        <f>0.57-3.42-3.97-0.562</f>
        <v>-7.3820000000000006</v>
      </c>
      <c r="T101" s="9">
        <f>0.562</f>
        <v>0.56200000000000006</v>
      </c>
      <c r="U101" s="54">
        <f t="shared" si="64"/>
        <v>-0.92275000000000007</v>
      </c>
      <c r="V101" s="54">
        <f t="shared" si="65"/>
        <v>-11.915799999999999</v>
      </c>
      <c r="W101" s="9">
        <f>9.738+4.365+5.804+77.703</f>
        <v>97.61</v>
      </c>
      <c r="X101" s="54">
        <f t="shared" si="66"/>
        <v>24.4025</v>
      </c>
      <c r="Y101" s="54">
        <f t="shared" si="67"/>
        <v>4.9398886627129563</v>
      </c>
      <c r="Z101" s="152">
        <v>92</v>
      </c>
      <c r="AA101" s="49">
        <v>100</v>
      </c>
      <c r="AB101" s="48">
        <f t="shared" si="68"/>
        <v>74</v>
      </c>
      <c r="AC101" s="36">
        <f t="shared" si="69"/>
        <v>0.50555917625797608</v>
      </c>
      <c r="AD101" s="34">
        <f t="shared" si="70"/>
        <v>0.25</v>
      </c>
      <c r="AE101" s="34">
        <f t="shared" si="71"/>
        <v>0.33333333333333331</v>
      </c>
      <c r="AF101" s="34">
        <f t="shared" si="72"/>
        <v>0.33333333333333331</v>
      </c>
      <c r="AG101" s="34">
        <f t="shared" si="73"/>
        <v>0.22388059701492535</v>
      </c>
      <c r="AH101" s="34">
        <f t="shared" si="74"/>
        <v>0.23076923076923078</v>
      </c>
      <c r="AI101" s="34">
        <f t="shared" si="75"/>
        <v>0.23130216752993962</v>
      </c>
      <c r="AJ101" s="34">
        <f t="shared" si="76"/>
        <v>0.76101274484646309</v>
      </c>
      <c r="AK101" s="34">
        <f t="shared" si="77"/>
        <v>0.62296544741172011</v>
      </c>
      <c r="AL101" s="34">
        <f t="shared" si="78"/>
        <v>0.3339130528959901</v>
      </c>
      <c r="AN101" s="35">
        <v>0.28724481581352412</v>
      </c>
      <c r="AO101">
        <f t="shared" si="59"/>
        <v>4</v>
      </c>
      <c r="AP101">
        <v>2.5759787783804948</v>
      </c>
      <c r="AQ101">
        <v>21</v>
      </c>
      <c r="AR101">
        <v>64</v>
      </c>
      <c r="AS101" s="154">
        <v>92</v>
      </c>
      <c r="AT101">
        <v>100</v>
      </c>
    </row>
    <row r="102" spans="1:46" x14ac:dyDescent="0.35">
      <c r="A102">
        <v>66</v>
      </c>
      <c r="B102" s="21" t="s">
        <v>173</v>
      </c>
      <c r="C102" s="21" t="s">
        <v>166</v>
      </c>
      <c r="D102" s="21" t="s">
        <v>24</v>
      </c>
      <c r="E102" s="9" t="s">
        <v>6</v>
      </c>
      <c r="F102">
        <v>0</v>
      </c>
      <c r="G102">
        <v>4</v>
      </c>
      <c r="I102">
        <v>0</v>
      </c>
      <c r="J102">
        <v>3</v>
      </c>
      <c r="L102">
        <f>33+21</f>
        <v>54</v>
      </c>
      <c r="M102">
        <f>47+22</f>
        <v>69</v>
      </c>
      <c r="N102" s="73">
        <f t="shared" si="60"/>
        <v>13.5</v>
      </c>
      <c r="O102" s="73">
        <f t="shared" si="61"/>
        <v>17.25</v>
      </c>
      <c r="P102" s="73">
        <f t="shared" si="62"/>
        <v>-3.75</v>
      </c>
      <c r="Q102">
        <v>33</v>
      </c>
      <c r="R102" s="54">
        <f t="shared" si="63"/>
        <v>1.6363636363636365</v>
      </c>
      <c r="S102" s="9">
        <f>-5.313+2.919-0.834-5.577</f>
        <v>-8.8049999999999997</v>
      </c>
      <c r="T102" s="9">
        <v>0</v>
      </c>
      <c r="U102" s="54">
        <f t="shared" si="64"/>
        <v>-1.100625</v>
      </c>
      <c r="V102" s="54">
        <f t="shared" si="65"/>
        <v>-31.603999999999999</v>
      </c>
      <c r="W102" s="9">
        <f>20.243+15.69+2.47+48.645</f>
        <v>87.048000000000002</v>
      </c>
      <c r="X102" s="54">
        <f t="shared" si="66"/>
        <v>21.762</v>
      </c>
      <c r="Y102" s="54">
        <f t="shared" si="67"/>
        <v>4.6649758841820397</v>
      </c>
      <c r="Z102" s="152">
        <v>62</v>
      </c>
      <c r="AA102" s="49">
        <v>101</v>
      </c>
      <c r="AB102" s="48">
        <f t="shared" si="68"/>
        <v>102</v>
      </c>
      <c r="AC102" s="36">
        <f t="shared" si="69"/>
        <v>0.29776594162964815</v>
      </c>
      <c r="AD102" s="34">
        <f t="shared" si="70"/>
        <v>0</v>
      </c>
      <c r="AE102" s="34">
        <f t="shared" si="71"/>
        <v>0</v>
      </c>
      <c r="AF102" s="34">
        <f t="shared" si="72"/>
        <v>0.28985507246376813</v>
      </c>
      <c r="AG102" s="34">
        <f t="shared" si="73"/>
        <v>0.29850746268656714</v>
      </c>
      <c r="AH102" s="34">
        <f t="shared" si="74"/>
        <v>0.25274725274725274</v>
      </c>
      <c r="AI102" s="34">
        <f t="shared" si="75"/>
        <v>0.19441186967827467</v>
      </c>
      <c r="AJ102" s="34">
        <f t="shared" si="76"/>
        <v>0.78129900493256921</v>
      </c>
      <c r="AK102" s="34">
        <f t="shared" si="77"/>
        <v>0</v>
      </c>
      <c r="AL102" s="34">
        <f t="shared" si="78"/>
        <v>0.29772495323458703</v>
      </c>
      <c r="AM102" s="34"/>
      <c r="AN102" s="35">
        <v>0.27818308595477992</v>
      </c>
      <c r="AO102">
        <f t="shared" si="59"/>
        <v>3</v>
      </c>
      <c r="AP102">
        <v>3.5778485155187889</v>
      </c>
      <c r="AQ102">
        <v>51</v>
      </c>
      <c r="AR102">
        <v>65</v>
      </c>
      <c r="AS102" s="154">
        <v>89</v>
      </c>
      <c r="AT102">
        <v>101</v>
      </c>
    </row>
    <row r="103" spans="1:46" x14ac:dyDescent="0.35">
      <c r="A103">
        <v>111</v>
      </c>
      <c r="B103" s="69" t="s">
        <v>1296</v>
      </c>
      <c r="C103" s="69" t="s">
        <v>1109</v>
      </c>
      <c r="D103" s="69" t="s">
        <v>964</v>
      </c>
      <c r="E103" s="9" t="s">
        <v>6</v>
      </c>
      <c r="F103">
        <v>0</v>
      </c>
      <c r="G103">
        <v>4</v>
      </c>
      <c r="I103">
        <v>0</v>
      </c>
      <c r="J103">
        <v>3</v>
      </c>
      <c r="L103">
        <v>44</v>
      </c>
      <c r="M103">
        <f>48+23</f>
        <v>71</v>
      </c>
      <c r="N103" s="73">
        <f t="shared" si="60"/>
        <v>11</v>
      </c>
      <c r="O103" s="73">
        <f t="shared" si="61"/>
        <v>17.75</v>
      </c>
      <c r="P103" s="73">
        <f t="shared" si="62"/>
        <v>-6.75</v>
      </c>
      <c r="Q103">
        <v>25</v>
      </c>
      <c r="R103" s="54">
        <f t="shared" si="63"/>
        <v>1.76</v>
      </c>
      <c r="S103" s="9">
        <f>-2.452-3.957-3.367+0.562</f>
        <v>-9.2140000000000004</v>
      </c>
      <c r="T103" s="9">
        <v>0</v>
      </c>
      <c r="U103" s="54">
        <f t="shared" si="64"/>
        <v>-1.1517500000000001</v>
      </c>
      <c r="V103" s="54">
        <f t="shared" si="65"/>
        <v>-31.603999999999999</v>
      </c>
      <c r="W103" s="9">
        <f>15.717+27.808+17.353+2.235</f>
        <v>63.113</v>
      </c>
      <c r="X103" s="54">
        <f t="shared" si="66"/>
        <v>15.77825</v>
      </c>
      <c r="Y103" s="54">
        <f t="shared" si="67"/>
        <v>3.9721845375057789</v>
      </c>
      <c r="Z103" s="152">
        <v>22</v>
      </c>
      <c r="AA103" s="49">
        <v>102</v>
      </c>
      <c r="AB103" s="48">
        <f t="shared" si="68"/>
        <v>109</v>
      </c>
      <c r="AC103" s="36">
        <f t="shared" si="69"/>
        <v>0.20806498891592909</v>
      </c>
      <c r="AD103" s="34">
        <f t="shared" si="70"/>
        <v>0</v>
      </c>
      <c r="AE103" s="34">
        <f t="shared" si="71"/>
        <v>0</v>
      </c>
      <c r="AF103" s="34">
        <f t="shared" si="72"/>
        <v>0.14492753623188406</v>
      </c>
      <c r="AG103" s="34">
        <f t="shared" si="73"/>
        <v>0.26865671641791045</v>
      </c>
      <c r="AH103" s="34">
        <f t="shared" si="74"/>
        <v>0.12087912087912088</v>
      </c>
      <c r="AI103" s="34">
        <f t="shared" si="75"/>
        <v>0.30813236118900728</v>
      </c>
      <c r="AJ103" s="34">
        <f t="shared" si="76"/>
        <v>0.78712970090953149</v>
      </c>
      <c r="AK103" s="34">
        <f t="shared" si="77"/>
        <v>0</v>
      </c>
      <c r="AL103" s="34">
        <f t="shared" si="78"/>
        <v>0.20652947504673441</v>
      </c>
      <c r="AN103" s="35">
        <v>0.27752836706882145</v>
      </c>
      <c r="AO103">
        <f t="shared" si="59"/>
        <v>1</v>
      </c>
      <c r="AP103">
        <v>4.5047382461877481</v>
      </c>
      <c r="AQ103">
        <v>91</v>
      </c>
      <c r="AR103">
        <v>98</v>
      </c>
      <c r="AS103" s="154">
        <v>100</v>
      </c>
      <c r="AT103">
        <v>102</v>
      </c>
    </row>
    <row r="104" spans="1:46" x14ac:dyDescent="0.35">
      <c r="A104">
        <v>81</v>
      </c>
      <c r="B104" s="58" t="s">
        <v>799</v>
      </c>
      <c r="C104" s="58" t="s">
        <v>1103</v>
      </c>
      <c r="D104" s="58" t="s">
        <v>784</v>
      </c>
      <c r="E104" s="9" t="s">
        <v>5</v>
      </c>
      <c r="F104">
        <v>1</v>
      </c>
      <c r="G104">
        <v>3</v>
      </c>
      <c r="I104">
        <v>1</v>
      </c>
      <c r="J104">
        <v>2</v>
      </c>
      <c r="L104">
        <f>37+28</f>
        <v>65</v>
      </c>
      <c r="M104">
        <v>59</v>
      </c>
      <c r="N104" s="73">
        <f t="shared" si="60"/>
        <v>16.25</v>
      </c>
      <c r="O104" s="73">
        <f t="shared" si="61"/>
        <v>14.75</v>
      </c>
      <c r="P104" s="73">
        <f t="shared" si="62"/>
        <v>1.5</v>
      </c>
      <c r="Q104">
        <v>38</v>
      </c>
      <c r="R104" s="54">
        <f t="shared" si="63"/>
        <v>1.7105263157894737</v>
      </c>
      <c r="S104" s="9">
        <f>-0.626-2.915-2.665-0.282</f>
        <v>-6.4879999999999995</v>
      </c>
      <c r="T104" s="9">
        <f>-0.282</f>
        <v>-0.28199999999999997</v>
      </c>
      <c r="U104" s="54">
        <f t="shared" si="64"/>
        <v>-0.81099999999999994</v>
      </c>
      <c r="V104" s="54">
        <f t="shared" si="65"/>
        <v>-10.8186</v>
      </c>
      <c r="W104" s="9">
        <f>4.057+19.329+30.483+(123.724-11.862)</f>
        <v>165.73099999999999</v>
      </c>
      <c r="X104" s="54">
        <f t="shared" si="66"/>
        <v>41.432749999999999</v>
      </c>
      <c r="Y104" s="54">
        <f t="shared" si="67"/>
        <v>6.4368276347902933</v>
      </c>
      <c r="Z104" s="152">
        <v>44</v>
      </c>
      <c r="AA104" s="49">
        <v>103</v>
      </c>
      <c r="AB104" s="48">
        <f t="shared" si="68"/>
        <v>75</v>
      </c>
      <c r="AC104" s="36">
        <f t="shared" si="69"/>
        <v>0.50539895966221982</v>
      </c>
      <c r="AD104" s="34">
        <f t="shared" si="70"/>
        <v>0.25</v>
      </c>
      <c r="AE104" s="34">
        <f t="shared" si="71"/>
        <v>0.33333333333333331</v>
      </c>
      <c r="AF104" s="34">
        <f t="shared" si="72"/>
        <v>0.44927536231884058</v>
      </c>
      <c r="AG104" s="34">
        <f t="shared" si="73"/>
        <v>0.44776119402985071</v>
      </c>
      <c r="AH104" s="34">
        <f t="shared" si="74"/>
        <v>0.48351648351648352</v>
      </c>
      <c r="AI104" s="34">
        <f t="shared" si="75"/>
        <v>0.26262656079345864</v>
      </c>
      <c r="AJ104" s="34">
        <f t="shared" si="76"/>
        <v>0.74826789838337182</v>
      </c>
      <c r="AK104" s="34">
        <f t="shared" si="77"/>
        <v>0.65768257182635104</v>
      </c>
      <c r="AL104" s="34">
        <f t="shared" si="78"/>
        <v>0.53096237522307432</v>
      </c>
      <c r="AM104" s="34"/>
      <c r="AN104" s="35">
        <v>0.26770873339211404</v>
      </c>
      <c r="AO104">
        <f t="shared" si="59"/>
        <v>2</v>
      </c>
      <c r="AP104">
        <v>4.2374913962547858</v>
      </c>
      <c r="AQ104">
        <v>69</v>
      </c>
      <c r="AR104">
        <v>95</v>
      </c>
      <c r="AS104" s="154">
        <v>102</v>
      </c>
      <c r="AT104">
        <v>103</v>
      </c>
    </row>
    <row r="105" spans="1:46" x14ac:dyDescent="0.35">
      <c r="A105">
        <v>90</v>
      </c>
      <c r="B105" s="58" t="s">
        <v>799</v>
      </c>
      <c r="C105" s="58" t="s">
        <v>1106</v>
      </c>
      <c r="D105" s="58" t="s">
        <v>794</v>
      </c>
      <c r="E105" s="9" t="s">
        <v>6</v>
      </c>
      <c r="F105">
        <v>0</v>
      </c>
      <c r="G105">
        <v>4</v>
      </c>
      <c r="I105">
        <v>0</v>
      </c>
      <c r="J105">
        <v>3</v>
      </c>
      <c r="L105">
        <v>48</v>
      </c>
      <c r="M105">
        <f>58+28</f>
        <v>86</v>
      </c>
      <c r="N105" s="73">
        <f t="shared" si="60"/>
        <v>12</v>
      </c>
      <c r="O105" s="73">
        <f t="shared" si="61"/>
        <v>21.5</v>
      </c>
      <c r="P105" s="73">
        <f t="shared" si="62"/>
        <v>-9.5</v>
      </c>
      <c r="Q105">
        <v>30</v>
      </c>
      <c r="R105" s="54">
        <f t="shared" si="63"/>
        <v>1.6</v>
      </c>
      <c r="S105" s="9">
        <f>1.288+1.906-4.709+0.282</f>
        <v>-1.2329999999999997</v>
      </c>
      <c r="T105" s="9">
        <v>0</v>
      </c>
      <c r="U105" s="54">
        <f t="shared" si="64"/>
        <v>-0.15412499999999996</v>
      </c>
      <c r="V105" s="54">
        <f t="shared" si="65"/>
        <v>-31.603999999999999</v>
      </c>
      <c r="W105" s="9">
        <f>9.946+3.136+7.809+2.211</f>
        <v>23.102</v>
      </c>
      <c r="X105" s="54">
        <f t="shared" si="66"/>
        <v>5.7755000000000001</v>
      </c>
      <c r="Y105" s="54">
        <f t="shared" si="67"/>
        <v>2.4032269971852429</v>
      </c>
      <c r="Z105" s="152">
        <v>65</v>
      </c>
      <c r="AA105" s="49">
        <v>104</v>
      </c>
      <c r="AB105" s="48">
        <f t="shared" si="68"/>
        <v>108</v>
      </c>
      <c r="AC105" s="36">
        <f t="shared" si="69"/>
        <v>0.20901964606386736</v>
      </c>
      <c r="AD105" s="34">
        <f t="shared" si="70"/>
        <v>0</v>
      </c>
      <c r="AE105" s="34">
        <f t="shared" si="71"/>
        <v>0</v>
      </c>
      <c r="AF105" s="34">
        <f t="shared" si="72"/>
        <v>0.20289855072463769</v>
      </c>
      <c r="AG105" s="34">
        <f t="shared" si="73"/>
        <v>4.4776119402985093E-2</v>
      </c>
      <c r="AH105" s="34">
        <f t="shared" si="74"/>
        <v>0</v>
      </c>
      <c r="AI105" s="34">
        <f t="shared" si="75"/>
        <v>0.16096466629276504</v>
      </c>
      <c r="AJ105" s="34">
        <f t="shared" si="76"/>
        <v>0.67335272146665526</v>
      </c>
      <c r="AK105" s="34">
        <f t="shared" si="77"/>
        <v>0</v>
      </c>
      <c r="AL105" s="34">
        <f t="shared" si="78"/>
        <v>0</v>
      </c>
      <c r="AM105" s="34"/>
      <c r="AN105" s="35">
        <v>0.26341076827560378</v>
      </c>
      <c r="AO105">
        <f t="shared" si="59"/>
        <v>3</v>
      </c>
      <c r="AP105">
        <v>2.6388760233604511</v>
      </c>
      <c r="AQ105">
        <v>48</v>
      </c>
      <c r="AR105">
        <v>74</v>
      </c>
      <c r="AS105" s="154">
        <v>98</v>
      </c>
      <c r="AT105">
        <v>104</v>
      </c>
    </row>
    <row r="106" spans="1:46" x14ac:dyDescent="0.35">
      <c r="A106">
        <v>85</v>
      </c>
      <c r="B106" s="58" t="s">
        <v>799</v>
      </c>
      <c r="C106" s="58" t="s">
        <v>1104</v>
      </c>
      <c r="D106" s="58" t="s">
        <v>786</v>
      </c>
      <c r="E106" s="9" t="s">
        <v>5</v>
      </c>
      <c r="F106">
        <v>1</v>
      </c>
      <c r="G106">
        <v>3</v>
      </c>
      <c r="I106">
        <v>1</v>
      </c>
      <c r="J106">
        <v>2</v>
      </c>
      <c r="L106">
        <v>56</v>
      </c>
      <c r="M106">
        <v>79</v>
      </c>
      <c r="N106" s="73">
        <f t="shared" si="60"/>
        <v>14</v>
      </c>
      <c r="O106" s="73">
        <f t="shared" si="61"/>
        <v>19.75</v>
      </c>
      <c r="P106" s="73">
        <f t="shared" si="62"/>
        <v>-5.75</v>
      </c>
      <c r="Q106">
        <v>32</v>
      </c>
      <c r="R106" s="54">
        <f t="shared" si="63"/>
        <v>1.75</v>
      </c>
      <c r="S106" s="9">
        <f>2.918-4.446-3.67-6.6</f>
        <v>-11.797999999999998</v>
      </c>
      <c r="T106" s="9">
        <f>-6.6</f>
        <v>-6.6</v>
      </c>
      <c r="U106" s="54">
        <f t="shared" si="64"/>
        <v>-1.4747499999999998</v>
      </c>
      <c r="V106" s="54">
        <f t="shared" si="65"/>
        <v>-2.6051999999999995</v>
      </c>
      <c r="W106" s="9">
        <f>7.711+2.729+9.065+42.223</f>
        <v>61.728000000000002</v>
      </c>
      <c r="X106" s="54">
        <f t="shared" si="66"/>
        <v>15.432</v>
      </c>
      <c r="Y106" s="54">
        <f t="shared" si="67"/>
        <v>3.9283584357845962</v>
      </c>
      <c r="Z106" s="152">
        <v>57</v>
      </c>
      <c r="AA106" s="49">
        <v>105</v>
      </c>
      <c r="AB106" s="48">
        <f t="shared" si="68"/>
        <v>82</v>
      </c>
      <c r="AC106" s="36">
        <f t="shared" si="69"/>
        <v>0.46571582668903488</v>
      </c>
      <c r="AD106" s="34">
        <f t="shared" si="70"/>
        <v>0.25</v>
      </c>
      <c r="AE106" s="34">
        <f t="shared" si="71"/>
        <v>0.33333333333333331</v>
      </c>
      <c r="AF106" s="34">
        <f t="shared" si="72"/>
        <v>0.3188405797101449</v>
      </c>
      <c r="AG106" s="34">
        <f t="shared" si="73"/>
        <v>0.14925373134328357</v>
      </c>
      <c r="AH106" s="34">
        <f t="shared" si="74"/>
        <v>0.16483516483516483</v>
      </c>
      <c r="AI106" s="34">
        <f t="shared" si="75"/>
        <v>0.29893438025799213</v>
      </c>
      <c r="AJ106" s="34">
        <f t="shared" si="76"/>
        <v>0.82396715422119571</v>
      </c>
      <c r="AK106" s="34">
        <f t="shared" si="77"/>
        <v>0.91756739653208452</v>
      </c>
      <c r="AL106" s="34">
        <f t="shared" si="78"/>
        <v>0.20076043315158443</v>
      </c>
      <c r="AM106" s="34"/>
      <c r="AN106" s="35">
        <v>0.25743562079150523</v>
      </c>
      <c r="AO106">
        <f t="shared" si="59"/>
        <v>2</v>
      </c>
      <c r="AP106">
        <v>2.5498365960717302</v>
      </c>
      <c r="AQ106">
        <v>56</v>
      </c>
      <c r="AR106">
        <v>79</v>
      </c>
      <c r="AS106" s="154">
        <v>105</v>
      </c>
      <c r="AT106">
        <v>105</v>
      </c>
    </row>
    <row r="107" spans="1:46" x14ac:dyDescent="0.35">
      <c r="A107">
        <v>68</v>
      </c>
      <c r="B107" s="21" t="s">
        <v>173</v>
      </c>
      <c r="C107" s="21" t="s">
        <v>166</v>
      </c>
      <c r="D107" s="21" t="s">
        <v>25</v>
      </c>
      <c r="E107" s="9" t="s">
        <v>5</v>
      </c>
      <c r="F107">
        <v>1</v>
      </c>
      <c r="G107">
        <v>3</v>
      </c>
      <c r="I107">
        <v>1</v>
      </c>
      <c r="J107">
        <v>2</v>
      </c>
      <c r="L107">
        <f>42+24</f>
        <v>66</v>
      </c>
      <c r="M107">
        <f>57+23</f>
        <v>80</v>
      </c>
      <c r="N107" s="73">
        <f t="shared" si="60"/>
        <v>16.5</v>
      </c>
      <c r="O107" s="73">
        <f t="shared" si="61"/>
        <v>20</v>
      </c>
      <c r="P107" s="73">
        <f t="shared" si="62"/>
        <v>-3.5</v>
      </c>
      <c r="Q107">
        <f>24+13</f>
        <v>37</v>
      </c>
      <c r="R107" s="54">
        <f t="shared" si="63"/>
        <v>1.7837837837837838</v>
      </c>
      <c r="S107" s="9">
        <f>0.499+2.064-4.357-5.835</f>
        <v>-7.6289999999999996</v>
      </c>
      <c r="T107" s="9">
        <f>-5.835</f>
        <v>-5.835</v>
      </c>
      <c r="U107" s="54">
        <f t="shared" si="64"/>
        <v>-0.95362499999999994</v>
      </c>
      <c r="V107" s="54">
        <f t="shared" si="65"/>
        <v>-3.599699999999999</v>
      </c>
      <c r="W107" s="9">
        <f>1.644+14.433+10.833+47.365</f>
        <v>74.275000000000006</v>
      </c>
      <c r="X107" s="54">
        <f t="shared" si="66"/>
        <v>18.568750000000001</v>
      </c>
      <c r="Y107" s="54">
        <f t="shared" si="67"/>
        <v>4.3091472474261074</v>
      </c>
      <c r="Z107" s="152">
        <v>37</v>
      </c>
      <c r="AA107" s="49">
        <v>106</v>
      </c>
      <c r="AB107" s="48">
        <f t="shared" si="68"/>
        <v>85</v>
      </c>
      <c r="AC107" s="36">
        <f t="shared" si="69"/>
        <v>0.45278720687337631</v>
      </c>
      <c r="AD107" s="34">
        <f t="shared" si="70"/>
        <v>0.25</v>
      </c>
      <c r="AE107" s="34">
        <f t="shared" si="71"/>
        <v>0.33333333333333331</v>
      </c>
      <c r="AF107" s="34">
        <f t="shared" si="72"/>
        <v>0.46376811594202899</v>
      </c>
      <c r="AG107" s="34">
        <f t="shared" si="73"/>
        <v>0.13432835820895528</v>
      </c>
      <c r="AH107" s="34">
        <f t="shared" si="74"/>
        <v>0.26373626373626374</v>
      </c>
      <c r="AI107" s="34">
        <f t="shared" si="75"/>
        <v>0.33000864016007031</v>
      </c>
      <c r="AJ107" s="34">
        <f t="shared" si="76"/>
        <v>0.7645339720012545</v>
      </c>
      <c r="AK107" s="34">
        <f t="shared" si="77"/>
        <v>0.88609986077711689</v>
      </c>
      <c r="AL107" s="34">
        <f t="shared" si="78"/>
        <v>0.25088550750887023</v>
      </c>
      <c r="AM107" s="34"/>
      <c r="AN107" s="35">
        <v>0.25283137278799123</v>
      </c>
      <c r="AO107">
        <f t="shared" si="59"/>
        <v>2</v>
      </c>
      <c r="AP107">
        <v>2.9949958263743874</v>
      </c>
      <c r="AQ107">
        <v>76</v>
      </c>
      <c r="AR107">
        <v>93</v>
      </c>
      <c r="AS107" s="154">
        <v>106</v>
      </c>
      <c r="AT107">
        <v>106</v>
      </c>
    </row>
    <row r="108" spans="1:46" x14ac:dyDescent="0.35">
      <c r="A108">
        <v>102</v>
      </c>
      <c r="B108" s="69" t="s">
        <v>1296</v>
      </c>
      <c r="C108" s="69" t="s">
        <v>1108</v>
      </c>
      <c r="D108" s="69" t="s">
        <v>1308</v>
      </c>
      <c r="E108" s="9" t="s">
        <v>6</v>
      </c>
      <c r="F108">
        <v>0</v>
      </c>
      <c r="G108">
        <v>4</v>
      </c>
      <c r="I108">
        <v>0</v>
      </c>
      <c r="J108">
        <v>3</v>
      </c>
      <c r="L108">
        <v>47</v>
      </c>
      <c r="M108">
        <v>66</v>
      </c>
      <c r="N108" s="73">
        <f t="shared" si="60"/>
        <v>11.75</v>
      </c>
      <c r="O108" s="73">
        <f t="shared" si="61"/>
        <v>16.5</v>
      </c>
      <c r="P108" s="73">
        <f t="shared" si="62"/>
        <v>-4.75</v>
      </c>
      <c r="Q108">
        <v>28</v>
      </c>
      <c r="R108" s="54">
        <f t="shared" si="63"/>
        <v>1.6785714285714286</v>
      </c>
      <c r="S108" s="9">
        <f>2.123-4.054-1.439-1.135</f>
        <v>-4.5049999999999999</v>
      </c>
      <c r="T108" s="9">
        <v>0</v>
      </c>
      <c r="U108" s="54">
        <f t="shared" si="64"/>
        <v>-0.56312499999999999</v>
      </c>
      <c r="V108" s="54">
        <f t="shared" si="65"/>
        <v>-31.603999999999999</v>
      </c>
      <c r="W108" s="9">
        <f>4.596+11.982+0+11.082</f>
        <v>27.66</v>
      </c>
      <c r="X108" s="54">
        <f t="shared" si="66"/>
        <v>6.915</v>
      </c>
      <c r="Y108" s="54">
        <f t="shared" si="67"/>
        <v>2.6296387584609411</v>
      </c>
      <c r="Z108" s="152">
        <v>50</v>
      </c>
      <c r="AA108" s="49">
        <v>107</v>
      </c>
      <c r="AB108" s="48">
        <f t="shared" si="68"/>
        <v>106</v>
      </c>
      <c r="AC108" s="36">
        <f t="shared" si="69"/>
        <v>0.24410571801418821</v>
      </c>
      <c r="AD108" s="34">
        <f t="shared" si="70"/>
        <v>0</v>
      </c>
      <c r="AE108" s="34">
        <f t="shared" si="71"/>
        <v>0</v>
      </c>
      <c r="AF108" s="34">
        <f t="shared" si="72"/>
        <v>0.18840579710144928</v>
      </c>
      <c r="AG108" s="34">
        <f t="shared" si="73"/>
        <v>0.34328358208955223</v>
      </c>
      <c r="AH108" s="34">
        <f t="shared" si="74"/>
        <v>0.2087912087912088</v>
      </c>
      <c r="AI108" s="34">
        <f t="shared" si="75"/>
        <v>0.23323451646502683</v>
      </c>
      <c r="AJ108" s="34">
        <f t="shared" si="76"/>
        <v>0.71999828928235399</v>
      </c>
      <c r="AK108" s="34">
        <f t="shared" si="77"/>
        <v>0</v>
      </c>
      <c r="AL108" s="34">
        <f t="shared" si="78"/>
        <v>2.9803676007142517E-2</v>
      </c>
      <c r="AN108" s="35">
        <v>0.24842969424547059</v>
      </c>
      <c r="AO108">
        <f t="shared" si="59"/>
        <v>2</v>
      </c>
      <c r="AP108">
        <v>2.3507445628991679</v>
      </c>
      <c r="AQ108">
        <v>63</v>
      </c>
      <c r="AR108">
        <v>89</v>
      </c>
      <c r="AS108" s="154">
        <v>90</v>
      </c>
      <c r="AT108">
        <v>107</v>
      </c>
    </row>
    <row r="109" spans="1:46" x14ac:dyDescent="0.35">
      <c r="A109">
        <v>34</v>
      </c>
      <c r="B109" s="17" t="s">
        <v>171</v>
      </c>
      <c r="C109" s="17" t="s">
        <v>1095</v>
      </c>
      <c r="D109" s="17" t="s">
        <v>47</v>
      </c>
      <c r="E109" s="9" t="s">
        <v>5</v>
      </c>
      <c r="F109">
        <v>1</v>
      </c>
      <c r="G109">
        <v>3</v>
      </c>
      <c r="I109">
        <v>1</v>
      </c>
      <c r="J109">
        <v>2</v>
      </c>
      <c r="L109">
        <v>57</v>
      </c>
      <c r="M109">
        <v>72</v>
      </c>
      <c r="N109" s="73">
        <f t="shared" si="60"/>
        <v>14.25</v>
      </c>
      <c r="O109" s="73">
        <f t="shared" si="61"/>
        <v>18</v>
      </c>
      <c r="P109" s="73">
        <f t="shared" si="62"/>
        <v>-3.75</v>
      </c>
      <c r="Q109">
        <v>32</v>
      </c>
      <c r="R109" s="54">
        <f t="shared" si="63"/>
        <v>1.78125</v>
      </c>
      <c r="S109" s="9">
        <f>-3.519+2.029+0.605-3.623</f>
        <v>-4.5080000000000009</v>
      </c>
      <c r="T109" s="9">
        <f>-3.623</f>
        <v>-3.6230000000000002</v>
      </c>
      <c r="U109" s="54">
        <f t="shared" si="64"/>
        <v>-0.56350000000000011</v>
      </c>
      <c r="V109" s="54">
        <f t="shared" si="65"/>
        <v>-6.4752999999999989</v>
      </c>
      <c r="W109" s="9">
        <f>21.347+0.137+2.118+36.515</f>
        <v>60.117000000000004</v>
      </c>
      <c r="X109" s="54">
        <f t="shared" si="66"/>
        <v>15.029250000000001</v>
      </c>
      <c r="Y109" s="54">
        <f t="shared" si="67"/>
        <v>3.8767576658852434</v>
      </c>
      <c r="Z109" s="152">
        <v>40</v>
      </c>
      <c r="AA109" s="49">
        <v>108</v>
      </c>
      <c r="AB109" s="48">
        <f t="shared" si="68"/>
        <v>86</v>
      </c>
      <c r="AC109" s="36">
        <f t="shared" si="69"/>
        <v>0.4370598646307417</v>
      </c>
      <c r="AD109" s="34">
        <f t="shared" si="70"/>
        <v>0.25</v>
      </c>
      <c r="AE109" s="34">
        <f t="shared" si="71"/>
        <v>0.33333333333333331</v>
      </c>
      <c r="AF109" s="34">
        <f t="shared" si="72"/>
        <v>0.33333333333333331</v>
      </c>
      <c r="AG109" s="34">
        <f t="shared" si="73"/>
        <v>0.25373134328358204</v>
      </c>
      <c r="AH109" s="34">
        <f t="shared" si="74"/>
        <v>0.25274725274725274</v>
      </c>
      <c r="AI109" s="34">
        <f t="shared" si="75"/>
        <v>0.32767807066741444</v>
      </c>
      <c r="AJ109" s="34">
        <f t="shared" si="76"/>
        <v>0.72004105722350531</v>
      </c>
      <c r="AK109" s="34">
        <f t="shared" si="77"/>
        <v>0.79511137830654355</v>
      </c>
      <c r="AL109" s="34">
        <f t="shared" si="78"/>
        <v>0.19396797405346031</v>
      </c>
      <c r="AM109" s="34"/>
      <c r="AN109" s="35">
        <v>0.24122323540882587</v>
      </c>
      <c r="AO109">
        <f t="shared" si="59"/>
        <v>2</v>
      </c>
      <c r="AP109">
        <v>2.8048767055493427</v>
      </c>
      <c r="AQ109">
        <v>73</v>
      </c>
      <c r="AR109">
        <v>77</v>
      </c>
      <c r="AS109" s="154">
        <v>95</v>
      </c>
      <c r="AT109">
        <v>108</v>
      </c>
    </row>
    <row r="110" spans="1:46" x14ac:dyDescent="0.35">
      <c r="A110">
        <v>2</v>
      </c>
      <c r="B110" s="15" t="s">
        <v>143</v>
      </c>
      <c r="C110" s="15" t="s">
        <v>1085</v>
      </c>
      <c r="D110" s="15" t="s">
        <v>76</v>
      </c>
      <c r="E110" s="9" t="s">
        <v>6</v>
      </c>
      <c r="F110">
        <v>0</v>
      </c>
      <c r="G110">
        <v>4</v>
      </c>
      <c r="I110">
        <v>0</v>
      </c>
      <c r="J110">
        <v>3</v>
      </c>
      <c r="L110">
        <v>54</v>
      </c>
      <c r="M110">
        <f>57+23</f>
        <v>80</v>
      </c>
      <c r="N110" s="73">
        <f t="shared" si="60"/>
        <v>13.5</v>
      </c>
      <c r="O110" s="73">
        <f t="shared" si="61"/>
        <v>20</v>
      </c>
      <c r="P110" s="73">
        <f t="shared" si="62"/>
        <v>-6.5</v>
      </c>
      <c r="Q110">
        <f>24+9</f>
        <v>33</v>
      </c>
      <c r="R110" s="54">
        <f t="shared" si="63"/>
        <v>1.6363636363636365</v>
      </c>
      <c r="S110" s="9">
        <f>-3.919-3.534-5.414-11.18</f>
        <v>-24.046999999999997</v>
      </c>
      <c r="T110" s="9">
        <v>0</v>
      </c>
      <c r="U110" s="54">
        <f t="shared" si="64"/>
        <v>-3.0058749999999996</v>
      </c>
      <c r="V110" s="54">
        <f t="shared" si="65"/>
        <v>-31.603999999999999</v>
      </c>
      <c r="W110" s="9">
        <f>17.405+12.157+12.274+18.22</f>
        <v>60.055999999999997</v>
      </c>
      <c r="X110" s="54">
        <f t="shared" si="66"/>
        <v>15.013999999999999</v>
      </c>
      <c r="Y110" s="54">
        <f t="shared" si="67"/>
        <v>3.8747903169074838</v>
      </c>
      <c r="Z110" s="152">
        <v>8</v>
      </c>
      <c r="AA110" s="49">
        <v>109</v>
      </c>
      <c r="AB110" s="48">
        <f t="shared" si="68"/>
        <v>110</v>
      </c>
      <c r="AC110" s="36">
        <f t="shared" si="69"/>
        <v>0.19834847935896013</v>
      </c>
      <c r="AD110" s="34">
        <f t="shared" si="70"/>
        <v>0</v>
      </c>
      <c r="AE110" s="34">
        <f t="shared" si="71"/>
        <v>0</v>
      </c>
      <c r="AF110" s="34">
        <f t="shared" si="72"/>
        <v>0.28985507246376813</v>
      </c>
      <c r="AG110" s="34">
        <f t="shared" si="73"/>
        <v>0.13432835820895528</v>
      </c>
      <c r="AH110" s="34">
        <f t="shared" si="74"/>
        <v>0.13186813186813187</v>
      </c>
      <c r="AI110" s="34">
        <f t="shared" si="75"/>
        <v>0.19441186967827467</v>
      </c>
      <c r="AJ110" s="34">
        <f t="shared" si="76"/>
        <v>0.99858865794200657</v>
      </c>
      <c r="AK110" s="34">
        <f t="shared" si="77"/>
        <v>0</v>
      </c>
      <c r="AL110" s="34">
        <f t="shared" si="78"/>
        <v>0.19370900238522293</v>
      </c>
      <c r="AM110" s="34"/>
      <c r="AN110" s="35">
        <v>0.22586828209088103</v>
      </c>
      <c r="AO110">
        <f t="shared" si="59"/>
        <v>1</v>
      </c>
      <c r="AP110">
        <v>3.7343451009960678</v>
      </c>
      <c r="AQ110">
        <v>105</v>
      </c>
      <c r="AR110">
        <v>92</v>
      </c>
      <c r="AS110" s="154">
        <v>108</v>
      </c>
      <c r="AT110">
        <v>109</v>
      </c>
    </row>
    <row r="111" spans="1:46" x14ac:dyDescent="0.35">
      <c r="A111">
        <v>33</v>
      </c>
      <c r="B111" s="17" t="s">
        <v>171</v>
      </c>
      <c r="C111" s="17" t="s">
        <v>1095</v>
      </c>
      <c r="D111" s="17" t="s">
        <v>48</v>
      </c>
      <c r="E111" s="9" t="s">
        <v>6</v>
      </c>
      <c r="F111">
        <v>0</v>
      </c>
      <c r="G111">
        <v>4</v>
      </c>
      <c r="I111">
        <v>0</v>
      </c>
      <c r="J111">
        <v>3</v>
      </c>
      <c r="L111">
        <v>41</v>
      </c>
      <c r="M111">
        <f>54+25</f>
        <v>79</v>
      </c>
      <c r="N111" s="73">
        <f t="shared" si="60"/>
        <v>10.25</v>
      </c>
      <c r="O111" s="73">
        <f t="shared" si="61"/>
        <v>19.75</v>
      </c>
      <c r="P111" s="73">
        <f t="shared" si="62"/>
        <v>-9.5</v>
      </c>
      <c r="Q111">
        <v>25</v>
      </c>
      <c r="R111" s="54">
        <f t="shared" si="63"/>
        <v>1.64</v>
      </c>
      <c r="S111" s="9">
        <f>-4.556+0.734-5.051-10.502</f>
        <v>-19.375</v>
      </c>
      <c r="T111" s="9">
        <v>0</v>
      </c>
      <c r="U111" s="54">
        <f t="shared" si="64"/>
        <v>-2.421875</v>
      </c>
      <c r="V111" s="54">
        <f t="shared" si="65"/>
        <v>-31.603999999999999</v>
      </c>
      <c r="W111" s="9">
        <f>16.982+6.336+0.38+8.459</f>
        <v>32.156999999999996</v>
      </c>
      <c r="X111" s="54">
        <f t="shared" si="66"/>
        <v>8.0392499999999991</v>
      </c>
      <c r="Y111" s="54">
        <f t="shared" si="67"/>
        <v>2.8353571203642054</v>
      </c>
      <c r="Z111" s="152">
        <v>21</v>
      </c>
      <c r="AA111" s="49">
        <v>110</v>
      </c>
      <c r="AB111" s="48">
        <f t="shared" si="68"/>
        <v>112</v>
      </c>
      <c r="AC111" s="36">
        <f t="shared" si="69"/>
        <v>0.17292826035134271</v>
      </c>
      <c r="AD111" s="34">
        <f t="shared" si="70"/>
        <v>0</v>
      </c>
      <c r="AE111" s="34">
        <f t="shared" si="71"/>
        <v>0</v>
      </c>
      <c r="AF111" s="34">
        <f t="shared" si="72"/>
        <v>0.10144927536231885</v>
      </c>
      <c r="AG111" s="34">
        <f t="shared" si="73"/>
        <v>0.14925373134328357</v>
      </c>
      <c r="AH111" s="34">
        <f t="shared" si="74"/>
        <v>0</v>
      </c>
      <c r="AI111" s="34">
        <f t="shared" si="75"/>
        <v>0.19775659001682544</v>
      </c>
      <c r="AJ111" s="34">
        <f t="shared" si="76"/>
        <v>0.93198471758902857</v>
      </c>
      <c r="AK111" s="34">
        <f t="shared" si="77"/>
        <v>0</v>
      </c>
      <c r="AL111" s="34">
        <f t="shared" si="78"/>
        <v>5.6883379695411407E-2</v>
      </c>
      <c r="AM111" s="34"/>
      <c r="AN111" s="35">
        <v>0.21618791100930546</v>
      </c>
      <c r="AO111">
        <f t="shared" si="59"/>
        <v>1</v>
      </c>
      <c r="AP111">
        <v>2.8105752673311084</v>
      </c>
      <c r="AQ111">
        <v>92</v>
      </c>
      <c r="AR111">
        <v>94</v>
      </c>
      <c r="AS111" s="154">
        <v>107</v>
      </c>
      <c r="AT111">
        <v>110</v>
      </c>
    </row>
    <row r="112" spans="1:46" x14ac:dyDescent="0.35">
      <c r="A112">
        <v>84</v>
      </c>
      <c r="B112" s="58" t="s">
        <v>799</v>
      </c>
      <c r="C112" s="58" t="s">
        <v>1103</v>
      </c>
      <c r="D112" s="58" t="s">
        <v>796</v>
      </c>
      <c r="E112" s="9" t="s">
        <v>5</v>
      </c>
      <c r="F112">
        <v>1</v>
      </c>
      <c r="G112">
        <v>3</v>
      </c>
      <c r="I112">
        <v>1</v>
      </c>
      <c r="J112">
        <v>2</v>
      </c>
      <c r="L112">
        <f>33+21</f>
        <v>54</v>
      </c>
      <c r="M112">
        <f>50+15</f>
        <v>65</v>
      </c>
      <c r="N112" s="73">
        <f t="shared" si="60"/>
        <v>13.5</v>
      </c>
      <c r="O112" s="73">
        <f t="shared" si="61"/>
        <v>16.25</v>
      </c>
      <c r="P112" s="73">
        <f t="shared" si="62"/>
        <v>-2.75</v>
      </c>
      <c r="Q112">
        <v>35</v>
      </c>
      <c r="R112" s="54">
        <f t="shared" si="63"/>
        <v>1.5428571428571429</v>
      </c>
      <c r="S112" s="9">
        <f>-4.825-4.016-3.551-6.914</f>
        <v>-19.306000000000001</v>
      </c>
      <c r="T112" s="9">
        <f>-6.914</f>
        <v>-6.9139999999999997</v>
      </c>
      <c r="U112" s="54">
        <f t="shared" si="64"/>
        <v>-2.4132500000000001</v>
      </c>
      <c r="V112" s="54">
        <f t="shared" si="65"/>
        <v>-2.1969999999999996</v>
      </c>
      <c r="W112" s="9">
        <f>25.481+4.634+12.954+73.099</f>
        <v>116.16800000000001</v>
      </c>
      <c r="X112" s="54">
        <f t="shared" si="66"/>
        <v>29.042000000000002</v>
      </c>
      <c r="Y112" s="54">
        <f t="shared" si="67"/>
        <v>5.3890629983328271</v>
      </c>
      <c r="Z112" s="152">
        <v>11</v>
      </c>
      <c r="AA112" s="49">
        <v>111</v>
      </c>
      <c r="AB112" s="48">
        <f t="shared" si="68"/>
        <v>87</v>
      </c>
      <c r="AC112" s="36">
        <f t="shared" si="69"/>
        <v>0.43359423431247518</v>
      </c>
      <c r="AD112" s="34">
        <f t="shared" si="70"/>
        <v>0.25</v>
      </c>
      <c r="AE112" s="34">
        <f t="shared" si="71"/>
        <v>0.33333333333333331</v>
      </c>
      <c r="AF112" s="34">
        <f t="shared" si="72"/>
        <v>0.28985507246376813</v>
      </c>
      <c r="AG112" s="34">
        <f t="shared" si="73"/>
        <v>0.35820895522388063</v>
      </c>
      <c r="AH112" s="34">
        <f t="shared" si="74"/>
        <v>0.2967032967032967</v>
      </c>
      <c r="AI112" s="34">
        <f t="shared" si="75"/>
        <v>0.10840477525839279</v>
      </c>
      <c r="AJ112" s="34">
        <f t="shared" si="76"/>
        <v>0.93100105494254837</v>
      </c>
      <c r="AK112" s="34">
        <f t="shared" si="77"/>
        <v>0.93048348310340467</v>
      </c>
      <c r="AL112" s="34">
        <f t="shared" si="78"/>
        <v>0.39304004477180926</v>
      </c>
      <c r="AM112" s="34"/>
      <c r="AN112" s="35">
        <v>0.21048820864592013</v>
      </c>
      <c r="AO112">
        <f t="shared" si="59"/>
        <v>1</v>
      </c>
      <c r="AP112">
        <v>3.7889752352494117</v>
      </c>
      <c r="AQ112">
        <v>102</v>
      </c>
      <c r="AR112">
        <v>97</v>
      </c>
      <c r="AS112" s="154">
        <v>111</v>
      </c>
      <c r="AT112">
        <v>111</v>
      </c>
    </row>
    <row r="113" spans="1:46" x14ac:dyDescent="0.35">
      <c r="A113">
        <v>27</v>
      </c>
      <c r="B113" s="16" t="s">
        <v>144</v>
      </c>
      <c r="C113" s="16" t="s">
        <v>1366</v>
      </c>
      <c r="D113" s="16" t="s">
        <v>65</v>
      </c>
      <c r="E113" s="9" t="s">
        <v>6</v>
      </c>
      <c r="F113">
        <v>0</v>
      </c>
      <c r="G113">
        <v>4</v>
      </c>
      <c r="I113">
        <v>0</v>
      </c>
      <c r="J113">
        <v>3</v>
      </c>
      <c r="L113">
        <v>39</v>
      </c>
      <c r="M113">
        <v>73</v>
      </c>
      <c r="N113" s="73">
        <f t="shared" si="60"/>
        <v>9.75</v>
      </c>
      <c r="O113" s="73">
        <f t="shared" si="61"/>
        <v>18.25</v>
      </c>
      <c r="P113" s="73">
        <f t="shared" si="62"/>
        <v>-8.5</v>
      </c>
      <c r="Q113">
        <v>22</v>
      </c>
      <c r="R113" s="54">
        <f t="shared" si="63"/>
        <v>1.7727272727272727</v>
      </c>
      <c r="S113" s="9">
        <f>2.006-4.406-0.947-2.592</f>
        <v>-5.9390000000000001</v>
      </c>
      <c r="T113" s="9">
        <v>0</v>
      </c>
      <c r="U113" s="54">
        <f t="shared" si="64"/>
        <v>-0.74237500000000001</v>
      </c>
      <c r="V113" s="54">
        <f t="shared" si="65"/>
        <v>-31.603999999999999</v>
      </c>
      <c r="W113" s="9">
        <f>3.319+20.757+0+4.23</f>
        <v>28.306000000000001</v>
      </c>
      <c r="X113" s="54">
        <f t="shared" si="66"/>
        <v>7.0765000000000002</v>
      </c>
      <c r="Y113" s="54">
        <f t="shared" si="67"/>
        <v>2.6601691675530712</v>
      </c>
      <c r="Z113" s="152">
        <v>24</v>
      </c>
      <c r="AA113" s="49">
        <v>112</v>
      </c>
      <c r="AB113" s="48">
        <f t="shared" si="68"/>
        <v>111</v>
      </c>
      <c r="AC113" s="36">
        <f t="shared" si="69"/>
        <v>0.1765224598395215</v>
      </c>
      <c r="AD113" s="34">
        <f t="shared" si="70"/>
        <v>0</v>
      </c>
      <c r="AE113" s="34">
        <f t="shared" si="71"/>
        <v>0</v>
      </c>
      <c r="AF113" s="34">
        <f t="shared" si="72"/>
        <v>7.2463768115942032E-2</v>
      </c>
      <c r="AG113" s="34">
        <f t="shared" si="73"/>
        <v>0.23880597014925375</v>
      </c>
      <c r="AH113" s="34">
        <f t="shared" si="74"/>
        <v>4.3956043956043959E-2</v>
      </c>
      <c r="AI113" s="34">
        <f t="shared" si="75"/>
        <v>0.3198388823739356</v>
      </c>
      <c r="AJ113" s="34">
        <f t="shared" si="76"/>
        <v>0.74044136515268155</v>
      </c>
      <c r="AK113" s="34">
        <f t="shared" si="77"/>
        <v>0</v>
      </c>
      <c r="AL113" s="34">
        <f t="shared" si="78"/>
        <v>3.3822541528175987E-2</v>
      </c>
      <c r="AM113" s="34"/>
      <c r="AN113" s="35">
        <v>0.19842009305124689</v>
      </c>
      <c r="AO113">
        <f t="shared" si="59"/>
        <v>1</v>
      </c>
      <c r="AP113">
        <v>2.8329019279412648</v>
      </c>
      <c r="AQ113">
        <v>89</v>
      </c>
      <c r="AR113">
        <v>106</v>
      </c>
      <c r="AS113" s="154">
        <v>104</v>
      </c>
      <c r="AT113">
        <v>112</v>
      </c>
    </row>
    <row r="117" spans="1:46" x14ac:dyDescent="0.35">
      <c r="AS117">
        <f>-(MAX(T:T)+ABS(MIN(T:T)))</f>
        <v>-31.603999999999999</v>
      </c>
    </row>
    <row r="118" spans="1:46" x14ac:dyDescent="0.35">
      <c r="AS118">
        <f>AS117*1.2</f>
        <v>-37.924799999999998</v>
      </c>
    </row>
  </sheetData>
  <sortState xmlns:xlrd2="http://schemas.microsoft.com/office/spreadsheetml/2017/richdata2" ref="A2:AS113">
    <sortCondition descending="1" ref="AC2:AC113"/>
  </sortState>
  <conditionalFormatting sqref="AD2:AD1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1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1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:AH1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1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1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1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L113">
    <cfRule type="cellIs" dxfId="6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1:T601"/>
  <sheetViews>
    <sheetView workbookViewId="0">
      <pane ySplit="1" topLeftCell="A2" activePane="bottomLeft" state="frozen"/>
      <selection pane="bottomLeft" activeCell="K18" sqref="K18"/>
    </sheetView>
  </sheetViews>
  <sheetFormatPr defaultRowHeight="14.5" x14ac:dyDescent="0.35"/>
  <cols>
    <col min="2" max="2" width="6.90625" style="83" customWidth="1"/>
    <col min="3" max="3" width="4.08984375" style="83" customWidth="1"/>
    <col min="4" max="4" width="18.81640625" style="1" customWidth="1"/>
    <col min="5" max="5" width="5.90625" style="83" bestFit="1" customWidth="1"/>
    <col min="6" max="6" width="5.90625" style="63" bestFit="1" customWidth="1"/>
    <col min="7" max="7" width="18.81640625" style="46" customWidth="1"/>
    <col min="8" max="8" width="4.08984375" style="63" customWidth="1"/>
    <col min="9" max="9" width="6.6328125" customWidth="1"/>
    <col min="10" max="10" width="10.08984375" bestFit="1" customWidth="1"/>
    <col min="11" max="11" width="19.453125" style="85" customWidth="1"/>
    <col min="12" max="12" width="5.453125" customWidth="1"/>
    <col min="13" max="13" width="25.81640625" customWidth="1"/>
    <col min="14" max="15" width="4.90625" customWidth="1"/>
    <col min="16" max="16" width="25.81640625" customWidth="1"/>
    <col min="17" max="17" width="5.453125" customWidth="1"/>
    <col min="18" max="18" width="7.453125" customWidth="1"/>
    <col min="19" max="19" width="14.54296875" customWidth="1"/>
  </cols>
  <sheetData>
    <row r="1" spans="2:19" s="1" customFormat="1" x14ac:dyDescent="0.35">
      <c r="B1" s="83" t="s">
        <v>1310</v>
      </c>
      <c r="C1" s="83" t="s">
        <v>730</v>
      </c>
      <c r="D1" s="1" t="s">
        <v>174</v>
      </c>
      <c r="E1" s="83" t="s">
        <v>7</v>
      </c>
      <c r="F1" s="83" t="s">
        <v>7</v>
      </c>
      <c r="G1" s="10" t="s">
        <v>175</v>
      </c>
      <c r="H1" s="83" t="s">
        <v>730</v>
      </c>
      <c r="I1" s="1" t="s">
        <v>177</v>
      </c>
      <c r="J1" s="1" t="s">
        <v>1289</v>
      </c>
      <c r="K1" s="84" t="s">
        <v>1321</v>
      </c>
      <c r="L1" s="29">
        <f>ScoreboardNCAA!I4</f>
        <v>3</v>
      </c>
      <c r="M1" s="1" t="str">
        <f>CONCATENATE(ScoreboardNCAA!B2, " (", ROUND(ScoreboardNCAA!J17, 3), ")")</f>
        <v>Goldenrod City (872.047)</v>
      </c>
      <c r="N1" s="1">
        <f>ScoreboardNCAA!F6</f>
        <v>0</v>
      </c>
      <c r="O1" s="1">
        <f>ScoreboardNCAA!N6</f>
        <v>4</v>
      </c>
      <c r="P1" s="10" t="str">
        <f>CONCATENATE("(", ROUND(ScoreboardNCAA!L17, 3), ") ",ScoreboardNCAA!N2)</f>
        <v>(-872.047) Cianwood City</v>
      </c>
      <c r="Q1" s="28">
        <f>ScoreboardNCAA!M4</f>
        <v>1</v>
      </c>
      <c r="R1" s="1" t="str">
        <f>IF(N1&gt;=O1,CONCATENATE("[",COUNTA(ScoreboardNCAA!B6:E10),"-",COUNTA(ScoreboardNCAA!Q6:T10),"]"),CONCATENATE("[",COUNTA(ScoreboardNCAA!Q6:T10),"-",COUNTA(ScoreboardNCAA!B6:E10),"]"))</f>
        <v>[2-0]</v>
      </c>
      <c r="S1" s="1" t="str">
        <f>IF(N1&gt;=O1,CONCATENATE("{", ROUND(ScoreboardNCAA!J4, 3), "-", ROUND(ScoreboardNCAA!L4, 3), "}"),CONCATENATE("{", ROUND(ScoreboardNCAA!L4, 3), "-", ROUND(ScoreboardNCAA!J4, 3), "}"))</f>
        <v>{89.206-0}</v>
      </c>
    </row>
    <row r="2" spans="2:19" x14ac:dyDescent="0.35">
      <c r="B2" s="83">
        <v>0</v>
      </c>
      <c r="C2" s="83" t="s">
        <v>1011</v>
      </c>
      <c r="D2" s="1" t="s">
        <v>959</v>
      </c>
      <c r="E2" s="83">
        <v>22</v>
      </c>
      <c r="F2" s="63">
        <v>9</v>
      </c>
      <c r="G2" s="46" t="s">
        <v>1301</v>
      </c>
      <c r="H2" s="63" t="s">
        <v>1005</v>
      </c>
      <c r="I2" t="s">
        <v>201</v>
      </c>
      <c r="J2" t="s">
        <v>1313</v>
      </c>
    </row>
    <row r="3" spans="2:19" x14ac:dyDescent="0.35">
      <c r="B3" s="83">
        <v>0</v>
      </c>
      <c r="C3" s="83" t="s">
        <v>1007</v>
      </c>
      <c r="D3" s="1" t="s">
        <v>1302</v>
      </c>
      <c r="E3" s="83">
        <v>15</v>
      </c>
      <c r="F3" s="63">
        <v>13</v>
      </c>
      <c r="G3" s="46" t="s">
        <v>958</v>
      </c>
      <c r="H3" s="63" t="s">
        <v>1009</v>
      </c>
      <c r="I3" t="s">
        <v>337</v>
      </c>
      <c r="J3" t="s">
        <v>1314</v>
      </c>
      <c r="K3" s="85" t="s">
        <v>1307</v>
      </c>
    </row>
    <row r="4" spans="2:19" x14ac:dyDescent="0.35">
      <c r="B4" s="83">
        <v>0</v>
      </c>
      <c r="C4" s="83" t="s">
        <v>1006</v>
      </c>
      <c r="D4" s="1" t="s">
        <v>3913</v>
      </c>
      <c r="E4" s="83">
        <v>14</v>
      </c>
      <c r="F4" s="63">
        <v>11</v>
      </c>
      <c r="G4" s="46" t="s">
        <v>1309</v>
      </c>
      <c r="H4" s="63" t="s">
        <v>1012</v>
      </c>
      <c r="I4" t="s">
        <v>190</v>
      </c>
      <c r="J4" t="s">
        <v>1315</v>
      </c>
    </row>
    <row r="5" spans="2:19" x14ac:dyDescent="0.35">
      <c r="B5" s="83">
        <v>0</v>
      </c>
      <c r="C5" s="83" t="s">
        <v>1008</v>
      </c>
      <c r="D5" s="1" t="s">
        <v>1308</v>
      </c>
      <c r="E5" s="83">
        <v>9</v>
      </c>
      <c r="F5" s="63">
        <v>7</v>
      </c>
      <c r="G5" s="46" t="s">
        <v>960</v>
      </c>
      <c r="H5" s="63" t="s">
        <v>1010</v>
      </c>
      <c r="I5" t="s">
        <v>196</v>
      </c>
      <c r="J5" t="s">
        <v>1316</v>
      </c>
    </row>
    <row r="6" spans="2:19" x14ac:dyDescent="0.35">
      <c r="B6" s="83">
        <v>0</v>
      </c>
      <c r="C6" s="83" t="s">
        <v>1016</v>
      </c>
      <c r="D6" s="1" t="s">
        <v>962</v>
      </c>
      <c r="E6" s="83">
        <v>19</v>
      </c>
      <c r="F6" s="63">
        <v>17</v>
      </c>
      <c r="G6" s="46" t="s">
        <v>964</v>
      </c>
      <c r="H6" s="63" t="s">
        <v>1013</v>
      </c>
      <c r="I6" t="s">
        <v>574</v>
      </c>
      <c r="J6" t="s">
        <v>1312</v>
      </c>
    </row>
    <row r="7" spans="2:19" x14ac:dyDescent="0.35">
      <c r="B7" s="83">
        <v>0</v>
      </c>
      <c r="C7" s="83" t="s">
        <v>1014</v>
      </c>
      <c r="D7" s="1" t="s">
        <v>1342</v>
      </c>
      <c r="E7" s="83">
        <v>8</v>
      </c>
      <c r="F7" s="63">
        <v>4</v>
      </c>
      <c r="G7" s="46" t="s">
        <v>963</v>
      </c>
      <c r="H7" s="63" t="s">
        <v>1015</v>
      </c>
      <c r="I7" t="s">
        <v>561</v>
      </c>
      <c r="J7" t="s">
        <v>1317</v>
      </c>
    </row>
    <row r="8" spans="2:19" x14ac:dyDescent="0.35">
      <c r="B8" s="83">
        <v>0</v>
      </c>
      <c r="C8" s="83" t="s">
        <v>1017</v>
      </c>
      <c r="D8" s="1" t="s">
        <v>966</v>
      </c>
      <c r="E8" s="83">
        <v>18</v>
      </c>
      <c r="F8" s="63">
        <v>7</v>
      </c>
      <c r="G8" s="46" t="s">
        <v>1343</v>
      </c>
      <c r="H8" s="63" t="s">
        <v>1020</v>
      </c>
      <c r="I8" t="s">
        <v>178</v>
      </c>
      <c r="J8" t="s">
        <v>1318</v>
      </c>
    </row>
    <row r="9" spans="2:19" ht="15" thickBot="1" x14ac:dyDescent="0.4">
      <c r="B9" s="55">
        <v>0</v>
      </c>
      <c r="C9" s="55" t="s">
        <v>1018</v>
      </c>
      <c r="D9" s="44" t="s">
        <v>965</v>
      </c>
      <c r="E9" s="55">
        <v>22</v>
      </c>
      <c r="F9" s="56">
        <v>4</v>
      </c>
      <c r="G9" s="57" t="s">
        <v>1344</v>
      </c>
      <c r="H9" s="56" t="s">
        <v>1019</v>
      </c>
      <c r="I9" s="12" t="s">
        <v>744</v>
      </c>
      <c r="J9" s="12" t="s">
        <v>1319</v>
      </c>
      <c r="K9" s="86" t="s">
        <v>1320</v>
      </c>
    </row>
    <row r="10" spans="2:19" x14ac:dyDescent="0.35">
      <c r="B10" s="83">
        <v>-1.3979999999999999</v>
      </c>
      <c r="C10" s="83" t="s">
        <v>1005</v>
      </c>
      <c r="D10" s="1" t="s">
        <v>1301</v>
      </c>
      <c r="E10" s="83">
        <v>16</v>
      </c>
      <c r="F10" s="63">
        <v>15</v>
      </c>
      <c r="G10" s="46" t="s">
        <v>958</v>
      </c>
      <c r="H10" s="63" t="s">
        <v>1009</v>
      </c>
      <c r="I10" s="14" t="s">
        <v>179</v>
      </c>
      <c r="J10" s="14" t="s">
        <v>1323</v>
      </c>
      <c r="K10" s="85" t="s">
        <v>1322</v>
      </c>
    </row>
    <row r="11" spans="2:19" x14ac:dyDescent="0.35">
      <c r="B11" s="83">
        <v>-1.6759999999999999</v>
      </c>
      <c r="C11" s="83" t="s">
        <v>1007</v>
      </c>
      <c r="D11" s="1" t="s">
        <v>1302</v>
      </c>
      <c r="E11" s="83">
        <v>17</v>
      </c>
      <c r="F11" s="63">
        <v>15</v>
      </c>
      <c r="G11" s="46" t="s">
        <v>959</v>
      </c>
      <c r="H11" s="63" t="s">
        <v>1011</v>
      </c>
      <c r="I11" s="14" t="s">
        <v>332</v>
      </c>
      <c r="J11" s="14" t="s">
        <v>1324</v>
      </c>
    </row>
    <row r="12" spans="2:19" x14ac:dyDescent="0.35">
      <c r="B12" s="83">
        <v>1.9430000000000001</v>
      </c>
      <c r="C12" s="83" t="s">
        <v>1006</v>
      </c>
      <c r="D12" s="1" t="s">
        <v>3913</v>
      </c>
      <c r="E12" s="83">
        <v>19</v>
      </c>
      <c r="F12" s="63">
        <v>10</v>
      </c>
      <c r="G12" s="46" t="s">
        <v>960</v>
      </c>
      <c r="H12" s="63" t="s">
        <v>1010</v>
      </c>
      <c r="I12" s="14" t="s">
        <v>191</v>
      </c>
      <c r="J12" s="14" t="s">
        <v>1325</v>
      </c>
    </row>
    <row r="13" spans="2:19" x14ac:dyDescent="0.35">
      <c r="B13" s="83">
        <v>-2.2890000000000001</v>
      </c>
      <c r="C13" s="83" t="s">
        <v>1012</v>
      </c>
      <c r="D13" s="1" t="s">
        <v>961</v>
      </c>
      <c r="E13" s="83">
        <v>20</v>
      </c>
      <c r="F13" s="63">
        <v>11</v>
      </c>
      <c r="G13" s="46" t="s">
        <v>1308</v>
      </c>
      <c r="H13" s="63" t="s">
        <v>1008</v>
      </c>
      <c r="I13" s="14" t="s">
        <v>339</v>
      </c>
      <c r="J13" s="14" t="s">
        <v>1326</v>
      </c>
    </row>
    <row r="14" spans="2:19" x14ac:dyDescent="0.35">
      <c r="B14" s="83">
        <v>0.216</v>
      </c>
      <c r="C14" s="83" t="s">
        <v>1015</v>
      </c>
      <c r="D14" s="1" t="s">
        <v>963</v>
      </c>
      <c r="E14" s="83">
        <v>16</v>
      </c>
      <c r="F14" s="63">
        <v>13</v>
      </c>
      <c r="G14" s="46" t="s">
        <v>964</v>
      </c>
      <c r="H14" s="63" t="s">
        <v>1013</v>
      </c>
      <c r="I14" s="14" t="s">
        <v>190</v>
      </c>
      <c r="J14" s="14" t="s">
        <v>1327</v>
      </c>
    </row>
    <row r="15" spans="2:19" x14ac:dyDescent="0.35">
      <c r="B15" s="83">
        <v>-0.996</v>
      </c>
      <c r="C15" s="83" t="s">
        <v>1014</v>
      </c>
      <c r="D15" s="1" t="s">
        <v>1342</v>
      </c>
      <c r="E15" s="83">
        <v>17</v>
      </c>
      <c r="F15" s="63">
        <v>16</v>
      </c>
      <c r="G15" s="46" t="s">
        <v>962</v>
      </c>
      <c r="H15" s="63" t="s">
        <v>1016</v>
      </c>
      <c r="I15" s="14" t="s">
        <v>299</v>
      </c>
      <c r="J15" s="14" t="s">
        <v>1328</v>
      </c>
    </row>
    <row r="16" spans="2:19" x14ac:dyDescent="0.35">
      <c r="B16" s="83">
        <v>4.6639999999999997</v>
      </c>
      <c r="C16" s="83" t="s">
        <v>1017</v>
      </c>
      <c r="D16" s="1" t="s">
        <v>966</v>
      </c>
      <c r="E16" s="83">
        <v>27</v>
      </c>
      <c r="F16" s="63">
        <v>18</v>
      </c>
      <c r="G16" s="46" t="s">
        <v>1344</v>
      </c>
      <c r="H16" s="63" t="s">
        <v>1019</v>
      </c>
      <c r="I16" s="14" t="s">
        <v>289</v>
      </c>
      <c r="J16" s="14" t="s">
        <v>1329</v>
      </c>
    </row>
    <row r="17" spans="2:11" ht="15" thickBot="1" x14ac:dyDescent="0.4">
      <c r="B17" s="55">
        <v>5.1470000000000002</v>
      </c>
      <c r="C17" s="55" t="s">
        <v>1018</v>
      </c>
      <c r="D17" s="44" t="s">
        <v>965</v>
      </c>
      <c r="E17" s="55">
        <v>18</v>
      </c>
      <c r="F17" s="56">
        <v>16</v>
      </c>
      <c r="G17" s="57" t="s">
        <v>1343</v>
      </c>
      <c r="H17" s="56" t="s">
        <v>1020</v>
      </c>
      <c r="I17" s="23" t="s">
        <v>296</v>
      </c>
      <c r="J17" s="23" t="s">
        <v>1330</v>
      </c>
      <c r="K17" s="86" t="s">
        <v>1347</v>
      </c>
    </row>
    <row r="18" spans="2:11" x14ac:dyDescent="0.35">
      <c r="B18" s="83">
        <v>1.6879999999999999</v>
      </c>
      <c r="C18" s="83" t="s">
        <v>1007</v>
      </c>
      <c r="D18" s="1" t="s">
        <v>1302</v>
      </c>
      <c r="E18" s="83">
        <v>9</v>
      </c>
      <c r="F18" s="63">
        <v>8</v>
      </c>
      <c r="G18" s="46" t="s">
        <v>1301</v>
      </c>
      <c r="H18" s="63" t="s">
        <v>1005</v>
      </c>
      <c r="I18" s="14" t="s">
        <v>639</v>
      </c>
      <c r="J18" s="14" t="s">
        <v>1331</v>
      </c>
      <c r="K18" s="85" t="s">
        <v>1347</v>
      </c>
    </row>
    <row r="19" spans="2:11" x14ac:dyDescent="0.35">
      <c r="B19" s="83">
        <v>2.3690000000000002</v>
      </c>
      <c r="C19" s="83" t="s">
        <v>1011</v>
      </c>
      <c r="D19" s="1" t="s">
        <v>959</v>
      </c>
      <c r="E19" s="83">
        <v>18</v>
      </c>
      <c r="F19" s="63">
        <v>10</v>
      </c>
      <c r="G19" s="46" t="s">
        <v>958</v>
      </c>
      <c r="H19" s="63" t="s">
        <v>1009</v>
      </c>
      <c r="I19" s="14" t="s">
        <v>404</v>
      </c>
      <c r="J19" s="14" t="s">
        <v>1332</v>
      </c>
    </row>
    <row r="20" spans="2:11" x14ac:dyDescent="0.35">
      <c r="B20" s="83">
        <v>3.226</v>
      </c>
      <c r="C20" s="83" t="s">
        <v>1006</v>
      </c>
      <c r="D20" s="1" t="s">
        <v>3913</v>
      </c>
      <c r="E20" s="83">
        <v>15</v>
      </c>
      <c r="F20" s="63">
        <v>9</v>
      </c>
      <c r="G20" s="46" t="s">
        <v>1308</v>
      </c>
      <c r="H20" s="63" t="s">
        <v>1008</v>
      </c>
      <c r="I20" s="14" t="s">
        <v>281</v>
      </c>
      <c r="J20" s="14" t="s">
        <v>1333</v>
      </c>
    </row>
    <row r="21" spans="2:11" x14ac:dyDescent="0.35">
      <c r="B21" s="83">
        <v>3.4359999999999999</v>
      </c>
      <c r="C21" s="83" t="s">
        <v>1012</v>
      </c>
      <c r="D21" s="1" t="s">
        <v>961</v>
      </c>
      <c r="E21" s="83">
        <v>19</v>
      </c>
      <c r="F21" s="63">
        <v>8</v>
      </c>
      <c r="G21" s="46" t="s">
        <v>960</v>
      </c>
      <c r="H21" s="63" t="s">
        <v>1010</v>
      </c>
      <c r="I21" s="14" t="s">
        <v>331</v>
      </c>
      <c r="J21" s="14" t="s">
        <v>1334</v>
      </c>
    </row>
    <row r="22" spans="2:11" x14ac:dyDescent="0.35">
      <c r="B22" s="83">
        <v>4.234</v>
      </c>
      <c r="C22" s="83" t="s">
        <v>1014</v>
      </c>
      <c r="D22" s="1" t="s">
        <v>1342</v>
      </c>
      <c r="E22" s="83">
        <v>20</v>
      </c>
      <c r="F22" s="63">
        <v>13</v>
      </c>
      <c r="G22" s="46" t="s">
        <v>964</v>
      </c>
      <c r="H22" s="63" t="s">
        <v>1013</v>
      </c>
      <c r="I22" s="14" t="s">
        <v>299</v>
      </c>
      <c r="J22" s="14" t="s">
        <v>1335</v>
      </c>
    </row>
    <row r="23" spans="2:11" x14ac:dyDescent="0.35">
      <c r="B23" s="83">
        <v>3.0000000000000001E-3</v>
      </c>
      <c r="C23" s="83" t="s">
        <v>1016</v>
      </c>
      <c r="D23" s="1" t="s">
        <v>962</v>
      </c>
      <c r="E23" s="83">
        <v>15</v>
      </c>
      <c r="F23" s="63">
        <v>12</v>
      </c>
      <c r="G23" s="46" t="s">
        <v>963</v>
      </c>
      <c r="H23" s="63" t="s">
        <v>1015</v>
      </c>
      <c r="I23" s="14" t="s">
        <v>488</v>
      </c>
      <c r="J23" s="14" t="s">
        <v>1336</v>
      </c>
    </row>
    <row r="24" spans="2:11" x14ac:dyDescent="0.35">
      <c r="B24" s="83">
        <v>0.64500000000000002</v>
      </c>
      <c r="C24" s="83" t="s">
        <v>1017</v>
      </c>
      <c r="D24" s="1" t="s">
        <v>966</v>
      </c>
      <c r="E24" s="83">
        <v>20</v>
      </c>
      <c r="F24" s="63">
        <v>16</v>
      </c>
      <c r="G24" s="46" t="s">
        <v>965</v>
      </c>
      <c r="H24" s="63" t="s">
        <v>1018</v>
      </c>
      <c r="I24" s="14" t="s">
        <v>358</v>
      </c>
      <c r="J24" s="14" t="s">
        <v>1337</v>
      </c>
    </row>
    <row r="25" spans="2:11" ht="15" thickBot="1" x14ac:dyDescent="0.4">
      <c r="B25" s="55">
        <v>0.122</v>
      </c>
      <c r="C25" s="55" t="s">
        <v>1019</v>
      </c>
      <c r="D25" s="44" t="s">
        <v>1344</v>
      </c>
      <c r="E25" s="55">
        <v>17</v>
      </c>
      <c r="F25" s="56">
        <v>11</v>
      </c>
      <c r="G25" s="57" t="s">
        <v>1343</v>
      </c>
      <c r="H25" s="56" t="s">
        <v>1020</v>
      </c>
      <c r="I25" s="23" t="s">
        <v>526</v>
      </c>
      <c r="J25" s="23" t="s">
        <v>1338</v>
      </c>
      <c r="K25" s="86"/>
    </row>
    <row r="26" spans="2:11" x14ac:dyDescent="0.35">
      <c r="B26" s="83">
        <v>0</v>
      </c>
      <c r="C26" s="83" t="s">
        <v>1020</v>
      </c>
      <c r="D26" s="1" t="s">
        <v>1343</v>
      </c>
      <c r="E26" s="83">
        <v>20</v>
      </c>
      <c r="F26" s="63">
        <v>12</v>
      </c>
      <c r="G26" s="46" t="s">
        <v>1344</v>
      </c>
      <c r="H26" s="63" t="s">
        <v>1019</v>
      </c>
      <c r="I26" s="14" t="s">
        <v>178</v>
      </c>
      <c r="J26" s="14" t="s">
        <v>1345</v>
      </c>
      <c r="K26" s="85" t="s">
        <v>1346</v>
      </c>
    </row>
    <row r="530" spans="20:20" x14ac:dyDescent="0.35">
      <c r="T530">
        <v>400</v>
      </c>
    </row>
    <row r="531" spans="20:20" x14ac:dyDescent="0.35">
      <c r="T531">
        <v>300</v>
      </c>
    </row>
    <row r="532" spans="20:20" x14ac:dyDescent="0.35">
      <c r="T532">
        <v>200</v>
      </c>
    </row>
    <row r="533" spans="20:20" x14ac:dyDescent="0.35">
      <c r="T533">
        <v>175</v>
      </c>
    </row>
    <row r="534" spans="20:20" x14ac:dyDescent="0.35">
      <c r="T534">
        <v>125</v>
      </c>
    </row>
    <row r="535" spans="20:20" x14ac:dyDescent="0.35">
      <c r="T535">
        <v>100</v>
      </c>
    </row>
    <row r="536" spans="20:20" x14ac:dyDescent="0.35">
      <c r="T536">
        <v>75</v>
      </c>
    </row>
    <row r="537" spans="20:20" x14ac:dyDescent="0.35">
      <c r="T537">
        <v>50</v>
      </c>
    </row>
    <row r="550" spans="9:10" x14ac:dyDescent="0.35">
      <c r="I550" s="14"/>
      <c r="J550" s="14"/>
    </row>
    <row r="551" spans="9:10" x14ac:dyDescent="0.35">
      <c r="I551" s="14"/>
      <c r="J551" s="14"/>
    </row>
    <row r="552" spans="9:10" x14ac:dyDescent="0.35">
      <c r="I552" s="14"/>
      <c r="J552" s="14"/>
    </row>
    <row r="553" spans="9:10" x14ac:dyDescent="0.35">
      <c r="I553" s="14"/>
      <c r="J553" s="14"/>
    </row>
    <row r="554" spans="9:10" x14ac:dyDescent="0.35">
      <c r="I554" s="14"/>
      <c r="J554" s="14"/>
    </row>
    <row r="555" spans="9:10" x14ac:dyDescent="0.35">
      <c r="I555" s="14"/>
      <c r="J555" s="14"/>
    </row>
    <row r="556" spans="9:10" x14ac:dyDescent="0.35">
      <c r="I556" s="14"/>
      <c r="J556" s="14"/>
    </row>
    <row r="557" spans="9:10" x14ac:dyDescent="0.35">
      <c r="I557" s="14"/>
      <c r="J557" s="14"/>
    </row>
    <row r="558" spans="9:10" x14ac:dyDescent="0.35">
      <c r="I558" s="14"/>
      <c r="J558" s="14"/>
    </row>
    <row r="559" spans="9:10" x14ac:dyDescent="0.35">
      <c r="I559" s="14"/>
      <c r="J559" s="14"/>
    </row>
    <row r="560" spans="9:10" x14ac:dyDescent="0.35">
      <c r="I560" s="14"/>
      <c r="J560" s="14"/>
    </row>
    <row r="561" spans="9:10" x14ac:dyDescent="0.35">
      <c r="I561" s="14"/>
      <c r="J561" s="14"/>
    </row>
    <row r="562" spans="9:10" x14ac:dyDescent="0.35">
      <c r="I562" s="14"/>
      <c r="J562" s="14"/>
    </row>
    <row r="563" spans="9:10" x14ac:dyDescent="0.35">
      <c r="I563" s="14"/>
      <c r="J563" s="14"/>
    </row>
    <row r="564" spans="9:10" x14ac:dyDescent="0.35">
      <c r="I564" s="14"/>
      <c r="J564" s="14"/>
    </row>
    <row r="565" spans="9:10" x14ac:dyDescent="0.35">
      <c r="I565" s="14"/>
      <c r="J565" s="14"/>
    </row>
    <row r="566" spans="9:10" x14ac:dyDescent="0.35">
      <c r="I566" s="14"/>
      <c r="J566" s="14"/>
    </row>
    <row r="567" spans="9:10" x14ac:dyDescent="0.35">
      <c r="I567" s="14"/>
      <c r="J567" s="14"/>
    </row>
    <row r="568" spans="9:10" x14ac:dyDescent="0.35">
      <c r="I568" s="14"/>
      <c r="J568" s="14"/>
    </row>
    <row r="569" spans="9:10" x14ac:dyDescent="0.35">
      <c r="I569" s="14"/>
      <c r="J569" s="14"/>
    </row>
    <row r="570" spans="9:10" x14ac:dyDescent="0.35">
      <c r="I570" s="14"/>
      <c r="J570" s="14"/>
    </row>
    <row r="571" spans="9:10" x14ac:dyDescent="0.35">
      <c r="I571" s="14"/>
      <c r="J571" s="14"/>
    </row>
    <row r="572" spans="9:10" x14ac:dyDescent="0.35">
      <c r="I572" s="14"/>
      <c r="J572" s="14"/>
    </row>
    <row r="573" spans="9:10" x14ac:dyDescent="0.35">
      <c r="I573" s="14"/>
      <c r="J573" s="14"/>
    </row>
    <row r="574" spans="9:10" x14ac:dyDescent="0.35">
      <c r="I574" s="14"/>
      <c r="J574" s="14"/>
    </row>
    <row r="575" spans="9:10" x14ac:dyDescent="0.35">
      <c r="I575" s="14"/>
      <c r="J575" s="14"/>
    </row>
    <row r="576" spans="9:10" x14ac:dyDescent="0.35">
      <c r="I576" s="14"/>
      <c r="J576" s="14"/>
    </row>
    <row r="577" spans="2:11" ht="15" thickBot="1" x14ac:dyDescent="0.4">
      <c r="B577" s="55"/>
      <c r="C577" s="55"/>
      <c r="D577" s="44"/>
      <c r="E577" s="55"/>
      <c r="F577" s="56"/>
      <c r="G577" s="57"/>
      <c r="H577" s="56"/>
      <c r="I577" s="12"/>
      <c r="J577" s="12"/>
      <c r="K577" s="86"/>
    </row>
    <row r="578" spans="2:11" x14ac:dyDescent="0.35">
      <c r="I578" s="14"/>
      <c r="J578" s="14"/>
    </row>
    <row r="579" spans="2:11" x14ac:dyDescent="0.35">
      <c r="I579" s="14"/>
      <c r="J579" s="14"/>
    </row>
    <row r="580" spans="2:11" x14ac:dyDescent="0.35">
      <c r="I580" s="14"/>
      <c r="J580" s="14"/>
    </row>
    <row r="581" spans="2:11" x14ac:dyDescent="0.35">
      <c r="I581" s="14"/>
      <c r="J581" s="14"/>
    </row>
    <row r="582" spans="2:11" x14ac:dyDescent="0.35">
      <c r="I582" s="14"/>
      <c r="J582" s="14"/>
    </row>
    <row r="583" spans="2:11" ht="15" thickBot="1" x14ac:dyDescent="0.4">
      <c r="B583" s="55"/>
      <c r="C583" s="55"/>
      <c r="D583" s="44"/>
      <c r="E583" s="55"/>
      <c r="F583" s="56"/>
      <c r="G583" s="57"/>
      <c r="H583" s="56"/>
      <c r="I583" s="12"/>
      <c r="J583" s="12"/>
      <c r="K583" s="86"/>
    </row>
    <row r="584" spans="2:11" x14ac:dyDescent="0.35">
      <c r="I584" s="14"/>
      <c r="J584" s="14"/>
      <c r="K584" s="87"/>
    </row>
    <row r="585" spans="2:11" x14ac:dyDescent="0.35">
      <c r="I585" s="14"/>
      <c r="J585" s="14"/>
      <c r="K585" s="87"/>
    </row>
    <row r="586" spans="2:11" x14ac:dyDescent="0.35">
      <c r="I586" s="14"/>
      <c r="J586" s="14"/>
    </row>
    <row r="587" spans="2:11" ht="15" thickBot="1" x14ac:dyDescent="0.4">
      <c r="B587" s="55"/>
      <c r="C587" s="55"/>
      <c r="D587" s="44"/>
      <c r="E587" s="55"/>
      <c r="F587" s="56"/>
      <c r="G587" s="57"/>
      <c r="H587" s="56"/>
      <c r="I587" s="12"/>
      <c r="J587" s="12"/>
      <c r="K587" s="86"/>
    </row>
    <row r="588" spans="2:11" x14ac:dyDescent="0.35">
      <c r="I588" s="14"/>
      <c r="J588" s="14"/>
      <c r="K588" s="87"/>
    </row>
    <row r="589" spans="2:11" x14ac:dyDescent="0.35">
      <c r="I589" s="14"/>
      <c r="J589" s="14"/>
      <c r="K589" s="87"/>
    </row>
    <row r="590" spans="2:11" x14ac:dyDescent="0.35">
      <c r="I590" s="14"/>
      <c r="J590" s="14"/>
    </row>
    <row r="591" spans="2:11" x14ac:dyDescent="0.35">
      <c r="I591" s="14"/>
      <c r="J591" s="14"/>
    </row>
    <row r="592" spans="2:11" x14ac:dyDescent="0.35">
      <c r="I592" s="14"/>
      <c r="J592" s="14"/>
    </row>
    <row r="593" spans="2:11" x14ac:dyDescent="0.35">
      <c r="I593" s="14"/>
      <c r="J593" s="14"/>
    </row>
    <row r="594" spans="2:11" x14ac:dyDescent="0.35">
      <c r="I594" s="14"/>
      <c r="J594" s="14"/>
    </row>
    <row r="595" spans="2:11" ht="15" thickBot="1" x14ac:dyDescent="0.4">
      <c r="B595" s="55"/>
      <c r="C595" s="55"/>
      <c r="D595" s="44"/>
      <c r="E595" s="55"/>
      <c r="F595" s="56"/>
      <c r="G595" s="57"/>
      <c r="H595" s="56"/>
      <c r="I595" s="12"/>
      <c r="J595" s="12"/>
      <c r="K595" s="86"/>
    </row>
    <row r="596" spans="2:11" x14ac:dyDescent="0.35">
      <c r="I596" s="14"/>
      <c r="J596" s="14"/>
      <c r="K596" s="87"/>
    </row>
    <row r="597" spans="2:11" x14ac:dyDescent="0.35">
      <c r="I597" s="14"/>
      <c r="J597" s="14"/>
      <c r="K597" s="87"/>
    </row>
    <row r="598" spans="2:11" x14ac:dyDescent="0.35">
      <c r="I598" s="14"/>
      <c r="J598" s="14"/>
      <c r="K598" s="87"/>
    </row>
    <row r="599" spans="2:11" ht="15" thickBot="1" x14ac:dyDescent="0.4">
      <c r="B599" s="55"/>
      <c r="C599" s="55"/>
      <c r="D599" s="44"/>
      <c r="E599" s="55"/>
      <c r="F599" s="56"/>
      <c r="G599" s="57"/>
      <c r="H599" s="56"/>
      <c r="I599" s="12"/>
      <c r="J599" s="12"/>
      <c r="K599" s="88"/>
    </row>
    <row r="600" spans="2:11" x14ac:dyDescent="0.35">
      <c r="I600" s="14"/>
      <c r="J600" s="14"/>
      <c r="K600" s="87"/>
    </row>
    <row r="601" spans="2:11" ht="15" thickBot="1" x14ac:dyDescent="0.4">
      <c r="B601" s="55"/>
      <c r="C601" s="55"/>
      <c r="D601" s="44"/>
      <c r="E601" s="55"/>
      <c r="F601" s="56"/>
      <c r="G601" s="57"/>
      <c r="H601" s="56"/>
      <c r="I601" s="23"/>
      <c r="J601" s="23"/>
      <c r="K601" s="88"/>
    </row>
  </sheetData>
  <conditionalFormatting sqref="L1 Q1">
    <cfRule type="cellIs" dxfId="5" priority="2" operator="lessThan">
      <formula>26</formula>
    </cfRule>
  </conditionalFormatting>
  <conditionalFormatting sqref="N1:O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R97"/>
  <sheetViews>
    <sheetView topLeftCell="B1" zoomScale="90" zoomScaleNormal="90" workbookViewId="0">
      <pane ySplit="1" topLeftCell="A2" activePane="bottomLeft" state="frozen"/>
      <selection activeCell="B1" sqref="B1"/>
      <selection pane="bottomLeft" activeCell="D2" sqref="D2:D17"/>
    </sheetView>
  </sheetViews>
  <sheetFormatPr defaultRowHeight="14.5" x14ac:dyDescent="0.35"/>
  <cols>
    <col min="1" max="1" width="3.36328125" hidden="1" customWidth="1"/>
    <col min="2" max="2" width="10" style="1" customWidth="1"/>
    <col min="3" max="3" width="2.08984375" style="1" customWidth="1"/>
    <col min="4" max="4" width="19" style="1" customWidth="1"/>
    <col min="5" max="5" width="2.54296875" style="9" customWidth="1"/>
    <col min="6" max="7" width="5.1796875" customWidth="1"/>
    <col min="8" max="8" width="1.54296875" customWidth="1"/>
    <col min="9" max="10" width="5.1796875" customWidth="1"/>
    <col min="11" max="11" width="1.54296875" customWidth="1"/>
    <col min="12" max="13" width="5.81640625" customWidth="1"/>
    <col min="14" max="15" width="6.6328125" style="54" hidden="1" customWidth="1"/>
    <col min="16" max="16" width="6.54296875" style="54" customWidth="1"/>
    <col min="17" max="17" width="5.453125" customWidth="1"/>
    <col min="18" max="18" width="7" style="54" customWidth="1"/>
    <col min="19" max="20" width="7.08984375" customWidth="1"/>
    <col min="21" max="22" width="7.08984375" style="54" customWidth="1"/>
    <col min="23" max="23" width="7.08984375" style="9" customWidth="1"/>
    <col min="24" max="24" width="7.08984375" style="54" customWidth="1"/>
    <col min="25" max="25" width="3.54296875" style="47" customWidth="1"/>
    <col min="26" max="26" width="5" style="49" customWidth="1"/>
    <col min="27" max="27" width="4.453125" style="48" customWidth="1"/>
    <col min="28" max="28" width="8.90625" style="1" customWidth="1"/>
    <col min="29" max="38" width="8.1796875" customWidth="1"/>
    <col min="41" max="41" width="10.08984375" customWidth="1"/>
  </cols>
  <sheetData>
    <row r="1" spans="1:44" s="6" customFormat="1" x14ac:dyDescent="0.35">
      <c r="B1" s="6">
        <f>D1-AN1</f>
        <v>1.0147609463420887E-2</v>
      </c>
      <c r="D1" s="6">
        <f>_xlfn.STDEV.P(AB2:AB97)</f>
        <v>0.20843493024275558</v>
      </c>
      <c r="E1" s="9"/>
      <c r="F1" s="6" t="s">
        <v>1303</v>
      </c>
      <c r="G1" s="6" t="s">
        <v>1304</v>
      </c>
      <c r="I1" s="6" t="s">
        <v>406</v>
      </c>
      <c r="J1" s="6" t="s">
        <v>407</v>
      </c>
      <c r="L1" s="6" t="s">
        <v>1305</v>
      </c>
      <c r="M1" s="6" t="s">
        <v>1306</v>
      </c>
      <c r="N1" s="54" t="s">
        <v>1171</v>
      </c>
      <c r="O1" s="54" t="s">
        <v>1172</v>
      </c>
      <c r="P1" s="54" t="s">
        <v>1173</v>
      </c>
      <c r="Q1" s="6" t="s">
        <v>177</v>
      </c>
      <c r="R1" s="54" t="s">
        <v>409</v>
      </c>
      <c r="S1" s="6" t="s">
        <v>410</v>
      </c>
      <c r="T1" s="6" t="s">
        <v>731</v>
      </c>
      <c r="U1" s="54" t="s">
        <v>741</v>
      </c>
      <c r="V1" s="54" t="s">
        <v>742</v>
      </c>
      <c r="W1" s="9" t="s">
        <v>1289</v>
      </c>
      <c r="X1" s="54" t="s">
        <v>1290</v>
      </c>
      <c r="Y1" s="47" t="s">
        <v>737</v>
      </c>
      <c r="Z1" s="61"/>
      <c r="AA1" s="48"/>
      <c r="AB1" s="6" t="s">
        <v>180</v>
      </c>
      <c r="AC1" s="6" t="s">
        <v>1339</v>
      </c>
      <c r="AD1" s="6" t="s">
        <v>1291</v>
      </c>
      <c r="AE1" s="6" t="s">
        <v>1292</v>
      </c>
      <c r="AF1" s="6" t="s">
        <v>1293</v>
      </c>
      <c r="AG1" s="6" t="s">
        <v>1294</v>
      </c>
      <c r="AH1" s="6" t="s">
        <v>591</v>
      </c>
      <c r="AI1" s="6" t="s">
        <v>1340</v>
      </c>
      <c r="AJ1" s="6" t="s">
        <v>1341</v>
      </c>
      <c r="AK1" s="6" t="s">
        <v>1295</v>
      </c>
      <c r="AN1" s="6">
        <f>_xlfn.STDEV.P(AM:AM)</f>
        <v>0.1982873207793347</v>
      </c>
    </row>
    <row r="2" spans="1:44" x14ac:dyDescent="0.35">
      <c r="A2" t="s">
        <v>256</v>
      </c>
      <c r="B2" s="69" t="s">
        <v>1296</v>
      </c>
      <c r="C2" s="69" t="s">
        <v>1300</v>
      </c>
      <c r="D2" s="69" t="s">
        <v>966</v>
      </c>
      <c r="E2" s="1" t="s">
        <v>5</v>
      </c>
      <c r="F2">
        <v>3</v>
      </c>
      <c r="G2">
        <v>0</v>
      </c>
      <c r="H2" s="9"/>
      <c r="I2">
        <v>3</v>
      </c>
      <c r="J2">
        <v>0</v>
      </c>
      <c r="K2" s="9"/>
      <c r="L2">
        <v>65</v>
      </c>
      <c r="M2">
        <f>25+16</f>
        <v>41</v>
      </c>
      <c r="N2" s="73">
        <f t="shared" ref="N2:N17" si="0">L2/(F2+G2)</f>
        <v>21.666666666666668</v>
      </c>
      <c r="O2" s="73">
        <f t="shared" ref="O2:O17" si="1">M2/(F2+G2)</f>
        <v>13.666666666666666</v>
      </c>
      <c r="P2" s="73">
        <f t="shared" ref="P2:P17" si="2">N2-O2</f>
        <v>8.0000000000000018</v>
      </c>
      <c r="Q2">
        <v>36</v>
      </c>
      <c r="R2" s="54">
        <f t="shared" ref="R2:R17" si="3">L2/Q2</f>
        <v>1.8055555555555556</v>
      </c>
      <c r="S2">
        <f>0.45+4.664+0.645</f>
        <v>5.7590000000000003</v>
      </c>
      <c r="T2">
        <f>0.45+4.664+0.645</f>
        <v>5.7590000000000003</v>
      </c>
      <c r="U2" s="89">
        <f>IF(S2&lt;0, (S2/2), S2)/IF((F2+G2)&gt;2, (F2+G2), 3)</f>
        <v>1.9196666666666669</v>
      </c>
      <c r="V2" s="89">
        <f>IF(T2=0, 3, IF(AND(F2&gt;0, F2&lt;3), (T2/3), IF(F2&gt;2, (T2/F2), IF(F2=0, 0, 0))))</f>
        <v>1.9196666666666669</v>
      </c>
      <c r="W2" s="70">
        <f>68.676+53.252+32.015</f>
        <v>153.94299999999998</v>
      </c>
      <c r="X2" s="89">
        <f t="shared" ref="X2:X17" si="4">W2/(F2+G2)</f>
        <v>51.31433333333333</v>
      </c>
      <c r="Y2" s="47">
        <v>1</v>
      </c>
      <c r="Z2" s="49">
        <v>1</v>
      </c>
      <c r="AA2" s="48">
        <f t="shared" ref="AA2:AA17" si="5">_xlfn.RANK.EQ(AB2,AB:AB, 0)</f>
        <v>1</v>
      </c>
      <c r="AB2" s="36">
        <f>((AC2*1.3)+(AD2*0.8)+(AE2*0.6)+(AF2*0.6)+(AG2*0.5)+(AH2*0.5)+(AI2*0.6)+(AJ2*0.6)+(AK2*0.5)+((Y2/LARGE(Y:Y,1))*0))/6</f>
        <v>0.74766617966127491</v>
      </c>
      <c r="AC2" s="34">
        <f t="shared" ref="AC2:AC17" si="6">(F2/(F2+G2))</f>
        <v>1</v>
      </c>
      <c r="AD2" s="34">
        <f t="shared" ref="AD2:AD17" si="7">(I2/(I2+J2))</f>
        <v>1</v>
      </c>
      <c r="AE2" s="34">
        <f t="shared" ref="AE2:AE17" si="8">(N2-(SMALL(N:N, 1)))/((LARGE(N:N, 1))-(SMALL(N:N, 1)))</f>
        <v>1</v>
      </c>
      <c r="AF2" s="34">
        <f t="shared" ref="AF2:AF17" si="9">1-(O2-SMALL(O:O,1))/(LARGE(O:O,1)-SMALL(O:O,1))</f>
        <v>0.63333333333333341</v>
      </c>
      <c r="AG2" s="34">
        <f t="shared" ref="AG2:AG17" si="10">(P2-SMALL(P:P,1))/(LARGE(P:P,1)-SMALL(P:P,1))</f>
        <v>1</v>
      </c>
      <c r="AH2" s="34">
        <f t="shared" ref="AH2:AH17" si="11">(R2-SMALL(R:R,1))/(LARGE(R:R,1)-SMALL(R:R,1))</f>
        <v>0.43796068796068799</v>
      </c>
      <c r="AI2" s="34">
        <f t="shared" ref="AI2:AI17" si="12">1-(U2-SMALL(U:U,1))/(LARGE(U:U,1)-SMALL(U:U,1))</f>
        <v>0</v>
      </c>
      <c r="AJ2" s="34">
        <f t="shared" ref="AJ2:AJ17" si="13">1-(V2-SMALL(V:V,1))/(LARGE(V:V,1)-SMALL(V:V,1))</f>
        <v>0.31169455664550871</v>
      </c>
      <c r="AK2" s="34">
        <f t="shared" ref="AK2:AK17" si="14">(X2-SMALL(X:X,1))/(LARGE(X:X,1)-SMALL(X:X,1))</f>
        <v>1</v>
      </c>
      <c r="AL2" s="34"/>
      <c r="AM2" s="35">
        <v>0.74247127038384964</v>
      </c>
      <c r="AN2">
        <v>6</v>
      </c>
      <c r="AO2" s="35">
        <f>(((AM2-0.5)*0.5)+0.5)</f>
        <v>0.62123563519192482</v>
      </c>
      <c r="AP2">
        <v>18</v>
      </c>
      <c r="AQ2">
        <v>0</v>
      </c>
      <c r="AR2">
        <f>AP2+AQ2</f>
        <v>18</v>
      </c>
    </row>
    <row r="3" spans="1:44" x14ac:dyDescent="0.35">
      <c r="A3" t="s">
        <v>217</v>
      </c>
      <c r="B3" s="69" t="s">
        <v>1296</v>
      </c>
      <c r="C3" s="69" t="s">
        <v>1299</v>
      </c>
      <c r="D3" s="69" t="s">
        <v>1342</v>
      </c>
      <c r="E3" s="1" t="s">
        <v>5</v>
      </c>
      <c r="F3">
        <v>3</v>
      </c>
      <c r="G3">
        <v>0</v>
      </c>
      <c r="I3">
        <v>3</v>
      </c>
      <c r="J3">
        <v>0</v>
      </c>
      <c r="L3">
        <v>45</v>
      </c>
      <c r="M3">
        <v>33</v>
      </c>
      <c r="N3" s="73">
        <f t="shared" si="0"/>
        <v>15</v>
      </c>
      <c r="O3" s="73">
        <f t="shared" si="1"/>
        <v>11</v>
      </c>
      <c r="P3" s="73">
        <f t="shared" si="2"/>
        <v>4</v>
      </c>
      <c r="Q3">
        <v>23</v>
      </c>
      <c r="R3" s="54">
        <f t="shared" si="3"/>
        <v>1.9565217391304348</v>
      </c>
      <c r="S3">
        <f>0.45-0.996+4.234</f>
        <v>3.6879999999999997</v>
      </c>
      <c r="T3">
        <f>0.45-0.996+4.234</f>
        <v>3.6879999999999997</v>
      </c>
      <c r="U3" s="89">
        <f t="shared" ref="U3:U17" si="15">IF(S3&lt;0, (S3/2), S3)/IF((F3+G3)&gt;2, (F3+G3), 3)</f>
        <v>1.2293333333333332</v>
      </c>
      <c r="V3" s="89">
        <f t="shared" ref="V3:V17" si="16">IF(T3=0, 3, IF(AND(F3&gt;0, F3&lt;3), (T3/3), IF(F3&gt;2, (T3/F3), IF(F3=0, 0, 0))))</f>
        <v>1.2293333333333332</v>
      </c>
      <c r="W3" s="70">
        <f>10.386+38.6+29.372</f>
        <v>78.358000000000004</v>
      </c>
      <c r="X3" s="89">
        <f t="shared" si="4"/>
        <v>26.119333333333334</v>
      </c>
      <c r="Y3" s="47">
        <v>1</v>
      </c>
      <c r="Z3" s="49">
        <v>2</v>
      </c>
      <c r="AA3" s="48">
        <f t="shared" si="5"/>
        <v>2</v>
      </c>
      <c r="AB3" s="36">
        <f t="shared" ref="AB3:AB17" si="17">((AC3*1.3)+(AD3*0.8)+(AE3*0.6)+(AF3*0.6)+(AG3*0.5)+(AH3*0.5)+(AI3*0.6)+(AJ3*0.6)+(AK3*0.5)+((Y3/LARGE(Y:Y,1))*0))/6</f>
        <v>0.72274117572066654</v>
      </c>
      <c r="AC3" s="34">
        <f t="shared" si="6"/>
        <v>1</v>
      </c>
      <c r="AD3" s="34">
        <f t="shared" si="7"/>
        <v>1</v>
      </c>
      <c r="AE3" s="34">
        <f t="shared" si="8"/>
        <v>0.49999999999999994</v>
      </c>
      <c r="AF3" s="34">
        <f t="shared" si="9"/>
        <v>0.9</v>
      </c>
      <c r="AG3" s="34">
        <f t="shared" si="10"/>
        <v>0.73913043478260854</v>
      </c>
      <c r="AH3" s="34">
        <f t="shared" si="11"/>
        <v>0.66830466830466839</v>
      </c>
      <c r="AI3" s="34">
        <f t="shared" si="12"/>
        <v>0.24001854319986116</v>
      </c>
      <c r="AJ3" s="34">
        <f t="shared" si="13"/>
        <v>0.51086747451432979</v>
      </c>
      <c r="AK3" s="34">
        <f t="shared" si="14"/>
        <v>0.48439578430369395</v>
      </c>
      <c r="AL3" s="34"/>
      <c r="AM3" s="35">
        <v>0.71273964867213968</v>
      </c>
      <c r="AN3">
        <v>11</v>
      </c>
      <c r="AO3" s="35">
        <f t="shared" ref="AO3:AO17" si="18">(((AM3-0.5)*0.5)+0.5)</f>
        <v>0.60636982433606978</v>
      </c>
      <c r="AP3">
        <v>19</v>
      </c>
      <c r="AQ3">
        <v>1</v>
      </c>
      <c r="AR3">
        <f>AP3+AQ3</f>
        <v>20</v>
      </c>
    </row>
    <row r="4" spans="1:44" x14ac:dyDescent="0.35">
      <c r="A4" t="s">
        <v>278</v>
      </c>
      <c r="B4" s="69" t="s">
        <v>1296</v>
      </c>
      <c r="C4" s="69" t="s">
        <v>1298</v>
      </c>
      <c r="D4" s="69" t="s">
        <v>3913</v>
      </c>
      <c r="E4" s="1" t="s">
        <v>5</v>
      </c>
      <c r="F4">
        <v>3</v>
      </c>
      <c r="G4">
        <v>0</v>
      </c>
      <c r="I4">
        <v>3</v>
      </c>
      <c r="J4">
        <v>0</v>
      </c>
      <c r="L4">
        <f>33+15</f>
        <v>48</v>
      </c>
      <c r="M4">
        <f>21+9</f>
        <v>30</v>
      </c>
      <c r="N4" s="73">
        <f t="shared" si="0"/>
        <v>16</v>
      </c>
      <c r="O4" s="73">
        <f t="shared" si="1"/>
        <v>10</v>
      </c>
      <c r="P4" s="73">
        <f t="shared" si="2"/>
        <v>6</v>
      </c>
      <c r="Q4">
        <f>18+8</f>
        <v>26</v>
      </c>
      <c r="R4" s="54">
        <f t="shared" si="3"/>
        <v>1.8461538461538463</v>
      </c>
      <c r="S4">
        <f>0.45+1.943+3.226</f>
        <v>5.6189999999999998</v>
      </c>
      <c r="T4">
        <f>0.45+1.943+3.226</f>
        <v>5.6189999999999998</v>
      </c>
      <c r="U4" s="89">
        <f t="shared" si="15"/>
        <v>1.873</v>
      </c>
      <c r="V4" s="89">
        <f t="shared" si="16"/>
        <v>1.873</v>
      </c>
      <c r="W4" s="70">
        <f>18.505+56.749+36.074</f>
        <v>111.328</v>
      </c>
      <c r="X4" s="89">
        <f t="shared" si="4"/>
        <v>37.109333333333332</v>
      </c>
      <c r="Y4" s="47">
        <v>1</v>
      </c>
      <c r="Z4" s="49">
        <v>3</v>
      </c>
      <c r="AA4" s="48">
        <f t="shared" si="5"/>
        <v>4</v>
      </c>
      <c r="AB4" s="36">
        <f t="shared" si="17"/>
        <v>0.71486938618065732</v>
      </c>
      <c r="AC4" s="34">
        <f t="shared" si="6"/>
        <v>1</v>
      </c>
      <c r="AD4" s="34">
        <f t="shared" si="7"/>
        <v>1</v>
      </c>
      <c r="AE4" s="34">
        <f t="shared" si="8"/>
        <v>0.57499999999999996</v>
      </c>
      <c r="AF4" s="34">
        <f t="shared" si="9"/>
        <v>1</v>
      </c>
      <c r="AG4" s="34">
        <f t="shared" si="10"/>
        <v>0.86956521739130421</v>
      </c>
      <c r="AH4" s="34">
        <f t="shared" si="11"/>
        <v>0.49990549990550009</v>
      </c>
      <c r="AI4" s="34">
        <f t="shared" si="12"/>
        <v>1.622529987831034E-2</v>
      </c>
      <c r="AJ4" s="34">
        <f t="shared" si="13"/>
        <v>0.32515868436237738</v>
      </c>
      <c r="AK4" s="34">
        <f t="shared" si="14"/>
        <v>0.70930113578225729</v>
      </c>
      <c r="AL4" s="34"/>
      <c r="AM4" s="35">
        <v>0.70934954861353905</v>
      </c>
      <c r="AN4">
        <v>11</v>
      </c>
      <c r="AO4" s="35">
        <f t="shared" si="18"/>
        <v>0.60467477430676952</v>
      </c>
      <c r="AP4">
        <v>19</v>
      </c>
      <c r="AQ4">
        <v>2</v>
      </c>
      <c r="AR4">
        <f t="shared" ref="AR4:AR17" si="19">AP4+AQ4</f>
        <v>21</v>
      </c>
    </row>
    <row r="5" spans="1:44" x14ac:dyDescent="0.35">
      <c r="A5" t="s">
        <v>212</v>
      </c>
      <c r="B5" s="69" t="s">
        <v>1296</v>
      </c>
      <c r="C5" s="69" t="s">
        <v>1298</v>
      </c>
      <c r="D5" s="69" t="s">
        <v>961</v>
      </c>
      <c r="E5" s="1" t="s">
        <v>5</v>
      </c>
      <c r="F5">
        <v>2</v>
      </c>
      <c r="G5">
        <v>1</v>
      </c>
      <c r="I5">
        <v>2</v>
      </c>
      <c r="J5">
        <v>1</v>
      </c>
      <c r="L5">
        <v>50</v>
      </c>
      <c r="M5">
        <v>33</v>
      </c>
      <c r="N5" s="73">
        <f t="shared" si="0"/>
        <v>16.666666666666668</v>
      </c>
      <c r="O5" s="73">
        <f t="shared" si="1"/>
        <v>11</v>
      </c>
      <c r="P5" s="73">
        <f t="shared" si="2"/>
        <v>5.6666666666666679</v>
      </c>
      <c r="Q5">
        <v>26</v>
      </c>
      <c r="R5" s="54">
        <f t="shared" si="3"/>
        <v>1.9230769230769231</v>
      </c>
      <c r="S5">
        <f>-0.45-2.289+3.436</f>
        <v>0.69699999999999962</v>
      </c>
      <c r="T5">
        <f>-2.289+3.436</f>
        <v>1.1469999999999998</v>
      </c>
      <c r="U5" s="89">
        <f t="shared" si="15"/>
        <v>0.2323333333333332</v>
      </c>
      <c r="V5" s="89">
        <f t="shared" si="16"/>
        <v>0.38233333333333325</v>
      </c>
      <c r="W5" s="70">
        <f>15.155+55.775+66.161</f>
        <v>137.09100000000001</v>
      </c>
      <c r="X5" s="89">
        <f t="shared" si="4"/>
        <v>45.697000000000003</v>
      </c>
      <c r="Y5" s="47">
        <v>1</v>
      </c>
      <c r="Z5" s="49">
        <v>4</v>
      </c>
      <c r="AA5" s="48">
        <f t="shared" si="5"/>
        <v>3</v>
      </c>
      <c r="AB5" s="36">
        <f t="shared" si="17"/>
        <v>0.71586889885633676</v>
      </c>
      <c r="AC5" s="34">
        <f t="shared" si="6"/>
        <v>0.66666666666666663</v>
      </c>
      <c r="AD5" s="34">
        <f t="shared" si="7"/>
        <v>0.66666666666666663</v>
      </c>
      <c r="AE5" s="34">
        <f t="shared" si="8"/>
        <v>0.625</v>
      </c>
      <c r="AF5" s="34">
        <f t="shared" si="9"/>
        <v>0.9</v>
      </c>
      <c r="AG5" s="34">
        <f t="shared" si="10"/>
        <v>0.84782608695652173</v>
      </c>
      <c r="AH5" s="34">
        <f t="shared" si="11"/>
        <v>0.61727461727461741</v>
      </c>
      <c r="AI5" s="34">
        <f t="shared" si="12"/>
        <v>0.58666048560004636</v>
      </c>
      <c r="AJ5" s="34">
        <f t="shared" si="13"/>
        <v>0.75524139257549538</v>
      </c>
      <c r="AK5" s="34">
        <f t="shared" si="14"/>
        <v>0.88504382823425098</v>
      </c>
      <c r="AL5" s="34"/>
      <c r="AM5" s="35">
        <v>0.69964680354641462</v>
      </c>
      <c r="AN5">
        <v>11</v>
      </c>
      <c r="AO5" s="35">
        <f t="shared" si="18"/>
        <v>0.59982340177320737</v>
      </c>
      <c r="AP5">
        <v>19</v>
      </c>
      <c r="AQ5">
        <v>3</v>
      </c>
      <c r="AR5">
        <f t="shared" si="19"/>
        <v>22</v>
      </c>
    </row>
    <row r="6" spans="1:44" x14ac:dyDescent="0.35">
      <c r="A6" t="s">
        <v>259</v>
      </c>
      <c r="B6" s="69" t="s">
        <v>1296</v>
      </c>
      <c r="C6" s="69" t="s">
        <v>1297</v>
      </c>
      <c r="D6" s="69" t="s">
        <v>1302</v>
      </c>
      <c r="E6" s="1" t="s">
        <v>5</v>
      </c>
      <c r="F6">
        <v>3</v>
      </c>
      <c r="G6">
        <v>0</v>
      </c>
      <c r="H6" s="9"/>
      <c r="I6">
        <v>3</v>
      </c>
      <c r="J6">
        <v>0</v>
      </c>
      <c r="L6">
        <f>32+9</f>
        <v>41</v>
      </c>
      <c r="M6">
        <f>28+8</f>
        <v>36</v>
      </c>
      <c r="N6" s="73">
        <f t="shared" si="0"/>
        <v>13.666666666666666</v>
      </c>
      <c r="O6" s="73">
        <f t="shared" si="1"/>
        <v>12</v>
      </c>
      <c r="P6" s="73">
        <f t="shared" si="2"/>
        <v>1.6666666666666661</v>
      </c>
      <c r="Q6">
        <v>27</v>
      </c>
      <c r="R6" s="54">
        <f t="shared" si="3"/>
        <v>1.5185185185185186</v>
      </c>
      <c r="S6">
        <f>0.45-1.676+1.688</f>
        <v>0.46199999999999997</v>
      </c>
      <c r="T6">
        <f>0.45-1.676+1.688</f>
        <v>0.46199999999999997</v>
      </c>
      <c r="U6" s="89">
        <f t="shared" si="15"/>
        <v>0.154</v>
      </c>
      <c r="V6" s="89">
        <f t="shared" si="16"/>
        <v>0.154</v>
      </c>
      <c r="W6" s="70">
        <f>36.469+47.684+10.219</f>
        <v>94.371999999999986</v>
      </c>
      <c r="X6" s="89">
        <f t="shared" si="4"/>
        <v>31.457333333333327</v>
      </c>
      <c r="Y6" s="47">
        <v>1</v>
      </c>
      <c r="Z6" s="49">
        <v>5</v>
      </c>
      <c r="AA6" s="48">
        <f t="shared" si="5"/>
        <v>5</v>
      </c>
      <c r="AB6" s="36">
        <f t="shared" si="17"/>
        <v>0.71188419632677269</v>
      </c>
      <c r="AC6" s="34">
        <f t="shared" si="6"/>
        <v>1</v>
      </c>
      <c r="AD6" s="34">
        <f t="shared" si="7"/>
        <v>1</v>
      </c>
      <c r="AE6" s="34">
        <f t="shared" si="8"/>
        <v>0.39999999999999991</v>
      </c>
      <c r="AF6" s="34">
        <f t="shared" si="9"/>
        <v>0.8</v>
      </c>
      <c r="AG6" s="34">
        <f t="shared" si="10"/>
        <v>0.58695652173913027</v>
      </c>
      <c r="AH6" s="34">
        <f t="shared" si="11"/>
        <v>0</v>
      </c>
      <c r="AI6" s="34">
        <f t="shared" si="12"/>
        <v>0.61389581039578145</v>
      </c>
      <c r="AJ6" s="34">
        <f t="shared" si="13"/>
        <v>0.82111944604731679</v>
      </c>
      <c r="AK6" s="34">
        <f t="shared" si="14"/>
        <v>0.59363552645042461</v>
      </c>
      <c r="AL6" s="34"/>
      <c r="AM6" s="35">
        <v>0.69439539311717657</v>
      </c>
      <c r="AN6">
        <v>12</v>
      </c>
      <c r="AO6" s="35">
        <f t="shared" si="18"/>
        <v>0.59719769655858834</v>
      </c>
      <c r="AP6">
        <v>19</v>
      </c>
      <c r="AQ6">
        <v>4</v>
      </c>
      <c r="AR6">
        <f t="shared" si="19"/>
        <v>23</v>
      </c>
    </row>
    <row r="7" spans="1:44" x14ac:dyDescent="0.35">
      <c r="A7" t="s">
        <v>237</v>
      </c>
      <c r="B7" s="69" t="s">
        <v>1296</v>
      </c>
      <c r="C7" s="69" t="s">
        <v>1297</v>
      </c>
      <c r="D7" s="69" t="s">
        <v>959</v>
      </c>
      <c r="E7" s="1" t="s">
        <v>5</v>
      </c>
      <c r="F7">
        <v>2</v>
      </c>
      <c r="G7">
        <v>1</v>
      </c>
      <c r="I7">
        <v>2</v>
      </c>
      <c r="J7">
        <v>1</v>
      </c>
      <c r="L7">
        <f>37+18</f>
        <v>55</v>
      </c>
      <c r="M7">
        <f>26+10</f>
        <v>36</v>
      </c>
      <c r="N7" s="73">
        <f t="shared" si="0"/>
        <v>18.333333333333332</v>
      </c>
      <c r="O7" s="73">
        <f t="shared" si="1"/>
        <v>12</v>
      </c>
      <c r="P7" s="73">
        <f t="shared" si="2"/>
        <v>6.3333333333333321</v>
      </c>
      <c r="Q7">
        <v>29</v>
      </c>
      <c r="R7" s="54">
        <f t="shared" si="3"/>
        <v>1.896551724137931</v>
      </c>
      <c r="S7">
        <f>0.45+1.676+2.369</f>
        <v>4.4950000000000001</v>
      </c>
      <c r="T7">
        <f>0.45+2.369</f>
        <v>2.8190000000000004</v>
      </c>
      <c r="U7" s="89">
        <f t="shared" si="15"/>
        <v>1.4983333333333333</v>
      </c>
      <c r="V7" s="89">
        <f t="shared" si="16"/>
        <v>0.93966666666666676</v>
      </c>
      <c r="W7" s="70">
        <f>63.263+7.284+66.232</f>
        <v>136.779</v>
      </c>
      <c r="X7" s="89">
        <f t="shared" si="4"/>
        <v>45.592999999999996</v>
      </c>
      <c r="Y7" s="47">
        <v>1</v>
      </c>
      <c r="Z7" s="49">
        <v>6</v>
      </c>
      <c r="AA7" s="48">
        <f t="shared" si="5"/>
        <v>6</v>
      </c>
      <c r="AB7" s="36">
        <f t="shared" si="17"/>
        <v>0.65834511602669632</v>
      </c>
      <c r="AC7" s="34">
        <f t="shared" si="6"/>
        <v>0.66666666666666663</v>
      </c>
      <c r="AD7" s="34">
        <f t="shared" si="7"/>
        <v>0.66666666666666663</v>
      </c>
      <c r="AE7" s="34">
        <f t="shared" si="8"/>
        <v>0.74999999999999978</v>
      </c>
      <c r="AF7" s="34">
        <f t="shared" si="9"/>
        <v>0.8</v>
      </c>
      <c r="AG7" s="34">
        <f t="shared" si="10"/>
        <v>0.89130434782608681</v>
      </c>
      <c r="AH7" s="34">
        <f t="shared" si="11"/>
        <v>0.57680250783699072</v>
      </c>
      <c r="AI7" s="34">
        <f t="shared" si="12"/>
        <v>0.14649127890131564</v>
      </c>
      <c r="AJ7" s="34">
        <f t="shared" si="13"/>
        <v>0.59444123869974996</v>
      </c>
      <c r="AK7" s="34">
        <f t="shared" si="14"/>
        <v>0.88291551553600056</v>
      </c>
      <c r="AL7" s="34"/>
      <c r="AM7" s="35">
        <v>0.64753015442262951</v>
      </c>
      <c r="AN7">
        <v>15</v>
      </c>
      <c r="AO7" s="35">
        <f t="shared" si="18"/>
        <v>0.57376507721131476</v>
      </c>
      <c r="AP7">
        <v>22</v>
      </c>
      <c r="AQ7">
        <v>5</v>
      </c>
      <c r="AR7">
        <f t="shared" si="19"/>
        <v>27</v>
      </c>
    </row>
    <row r="8" spans="1:44" x14ac:dyDescent="0.35">
      <c r="A8" t="s">
        <v>806</v>
      </c>
      <c r="B8" s="69" t="s">
        <v>1296</v>
      </c>
      <c r="C8" s="69" t="s">
        <v>1299</v>
      </c>
      <c r="D8" s="69" t="s">
        <v>962</v>
      </c>
      <c r="E8" s="1" t="s">
        <v>5</v>
      </c>
      <c r="F8" s="46">
        <v>2</v>
      </c>
      <c r="G8" s="46">
        <v>1</v>
      </c>
      <c r="H8" s="46"/>
      <c r="I8" s="46">
        <v>2</v>
      </c>
      <c r="J8" s="46">
        <v>1</v>
      </c>
      <c r="K8" s="46"/>
      <c r="L8">
        <v>50</v>
      </c>
      <c r="M8">
        <v>46</v>
      </c>
      <c r="N8" s="73">
        <f t="shared" si="0"/>
        <v>16.666666666666668</v>
      </c>
      <c r="O8" s="73">
        <f t="shared" si="1"/>
        <v>15.333333333333334</v>
      </c>
      <c r="P8" s="73">
        <f t="shared" si="2"/>
        <v>1.3333333333333339</v>
      </c>
      <c r="Q8">
        <v>23</v>
      </c>
      <c r="R8" s="54">
        <f t="shared" si="3"/>
        <v>2.1739130434782608</v>
      </c>
      <c r="S8">
        <f>0.45+0.996+0.003</f>
        <v>1.4489999999999998</v>
      </c>
      <c r="T8">
        <f>0.45+0.003</f>
        <v>0.45300000000000001</v>
      </c>
      <c r="U8" s="89">
        <f t="shared" si="15"/>
        <v>0.48299999999999993</v>
      </c>
      <c r="V8" s="89">
        <f t="shared" si="16"/>
        <v>0.151</v>
      </c>
      <c r="W8" s="70">
        <f>43.116+13.984+41.83</f>
        <v>98.93</v>
      </c>
      <c r="X8" s="89">
        <f t="shared" si="4"/>
        <v>32.976666666666667</v>
      </c>
      <c r="Y8" s="47">
        <v>1</v>
      </c>
      <c r="Z8" s="49">
        <v>7</v>
      </c>
      <c r="AA8" s="48">
        <f t="shared" si="5"/>
        <v>7</v>
      </c>
      <c r="AB8" s="36">
        <f t="shared" si="17"/>
        <v>0.65714469295280165</v>
      </c>
      <c r="AC8" s="34">
        <f t="shared" si="6"/>
        <v>0.66666666666666663</v>
      </c>
      <c r="AD8" s="34">
        <f t="shared" si="7"/>
        <v>0.66666666666666663</v>
      </c>
      <c r="AE8" s="34">
        <f t="shared" si="8"/>
        <v>0.625</v>
      </c>
      <c r="AF8" s="34">
        <f t="shared" si="9"/>
        <v>0.46666666666666656</v>
      </c>
      <c r="AG8" s="34">
        <f t="shared" si="10"/>
        <v>0.56521739130434778</v>
      </c>
      <c r="AH8" s="34">
        <f t="shared" si="11"/>
        <v>1</v>
      </c>
      <c r="AI8" s="34">
        <f t="shared" si="12"/>
        <v>0.49950744625369425</v>
      </c>
      <c r="AJ8" s="34">
        <f t="shared" si="13"/>
        <v>0.82198499711482975</v>
      </c>
      <c r="AK8" s="34">
        <f t="shared" si="14"/>
        <v>0.62472799208704255</v>
      </c>
      <c r="AL8" s="34"/>
      <c r="AM8" s="35">
        <v>0.64035017332768385</v>
      </c>
      <c r="AN8">
        <v>15</v>
      </c>
      <c r="AO8" s="35">
        <f t="shared" si="18"/>
        <v>0.57017508666384198</v>
      </c>
      <c r="AP8">
        <v>26</v>
      </c>
      <c r="AQ8">
        <v>6</v>
      </c>
      <c r="AR8">
        <f t="shared" si="19"/>
        <v>32</v>
      </c>
    </row>
    <row r="9" spans="1:44" x14ac:dyDescent="0.35">
      <c r="A9" t="s">
        <v>224</v>
      </c>
      <c r="B9" s="69" t="s">
        <v>1296</v>
      </c>
      <c r="C9" s="69" t="s">
        <v>1300</v>
      </c>
      <c r="D9" s="69" t="s">
        <v>965</v>
      </c>
      <c r="E9" s="1" t="s">
        <v>6</v>
      </c>
      <c r="F9">
        <v>2</v>
      </c>
      <c r="G9">
        <v>1</v>
      </c>
      <c r="I9">
        <v>2</v>
      </c>
      <c r="J9">
        <v>1</v>
      </c>
      <c r="L9">
        <v>56</v>
      </c>
      <c r="M9">
        <v>40</v>
      </c>
      <c r="N9" s="73">
        <f t="shared" si="0"/>
        <v>18.666666666666668</v>
      </c>
      <c r="O9" s="73">
        <f t="shared" si="1"/>
        <v>13.333333333333334</v>
      </c>
      <c r="P9" s="73">
        <f t="shared" si="2"/>
        <v>5.3333333333333339</v>
      </c>
      <c r="Q9">
        <v>31</v>
      </c>
      <c r="R9" s="54">
        <f t="shared" si="3"/>
        <v>1.8064516129032258</v>
      </c>
      <c r="S9">
        <f>0.45+5.147-0.645</f>
        <v>4.952</v>
      </c>
      <c r="T9">
        <f>0.45+5.147</f>
        <v>5.5970000000000004</v>
      </c>
      <c r="U9" s="89">
        <f t="shared" si="15"/>
        <v>1.6506666666666667</v>
      </c>
      <c r="V9" s="89">
        <f t="shared" si="16"/>
        <v>1.8656666666666668</v>
      </c>
      <c r="W9" s="70">
        <f>(140.771-40.771)+9.303+18.528</f>
        <v>127.83099999999999</v>
      </c>
      <c r="X9" s="89">
        <f t="shared" si="4"/>
        <v>42.61033333333333</v>
      </c>
      <c r="Y9" s="47">
        <v>1</v>
      </c>
      <c r="Z9" s="49">
        <v>8</v>
      </c>
      <c r="AA9" s="48">
        <f t="shared" si="5"/>
        <v>8</v>
      </c>
      <c r="AB9" s="36">
        <f t="shared" si="17"/>
        <v>0.59352112787052247</v>
      </c>
      <c r="AC9" s="34">
        <f t="shared" si="6"/>
        <v>0.66666666666666663</v>
      </c>
      <c r="AD9" s="34">
        <f t="shared" si="7"/>
        <v>0.66666666666666663</v>
      </c>
      <c r="AE9" s="34">
        <f t="shared" si="8"/>
        <v>0.77500000000000002</v>
      </c>
      <c r="AF9" s="34">
        <f t="shared" si="9"/>
        <v>0.66666666666666663</v>
      </c>
      <c r="AG9" s="34">
        <f t="shared" si="10"/>
        <v>0.82608695652173902</v>
      </c>
      <c r="AH9" s="34">
        <f t="shared" si="11"/>
        <v>0.43932789094079411</v>
      </c>
      <c r="AI9" s="34">
        <f t="shared" si="12"/>
        <v>9.352726429854552E-2</v>
      </c>
      <c r="AJ9" s="34">
        <f t="shared" si="13"/>
        <v>0.32727447586074243</v>
      </c>
      <c r="AK9" s="34">
        <f t="shared" si="14"/>
        <v>0.82187659879259178</v>
      </c>
      <c r="AL9" s="34"/>
      <c r="AM9" s="35">
        <v>0.58748709175862646</v>
      </c>
      <c r="AN9">
        <v>20</v>
      </c>
      <c r="AO9" s="35">
        <f t="shared" si="18"/>
        <v>0.54374354587931317</v>
      </c>
      <c r="AP9">
        <v>26</v>
      </c>
      <c r="AQ9">
        <v>7</v>
      </c>
      <c r="AR9">
        <f t="shared" si="19"/>
        <v>33</v>
      </c>
    </row>
    <row r="10" spans="1:44" x14ac:dyDescent="0.35">
      <c r="A10" t="s">
        <v>269</v>
      </c>
      <c r="B10" s="69" t="s">
        <v>1296</v>
      </c>
      <c r="C10" s="69" t="s">
        <v>1297</v>
      </c>
      <c r="D10" s="69" t="s">
        <v>1301</v>
      </c>
      <c r="E10" s="1" t="s">
        <v>6</v>
      </c>
      <c r="F10">
        <v>1</v>
      </c>
      <c r="G10">
        <v>2</v>
      </c>
      <c r="I10">
        <v>1</v>
      </c>
      <c r="J10">
        <v>2</v>
      </c>
      <c r="L10">
        <f>25+8</f>
        <v>33</v>
      </c>
      <c r="M10">
        <f>37+9</f>
        <v>46</v>
      </c>
      <c r="N10" s="73">
        <f t="shared" si="0"/>
        <v>11</v>
      </c>
      <c r="O10" s="73">
        <f t="shared" si="1"/>
        <v>15.333333333333334</v>
      </c>
      <c r="P10" s="73">
        <f t="shared" si="2"/>
        <v>-4.3333333333333339</v>
      </c>
      <c r="Q10">
        <v>18</v>
      </c>
      <c r="R10" s="54">
        <f t="shared" si="3"/>
        <v>1.8333333333333333</v>
      </c>
      <c r="S10">
        <f>-0.45-1.398-1.688</f>
        <v>-3.5359999999999996</v>
      </c>
      <c r="T10">
        <v>-1.3979999999999999</v>
      </c>
      <c r="U10" s="89">
        <f t="shared" si="15"/>
        <v>-0.58933333333333326</v>
      </c>
      <c r="V10" s="89">
        <f t="shared" si="16"/>
        <v>-0.46599999999999997</v>
      </c>
      <c r="W10" s="70">
        <f>3.642+35.244+20.142</f>
        <v>59.028000000000006</v>
      </c>
      <c r="X10" s="89">
        <f t="shared" si="4"/>
        <v>19.676000000000002</v>
      </c>
      <c r="Y10" s="47">
        <v>1</v>
      </c>
      <c r="Z10" s="49">
        <v>9</v>
      </c>
      <c r="AA10" s="48">
        <f t="shared" si="5"/>
        <v>9</v>
      </c>
      <c r="AB10" s="36">
        <f t="shared" si="17"/>
        <v>0.45627850355241195</v>
      </c>
      <c r="AC10" s="34">
        <f t="shared" si="6"/>
        <v>0.33333333333333331</v>
      </c>
      <c r="AD10" s="34">
        <f t="shared" si="7"/>
        <v>0.33333333333333331</v>
      </c>
      <c r="AE10" s="34">
        <f t="shared" si="8"/>
        <v>0.19999999999999996</v>
      </c>
      <c r="AF10" s="34">
        <f t="shared" si="9"/>
        <v>0.46666666666666656</v>
      </c>
      <c r="AG10" s="34">
        <f t="shared" si="10"/>
        <v>0.19565217391304335</v>
      </c>
      <c r="AH10" s="34">
        <f t="shared" si="11"/>
        <v>0.48034398034398024</v>
      </c>
      <c r="AI10" s="34">
        <f t="shared" si="12"/>
        <v>0.8723416584574375</v>
      </c>
      <c r="AJ10" s="34">
        <f t="shared" si="13"/>
        <v>1</v>
      </c>
      <c r="AK10" s="34">
        <f t="shared" si="14"/>
        <v>0.35253589822299536</v>
      </c>
      <c r="AL10" s="34"/>
      <c r="AM10" s="35">
        <v>0.45342785368046079</v>
      </c>
      <c r="AN10">
        <v>51</v>
      </c>
      <c r="AO10" s="35">
        <f t="shared" si="18"/>
        <v>0.4767139268402304</v>
      </c>
      <c r="AP10">
        <v>45</v>
      </c>
      <c r="AQ10">
        <v>8</v>
      </c>
      <c r="AR10">
        <f t="shared" si="19"/>
        <v>53</v>
      </c>
    </row>
    <row r="11" spans="1:44" x14ac:dyDescent="0.35">
      <c r="A11" t="s">
        <v>280</v>
      </c>
      <c r="B11" s="69" t="s">
        <v>1296</v>
      </c>
      <c r="C11" s="69" t="s">
        <v>1299</v>
      </c>
      <c r="D11" s="69" t="s">
        <v>963</v>
      </c>
      <c r="E11" s="1" t="s">
        <v>6</v>
      </c>
      <c r="F11">
        <v>1</v>
      </c>
      <c r="G11">
        <v>2</v>
      </c>
      <c r="I11">
        <v>1</v>
      </c>
      <c r="J11">
        <v>2</v>
      </c>
      <c r="L11">
        <v>32</v>
      </c>
      <c r="M11">
        <v>36</v>
      </c>
      <c r="N11" s="73">
        <f t="shared" si="0"/>
        <v>10.666666666666666</v>
      </c>
      <c r="O11" s="73">
        <f t="shared" si="1"/>
        <v>12</v>
      </c>
      <c r="P11" s="73">
        <f t="shared" si="2"/>
        <v>-1.3333333333333339</v>
      </c>
      <c r="Q11">
        <v>20</v>
      </c>
      <c r="R11" s="54">
        <f t="shared" si="3"/>
        <v>1.6</v>
      </c>
      <c r="S11">
        <f>-0.45+0.216-0.003</f>
        <v>-0.23700000000000002</v>
      </c>
      <c r="T11">
        <v>0.216</v>
      </c>
      <c r="U11" s="89">
        <f t="shared" si="15"/>
        <v>-3.95E-2</v>
      </c>
      <c r="V11" s="89">
        <f t="shared" si="16"/>
        <v>7.1999999999999995E-2</v>
      </c>
      <c r="W11" s="70">
        <f>8.903+19.936+12.59</f>
        <v>41.429000000000002</v>
      </c>
      <c r="X11" s="89">
        <f t="shared" si="4"/>
        <v>13.809666666666667</v>
      </c>
      <c r="Y11" s="47">
        <v>1</v>
      </c>
      <c r="Z11" s="49">
        <v>10</v>
      </c>
      <c r="AA11" s="48">
        <f t="shared" si="5"/>
        <v>10</v>
      </c>
      <c r="AB11" s="36">
        <f t="shared" si="17"/>
        <v>0.42910446383330103</v>
      </c>
      <c r="AC11" s="34">
        <f t="shared" si="6"/>
        <v>0.33333333333333331</v>
      </c>
      <c r="AD11" s="34">
        <f t="shared" si="7"/>
        <v>0.33333333333333331</v>
      </c>
      <c r="AE11" s="34">
        <f t="shared" si="8"/>
        <v>0.17499999999999991</v>
      </c>
      <c r="AF11" s="34">
        <f t="shared" si="9"/>
        <v>0.8</v>
      </c>
      <c r="AG11" s="34">
        <f t="shared" si="10"/>
        <v>0.39130434782608681</v>
      </c>
      <c r="AH11" s="34">
        <f t="shared" si="11"/>
        <v>0.12432432432432437</v>
      </c>
      <c r="AI11" s="34">
        <f t="shared" si="12"/>
        <v>0.68117285739120359</v>
      </c>
      <c r="AJ11" s="34">
        <f t="shared" si="13"/>
        <v>0.84477784189267169</v>
      </c>
      <c r="AK11" s="34">
        <f t="shared" si="14"/>
        <v>0.2324840547085508</v>
      </c>
      <c r="AL11" s="34"/>
      <c r="AM11" s="35">
        <v>0.41209279700459711</v>
      </c>
      <c r="AN11">
        <v>64</v>
      </c>
      <c r="AO11" s="35">
        <f t="shared" si="18"/>
        <v>0.45604639850229856</v>
      </c>
      <c r="AP11">
        <v>48</v>
      </c>
      <c r="AQ11">
        <v>9</v>
      </c>
      <c r="AR11">
        <f t="shared" si="19"/>
        <v>57</v>
      </c>
    </row>
    <row r="12" spans="1:44" x14ac:dyDescent="0.35">
      <c r="A12" t="s">
        <v>223</v>
      </c>
      <c r="B12" s="69" t="s">
        <v>1296</v>
      </c>
      <c r="C12" s="69" t="s">
        <v>1298</v>
      </c>
      <c r="D12" s="69" t="s">
        <v>1308</v>
      </c>
      <c r="E12" s="1" t="s">
        <v>6</v>
      </c>
      <c r="F12">
        <v>1</v>
      </c>
      <c r="G12">
        <v>2</v>
      </c>
      <c r="I12">
        <v>1</v>
      </c>
      <c r="J12">
        <v>2</v>
      </c>
      <c r="L12">
        <v>29</v>
      </c>
      <c r="M12">
        <v>42</v>
      </c>
      <c r="N12" s="73">
        <f t="shared" si="0"/>
        <v>9.6666666666666661</v>
      </c>
      <c r="O12" s="73">
        <f t="shared" si="1"/>
        <v>14</v>
      </c>
      <c r="P12" s="73">
        <f t="shared" si="2"/>
        <v>-4.3333333333333339</v>
      </c>
      <c r="Q12">
        <v>15</v>
      </c>
      <c r="R12" s="54">
        <f t="shared" si="3"/>
        <v>1.9333333333333333</v>
      </c>
      <c r="S12">
        <f>0.45+2.289-3.226</f>
        <v>-0.48699999999999966</v>
      </c>
      <c r="T12">
        <v>0.45</v>
      </c>
      <c r="U12" s="89">
        <f t="shared" si="15"/>
        <v>-8.1166666666666609E-2</v>
      </c>
      <c r="V12" s="89">
        <f t="shared" si="16"/>
        <v>0.15</v>
      </c>
      <c r="W12" s="70">
        <f>18.681+0.718</f>
        <v>19.399000000000001</v>
      </c>
      <c r="X12" s="89">
        <f t="shared" si="4"/>
        <v>6.4663333333333339</v>
      </c>
      <c r="Y12" s="47">
        <v>1</v>
      </c>
      <c r="Z12" s="49">
        <v>11</v>
      </c>
      <c r="AA12" s="48">
        <f t="shared" si="5"/>
        <v>11</v>
      </c>
      <c r="AB12" s="36">
        <f t="shared" si="17"/>
        <v>0.41435849837588806</v>
      </c>
      <c r="AC12" s="34">
        <f t="shared" si="6"/>
        <v>0.33333333333333331</v>
      </c>
      <c r="AD12" s="34">
        <f t="shared" si="7"/>
        <v>0.33333333333333331</v>
      </c>
      <c r="AE12" s="34">
        <f t="shared" si="8"/>
        <v>9.9999999999999908E-2</v>
      </c>
      <c r="AF12" s="34">
        <f t="shared" si="9"/>
        <v>0.6</v>
      </c>
      <c r="AG12" s="34">
        <f t="shared" si="10"/>
        <v>0.19565217391304335</v>
      </c>
      <c r="AH12" s="34">
        <f t="shared" si="11"/>
        <v>0.63292383292383303</v>
      </c>
      <c r="AI12" s="34">
        <f t="shared" si="12"/>
        <v>0.69565973228255196</v>
      </c>
      <c r="AJ12" s="34">
        <f t="shared" si="13"/>
        <v>0.82227351413733407</v>
      </c>
      <c r="AK12" s="34">
        <f t="shared" si="14"/>
        <v>8.2206077969917135E-2</v>
      </c>
      <c r="AL12" s="34"/>
      <c r="AM12" s="35">
        <v>0.39899108016364854</v>
      </c>
      <c r="AN12">
        <v>72</v>
      </c>
      <c r="AO12" s="35">
        <f t="shared" si="18"/>
        <v>0.44949554008182424</v>
      </c>
      <c r="AP12">
        <v>53</v>
      </c>
      <c r="AQ12">
        <v>10</v>
      </c>
      <c r="AR12">
        <f t="shared" si="19"/>
        <v>63</v>
      </c>
    </row>
    <row r="13" spans="1:44" x14ac:dyDescent="0.35">
      <c r="A13" t="s">
        <v>240</v>
      </c>
      <c r="B13" s="69" t="s">
        <v>1296</v>
      </c>
      <c r="C13" s="69" t="s">
        <v>1300</v>
      </c>
      <c r="D13" s="69" t="s">
        <v>1344</v>
      </c>
      <c r="E13" s="1" t="s">
        <v>5</v>
      </c>
      <c r="F13">
        <v>1</v>
      </c>
      <c r="G13">
        <v>2</v>
      </c>
      <c r="I13">
        <v>1</v>
      </c>
      <c r="J13">
        <v>2</v>
      </c>
      <c r="L13">
        <v>39</v>
      </c>
      <c r="M13">
        <v>60</v>
      </c>
      <c r="N13" s="73">
        <f t="shared" si="0"/>
        <v>13</v>
      </c>
      <c r="O13" s="73">
        <f t="shared" si="1"/>
        <v>20</v>
      </c>
      <c r="P13" s="73">
        <f t="shared" si="2"/>
        <v>-7</v>
      </c>
      <c r="Q13">
        <v>25</v>
      </c>
      <c r="R13" s="54">
        <f t="shared" si="3"/>
        <v>1.56</v>
      </c>
      <c r="S13">
        <f>-0.45-4.664+0.122</f>
        <v>-4.992</v>
      </c>
      <c r="T13">
        <f>0.122</f>
        <v>0.122</v>
      </c>
      <c r="U13" s="89">
        <f t="shared" si="15"/>
        <v>-0.83199999999999996</v>
      </c>
      <c r="V13" s="89">
        <f t="shared" si="16"/>
        <v>4.0666666666666663E-2</v>
      </c>
      <c r="W13" s="70">
        <f>0.809+11.714+36.671</f>
        <v>49.194000000000003</v>
      </c>
      <c r="X13" s="89">
        <f t="shared" si="4"/>
        <v>16.398</v>
      </c>
      <c r="Y13" s="47">
        <v>1</v>
      </c>
      <c r="Z13" s="49">
        <v>12</v>
      </c>
      <c r="AA13" s="48">
        <f t="shared" si="5"/>
        <v>12</v>
      </c>
      <c r="AB13" s="36">
        <f t="shared" si="17"/>
        <v>0.36359351204765633</v>
      </c>
      <c r="AC13" s="34">
        <f t="shared" si="6"/>
        <v>0.33333333333333331</v>
      </c>
      <c r="AD13" s="34">
        <f t="shared" si="7"/>
        <v>0.33333333333333331</v>
      </c>
      <c r="AE13" s="34">
        <f t="shared" si="8"/>
        <v>0.34999999999999992</v>
      </c>
      <c r="AF13" s="34">
        <f t="shared" si="9"/>
        <v>0</v>
      </c>
      <c r="AG13" s="34">
        <f t="shared" si="10"/>
        <v>2.1739130434782532E-2</v>
      </c>
      <c r="AH13" s="34">
        <f t="shared" si="11"/>
        <v>6.3292383292383264E-2</v>
      </c>
      <c r="AI13" s="34">
        <f t="shared" si="12"/>
        <v>0.9567132178246508</v>
      </c>
      <c r="AJ13" s="34">
        <f t="shared" si="13"/>
        <v>0.85381804193114064</v>
      </c>
      <c r="AK13" s="34">
        <f t="shared" si="14"/>
        <v>0.2854531191377605</v>
      </c>
      <c r="AL13" s="34"/>
      <c r="AM13" s="35">
        <v>0.37057091200502384</v>
      </c>
      <c r="AN13">
        <v>77</v>
      </c>
      <c r="AO13" s="35">
        <f t="shared" si="18"/>
        <v>0.43528545600251189</v>
      </c>
      <c r="AP13">
        <v>60</v>
      </c>
      <c r="AQ13">
        <v>11</v>
      </c>
      <c r="AR13">
        <f t="shared" si="19"/>
        <v>71</v>
      </c>
    </row>
    <row r="14" spans="1:44" x14ac:dyDescent="0.35">
      <c r="A14" t="s">
        <v>246</v>
      </c>
      <c r="B14" s="69" t="s">
        <v>1296</v>
      </c>
      <c r="C14" s="69" t="s">
        <v>1297</v>
      </c>
      <c r="D14" s="69" t="s">
        <v>958</v>
      </c>
      <c r="E14" s="1" t="s">
        <v>6</v>
      </c>
      <c r="F14">
        <v>0</v>
      </c>
      <c r="G14">
        <v>3</v>
      </c>
      <c r="I14">
        <v>0</v>
      </c>
      <c r="J14">
        <v>3</v>
      </c>
      <c r="L14">
        <f>28+10</f>
        <v>38</v>
      </c>
      <c r="M14">
        <f>31+18</f>
        <v>49</v>
      </c>
      <c r="N14" s="73">
        <f t="shared" si="0"/>
        <v>12.666666666666666</v>
      </c>
      <c r="O14" s="73">
        <f t="shared" si="1"/>
        <v>16.333333333333332</v>
      </c>
      <c r="P14" s="73">
        <f t="shared" si="2"/>
        <v>-3.6666666666666661</v>
      </c>
      <c r="Q14">
        <v>20</v>
      </c>
      <c r="R14" s="54">
        <f t="shared" si="3"/>
        <v>1.9</v>
      </c>
      <c r="S14">
        <f>-0.45+1.398-2.369</f>
        <v>-1.4210000000000003</v>
      </c>
      <c r="T14">
        <v>1.3979999999999999</v>
      </c>
      <c r="U14" s="89">
        <f t="shared" si="15"/>
        <v>-0.23683333333333337</v>
      </c>
      <c r="V14" s="89">
        <f t="shared" si="16"/>
        <v>0</v>
      </c>
      <c r="W14" s="70">
        <f>23.147+0+10.842</f>
        <v>33.988999999999997</v>
      </c>
      <c r="X14" s="89">
        <f t="shared" si="4"/>
        <v>11.329666666666666</v>
      </c>
      <c r="Y14" s="47">
        <v>1</v>
      </c>
      <c r="Z14" s="49">
        <v>13</v>
      </c>
      <c r="AA14" s="48">
        <f t="shared" si="5"/>
        <v>13</v>
      </c>
      <c r="AB14" s="36">
        <f t="shared" si="17"/>
        <v>0.31427723473228147</v>
      </c>
      <c r="AC14" s="34">
        <f t="shared" si="6"/>
        <v>0</v>
      </c>
      <c r="AD14" s="34">
        <f t="shared" si="7"/>
        <v>0</v>
      </c>
      <c r="AE14" s="34">
        <f t="shared" si="8"/>
        <v>0.3249999999999999</v>
      </c>
      <c r="AF14" s="34">
        <f t="shared" si="9"/>
        <v>0.36666666666666681</v>
      </c>
      <c r="AG14" s="34">
        <f t="shared" si="10"/>
        <v>0.23913043478260865</v>
      </c>
      <c r="AH14" s="34">
        <f t="shared" si="11"/>
        <v>0.58206388206388193</v>
      </c>
      <c r="AI14" s="34">
        <f t="shared" si="12"/>
        <v>0.7497826968766298</v>
      </c>
      <c r="AJ14" s="34">
        <f t="shared" si="13"/>
        <v>0.86555106751298327</v>
      </c>
      <c r="AK14" s="34">
        <f t="shared" si="14"/>
        <v>0.18173198267335175</v>
      </c>
      <c r="AL14" s="34"/>
      <c r="AM14" s="35">
        <v>0.3029301673199935</v>
      </c>
      <c r="AN14">
        <v>88</v>
      </c>
      <c r="AO14" s="35">
        <f t="shared" si="18"/>
        <v>0.40146508365999678</v>
      </c>
      <c r="AP14">
        <v>72</v>
      </c>
      <c r="AQ14">
        <v>12</v>
      </c>
      <c r="AR14">
        <f t="shared" si="19"/>
        <v>84</v>
      </c>
    </row>
    <row r="15" spans="1:44" x14ac:dyDescent="0.35">
      <c r="A15" t="s">
        <v>264</v>
      </c>
      <c r="B15" s="69" t="s">
        <v>1296</v>
      </c>
      <c r="C15" s="69" t="s">
        <v>1299</v>
      </c>
      <c r="D15" s="69" t="s">
        <v>964</v>
      </c>
      <c r="E15" s="1" t="s">
        <v>6</v>
      </c>
      <c r="F15">
        <v>0</v>
      </c>
      <c r="G15">
        <v>3</v>
      </c>
      <c r="I15">
        <v>0</v>
      </c>
      <c r="J15">
        <v>3</v>
      </c>
      <c r="L15">
        <v>43</v>
      </c>
      <c r="M15">
        <v>55</v>
      </c>
      <c r="N15" s="73">
        <f t="shared" si="0"/>
        <v>14.333333333333334</v>
      </c>
      <c r="O15" s="73">
        <f t="shared" si="1"/>
        <v>18.333333333333332</v>
      </c>
      <c r="P15" s="73">
        <f t="shared" si="2"/>
        <v>-3.9999999999999982</v>
      </c>
      <c r="Q15">
        <v>26</v>
      </c>
      <c r="R15" s="54">
        <f t="shared" si="3"/>
        <v>1.6538461538461537</v>
      </c>
      <c r="S15">
        <f>-0.45-0.216-4.234</f>
        <v>-4.9000000000000004</v>
      </c>
      <c r="T15">
        <v>0</v>
      </c>
      <c r="U15" s="89">
        <f t="shared" si="15"/>
        <v>-0.81666666666666676</v>
      </c>
      <c r="V15" s="89">
        <f>IF(T15=0, 3, IF(AND(F15&gt;0, F15&lt;3), (T15/3), IF(F15&gt;2, (T15/F15), IF(F15=0, 0, 0))))</f>
        <v>3</v>
      </c>
      <c r="W15" s="70">
        <f>24.241+8.204+6.816</f>
        <v>39.261000000000003</v>
      </c>
      <c r="X15" s="89">
        <f t="shared" si="4"/>
        <v>13.087000000000002</v>
      </c>
      <c r="Y15" s="47">
        <v>1</v>
      </c>
      <c r="Z15" s="49">
        <v>14</v>
      </c>
      <c r="AA15" s="48">
        <f t="shared" si="5"/>
        <v>14</v>
      </c>
      <c r="AB15" s="36">
        <f t="shared" si="17"/>
        <v>0.2102689565274857</v>
      </c>
      <c r="AC15" s="34">
        <f t="shared" si="6"/>
        <v>0</v>
      </c>
      <c r="AD15" s="34">
        <f t="shared" si="7"/>
        <v>0</v>
      </c>
      <c r="AE15" s="34">
        <f t="shared" si="8"/>
        <v>0.44999999999999996</v>
      </c>
      <c r="AF15" s="34">
        <f t="shared" si="9"/>
        <v>0.16666666666666674</v>
      </c>
      <c r="AG15" s="34">
        <f t="shared" si="10"/>
        <v>0.21739130434782611</v>
      </c>
      <c r="AH15" s="34">
        <f t="shared" si="11"/>
        <v>0.20648270648270625</v>
      </c>
      <c r="AI15" s="34">
        <f t="shared" si="12"/>
        <v>0.95138204786463465</v>
      </c>
      <c r="AJ15" s="34">
        <f t="shared" si="13"/>
        <v>0</v>
      </c>
      <c r="AK15" s="34">
        <f t="shared" si="14"/>
        <v>0.21769501006173475</v>
      </c>
      <c r="AL15" s="34"/>
      <c r="AM15" s="35">
        <v>0.23100960023641273</v>
      </c>
      <c r="AN15">
        <v>95</v>
      </c>
      <c r="AO15" s="35">
        <f t="shared" si="18"/>
        <v>0.36550480011820635</v>
      </c>
      <c r="AP15">
        <v>78</v>
      </c>
      <c r="AQ15">
        <v>13</v>
      </c>
      <c r="AR15">
        <f t="shared" si="19"/>
        <v>91</v>
      </c>
    </row>
    <row r="16" spans="1:44" x14ac:dyDescent="0.35">
      <c r="A16" t="s">
        <v>238</v>
      </c>
      <c r="B16" s="69" t="s">
        <v>1296</v>
      </c>
      <c r="C16" s="69" t="s">
        <v>1300</v>
      </c>
      <c r="D16" s="69" t="s">
        <v>1343</v>
      </c>
      <c r="E16" s="1" t="s">
        <v>6</v>
      </c>
      <c r="F16">
        <v>0</v>
      </c>
      <c r="G16">
        <v>3</v>
      </c>
      <c r="I16">
        <v>0</v>
      </c>
      <c r="J16">
        <v>3</v>
      </c>
      <c r="L16">
        <v>34</v>
      </c>
      <c r="M16">
        <v>53</v>
      </c>
      <c r="N16" s="73">
        <f t="shared" si="0"/>
        <v>11.333333333333334</v>
      </c>
      <c r="O16" s="73">
        <f t="shared" si="1"/>
        <v>17.666666666666668</v>
      </c>
      <c r="P16" s="73">
        <f t="shared" si="2"/>
        <v>-6.3333333333333339</v>
      </c>
      <c r="Q16">
        <v>22</v>
      </c>
      <c r="R16" s="54">
        <f t="shared" si="3"/>
        <v>1.5454545454545454</v>
      </c>
      <c r="S16">
        <f>0.45-5.147-0.122</f>
        <v>-4.819</v>
      </c>
      <c r="T16">
        <v>0</v>
      </c>
      <c r="U16" s="89">
        <f t="shared" si="15"/>
        <v>-0.8031666666666667</v>
      </c>
      <c r="V16" s="89">
        <f t="shared" si="16"/>
        <v>3</v>
      </c>
      <c r="W16" s="70">
        <f>2.308+24.7+4.632</f>
        <v>31.64</v>
      </c>
      <c r="X16" s="89">
        <f t="shared" si="4"/>
        <v>10.546666666666667</v>
      </c>
      <c r="Y16" s="47">
        <v>1</v>
      </c>
      <c r="Z16" s="49">
        <v>15</v>
      </c>
      <c r="AA16" s="48">
        <f t="shared" si="5"/>
        <v>15</v>
      </c>
      <c r="AB16" s="36">
        <f t="shared" si="17"/>
        <v>0.16317087881458001</v>
      </c>
      <c r="AC16" s="34">
        <f t="shared" si="6"/>
        <v>0</v>
      </c>
      <c r="AD16" s="34">
        <f t="shared" si="7"/>
        <v>0</v>
      </c>
      <c r="AE16" s="34">
        <f t="shared" si="8"/>
        <v>0.22499999999999998</v>
      </c>
      <c r="AF16" s="34">
        <f t="shared" si="9"/>
        <v>0.23333333333333317</v>
      </c>
      <c r="AG16" s="34">
        <f t="shared" si="10"/>
        <v>6.5217391304347713E-2</v>
      </c>
      <c r="AH16" s="34">
        <f t="shared" si="11"/>
        <v>4.1098950189859103E-2</v>
      </c>
      <c r="AI16" s="34">
        <f t="shared" si="12"/>
        <v>0.94668830039983776</v>
      </c>
      <c r="AJ16" s="34">
        <f t="shared" si="13"/>
        <v>0</v>
      </c>
      <c r="AK16" s="34">
        <f t="shared" si="14"/>
        <v>0.1657082438009482</v>
      </c>
      <c r="AL16" s="34"/>
      <c r="AM16" s="35">
        <v>0.18350030934165137</v>
      </c>
      <c r="AN16">
        <v>97</v>
      </c>
      <c r="AO16" s="35">
        <f t="shared" si="18"/>
        <v>0.3417501546708257</v>
      </c>
      <c r="AP16">
        <v>84</v>
      </c>
      <c r="AQ16">
        <v>14</v>
      </c>
      <c r="AR16">
        <f t="shared" si="19"/>
        <v>98</v>
      </c>
    </row>
    <row r="17" spans="1:44" x14ac:dyDescent="0.35">
      <c r="A17" t="s">
        <v>270</v>
      </c>
      <c r="B17" s="69" t="s">
        <v>1296</v>
      </c>
      <c r="C17" s="69" t="s">
        <v>1298</v>
      </c>
      <c r="D17" s="69" t="s">
        <v>960</v>
      </c>
      <c r="E17" s="1" t="s">
        <v>6</v>
      </c>
      <c r="F17">
        <v>0</v>
      </c>
      <c r="G17">
        <v>3</v>
      </c>
      <c r="I17">
        <v>0</v>
      </c>
      <c r="J17">
        <v>3</v>
      </c>
      <c r="L17">
        <v>25</v>
      </c>
      <c r="M17">
        <f>28+19</f>
        <v>47</v>
      </c>
      <c r="N17" s="73">
        <f t="shared" si="0"/>
        <v>8.3333333333333339</v>
      </c>
      <c r="O17" s="73">
        <f t="shared" si="1"/>
        <v>15.666666666666666</v>
      </c>
      <c r="P17" s="73">
        <f t="shared" si="2"/>
        <v>-7.3333333333333321</v>
      </c>
      <c r="Q17">
        <v>16</v>
      </c>
      <c r="R17" s="54">
        <f t="shared" si="3"/>
        <v>1.5625</v>
      </c>
      <c r="S17">
        <f>-0.45-1.943-3.346</f>
        <v>-5.7390000000000008</v>
      </c>
      <c r="T17">
        <v>0</v>
      </c>
      <c r="U17" s="89">
        <f t="shared" si="15"/>
        <v>-0.95650000000000013</v>
      </c>
      <c r="V17" s="89">
        <f t="shared" si="16"/>
        <v>3</v>
      </c>
      <c r="W17" s="70">
        <f>3.462+2.508+1.378</f>
        <v>7.3480000000000008</v>
      </c>
      <c r="X17" s="89">
        <f t="shared" si="4"/>
        <v>2.4493333333333336</v>
      </c>
      <c r="Y17" s="47">
        <v>1</v>
      </c>
      <c r="Z17" s="49">
        <v>16</v>
      </c>
      <c r="AA17" s="48">
        <f t="shared" si="5"/>
        <v>16</v>
      </c>
      <c r="AB17" s="36">
        <f t="shared" si="17"/>
        <v>0.14892557330057329</v>
      </c>
      <c r="AC17" s="34">
        <f t="shared" si="6"/>
        <v>0</v>
      </c>
      <c r="AD17" s="34">
        <f t="shared" si="7"/>
        <v>0</v>
      </c>
      <c r="AE17" s="34">
        <f t="shared" si="8"/>
        <v>0</v>
      </c>
      <c r="AF17" s="34">
        <f t="shared" si="9"/>
        <v>0.43333333333333335</v>
      </c>
      <c r="AG17" s="34">
        <f t="shared" si="10"/>
        <v>0</v>
      </c>
      <c r="AH17" s="34">
        <f t="shared" si="11"/>
        <v>6.7106879606879499E-2</v>
      </c>
      <c r="AI17" s="34">
        <f t="shared" si="12"/>
        <v>1</v>
      </c>
      <c r="AJ17" s="34">
        <f t="shared" si="13"/>
        <v>0</v>
      </c>
      <c r="AK17" s="34">
        <f t="shared" si="14"/>
        <v>0</v>
      </c>
      <c r="AL17" s="34"/>
      <c r="AM17" s="35">
        <v>0.17392557330057326</v>
      </c>
      <c r="AN17">
        <v>97</v>
      </c>
      <c r="AO17" s="35">
        <f t="shared" si="18"/>
        <v>0.33696278665028662</v>
      </c>
      <c r="AP17">
        <v>84</v>
      </c>
      <c r="AQ17">
        <v>15</v>
      </c>
      <c r="AR17">
        <f t="shared" si="19"/>
        <v>99</v>
      </c>
    </row>
    <row r="18" spans="1:44" s="1" customFormat="1" x14ac:dyDescent="0.35"/>
    <row r="19" spans="1:44" s="1" customFormat="1" x14ac:dyDescent="0.35"/>
    <row r="20" spans="1:44" s="1" customFormat="1" x14ac:dyDescent="0.35"/>
    <row r="21" spans="1:44" s="1" customFormat="1" x14ac:dyDescent="0.35"/>
    <row r="22" spans="1:44" s="1" customFormat="1" x14ac:dyDescent="0.35"/>
    <row r="23" spans="1:44" s="1" customFormat="1" x14ac:dyDescent="0.35"/>
    <row r="24" spans="1:44" s="1" customFormat="1" x14ac:dyDescent="0.35"/>
    <row r="25" spans="1:44" s="1" customFormat="1" x14ac:dyDescent="0.35"/>
    <row r="26" spans="1:44" s="1" customFormat="1" x14ac:dyDescent="0.35"/>
    <row r="27" spans="1:44" s="1" customFormat="1" x14ac:dyDescent="0.35"/>
    <row r="28" spans="1:44" s="1" customFormat="1" x14ac:dyDescent="0.35"/>
    <row r="29" spans="1:44" s="1" customFormat="1" x14ac:dyDescent="0.35"/>
    <row r="30" spans="1:44" s="1" customFormat="1" x14ac:dyDescent="0.35"/>
    <row r="31" spans="1:44" s="1" customFormat="1" x14ac:dyDescent="0.35"/>
    <row r="32" spans="1:44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ht="13.75" customHeight="1" x14ac:dyDescent="0.35"/>
    <row r="93" s="1" customFormat="1" x14ac:dyDescent="0.35"/>
    <row r="94" s="1" customFormat="1" x14ac:dyDescent="0.35"/>
    <row r="95" s="1" customFormat="1" x14ac:dyDescent="0.35"/>
    <row r="96" s="1" customFormat="1" ht="13.75" customHeight="1" x14ac:dyDescent="0.35"/>
    <row r="97" s="1" customFormat="1" x14ac:dyDescent="0.35"/>
  </sheetData>
  <sortState xmlns:xlrd2="http://schemas.microsoft.com/office/spreadsheetml/2017/richdata2" ref="A2:XFD17">
    <sortCondition ref="AA2:AA17"/>
  </sortState>
  <conditionalFormatting sqref="AC2:AJ17">
    <cfRule type="cellIs" dxfId="4" priority="2" operator="equal">
      <formula>1</formula>
    </cfRule>
  </conditionalFormatting>
  <conditionalFormatting sqref="AC2:AK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T617"/>
  <sheetViews>
    <sheetView workbookViewId="0">
      <pane ySplit="1" topLeftCell="A577" activePane="bottomLeft" state="frozen"/>
      <selection pane="bottomLeft" activeCell="L578" sqref="L578"/>
    </sheetView>
  </sheetViews>
  <sheetFormatPr defaultRowHeight="14.5" x14ac:dyDescent="0.35"/>
  <cols>
    <col min="2" max="2" width="7" customWidth="1"/>
    <col min="3" max="3" width="6.453125" customWidth="1"/>
    <col min="4" max="4" width="4.08984375" style="80" customWidth="1"/>
    <col min="5" max="5" width="20.36328125" style="1" customWidth="1"/>
    <col min="6" max="6" width="5.90625" style="80" bestFit="1" customWidth="1"/>
    <col min="7" max="7" width="5.90625" style="63" bestFit="1" customWidth="1"/>
    <col min="8" max="8" width="18.08984375" style="46" customWidth="1"/>
    <col min="9" max="9" width="4.08984375" style="63" customWidth="1"/>
    <col min="10" max="10" width="6.6328125" customWidth="1"/>
    <col min="11" max="11" width="36.08984375" customWidth="1"/>
    <col min="13" max="13" width="20" customWidth="1"/>
    <col min="14" max="15" width="4.90625" customWidth="1"/>
    <col min="16" max="16" width="19.6328125" customWidth="1"/>
  </cols>
  <sheetData>
    <row r="1" spans="1:18" s="1" customFormat="1" x14ac:dyDescent="0.35">
      <c r="D1" s="80" t="s">
        <v>730</v>
      </c>
      <c r="E1" s="1" t="s">
        <v>174</v>
      </c>
      <c r="F1" s="80" t="s">
        <v>7</v>
      </c>
      <c r="G1" s="80" t="s">
        <v>7</v>
      </c>
      <c r="H1" s="10" t="s">
        <v>175</v>
      </c>
      <c r="I1" s="80" t="s">
        <v>730</v>
      </c>
      <c r="J1" s="1" t="s">
        <v>177</v>
      </c>
      <c r="K1" s="1" t="s">
        <v>176</v>
      </c>
      <c r="L1" s="29">
        <f>ScoreboardNCAA!I4</f>
        <v>3</v>
      </c>
      <c r="M1" s="1" t="str">
        <f>ScoreboardNCAA!B2</f>
        <v>Goldenrod City</v>
      </c>
      <c r="N1" s="1">
        <f>ScoreboardNCAA!F6</f>
        <v>0</v>
      </c>
      <c r="O1" s="1">
        <f>ScoreboardNCAA!N6</f>
        <v>4</v>
      </c>
      <c r="P1" s="10" t="str">
        <f>ScoreboardNCAA!N2</f>
        <v>Cianwood City</v>
      </c>
      <c r="Q1" s="28">
        <f>ScoreboardNCAA!M4</f>
        <v>1</v>
      </c>
      <c r="R1" s="1" t="str">
        <f>IF(N1&gt;=O1,CONCATENATE("[",COUNTA(ScoreboardNCAA!B6:E10),"-",COUNTA(ScoreboardNCAA!Q6:T10),"]"),CONCATENATE("[",COUNTA(ScoreboardNCAA!Q6:T10),"-",COUNTA(ScoreboardNCAA!B6:E10),"]"))</f>
        <v>[2-0]</v>
      </c>
    </row>
    <row r="2" spans="1:18" x14ac:dyDescent="0.35">
      <c r="A2">
        <f>(F2/G2)</f>
        <v>1.2307692307692308</v>
      </c>
      <c r="C2">
        <v>1</v>
      </c>
      <c r="D2" s="80">
        <v>11</v>
      </c>
      <c r="E2" s="1" t="s">
        <v>57</v>
      </c>
      <c r="F2" s="80">
        <v>16</v>
      </c>
      <c r="G2" s="63">
        <v>13</v>
      </c>
      <c r="H2" s="46" t="s">
        <v>58</v>
      </c>
      <c r="J2" t="s">
        <v>190</v>
      </c>
    </row>
    <row r="3" spans="1:18" x14ac:dyDescent="0.35">
      <c r="A3">
        <f t="shared" ref="A3:A66" si="0">(F3/G3)</f>
        <v>2.1666666666666665</v>
      </c>
      <c r="C3">
        <v>2</v>
      </c>
      <c r="D3" s="80">
        <v>13</v>
      </c>
      <c r="E3" s="1" t="s">
        <v>47</v>
      </c>
      <c r="F3" s="80">
        <v>26</v>
      </c>
      <c r="G3" s="63">
        <v>12</v>
      </c>
      <c r="H3" s="46" t="s">
        <v>52</v>
      </c>
      <c r="J3" t="s">
        <v>334</v>
      </c>
    </row>
    <row r="4" spans="1:18" x14ac:dyDescent="0.35">
      <c r="A4">
        <f t="shared" si="0"/>
        <v>1.05</v>
      </c>
      <c r="C4">
        <v>3</v>
      </c>
      <c r="E4" s="1" t="s">
        <v>300</v>
      </c>
      <c r="F4" s="80">
        <v>21</v>
      </c>
      <c r="G4" s="63">
        <v>20</v>
      </c>
      <c r="H4" s="46" t="s">
        <v>145</v>
      </c>
      <c r="J4" t="s">
        <v>199</v>
      </c>
      <c r="K4" s="14" t="s">
        <v>743</v>
      </c>
    </row>
    <row r="5" spans="1:18" x14ac:dyDescent="0.35">
      <c r="A5">
        <f t="shared" si="0"/>
        <v>1.2307692307692308</v>
      </c>
      <c r="C5">
        <v>4</v>
      </c>
      <c r="E5" s="1" t="s">
        <v>115</v>
      </c>
      <c r="F5" s="80">
        <v>16</v>
      </c>
      <c r="G5" s="63">
        <v>13</v>
      </c>
      <c r="H5" s="46" t="s">
        <v>61</v>
      </c>
      <c r="I5" s="63">
        <v>25</v>
      </c>
      <c r="J5" t="s">
        <v>191</v>
      </c>
    </row>
    <row r="6" spans="1:18" x14ac:dyDescent="0.35">
      <c r="A6">
        <f t="shared" si="0"/>
        <v>1.0714285714285714</v>
      </c>
      <c r="C6">
        <v>5</v>
      </c>
      <c r="D6" s="80">
        <v>19</v>
      </c>
      <c r="E6" s="1" t="s">
        <v>74</v>
      </c>
      <c r="F6" s="80">
        <v>15</v>
      </c>
      <c r="G6" s="63">
        <v>14</v>
      </c>
      <c r="H6" s="46" t="s">
        <v>75</v>
      </c>
      <c r="J6" t="s">
        <v>179</v>
      </c>
    </row>
    <row r="7" spans="1:18" x14ac:dyDescent="0.35">
      <c r="A7">
        <f t="shared" si="0"/>
        <v>1.2857142857142858</v>
      </c>
      <c r="C7">
        <v>6</v>
      </c>
      <c r="E7" s="1" t="s">
        <v>118</v>
      </c>
      <c r="F7" s="80">
        <v>18</v>
      </c>
      <c r="G7" s="63">
        <v>14</v>
      </c>
      <c r="H7" s="46" t="s">
        <v>117</v>
      </c>
      <c r="J7" t="s">
        <v>337</v>
      </c>
    </row>
    <row r="8" spans="1:18" x14ac:dyDescent="0.35">
      <c r="A8">
        <f t="shared" si="0"/>
        <v>1.1000000000000001</v>
      </c>
      <c r="C8">
        <v>7</v>
      </c>
      <c r="E8" s="1" t="s">
        <v>1859</v>
      </c>
      <c r="F8" s="80">
        <v>11</v>
      </c>
      <c r="G8" s="63">
        <v>10</v>
      </c>
      <c r="H8" s="46" t="s">
        <v>46</v>
      </c>
      <c r="I8" s="63">
        <v>10</v>
      </c>
      <c r="J8" t="s">
        <v>291</v>
      </c>
    </row>
    <row r="9" spans="1:18" x14ac:dyDescent="0.35">
      <c r="A9">
        <f t="shared" si="0"/>
        <v>1.1538461538461537</v>
      </c>
      <c r="C9">
        <v>8</v>
      </c>
      <c r="D9" s="80">
        <v>15</v>
      </c>
      <c r="E9" s="1" t="s">
        <v>45</v>
      </c>
      <c r="F9" s="80">
        <v>15</v>
      </c>
      <c r="G9" s="63">
        <v>13</v>
      </c>
      <c r="H9" s="46" t="s">
        <v>43</v>
      </c>
      <c r="J9" t="s">
        <v>181</v>
      </c>
    </row>
    <row r="10" spans="1:18" x14ac:dyDescent="0.35">
      <c r="A10">
        <f t="shared" si="0"/>
        <v>1.8</v>
      </c>
      <c r="C10">
        <v>9</v>
      </c>
      <c r="D10" s="80">
        <v>12</v>
      </c>
      <c r="E10" s="1" t="s">
        <v>32</v>
      </c>
      <c r="F10" s="80">
        <v>18</v>
      </c>
      <c r="G10" s="63">
        <v>10</v>
      </c>
      <c r="H10" s="46" t="s">
        <v>30</v>
      </c>
      <c r="J10" t="s">
        <v>191</v>
      </c>
    </row>
    <row r="11" spans="1:18" x14ac:dyDescent="0.35">
      <c r="A11">
        <f t="shared" si="0"/>
        <v>3.6</v>
      </c>
      <c r="C11">
        <v>10</v>
      </c>
      <c r="E11" s="1" t="s">
        <v>64</v>
      </c>
      <c r="F11" s="80">
        <v>18</v>
      </c>
      <c r="G11" s="63">
        <v>5</v>
      </c>
      <c r="H11" s="46" t="s">
        <v>65</v>
      </c>
      <c r="J11" t="s">
        <v>744</v>
      </c>
    </row>
    <row r="12" spans="1:18" x14ac:dyDescent="0.35">
      <c r="A12">
        <f t="shared" si="0"/>
        <v>2.7142857142857144</v>
      </c>
      <c r="C12">
        <v>11</v>
      </c>
      <c r="D12" s="80">
        <v>24</v>
      </c>
      <c r="E12" s="1" t="s">
        <v>31</v>
      </c>
      <c r="F12" s="80">
        <v>19</v>
      </c>
      <c r="G12" s="63">
        <v>7</v>
      </c>
      <c r="H12" s="46" t="s">
        <v>28</v>
      </c>
      <c r="J12" t="s">
        <v>286</v>
      </c>
    </row>
    <row r="13" spans="1:18" x14ac:dyDescent="0.35">
      <c r="A13">
        <f t="shared" si="0"/>
        <v>1.7</v>
      </c>
      <c r="C13">
        <v>12</v>
      </c>
      <c r="E13" s="1" t="s">
        <v>78</v>
      </c>
      <c r="F13" s="80">
        <v>17</v>
      </c>
      <c r="G13" s="63">
        <v>10</v>
      </c>
      <c r="H13" s="46" t="s">
        <v>77</v>
      </c>
      <c r="J13" t="s">
        <v>337</v>
      </c>
    </row>
    <row r="14" spans="1:18" x14ac:dyDescent="0.35">
      <c r="A14">
        <f t="shared" si="0"/>
        <v>1.1333333333333333</v>
      </c>
      <c r="C14">
        <v>13</v>
      </c>
      <c r="D14" s="80">
        <v>7</v>
      </c>
      <c r="E14" s="1" t="s">
        <v>39</v>
      </c>
      <c r="F14" s="80">
        <v>17</v>
      </c>
      <c r="G14" s="63">
        <v>15</v>
      </c>
      <c r="H14" s="46" t="s">
        <v>2011</v>
      </c>
      <c r="J14" t="s">
        <v>574</v>
      </c>
    </row>
    <row r="15" spans="1:18" x14ac:dyDescent="0.35">
      <c r="A15">
        <f t="shared" si="0"/>
        <v>1.6153846153846154</v>
      </c>
      <c r="C15">
        <v>14</v>
      </c>
      <c r="E15" s="1" t="s">
        <v>80</v>
      </c>
      <c r="F15" s="80">
        <v>21</v>
      </c>
      <c r="G15" s="63">
        <v>13</v>
      </c>
      <c r="H15" s="46" t="s">
        <v>73</v>
      </c>
      <c r="J15" t="s">
        <v>465</v>
      </c>
    </row>
    <row r="16" spans="1:18" x14ac:dyDescent="0.35">
      <c r="A16">
        <f t="shared" si="0"/>
        <v>1.6363636363636365</v>
      </c>
      <c r="C16">
        <v>15</v>
      </c>
      <c r="E16" s="1" t="s">
        <v>29</v>
      </c>
      <c r="F16" s="80">
        <v>18</v>
      </c>
      <c r="G16" s="63">
        <v>11</v>
      </c>
      <c r="H16" s="46" t="s">
        <v>292</v>
      </c>
      <c r="J16" t="s">
        <v>337</v>
      </c>
    </row>
    <row r="17" spans="1:11" x14ac:dyDescent="0.35">
      <c r="A17">
        <f t="shared" si="0"/>
        <v>1.4375</v>
      </c>
      <c r="C17">
        <v>16</v>
      </c>
      <c r="D17" s="80">
        <v>14</v>
      </c>
      <c r="E17" s="1" t="s">
        <v>1860</v>
      </c>
      <c r="F17" s="80">
        <v>23</v>
      </c>
      <c r="G17" s="63">
        <v>16</v>
      </c>
      <c r="H17" s="46" t="s">
        <v>22</v>
      </c>
      <c r="J17" t="s">
        <v>358</v>
      </c>
    </row>
    <row r="18" spans="1:11" x14ac:dyDescent="0.35">
      <c r="A18">
        <f t="shared" si="0"/>
        <v>1.6363636363636365</v>
      </c>
      <c r="C18">
        <v>17</v>
      </c>
      <c r="D18" s="80">
        <v>20</v>
      </c>
      <c r="E18" s="1" t="s">
        <v>67</v>
      </c>
      <c r="F18" s="80">
        <v>18</v>
      </c>
      <c r="G18" s="63">
        <v>11</v>
      </c>
      <c r="H18" s="46" t="s">
        <v>71</v>
      </c>
      <c r="J18" t="s">
        <v>296</v>
      </c>
    </row>
    <row r="19" spans="1:11" x14ac:dyDescent="0.35">
      <c r="A19">
        <f t="shared" si="0"/>
        <v>2</v>
      </c>
      <c r="C19">
        <v>18</v>
      </c>
      <c r="E19" s="1" t="s">
        <v>82</v>
      </c>
      <c r="F19" s="80">
        <v>14</v>
      </c>
      <c r="G19" s="63">
        <v>7</v>
      </c>
      <c r="H19" s="46" t="s">
        <v>83</v>
      </c>
      <c r="J19" t="s">
        <v>288</v>
      </c>
    </row>
    <row r="20" spans="1:11" x14ac:dyDescent="0.35">
      <c r="A20">
        <f t="shared" si="0"/>
        <v>5</v>
      </c>
      <c r="C20">
        <v>19</v>
      </c>
      <c r="E20" s="1" t="s">
        <v>42</v>
      </c>
      <c r="F20" s="80">
        <v>30</v>
      </c>
      <c r="G20" s="63">
        <v>6</v>
      </c>
      <c r="H20" s="46" t="s">
        <v>44</v>
      </c>
      <c r="I20" s="63">
        <v>17</v>
      </c>
      <c r="J20" t="s">
        <v>602</v>
      </c>
    </row>
    <row r="21" spans="1:11" x14ac:dyDescent="0.35">
      <c r="A21">
        <f t="shared" si="0"/>
        <v>3.5</v>
      </c>
      <c r="C21">
        <v>20</v>
      </c>
      <c r="E21" s="1" t="s">
        <v>87</v>
      </c>
      <c r="F21" s="80">
        <v>21</v>
      </c>
      <c r="G21" s="63">
        <v>6</v>
      </c>
      <c r="H21" s="46" t="s">
        <v>85</v>
      </c>
      <c r="J21" t="s">
        <v>397</v>
      </c>
    </row>
    <row r="22" spans="1:11" x14ac:dyDescent="0.35">
      <c r="A22">
        <f t="shared" si="0"/>
        <v>1.9285714285714286</v>
      </c>
      <c r="C22">
        <v>21</v>
      </c>
      <c r="E22" s="1" t="s">
        <v>55</v>
      </c>
      <c r="F22" s="80">
        <v>27</v>
      </c>
      <c r="G22" s="63">
        <v>14</v>
      </c>
      <c r="H22" s="46" t="s">
        <v>56</v>
      </c>
      <c r="J22" t="s">
        <v>745</v>
      </c>
      <c r="K22" t="s">
        <v>746</v>
      </c>
    </row>
    <row r="23" spans="1:11" x14ac:dyDescent="0.35">
      <c r="A23">
        <f t="shared" si="0"/>
        <v>11.5</v>
      </c>
      <c r="C23">
        <v>22</v>
      </c>
      <c r="D23" s="80">
        <v>23</v>
      </c>
      <c r="E23" s="1" t="s">
        <v>49</v>
      </c>
      <c r="F23" s="80">
        <v>23</v>
      </c>
      <c r="G23" s="63">
        <v>2</v>
      </c>
      <c r="H23" s="46" t="s">
        <v>50</v>
      </c>
      <c r="J23" t="s">
        <v>451</v>
      </c>
    </row>
    <row r="24" spans="1:11" x14ac:dyDescent="0.35">
      <c r="A24">
        <f t="shared" si="0"/>
        <v>1.5</v>
      </c>
      <c r="C24">
        <v>23</v>
      </c>
      <c r="E24" s="1" t="s">
        <v>62</v>
      </c>
      <c r="F24" s="80">
        <v>21</v>
      </c>
      <c r="G24" s="63">
        <v>14</v>
      </c>
      <c r="H24" s="46" t="s">
        <v>63</v>
      </c>
      <c r="J24" t="s">
        <v>443</v>
      </c>
    </row>
    <row r="25" spans="1:11" x14ac:dyDescent="0.35">
      <c r="A25">
        <f t="shared" si="0"/>
        <v>1.3333333333333333</v>
      </c>
      <c r="C25">
        <v>24</v>
      </c>
      <c r="E25" s="1" t="s">
        <v>51</v>
      </c>
      <c r="F25" s="80">
        <v>12</v>
      </c>
      <c r="G25" s="63">
        <v>9</v>
      </c>
      <c r="H25" s="46" t="s">
        <v>48</v>
      </c>
      <c r="J25" t="s">
        <v>371</v>
      </c>
    </row>
    <row r="26" spans="1:11" x14ac:dyDescent="0.35">
      <c r="A26">
        <f t="shared" si="0"/>
        <v>2.1666666666666665</v>
      </c>
      <c r="C26">
        <v>25</v>
      </c>
      <c r="E26" s="1" t="s">
        <v>70</v>
      </c>
      <c r="F26" s="80">
        <v>13</v>
      </c>
      <c r="G26" s="63">
        <v>6</v>
      </c>
      <c r="H26" s="46" t="s">
        <v>66</v>
      </c>
      <c r="J26" t="s">
        <v>545</v>
      </c>
    </row>
    <row r="27" spans="1:11" x14ac:dyDescent="0.35">
      <c r="A27">
        <f t="shared" si="0"/>
        <v>2.125</v>
      </c>
      <c r="C27">
        <v>26</v>
      </c>
      <c r="E27" s="1" t="s">
        <v>114</v>
      </c>
      <c r="F27" s="80">
        <v>17</v>
      </c>
      <c r="G27" s="63">
        <v>8</v>
      </c>
      <c r="H27" s="46" t="s">
        <v>68</v>
      </c>
      <c r="J27" t="s">
        <v>191</v>
      </c>
    </row>
    <row r="28" spans="1:11" x14ac:dyDescent="0.35">
      <c r="A28">
        <f t="shared" si="0"/>
        <v>2.625</v>
      </c>
      <c r="C28">
        <v>27</v>
      </c>
      <c r="E28" s="1" t="s">
        <v>26</v>
      </c>
      <c r="F28" s="80">
        <v>21</v>
      </c>
      <c r="G28" s="63">
        <v>8</v>
      </c>
      <c r="H28" s="46" t="s">
        <v>25</v>
      </c>
      <c r="I28" s="63">
        <v>18</v>
      </c>
      <c r="J28" t="s">
        <v>397</v>
      </c>
    </row>
    <row r="29" spans="1:11" x14ac:dyDescent="0.35">
      <c r="A29">
        <f t="shared" si="0"/>
        <v>1.5714285714285714</v>
      </c>
      <c r="C29">
        <v>28</v>
      </c>
      <c r="E29" s="1" t="s">
        <v>60</v>
      </c>
      <c r="F29" s="80">
        <v>22</v>
      </c>
      <c r="G29" s="63">
        <v>14</v>
      </c>
      <c r="H29" s="46" t="s">
        <v>59</v>
      </c>
      <c r="J29" t="s">
        <v>289</v>
      </c>
    </row>
    <row r="30" spans="1:11" x14ac:dyDescent="0.35">
      <c r="A30">
        <f t="shared" si="0"/>
        <v>1.1666666666666667</v>
      </c>
      <c r="C30">
        <v>29</v>
      </c>
      <c r="E30" s="1" t="s">
        <v>84</v>
      </c>
      <c r="F30" s="80">
        <v>14</v>
      </c>
      <c r="G30" s="63">
        <v>12</v>
      </c>
      <c r="H30" s="46" t="s">
        <v>88</v>
      </c>
      <c r="J30" t="s">
        <v>301</v>
      </c>
    </row>
    <row r="31" spans="1:11" x14ac:dyDescent="0.35">
      <c r="A31">
        <f t="shared" si="0"/>
        <v>1.8823529411764706</v>
      </c>
      <c r="C31">
        <v>30</v>
      </c>
      <c r="E31" s="1" t="s">
        <v>79</v>
      </c>
      <c r="F31" s="80">
        <v>32</v>
      </c>
      <c r="G31" s="63">
        <v>17</v>
      </c>
      <c r="H31" s="46" t="s">
        <v>76</v>
      </c>
      <c r="J31" t="s">
        <v>747</v>
      </c>
      <c r="K31" t="s">
        <v>933</v>
      </c>
    </row>
    <row r="32" spans="1:11" x14ac:dyDescent="0.35">
      <c r="A32">
        <f t="shared" si="0"/>
        <v>1.4545454545454546</v>
      </c>
      <c r="C32">
        <v>31</v>
      </c>
      <c r="D32" s="80">
        <v>22</v>
      </c>
      <c r="E32" s="1" t="s">
        <v>34</v>
      </c>
      <c r="F32" s="80">
        <v>16</v>
      </c>
      <c r="G32" s="63">
        <v>11</v>
      </c>
      <c r="H32" s="46" t="s">
        <v>33</v>
      </c>
      <c r="J32" t="s">
        <v>331</v>
      </c>
    </row>
    <row r="33" spans="1:11" x14ac:dyDescent="0.35">
      <c r="A33">
        <f t="shared" si="0"/>
        <v>1.0526315789473684</v>
      </c>
      <c r="C33">
        <v>32</v>
      </c>
      <c r="D33" s="80">
        <v>21</v>
      </c>
      <c r="E33" s="1" t="s">
        <v>40</v>
      </c>
      <c r="F33" s="80">
        <v>20</v>
      </c>
      <c r="G33" s="63">
        <v>19</v>
      </c>
      <c r="H33" s="46" t="s">
        <v>35</v>
      </c>
      <c r="I33" s="63">
        <v>16</v>
      </c>
      <c r="J33" t="s">
        <v>750</v>
      </c>
      <c r="K33" t="s">
        <v>749</v>
      </c>
    </row>
    <row r="34" spans="1:11" x14ac:dyDescent="0.35">
      <c r="A34">
        <f t="shared" si="0"/>
        <v>1.1000000000000001</v>
      </c>
      <c r="C34">
        <v>33</v>
      </c>
      <c r="D34" s="80">
        <v>9</v>
      </c>
      <c r="E34" s="1" t="s">
        <v>24</v>
      </c>
      <c r="F34" s="80">
        <v>22</v>
      </c>
      <c r="G34" s="63">
        <v>20</v>
      </c>
      <c r="H34" s="46" t="s">
        <v>23</v>
      </c>
      <c r="J34" t="s">
        <v>512</v>
      </c>
      <c r="K34" t="s">
        <v>751</v>
      </c>
    </row>
    <row r="35" spans="1:11" x14ac:dyDescent="0.35">
      <c r="A35">
        <f t="shared" si="0"/>
        <v>2.75</v>
      </c>
      <c r="C35">
        <v>34</v>
      </c>
      <c r="D35" s="80">
        <v>8</v>
      </c>
      <c r="E35" s="1" t="s">
        <v>41</v>
      </c>
      <c r="F35" s="80">
        <v>22</v>
      </c>
      <c r="G35" s="63">
        <v>8</v>
      </c>
      <c r="H35" s="46" t="s">
        <v>1858</v>
      </c>
      <c r="J35" t="s">
        <v>286</v>
      </c>
    </row>
    <row r="36" spans="1:11" x14ac:dyDescent="0.35">
      <c r="A36">
        <f t="shared" si="0"/>
        <v>1.4166666666666667</v>
      </c>
      <c r="C36">
        <v>35</v>
      </c>
      <c r="E36" s="1" t="s">
        <v>36</v>
      </c>
      <c r="F36" s="80">
        <v>17</v>
      </c>
      <c r="G36" s="63">
        <v>12</v>
      </c>
      <c r="H36" s="46" t="s">
        <v>38</v>
      </c>
      <c r="I36" s="63">
        <v>6</v>
      </c>
      <c r="J36" t="s">
        <v>450</v>
      </c>
    </row>
    <row r="37" spans="1:11" x14ac:dyDescent="0.35">
      <c r="A37">
        <f t="shared" si="0"/>
        <v>2.1538461538461537</v>
      </c>
      <c r="C37">
        <v>36</v>
      </c>
      <c r="D37" s="80">
        <v>5</v>
      </c>
      <c r="E37" s="1" t="s">
        <v>53</v>
      </c>
      <c r="F37" s="80">
        <v>28</v>
      </c>
      <c r="G37" s="63">
        <v>13</v>
      </c>
      <c r="H37" s="46" t="s">
        <v>54</v>
      </c>
      <c r="J37" t="s">
        <v>301</v>
      </c>
    </row>
    <row r="38" spans="1:11" x14ac:dyDescent="0.35">
      <c r="A38">
        <f t="shared" si="0"/>
        <v>1.1428571428571428</v>
      </c>
      <c r="C38">
        <v>37</v>
      </c>
      <c r="E38" s="1" t="s">
        <v>37</v>
      </c>
      <c r="F38" s="80">
        <v>24</v>
      </c>
      <c r="G38" s="63">
        <v>21</v>
      </c>
      <c r="H38" s="46" t="s">
        <v>900</v>
      </c>
      <c r="I38" s="63">
        <v>3</v>
      </c>
      <c r="J38" t="s">
        <v>471</v>
      </c>
      <c r="K38" t="s">
        <v>752</v>
      </c>
    </row>
    <row r="39" spans="1:11" x14ac:dyDescent="0.35">
      <c r="A39">
        <f t="shared" si="0"/>
        <v>1.4736842105263157</v>
      </c>
      <c r="C39">
        <v>38</v>
      </c>
      <c r="D39" s="80">
        <v>2</v>
      </c>
      <c r="E39" s="1" t="s">
        <v>119</v>
      </c>
      <c r="F39" s="80">
        <v>28</v>
      </c>
      <c r="G39" s="63">
        <v>19</v>
      </c>
      <c r="H39" s="46" t="s">
        <v>27</v>
      </c>
      <c r="J39" t="s">
        <v>621</v>
      </c>
      <c r="K39" t="s">
        <v>753</v>
      </c>
    </row>
    <row r="40" spans="1:11" x14ac:dyDescent="0.35">
      <c r="A40">
        <f t="shared" si="0"/>
        <v>2.7142857142857144</v>
      </c>
      <c r="C40">
        <v>39</v>
      </c>
      <c r="D40" s="80">
        <v>1</v>
      </c>
      <c r="E40" s="1" t="s">
        <v>69</v>
      </c>
      <c r="F40" s="80">
        <v>19</v>
      </c>
      <c r="G40" s="63">
        <v>7</v>
      </c>
      <c r="H40" s="46" t="s">
        <v>72</v>
      </c>
      <c r="J40" t="s">
        <v>331</v>
      </c>
    </row>
    <row r="41" spans="1:11" ht="15" thickBot="1" x14ac:dyDescent="0.4">
      <c r="A41">
        <f t="shared" si="0"/>
        <v>1.0588235294117647</v>
      </c>
      <c r="C41" s="12">
        <v>40</v>
      </c>
      <c r="D41" s="55"/>
      <c r="E41" s="44" t="s">
        <v>81</v>
      </c>
      <c r="F41" s="55">
        <v>18</v>
      </c>
      <c r="G41" s="56">
        <v>17</v>
      </c>
      <c r="H41" s="57" t="s">
        <v>86</v>
      </c>
      <c r="I41" s="56">
        <v>4</v>
      </c>
      <c r="J41" s="12" t="s">
        <v>290</v>
      </c>
      <c r="K41" s="12"/>
    </row>
    <row r="42" spans="1:11" x14ac:dyDescent="0.35">
      <c r="A42">
        <f t="shared" si="0"/>
        <v>1.2105263157894737</v>
      </c>
      <c r="C42" s="14">
        <v>1</v>
      </c>
      <c r="E42" s="1" t="s">
        <v>50</v>
      </c>
      <c r="F42" s="80">
        <v>23</v>
      </c>
      <c r="G42" s="63">
        <v>19</v>
      </c>
      <c r="H42" s="46" t="s">
        <v>47</v>
      </c>
      <c r="I42" s="63">
        <v>19</v>
      </c>
      <c r="J42" s="14" t="s">
        <v>507</v>
      </c>
    </row>
    <row r="43" spans="1:11" x14ac:dyDescent="0.35">
      <c r="A43">
        <f t="shared" si="0"/>
        <v>1.5833333333333333</v>
      </c>
      <c r="C43" s="14">
        <v>2</v>
      </c>
      <c r="E43" s="1" t="s">
        <v>44</v>
      </c>
      <c r="F43" s="80">
        <v>19</v>
      </c>
      <c r="G43" s="63">
        <v>12</v>
      </c>
      <c r="H43" s="46" t="s">
        <v>115</v>
      </c>
      <c r="J43" s="14" t="s">
        <v>299</v>
      </c>
    </row>
    <row r="44" spans="1:11" x14ac:dyDescent="0.35">
      <c r="A44">
        <f t="shared" si="0"/>
        <v>1.8571428571428572</v>
      </c>
      <c r="C44" s="14">
        <v>3</v>
      </c>
      <c r="E44" s="1" t="s">
        <v>30</v>
      </c>
      <c r="F44" s="80">
        <v>13</v>
      </c>
      <c r="G44" s="63">
        <v>7</v>
      </c>
      <c r="H44" s="46" t="s">
        <v>85</v>
      </c>
      <c r="J44" s="14" t="s">
        <v>360</v>
      </c>
    </row>
    <row r="45" spans="1:11" x14ac:dyDescent="0.35">
      <c r="A45">
        <f t="shared" si="0"/>
        <v>1.5</v>
      </c>
      <c r="C45" s="14">
        <v>4</v>
      </c>
      <c r="E45" s="1" t="s">
        <v>65</v>
      </c>
      <c r="F45" s="80">
        <v>15</v>
      </c>
      <c r="G45" s="63">
        <v>10</v>
      </c>
      <c r="H45" s="46" t="s">
        <v>45</v>
      </c>
      <c r="J45" s="14" t="s">
        <v>297</v>
      </c>
    </row>
    <row r="46" spans="1:11" x14ac:dyDescent="0.35">
      <c r="A46">
        <f t="shared" si="0"/>
        <v>2.25</v>
      </c>
      <c r="C46" s="14">
        <v>5</v>
      </c>
      <c r="E46" s="1" t="s">
        <v>55</v>
      </c>
      <c r="F46" s="80">
        <v>18</v>
      </c>
      <c r="G46" s="63">
        <v>8</v>
      </c>
      <c r="H46" s="46" t="s">
        <v>54</v>
      </c>
      <c r="J46" s="14" t="s">
        <v>337</v>
      </c>
    </row>
    <row r="47" spans="1:11" x14ac:dyDescent="0.35">
      <c r="A47">
        <f t="shared" si="0"/>
        <v>1.0454545454545454</v>
      </c>
      <c r="C47" s="14">
        <v>6</v>
      </c>
      <c r="D47" s="80">
        <v>11</v>
      </c>
      <c r="E47" s="1" t="s">
        <v>53</v>
      </c>
      <c r="F47" s="80">
        <v>23</v>
      </c>
      <c r="G47" s="63">
        <v>22</v>
      </c>
      <c r="H47" s="46" t="s">
        <v>56</v>
      </c>
      <c r="J47" s="14" t="s">
        <v>472</v>
      </c>
      <c r="K47" t="s">
        <v>774</v>
      </c>
    </row>
    <row r="48" spans="1:11" x14ac:dyDescent="0.35">
      <c r="A48">
        <f t="shared" si="0"/>
        <v>1.0666666666666667</v>
      </c>
      <c r="C48" s="14">
        <v>7</v>
      </c>
      <c r="E48" s="1" t="s">
        <v>82</v>
      </c>
      <c r="F48" s="80">
        <v>16</v>
      </c>
      <c r="G48" s="63">
        <v>15</v>
      </c>
      <c r="H48" s="46" t="s">
        <v>28</v>
      </c>
      <c r="J48" s="14" t="s">
        <v>179</v>
      </c>
      <c r="K48" t="s">
        <v>775</v>
      </c>
    </row>
    <row r="49" spans="1:11" x14ac:dyDescent="0.35">
      <c r="A49">
        <f t="shared" si="0"/>
        <v>1.7777777777777777</v>
      </c>
      <c r="C49" s="14">
        <v>8</v>
      </c>
      <c r="E49" s="1" t="s">
        <v>59</v>
      </c>
      <c r="F49" s="80">
        <v>16</v>
      </c>
      <c r="G49" s="63">
        <v>9</v>
      </c>
      <c r="H49" s="46" t="s">
        <v>1858</v>
      </c>
      <c r="J49" s="14" t="s">
        <v>450</v>
      </c>
    </row>
    <row r="50" spans="1:11" x14ac:dyDescent="0.35">
      <c r="A50">
        <f t="shared" si="0"/>
        <v>1.1052631578947369</v>
      </c>
      <c r="C50" s="14">
        <v>9</v>
      </c>
      <c r="D50" s="80">
        <v>5</v>
      </c>
      <c r="E50" s="1" t="s">
        <v>37</v>
      </c>
      <c r="F50" s="80">
        <v>21</v>
      </c>
      <c r="G50" s="63">
        <v>19</v>
      </c>
      <c r="H50" s="46" t="s">
        <v>68</v>
      </c>
      <c r="J50" s="14" t="s">
        <v>606</v>
      </c>
    </row>
    <row r="51" spans="1:11" x14ac:dyDescent="0.35">
      <c r="A51">
        <f t="shared" si="0"/>
        <v>2.5454545454545454</v>
      </c>
      <c r="C51" s="14">
        <v>10</v>
      </c>
      <c r="D51" s="80">
        <v>4</v>
      </c>
      <c r="E51" s="1" t="s">
        <v>49</v>
      </c>
      <c r="F51" s="80">
        <v>28</v>
      </c>
      <c r="G51" s="63">
        <v>11</v>
      </c>
      <c r="H51" s="46" t="s">
        <v>52</v>
      </c>
      <c r="J51" s="14" t="s">
        <v>290</v>
      </c>
      <c r="K51" t="s">
        <v>776</v>
      </c>
    </row>
    <row r="52" spans="1:11" x14ac:dyDescent="0.35">
      <c r="A52">
        <f t="shared" si="0"/>
        <v>1.3846153846153846</v>
      </c>
      <c r="C52" s="14">
        <v>11</v>
      </c>
      <c r="E52" s="1" t="s">
        <v>292</v>
      </c>
      <c r="F52" s="80">
        <v>18</v>
      </c>
      <c r="G52" s="63">
        <v>13</v>
      </c>
      <c r="H52" s="46" t="s">
        <v>81</v>
      </c>
      <c r="I52" s="63">
        <v>13</v>
      </c>
      <c r="J52" s="14" t="s">
        <v>332</v>
      </c>
    </row>
    <row r="53" spans="1:11" x14ac:dyDescent="0.35">
      <c r="A53">
        <f t="shared" si="0"/>
        <v>1.1875</v>
      </c>
      <c r="C53" s="14">
        <v>12</v>
      </c>
      <c r="D53" s="80">
        <v>25</v>
      </c>
      <c r="E53" s="1" t="s">
        <v>24</v>
      </c>
      <c r="F53" s="80">
        <v>19</v>
      </c>
      <c r="G53" s="63">
        <v>16</v>
      </c>
      <c r="H53" s="46" t="s">
        <v>76</v>
      </c>
      <c r="J53" s="14" t="s">
        <v>443</v>
      </c>
    </row>
    <row r="54" spans="1:11" x14ac:dyDescent="0.35">
      <c r="A54">
        <f t="shared" si="0"/>
        <v>1.3333333333333333</v>
      </c>
      <c r="C54" s="14">
        <v>13</v>
      </c>
      <c r="E54" s="1" t="s">
        <v>77</v>
      </c>
      <c r="F54" s="80">
        <v>12</v>
      </c>
      <c r="G54" s="63">
        <v>9</v>
      </c>
      <c r="H54" s="46" t="s">
        <v>25</v>
      </c>
      <c r="J54" s="14" t="s">
        <v>331</v>
      </c>
    </row>
    <row r="55" spans="1:11" x14ac:dyDescent="0.35">
      <c r="A55">
        <f t="shared" si="0"/>
        <v>2.5</v>
      </c>
      <c r="C55" s="14">
        <v>14</v>
      </c>
      <c r="E55" s="1" t="s">
        <v>35</v>
      </c>
      <c r="F55" s="80">
        <v>25</v>
      </c>
      <c r="G55" s="63">
        <v>10</v>
      </c>
      <c r="H55" s="46" t="s">
        <v>72</v>
      </c>
      <c r="J55" s="14" t="s">
        <v>290</v>
      </c>
    </row>
    <row r="56" spans="1:11" x14ac:dyDescent="0.35">
      <c r="A56">
        <f t="shared" si="0"/>
        <v>1.125</v>
      </c>
      <c r="C56" s="14">
        <v>15</v>
      </c>
      <c r="E56" s="1" t="s">
        <v>300</v>
      </c>
      <c r="F56" s="80">
        <v>9</v>
      </c>
      <c r="G56" s="63">
        <v>8</v>
      </c>
      <c r="H56" s="46" t="s">
        <v>117</v>
      </c>
      <c r="J56" s="14" t="s">
        <v>295</v>
      </c>
    </row>
    <row r="57" spans="1:11" x14ac:dyDescent="0.35">
      <c r="A57">
        <f t="shared" si="0"/>
        <v>1.3333333333333333</v>
      </c>
      <c r="C57" s="14">
        <v>16</v>
      </c>
      <c r="E57" s="1" t="s">
        <v>46</v>
      </c>
      <c r="F57" s="80">
        <v>16</v>
      </c>
      <c r="G57" s="63">
        <v>12</v>
      </c>
      <c r="H57" s="46" t="s">
        <v>63</v>
      </c>
      <c r="J57" s="14" t="s">
        <v>194</v>
      </c>
      <c r="K57" t="s">
        <v>777</v>
      </c>
    </row>
    <row r="58" spans="1:11" x14ac:dyDescent="0.35">
      <c r="A58">
        <f t="shared" si="0"/>
        <v>1.1000000000000001</v>
      </c>
      <c r="C58" s="14">
        <v>17</v>
      </c>
      <c r="E58" s="1" t="s">
        <v>22</v>
      </c>
      <c r="F58" s="80">
        <v>11</v>
      </c>
      <c r="G58" s="63">
        <v>10</v>
      </c>
      <c r="H58" s="46" t="s">
        <v>73</v>
      </c>
      <c r="J58" s="14" t="s">
        <v>181</v>
      </c>
    </row>
    <row r="59" spans="1:11" x14ac:dyDescent="0.35">
      <c r="A59">
        <f t="shared" si="0"/>
        <v>1.1875</v>
      </c>
      <c r="C59" s="14">
        <v>18</v>
      </c>
      <c r="E59" s="1" t="s">
        <v>145</v>
      </c>
      <c r="F59" s="80">
        <v>19</v>
      </c>
      <c r="G59" s="63">
        <v>16</v>
      </c>
      <c r="H59" s="46" t="s">
        <v>118</v>
      </c>
      <c r="J59" s="14" t="s">
        <v>289</v>
      </c>
      <c r="K59" t="s">
        <v>778</v>
      </c>
    </row>
    <row r="60" spans="1:11" x14ac:dyDescent="0.35">
      <c r="A60">
        <f t="shared" si="0"/>
        <v>2.875</v>
      </c>
      <c r="C60" s="14">
        <v>19</v>
      </c>
      <c r="E60" s="1" t="s">
        <v>39</v>
      </c>
      <c r="F60" s="80">
        <v>23</v>
      </c>
      <c r="G60" s="63">
        <v>8</v>
      </c>
      <c r="H60" s="46" t="s">
        <v>71</v>
      </c>
      <c r="J60" s="14" t="s">
        <v>360</v>
      </c>
    </row>
    <row r="61" spans="1:11" x14ac:dyDescent="0.35">
      <c r="A61">
        <f t="shared" si="0"/>
        <v>1.6923076923076923</v>
      </c>
      <c r="C61" s="14">
        <v>20</v>
      </c>
      <c r="D61" s="80">
        <v>1</v>
      </c>
      <c r="E61" s="1" t="s">
        <v>42</v>
      </c>
      <c r="F61" s="80">
        <v>22</v>
      </c>
      <c r="G61" s="63">
        <v>13</v>
      </c>
      <c r="H61" s="46" t="s">
        <v>61</v>
      </c>
      <c r="J61" s="14" t="s">
        <v>443</v>
      </c>
    </row>
    <row r="62" spans="1:11" x14ac:dyDescent="0.35">
      <c r="A62">
        <f t="shared" si="0"/>
        <v>1.4545454545454546</v>
      </c>
      <c r="C62" s="14">
        <v>21</v>
      </c>
      <c r="E62" s="1" t="s">
        <v>27</v>
      </c>
      <c r="F62" s="80">
        <v>16</v>
      </c>
      <c r="G62" s="63">
        <v>11</v>
      </c>
      <c r="H62" s="46" t="s">
        <v>88</v>
      </c>
      <c r="J62" s="14" t="s">
        <v>360</v>
      </c>
      <c r="K62" t="s">
        <v>779</v>
      </c>
    </row>
    <row r="63" spans="1:11" x14ac:dyDescent="0.35">
      <c r="A63">
        <f t="shared" si="0"/>
        <v>1.1333333333333333</v>
      </c>
      <c r="C63" s="14">
        <v>22</v>
      </c>
      <c r="E63" s="1" t="s">
        <v>66</v>
      </c>
      <c r="F63" s="80">
        <v>17</v>
      </c>
      <c r="G63" s="63">
        <v>15</v>
      </c>
      <c r="H63" s="46" t="s">
        <v>38</v>
      </c>
      <c r="J63" s="14" t="s">
        <v>347</v>
      </c>
    </row>
    <row r="64" spans="1:11" x14ac:dyDescent="0.35">
      <c r="A64">
        <f t="shared" si="0"/>
        <v>1.1538461538461537</v>
      </c>
      <c r="C64" s="14">
        <v>23</v>
      </c>
      <c r="D64" s="80">
        <v>8</v>
      </c>
      <c r="E64" s="1" t="s">
        <v>34</v>
      </c>
      <c r="F64" s="80">
        <v>15</v>
      </c>
      <c r="G64" s="63">
        <v>13</v>
      </c>
      <c r="H64" s="46" t="s">
        <v>75</v>
      </c>
      <c r="J64" s="14" t="s">
        <v>294</v>
      </c>
    </row>
    <row r="65" spans="1:10" x14ac:dyDescent="0.35">
      <c r="A65">
        <f t="shared" si="0"/>
        <v>1.2857142857142858</v>
      </c>
      <c r="C65" s="14">
        <v>24</v>
      </c>
      <c r="D65" s="80">
        <v>24</v>
      </c>
      <c r="E65" s="1" t="s">
        <v>31</v>
      </c>
      <c r="F65" s="80">
        <v>18</v>
      </c>
      <c r="G65" s="63">
        <v>14</v>
      </c>
      <c r="H65" s="46" t="s">
        <v>83</v>
      </c>
      <c r="J65" s="14" t="s">
        <v>488</v>
      </c>
    </row>
    <row r="66" spans="1:10" x14ac:dyDescent="0.35">
      <c r="A66">
        <f t="shared" si="0"/>
        <v>2.6</v>
      </c>
      <c r="C66" s="14">
        <v>25</v>
      </c>
      <c r="E66" s="1" t="s">
        <v>58</v>
      </c>
      <c r="F66" s="80">
        <v>26</v>
      </c>
      <c r="G66" s="63">
        <v>10</v>
      </c>
      <c r="H66" s="46" t="s">
        <v>51</v>
      </c>
      <c r="I66" s="63">
        <v>22</v>
      </c>
      <c r="J66" s="14" t="s">
        <v>780</v>
      </c>
    </row>
    <row r="67" spans="1:10" x14ac:dyDescent="0.35">
      <c r="A67">
        <f t="shared" ref="A67:A130" si="1">(F67/G67)</f>
        <v>1.4</v>
      </c>
      <c r="C67" s="14">
        <v>26</v>
      </c>
      <c r="D67" s="80">
        <v>18</v>
      </c>
      <c r="E67" s="1" t="s">
        <v>67</v>
      </c>
      <c r="F67" s="80">
        <v>14</v>
      </c>
      <c r="G67" s="63">
        <v>10</v>
      </c>
      <c r="H67" s="46" t="s">
        <v>2011</v>
      </c>
      <c r="J67" s="14" t="s">
        <v>400</v>
      </c>
    </row>
    <row r="68" spans="1:10" x14ac:dyDescent="0.35">
      <c r="A68">
        <f t="shared" si="1"/>
        <v>1.7777777777777777</v>
      </c>
      <c r="C68" s="14">
        <v>27</v>
      </c>
      <c r="E68" s="1" t="s">
        <v>57</v>
      </c>
      <c r="F68" s="80">
        <v>16</v>
      </c>
      <c r="G68" s="63">
        <v>9</v>
      </c>
      <c r="H68" s="46" t="s">
        <v>48</v>
      </c>
      <c r="J68" s="14" t="s">
        <v>337</v>
      </c>
    </row>
    <row r="69" spans="1:10" x14ac:dyDescent="0.35">
      <c r="A69">
        <f t="shared" si="1"/>
        <v>2.875</v>
      </c>
      <c r="C69" s="14">
        <v>28</v>
      </c>
      <c r="E69" s="1" t="s">
        <v>43</v>
      </c>
      <c r="F69" s="80">
        <v>23</v>
      </c>
      <c r="G69" s="63">
        <v>8</v>
      </c>
      <c r="H69" s="46" t="s">
        <v>64</v>
      </c>
      <c r="J69" s="14" t="s">
        <v>465</v>
      </c>
    </row>
    <row r="70" spans="1:10" x14ac:dyDescent="0.35">
      <c r="A70">
        <f t="shared" si="1"/>
        <v>1.1333333333333333</v>
      </c>
      <c r="C70" s="14">
        <v>29</v>
      </c>
      <c r="D70" s="80">
        <v>7</v>
      </c>
      <c r="E70" s="1" t="s">
        <v>79</v>
      </c>
      <c r="F70" s="80">
        <v>17</v>
      </c>
      <c r="G70" s="63">
        <v>15</v>
      </c>
      <c r="H70" s="46" t="s">
        <v>23</v>
      </c>
      <c r="J70" s="14" t="s">
        <v>423</v>
      </c>
    </row>
    <row r="71" spans="1:10" x14ac:dyDescent="0.35">
      <c r="A71">
        <f t="shared" si="1"/>
        <v>5.5</v>
      </c>
      <c r="C71" s="14">
        <v>30</v>
      </c>
      <c r="D71" s="80">
        <v>23</v>
      </c>
      <c r="E71" s="1" t="s">
        <v>114</v>
      </c>
      <c r="F71" s="80">
        <v>22</v>
      </c>
      <c r="G71" s="63">
        <v>4</v>
      </c>
      <c r="H71" s="46" t="s">
        <v>900</v>
      </c>
      <c r="J71" s="14" t="s">
        <v>451</v>
      </c>
    </row>
    <row r="72" spans="1:10" x14ac:dyDescent="0.35">
      <c r="A72">
        <f t="shared" si="1"/>
        <v>1.7272727272727273</v>
      </c>
      <c r="C72" s="14">
        <v>31</v>
      </c>
      <c r="E72" s="1" t="s">
        <v>74</v>
      </c>
      <c r="F72" s="80">
        <v>19</v>
      </c>
      <c r="G72" s="63">
        <v>11</v>
      </c>
      <c r="H72" s="46" t="s">
        <v>33</v>
      </c>
      <c r="J72" s="14" t="s">
        <v>191</v>
      </c>
    </row>
    <row r="73" spans="1:10" x14ac:dyDescent="0.35">
      <c r="A73">
        <f t="shared" si="1"/>
        <v>1.1111111111111112</v>
      </c>
      <c r="C73" s="14">
        <v>32</v>
      </c>
      <c r="E73" s="1" t="s">
        <v>86</v>
      </c>
      <c r="F73" s="80">
        <v>10</v>
      </c>
      <c r="G73" s="63">
        <v>9</v>
      </c>
      <c r="H73" s="46" t="s">
        <v>29</v>
      </c>
      <c r="J73" s="14" t="s">
        <v>196</v>
      </c>
    </row>
    <row r="74" spans="1:10" x14ac:dyDescent="0.35">
      <c r="A74">
        <f t="shared" si="1"/>
        <v>1.7857142857142858</v>
      </c>
      <c r="C74" s="14">
        <v>33</v>
      </c>
      <c r="D74" s="80">
        <v>2</v>
      </c>
      <c r="E74" s="1" t="s">
        <v>26</v>
      </c>
      <c r="F74" s="80">
        <v>25</v>
      </c>
      <c r="G74" s="63">
        <v>14</v>
      </c>
      <c r="H74" s="46" t="s">
        <v>78</v>
      </c>
      <c r="J74" s="14" t="s">
        <v>504</v>
      </c>
    </row>
    <row r="75" spans="1:10" x14ac:dyDescent="0.35">
      <c r="A75">
        <f t="shared" si="1"/>
        <v>2.6666666666666665</v>
      </c>
      <c r="C75" s="14">
        <v>34</v>
      </c>
      <c r="D75" s="80">
        <v>12</v>
      </c>
      <c r="E75" s="1" t="s">
        <v>119</v>
      </c>
      <c r="F75" s="80">
        <v>16</v>
      </c>
      <c r="G75" s="63">
        <v>6</v>
      </c>
      <c r="H75" s="46" t="s">
        <v>84</v>
      </c>
      <c r="J75" s="14" t="s">
        <v>196</v>
      </c>
    </row>
    <row r="76" spans="1:10" x14ac:dyDescent="0.35">
      <c r="A76">
        <f t="shared" si="1"/>
        <v>2</v>
      </c>
      <c r="C76" s="14">
        <v>35</v>
      </c>
      <c r="D76" s="80">
        <v>9</v>
      </c>
      <c r="E76" s="1" t="s">
        <v>87</v>
      </c>
      <c r="F76" s="80">
        <v>14</v>
      </c>
      <c r="G76" s="63">
        <v>7</v>
      </c>
      <c r="H76" s="46" t="s">
        <v>32</v>
      </c>
      <c r="J76" s="14" t="s">
        <v>360</v>
      </c>
    </row>
    <row r="77" spans="1:10" x14ac:dyDescent="0.35">
      <c r="A77">
        <f t="shared" si="1"/>
        <v>2</v>
      </c>
      <c r="C77" s="14">
        <v>36</v>
      </c>
      <c r="D77" s="80">
        <v>16</v>
      </c>
      <c r="E77" s="1" t="s">
        <v>1860</v>
      </c>
      <c r="F77" s="80">
        <v>20</v>
      </c>
      <c r="G77" s="63">
        <v>10</v>
      </c>
      <c r="H77" s="46" t="s">
        <v>80</v>
      </c>
      <c r="J77" s="14" t="s">
        <v>404</v>
      </c>
    </row>
    <row r="78" spans="1:10" x14ac:dyDescent="0.35">
      <c r="A78">
        <f t="shared" si="1"/>
        <v>2.375</v>
      </c>
      <c r="C78" s="14">
        <v>37</v>
      </c>
      <c r="D78" s="80">
        <v>17</v>
      </c>
      <c r="E78" s="1" t="s">
        <v>41</v>
      </c>
      <c r="F78" s="80">
        <v>19</v>
      </c>
      <c r="G78" s="63">
        <v>8</v>
      </c>
      <c r="H78" s="46" t="s">
        <v>60</v>
      </c>
      <c r="I78" s="63">
        <v>21</v>
      </c>
      <c r="J78" s="14" t="s">
        <v>191</v>
      </c>
    </row>
    <row r="79" spans="1:10" x14ac:dyDescent="0.35">
      <c r="A79">
        <f t="shared" si="1"/>
        <v>2</v>
      </c>
      <c r="C79" s="14">
        <v>38</v>
      </c>
      <c r="D79" s="80">
        <v>6</v>
      </c>
      <c r="E79" s="1" t="s">
        <v>36</v>
      </c>
      <c r="F79" s="80">
        <v>16</v>
      </c>
      <c r="G79" s="63">
        <v>8</v>
      </c>
      <c r="H79" s="46" t="s">
        <v>70</v>
      </c>
      <c r="I79" s="63">
        <v>20</v>
      </c>
      <c r="J79" s="14" t="s">
        <v>190</v>
      </c>
    </row>
    <row r="80" spans="1:10" x14ac:dyDescent="0.35">
      <c r="A80">
        <f t="shared" si="1"/>
        <v>1.4285714285714286</v>
      </c>
      <c r="C80" s="14">
        <v>39</v>
      </c>
      <c r="D80" s="80">
        <v>15</v>
      </c>
      <c r="E80" s="1" t="s">
        <v>62</v>
      </c>
      <c r="F80" s="80">
        <v>20</v>
      </c>
      <c r="G80" s="63">
        <v>14</v>
      </c>
      <c r="H80" s="46" t="s">
        <v>1859</v>
      </c>
      <c r="I80" s="63">
        <v>14</v>
      </c>
      <c r="J80" s="14" t="s">
        <v>360</v>
      </c>
    </row>
    <row r="81" spans="1:11" ht="15" thickBot="1" x14ac:dyDescent="0.4">
      <c r="A81">
        <f t="shared" si="1"/>
        <v>1.0769230769230769</v>
      </c>
      <c r="C81" s="23">
        <v>40</v>
      </c>
      <c r="D81" s="55">
        <v>10</v>
      </c>
      <c r="E81" s="44" t="s">
        <v>69</v>
      </c>
      <c r="F81" s="55">
        <v>14</v>
      </c>
      <c r="G81" s="56">
        <v>13</v>
      </c>
      <c r="H81" s="57" t="s">
        <v>40</v>
      </c>
      <c r="I81" s="56">
        <v>3</v>
      </c>
      <c r="J81" s="23" t="s">
        <v>186</v>
      </c>
      <c r="K81" s="12"/>
    </row>
    <row r="82" spans="1:11" x14ac:dyDescent="0.35">
      <c r="A82">
        <f t="shared" si="1"/>
        <v>1.0833333333333333</v>
      </c>
      <c r="C82" s="14">
        <v>1</v>
      </c>
      <c r="E82" s="1" t="s">
        <v>784</v>
      </c>
      <c r="F82" s="80">
        <v>13</v>
      </c>
      <c r="G82" s="63">
        <v>12</v>
      </c>
      <c r="H82" s="46" t="s">
        <v>796</v>
      </c>
      <c r="J82" s="14" t="s">
        <v>331</v>
      </c>
    </row>
    <row r="83" spans="1:11" x14ac:dyDescent="0.35">
      <c r="A83">
        <f t="shared" si="1"/>
        <v>1.3846153846153846</v>
      </c>
      <c r="C83" s="14">
        <v>2</v>
      </c>
      <c r="E83" s="1" t="s">
        <v>783</v>
      </c>
      <c r="F83" s="80">
        <v>18</v>
      </c>
      <c r="G83" s="63">
        <v>13</v>
      </c>
      <c r="H83" s="46" t="s">
        <v>786</v>
      </c>
      <c r="J83" s="14" t="s">
        <v>186</v>
      </c>
    </row>
    <row r="84" spans="1:11" x14ac:dyDescent="0.35">
      <c r="A84">
        <f t="shared" si="1"/>
        <v>1.8333333333333333</v>
      </c>
      <c r="C84" s="14">
        <v>3</v>
      </c>
      <c r="E84" s="1" t="s">
        <v>793</v>
      </c>
      <c r="F84" s="80">
        <v>11</v>
      </c>
      <c r="G84" s="63">
        <v>6</v>
      </c>
      <c r="H84" s="46" t="s">
        <v>785</v>
      </c>
      <c r="J84" s="14" t="s">
        <v>639</v>
      </c>
    </row>
    <row r="85" spans="1:11" x14ac:dyDescent="0.35">
      <c r="A85">
        <f t="shared" si="1"/>
        <v>1.1111111111111112</v>
      </c>
      <c r="C85" s="14">
        <v>4</v>
      </c>
      <c r="E85" s="1" t="s">
        <v>795</v>
      </c>
      <c r="F85" s="80">
        <v>20</v>
      </c>
      <c r="G85" s="63">
        <v>18</v>
      </c>
      <c r="H85" s="46" t="s">
        <v>908</v>
      </c>
      <c r="J85" s="14" t="s">
        <v>577</v>
      </c>
      <c r="K85" t="s">
        <v>849</v>
      </c>
    </row>
    <row r="86" spans="1:11" x14ac:dyDescent="0.35">
      <c r="A86">
        <f t="shared" si="1"/>
        <v>1.25</v>
      </c>
      <c r="C86" s="14">
        <v>5</v>
      </c>
      <c r="E86" s="1" t="s">
        <v>787</v>
      </c>
      <c r="F86" s="80">
        <v>20</v>
      </c>
      <c r="G86" s="63">
        <v>16</v>
      </c>
      <c r="H86" s="46" t="s">
        <v>909</v>
      </c>
      <c r="J86" s="14" t="s">
        <v>507</v>
      </c>
      <c r="K86" t="s">
        <v>849</v>
      </c>
    </row>
    <row r="87" spans="1:11" x14ac:dyDescent="0.35">
      <c r="A87">
        <f t="shared" si="1"/>
        <v>1.3333333333333333</v>
      </c>
      <c r="C87" s="14">
        <v>6</v>
      </c>
      <c r="E87" s="1" t="s">
        <v>789</v>
      </c>
      <c r="F87" s="80">
        <v>16</v>
      </c>
      <c r="G87" s="63">
        <v>12</v>
      </c>
      <c r="H87" s="46" t="s">
        <v>791</v>
      </c>
      <c r="J87" s="14" t="s">
        <v>186</v>
      </c>
    </row>
    <row r="88" spans="1:11" x14ac:dyDescent="0.35">
      <c r="A88">
        <f t="shared" si="1"/>
        <v>1.8571428571428572</v>
      </c>
      <c r="C88" s="14">
        <v>7</v>
      </c>
      <c r="E88" s="1" t="s">
        <v>792</v>
      </c>
      <c r="F88" s="80">
        <v>13</v>
      </c>
      <c r="G88" s="63">
        <v>7</v>
      </c>
      <c r="H88" s="46" t="s">
        <v>790</v>
      </c>
      <c r="J88" s="14" t="s">
        <v>331</v>
      </c>
    </row>
    <row r="89" spans="1:11" ht="15" thickBot="1" x14ac:dyDescent="0.4">
      <c r="A89">
        <f t="shared" si="1"/>
        <v>1.2941176470588236</v>
      </c>
      <c r="C89" s="23">
        <v>8</v>
      </c>
      <c r="D89" s="55"/>
      <c r="E89" s="44" t="s">
        <v>788</v>
      </c>
      <c r="F89" s="55">
        <v>22</v>
      </c>
      <c r="G89" s="56">
        <v>17</v>
      </c>
      <c r="H89" s="57" t="s">
        <v>794</v>
      </c>
      <c r="I89" s="56"/>
      <c r="J89" s="23" t="s">
        <v>507</v>
      </c>
      <c r="K89" s="12"/>
    </row>
    <row r="90" spans="1:11" x14ac:dyDescent="0.35">
      <c r="A90">
        <f t="shared" si="1"/>
        <v>1.25</v>
      </c>
      <c r="C90" s="14">
        <v>1</v>
      </c>
      <c r="E90" s="1" t="s">
        <v>790</v>
      </c>
      <c r="F90" s="80">
        <v>25</v>
      </c>
      <c r="G90" s="63">
        <v>20</v>
      </c>
      <c r="H90" s="46" t="s">
        <v>791</v>
      </c>
      <c r="J90" s="14" t="s">
        <v>851</v>
      </c>
      <c r="K90" t="s">
        <v>852</v>
      </c>
    </row>
    <row r="91" spans="1:11" x14ac:dyDescent="0.35">
      <c r="A91">
        <f t="shared" si="1"/>
        <v>2</v>
      </c>
      <c r="C91" s="14">
        <v>2</v>
      </c>
      <c r="D91" s="80">
        <v>25</v>
      </c>
      <c r="E91" s="1" t="s">
        <v>783</v>
      </c>
      <c r="F91" s="80">
        <v>16</v>
      </c>
      <c r="G91" s="63">
        <v>8</v>
      </c>
      <c r="H91" s="46" t="s">
        <v>785</v>
      </c>
      <c r="J91" s="14" t="s">
        <v>186</v>
      </c>
    </row>
    <row r="92" spans="1:11" x14ac:dyDescent="0.35">
      <c r="A92">
        <f t="shared" si="1"/>
        <v>2.3333333333333335</v>
      </c>
      <c r="C92" s="14">
        <v>3</v>
      </c>
      <c r="E92" s="1" t="s">
        <v>793</v>
      </c>
      <c r="F92" s="80">
        <v>14</v>
      </c>
      <c r="G92" s="63">
        <v>6</v>
      </c>
      <c r="H92" s="46" t="s">
        <v>786</v>
      </c>
      <c r="J92" s="14" t="s">
        <v>281</v>
      </c>
    </row>
    <row r="93" spans="1:11" x14ac:dyDescent="0.35">
      <c r="A93">
        <f t="shared" si="1"/>
        <v>1.2727272727272727</v>
      </c>
      <c r="C93" s="14">
        <v>4</v>
      </c>
      <c r="E93" s="1" t="s">
        <v>784</v>
      </c>
      <c r="F93" s="80">
        <v>14</v>
      </c>
      <c r="G93" s="63">
        <v>11</v>
      </c>
      <c r="H93" s="46" t="s">
        <v>908</v>
      </c>
      <c r="J93" s="14" t="s">
        <v>488</v>
      </c>
    </row>
    <row r="94" spans="1:11" x14ac:dyDescent="0.35">
      <c r="A94">
        <f t="shared" si="1"/>
        <v>1.0666666666666667</v>
      </c>
      <c r="C94" s="14">
        <v>5</v>
      </c>
      <c r="E94" s="1" t="s">
        <v>909</v>
      </c>
      <c r="F94" s="80">
        <v>16</v>
      </c>
      <c r="G94" s="63">
        <v>15</v>
      </c>
      <c r="H94" s="46" t="s">
        <v>794</v>
      </c>
      <c r="J94" s="14" t="s">
        <v>184</v>
      </c>
      <c r="K94" t="s">
        <v>853</v>
      </c>
    </row>
    <row r="95" spans="1:11" x14ac:dyDescent="0.35">
      <c r="A95">
        <f t="shared" si="1"/>
        <v>1.1111111111111112</v>
      </c>
      <c r="C95" s="14">
        <v>6</v>
      </c>
      <c r="E95" s="1" t="s">
        <v>795</v>
      </c>
      <c r="F95" s="80">
        <v>20</v>
      </c>
      <c r="G95" s="63">
        <v>18</v>
      </c>
      <c r="H95" s="46" t="s">
        <v>796</v>
      </c>
      <c r="J95" s="14" t="s">
        <v>606</v>
      </c>
    </row>
    <row r="96" spans="1:11" x14ac:dyDescent="0.35">
      <c r="A96">
        <f t="shared" si="1"/>
        <v>1.5</v>
      </c>
      <c r="C96" s="14">
        <v>7</v>
      </c>
      <c r="E96" s="1" t="s">
        <v>792</v>
      </c>
      <c r="F96" s="80">
        <v>18</v>
      </c>
      <c r="G96" s="63">
        <v>12</v>
      </c>
      <c r="H96" s="46" t="s">
        <v>789</v>
      </c>
      <c r="J96" s="14" t="s">
        <v>296</v>
      </c>
    </row>
    <row r="97" spans="1:11" ht="15" thickBot="1" x14ac:dyDescent="0.4">
      <c r="A97">
        <f t="shared" si="1"/>
        <v>2.2857142857142856</v>
      </c>
      <c r="C97" s="23">
        <v>8</v>
      </c>
      <c r="D97" s="55"/>
      <c r="E97" s="44" t="s">
        <v>788</v>
      </c>
      <c r="F97" s="55">
        <v>16</v>
      </c>
      <c r="G97" s="56">
        <v>7</v>
      </c>
      <c r="H97" s="57" t="s">
        <v>787</v>
      </c>
      <c r="I97" s="56"/>
      <c r="J97" s="12" t="s">
        <v>201</v>
      </c>
      <c r="K97" s="12"/>
    </row>
    <row r="98" spans="1:11" x14ac:dyDescent="0.35">
      <c r="A98">
        <f t="shared" si="1"/>
        <v>1.0625</v>
      </c>
      <c r="C98" s="14">
        <v>1</v>
      </c>
      <c r="E98" s="1" t="s">
        <v>791</v>
      </c>
      <c r="F98" s="80">
        <v>17</v>
      </c>
      <c r="G98" s="63">
        <v>16</v>
      </c>
      <c r="H98" s="46" t="s">
        <v>908</v>
      </c>
      <c r="J98" s="14" t="s">
        <v>299</v>
      </c>
    </row>
    <row r="99" spans="1:11" x14ac:dyDescent="0.35">
      <c r="A99">
        <f t="shared" si="1"/>
        <v>1.0714285714285714</v>
      </c>
      <c r="C99" s="14">
        <v>2</v>
      </c>
      <c r="E99" s="1" t="s">
        <v>54</v>
      </c>
      <c r="F99" s="80">
        <v>15</v>
      </c>
      <c r="G99" s="63">
        <v>14</v>
      </c>
      <c r="H99" s="46" t="s">
        <v>50</v>
      </c>
      <c r="J99" s="14" t="s">
        <v>369</v>
      </c>
      <c r="K99" t="s">
        <v>866</v>
      </c>
    </row>
    <row r="100" spans="1:11" x14ac:dyDescent="0.35">
      <c r="A100">
        <f t="shared" si="1"/>
        <v>2.2999999999999998</v>
      </c>
      <c r="C100" s="14">
        <v>3</v>
      </c>
      <c r="E100" s="1" t="s">
        <v>1858</v>
      </c>
      <c r="F100" s="80">
        <v>23</v>
      </c>
      <c r="G100" s="63">
        <v>10</v>
      </c>
      <c r="H100" s="46" t="s">
        <v>2011</v>
      </c>
      <c r="J100" s="14" t="s">
        <v>361</v>
      </c>
    </row>
    <row r="101" spans="1:11" x14ac:dyDescent="0.35">
      <c r="A101">
        <f t="shared" si="1"/>
        <v>2.2999999999999998</v>
      </c>
      <c r="C101" s="14">
        <v>4</v>
      </c>
      <c r="E101" s="1" t="s">
        <v>785</v>
      </c>
      <c r="F101" s="80">
        <v>23</v>
      </c>
      <c r="G101" s="63">
        <v>10</v>
      </c>
      <c r="H101" s="46" t="s">
        <v>787</v>
      </c>
      <c r="J101" s="14" t="s">
        <v>337</v>
      </c>
    </row>
    <row r="102" spans="1:11" x14ac:dyDescent="0.35">
      <c r="A102">
        <f t="shared" si="1"/>
        <v>1.1666666666666667</v>
      </c>
      <c r="C102" s="14">
        <v>5</v>
      </c>
      <c r="E102" s="1" t="s">
        <v>63</v>
      </c>
      <c r="F102" s="80">
        <v>14</v>
      </c>
      <c r="G102" s="63">
        <v>12</v>
      </c>
      <c r="H102" s="46" t="s">
        <v>72</v>
      </c>
      <c r="J102" s="14" t="s">
        <v>533</v>
      </c>
      <c r="K102" t="s">
        <v>867</v>
      </c>
    </row>
    <row r="103" spans="1:11" x14ac:dyDescent="0.35">
      <c r="A103">
        <f t="shared" si="1"/>
        <v>1.1428571428571428</v>
      </c>
      <c r="C103" s="14">
        <v>6</v>
      </c>
      <c r="E103" s="1" t="s">
        <v>794</v>
      </c>
      <c r="F103" s="80">
        <v>16</v>
      </c>
      <c r="G103" s="63">
        <v>14</v>
      </c>
      <c r="H103" s="46" t="s">
        <v>786</v>
      </c>
      <c r="J103" s="14" t="s">
        <v>369</v>
      </c>
    </row>
    <row r="104" spans="1:11" x14ac:dyDescent="0.35">
      <c r="A104">
        <f t="shared" si="1"/>
        <v>1.7</v>
      </c>
      <c r="C104" s="14">
        <v>7</v>
      </c>
      <c r="E104" s="1" t="s">
        <v>56</v>
      </c>
      <c r="F104" s="80">
        <v>17</v>
      </c>
      <c r="G104" s="63">
        <v>10</v>
      </c>
      <c r="H104" s="46" t="s">
        <v>52</v>
      </c>
      <c r="J104" s="14" t="s">
        <v>337</v>
      </c>
    </row>
    <row r="105" spans="1:11" x14ac:dyDescent="0.35">
      <c r="A105">
        <f t="shared" si="1"/>
        <v>1.0833333333333333</v>
      </c>
      <c r="C105" s="14">
        <v>8</v>
      </c>
      <c r="D105" s="80">
        <v>18</v>
      </c>
      <c r="E105" s="1" t="s">
        <v>74</v>
      </c>
      <c r="F105" s="80">
        <v>13</v>
      </c>
      <c r="G105" s="63">
        <v>12</v>
      </c>
      <c r="H105" s="46" t="s">
        <v>85</v>
      </c>
      <c r="J105" s="14" t="s">
        <v>353</v>
      </c>
    </row>
    <row r="106" spans="1:11" x14ac:dyDescent="0.35">
      <c r="A106">
        <f t="shared" si="1"/>
        <v>1.1428571428571428</v>
      </c>
      <c r="C106" s="14">
        <v>9</v>
      </c>
      <c r="E106" s="1" t="s">
        <v>71</v>
      </c>
      <c r="F106" s="80">
        <v>8</v>
      </c>
      <c r="G106" s="63">
        <v>7</v>
      </c>
      <c r="H106" s="46" t="s">
        <v>60</v>
      </c>
      <c r="J106" s="14" t="s">
        <v>530</v>
      </c>
    </row>
    <row r="107" spans="1:11" x14ac:dyDescent="0.35">
      <c r="A107">
        <f t="shared" si="1"/>
        <v>1.2</v>
      </c>
      <c r="C107" s="14">
        <v>10</v>
      </c>
      <c r="D107" s="80">
        <v>23</v>
      </c>
      <c r="E107" s="1" t="s">
        <v>792</v>
      </c>
      <c r="F107" s="80">
        <v>18</v>
      </c>
      <c r="G107" s="63">
        <v>15</v>
      </c>
      <c r="H107" s="46" t="s">
        <v>796</v>
      </c>
      <c r="J107" s="14" t="s">
        <v>179</v>
      </c>
    </row>
    <row r="108" spans="1:11" x14ac:dyDescent="0.35">
      <c r="A108">
        <f t="shared" si="1"/>
        <v>1.1818181818181819</v>
      </c>
      <c r="C108" s="14">
        <v>11</v>
      </c>
      <c r="E108" s="1" t="s">
        <v>28</v>
      </c>
      <c r="F108" s="80">
        <v>13</v>
      </c>
      <c r="G108" s="63">
        <v>11</v>
      </c>
      <c r="H108" s="46" t="s">
        <v>23</v>
      </c>
      <c r="J108" s="14" t="s">
        <v>296</v>
      </c>
      <c r="K108" t="s">
        <v>868</v>
      </c>
    </row>
    <row r="109" spans="1:11" x14ac:dyDescent="0.35">
      <c r="A109">
        <f t="shared" si="1"/>
        <v>2.5</v>
      </c>
      <c r="C109" s="14">
        <v>12</v>
      </c>
      <c r="D109" s="80">
        <v>2</v>
      </c>
      <c r="E109" s="1" t="s">
        <v>119</v>
      </c>
      <c r="F109" s="80">
        <v>30</v>
      </c>
      <c r="G109" s="63">
        <v>12</v>
      </c>
      <c r="H109" s="46" t="s">
        <v>25</v>
      </c>
      <c r="J109" s="14" t="s">
        <v>191</v>
      </c>
      <c r="K109" t="s">
        <v>869</v>
      </c>
    </row>
    <row r="110" spans="1:11" x14ac:dyDescent="0.35">
      <c r="A110">
        <f t="shared" si="1"/>
        <v>1.0555555555555556</v>
      </c>
      <c r="C110" s="14">
        <v>13</v>
      </c>
      <c r="E110" s="1" t="s">
        <v>83</v>
      </c>
      <c r="F110" s="80">
        <v>19</v>
      </c>
      <c r="G110" s="63">
        <v>18</v>
      </c>
      <c r="H110" s="46" t="s">
        <v>76</v>
      </c>
      <c r="J110" s="14" t="s">
        <v>621</v>
      </c>
      <c r="K110" t="s">
        <v>870</v>
      </c>
    </row>
    <row r="111" spans="1:11" x14ac:dyDescent="0.35">
      <c r="A111">
        <f t="shared" si="1"/>
        <v>1.0909090909090908</v>
      </c>
      <c r="C111" s="14">
        <v>14</v>
      </c>
      <c r="E111" s="1" t="s">
        <v>86</v>
      </c>
      <c r="F111" s="80">
        <v>12</v>
      </c>
      <c r="G111" s="63">
        <v>11</v>
      </c>
      <c r="H111" s="46" t="s">
        <v>73</v>
      </c>
      <c r="J111" s="14" t="s">
        <v>488</v>
      </c>
    </row>
    <row r="112" spans="1:11" x14ac:dyDescent="0.35">
      <c r="A112">
        <f t="shared" si="1"/>
        <v>1.25</v>
      </c>
      <c r="C112" s="14">
        <v>15</v>
      </c>
      <c r="E112" s="1" t="s">
        <v>300</v>
      </c>
      <c r="F112" s="80">
        <v>15</v>
      </c>
      <c r="G112" s="63">
        <v>12</v>
      </c>
      <c r="H112" s="46" t="s">
        <v>48</v>
      </c>
      <c r="J112" s="14" t="s">
        <v>295</v>
      </c>
    </row>
    <row r="113" spans="1:10" x14ac:dyDescent="0.35">
      <c r="A113">
        <f t="shared" si="1"/>
        <v>1.1666666666666667</v>
      </c>
      <c r="C113" s="14">
        <v>16</v>
      </c>
      <c r="E113" s="1" t="s">
        <v>88</v>
      </c>
      <c r="F113" s="80">
        <v>14</v>
      </c>
      <c r="G113" s="63">
        <v>12</v>
      </c>
      <c r="H113" s="46" t="s">
        <v>78</v>
      </c>
      <c r="J113" s="14" t="s">
        <v>186</v>
      </c>
    </row>
    <row r="114" spans="1:10" x14ac:dyDescent="0.35">
      <c r="A114">
        <f t="shared" si="1"/>
        <v>2.3333333333333335</v>
      </c>
      <c r="C114" s="14">
        <v>17</v>
      </c>
      <c r="D114" s="80">
        <v>19</v>
      </c>
      <c r="E114" s="1" t="s">
        <v>57</v>
      </c>
      <c r="F114" s="80">
        <v>21</v>
      </c>
      <c r="G114" s="63">
        <v>9</v>
      </c>
      <c r="H114" s="46" t="s">
        <v>117</v>
      </c>
      <c r="J114" s="14" t="s">
        <v>360</v>
      </c>
    </row>
    <row r="115" spans="1:10" x14ac:dyDescent="0.35">
      <c r="A115">
        <f t="shared" si="1"/>
        <v>1.2727272727272727</v>
      </c>
      <c r="C115" s="14">
        <v>18</v>
      </c>
      <c r="E115" s="1" t="s">
        <v>68</v>
      </c>
      <c r="F115" s="80">
        <v>14</v>
      </c>
      <c r="G115" s="63">
        <v>11</v>
      </c>
      <c r="H115" s="46" t="s">
        <v>64</v>
      </c>
      <c r="J115" s="14" t="s">
        <v>331</v>
      </c>
    </row>
    <row r="116" spans="1:10" x14ac:dyDescent="0.35">
      <c r="A116">
        <f t="shared" si="1"/>
        <v>2.3076923076923075</v>
      </c>
      <c r="C116" s="14">
        <v>19</v>
      </c>
      <c r="E116" s="1" t="s">
        <v>70</v>
      </c>
      <c r="F116" s="80">
        <v>30</v>
      </c>
      <c r="G116" s="63">
        <v>13</v>
      </c>
      <c r="H116" s="46" t="s">
        <v>61</v>
      </c>
      <c r="J116" s="14" t="s">
        <v>372</v>
      </c>
    </row>
    <row r="117" spans="1:10" x14ac:dyDescent="0.35">
      <c r="A117">
        <f t="shared" si="1"/>
        <v>1.2941176470588236</v>
      </c>
      <c r="C117" s="14">
        <v>20</v>
      </c>
      <c r="D117" s="80">
        <v>10</v>
      </c>
      <c r="E117" s="1" t="s">
        <v>87</v>
      </c>
      <c r="F117" s="80">
        <v>22</v>
      </c>
      <c r="G117" s="63">
        <v>17</v>
      </c>
      <c r="H117" s="46" t="s">
        <v>75</v>
      </c>
      <c r="J117" s="14" t="s">
        <v>526</v>
      </c>
    </row>
    <row r="118" spans="1:10" x14ac:dyDescent="0.35">
      <c r="A118">
        <f t="shared" si="1"/>
        <v>4</v>
      </c>
      <c r="C118" s="14">
        <v>21</v>
      </c>
      <c r="E118" s="1" t="s">
        <v>30</v>
      </c>
      <c r="F118" s="80">
        <v>32</v>
      </c>
      <c r="G118" s="63">
        <v>8</v>
      </c>
      <c r="H118" s="46" t="s">
        <v>33</v>
      </c>
      <c r="J118" s="14" t="s">
        <v>871</v>
      </c>
    </row>
    <row r="119" spans="1:10" x14ac:dyDescent="0.35">
      <c r="A119">
        <f t="shared" si="1"/>
        <v>1.8888888888888888</v>
      </c>
      <c r="C119" s="14">
        <v>22</v>
      </c>
      <c r="E119" s="1" t="s">
        <v>900</v>
      </c>
      <c r="F119" s="80">
        <v>17</v>
      </c>
      <c r="G119" s="63">
        <v>9</v>
      </c>
      <c r="H119" s="46" t="s">
        <v>45</v>
      </c>
      <c r="J119" s="14" t="s">
        <v>450</v>
      </c>
    </row>
    <row r="120" spans="1:10" x14ac:dyDescent="0.35">
      <c r="A120">
        <f t="shared" si="1"/>
        <v>1.1875</v>
      </c>
      <c r="C120" s="14">
        <v>23</v>
      </c>
      <c r="E120" s="1" t="s">
        <v>44</v>
      </c>
      <c r="F120" s="80">
        <v>19</v>
      </c>
      <c r="G120" s="63">
        <v>16</v>
      </c>
      <c r="H120" s="46" t="s">
        <v>38</v>
      </c>
      <c r="J120" s="14" t="s">
        <v>184</v>
      </c>
    </row>
    <row r="121" spans="1:10" x14ac:dyDescent="0.35">
      <c r="A121">
        <f t="shared" si="1"/>
        <v>1.6</v>
      </c>
      <c r="C121" s="14">
        <v>24</v>
      </c>
      <c r="E121" s="1" t="s">
        <v>77</v>
      </c>
      <c r="F121" s="80">
        <v>16</v>
      </c>
      <c r="G121" s="63">
        <v>10</v>
      </c>
      <c r="H121" s="46" t="s">
        <v>84</v>
      </c>
      <c r="J121" s="14" t="s">
        <v>201</v>
      </c>
    </row>
    <row r="122" spans="1:10" x14ac:dyDescent="0.35">
      <c r="A122">
        <f t="shared" si="1"/>
        <v>3.1666666666666665</v>
      </c>
      <c r="C122" s="14">
        <v>25</v>
      </c>
      <c r="E122" s="1" t="s">
        <v>59</v>
      </c>
      <c r="F122" s="80">
        <v>19</v>
      </c>
      <c r="G122" s="63">
        <v>6</v>
      </c>
      <c r="H122" s="46" t="s">
        <v>67</v>
      </c>
      <c r="I122" s="63">
        <v>16</v>
      </c>
      <c r="J122" s="14" t="s">
        <v>872</v>
      </c>
    </row>
    <row r="123" spans="1:10" x14ac:dyDescent="0.35">
      <c r="A123">
        <f t="shared" si="1"/>
        <v>1.2307692307692308</v>
      </c>
      <c r="C123" s="14">
        <v>26</v>
      </c>
      <c r="E123" s="1" t="s">
        <v>784</v>
      </c>
      <c r="F123" s="80">
        <v>16</v>
      </c>
      <c r="G123" s="63">
        <v>13</v>
      </c>
      <c r="H123" s="46" t="s">
        <v>790</v>
      </c>
      <c r="J123" s="14" t="s">
        <v>296</v>
      </c>
    </row>
    <row r="124" spans="1:10" x14ac:dyDescent="0.35">
      <c r="A124">
        <f t="shared" si="1"/>
        <v>1.0714285714285714</v>
      </c>
      <c r="C124" s="14">
        <v>27</v>
      </c>
      <c r="E124" s="1" t="s">
        <v>909</v>
      </c>
      <c r="F124" s="80">
        <v>15</v>
      </c>
      <c r="G124" s="63">
        <v>14</v>
      </c>
      <c r="H124" s="46" t="s">
        <v>793</v>
      </c>
      <c r="J124" s="14" t="s">
        <v>347</v>
      </c>
    </row>
    <row r="125" spans="1:10" x14ac:dyDescent="0.35">
      <c r="A125">
        <f t="shared" si="1"/>
        <v>1.5833333333333333</v>
      </c>
      <c r="C125" s="14">
        <v>28</v>
      </c>
      <c r="E125" s="1" t="s">
        <v>29</v>
      </c>
      <c r="F125" s="80">
        <v>19</v>
      </c>
      <c r="G125" s="63">
        <v>12</v>
      </c>
      <c r="H125" s="46" t="s">
        <v>22</v>
      </c>
      <c r="J125" s="14" t="s">
        <v>332</v>
      </c>
    </row>
    <row r="126" spans="1:10" x14ac:dyDescent="0.35">
      <c r="A126">
        <f t="shared" si="1"/>
        <v>3</v>
      </c>
      <c r="C126" s="14">
        <v>29</v>
      </c>
      <c r="D126" s="80">
        <v>4</v>
      </c>
      <c r="E126" s="1" t="s">
        <v>26</v>
      </c>
      <c r="F126" s="80">
        <v>27</v>
      </c>
      <c r="G126" s="63">
        <v>9</v>
      </c>
      <c r="H126" s="46" t="s">
        <v>27</v>
      </c>
      <c r="J126" s="14" t="s">
        <v>331</v>
      </c>
    </row>
    <row r="127" spans="1:10" x14ac:dyDescent="0.35">
      <c r="A127">
        <f t="shared" si="1"/>
        <v>1.5714285714285714</v>
      </c>
      <c r="C127" s="14">
        <v>30</v>
      </c>
      <c r="D127" s="80">
        <v>11</v>
      </c>
      <c r="E127" s="1" t="s">
        <v>114</v>
      </c>
      <c r="F127" s="80">
        <v>22</v>
      </c>
      <c r="G127" s="63">
        <v>14</v>
      </c>
      <c r="H127" s="46" t="s">
        <v>65</v>
      </c>
      <c r="J127" s="14" t="s">
        <v>289</v>
      </c>
    </row>
    <row r="128" spans="1:10" x14ac:dyDescent="0.35">
      <c r="A128">
        <f t="shared" si="1"/>
        <v>1.0833333333333333</v>
      </c>
      <c r="C128" s="14">
        <v>31</v>
      </c>
      <c r="E128" s="1" t="s">
        <v>66</v>
      </c>
      <c r="F128" s="80">
        <v>13</v>
      </c>
      <c r="G128" s="63">
        <v>12</v>
      </c>
      <c r="H128" s="46" t="s">
        <v>115</v>
      </c>
      <c r="J128" s="14" t="s">
        <v>286</v>
      </c>
    </row>
    <row r="129" spans="1:11" x14ac:dyDescent="0.35">
      <c r="A129">
        <f t="shared" si="1"/>
        <v>1.0666666666666667</v>
      </c>
      <c r="C129" s="14">
        <v>32</v>
      </c>
      <c r="E129" s="1" t="s">
        <v>46</v>
      </c>
      <c r="F129" s="80">
        <v>16</v>
      </c>
      <c r="G129" s="63">
        <v>15</v>
      </c>
      <c r="H129" s="46" t="s">
        <v>35</v>
      </c>
      <c r="J129" s="14" t="s">
        <v>347</v>
      </c>
      <c r="K129" t="s">
        <v>873</v>
      </c>
    </row>
    <row r="130" spans="1:11" x14ac:dyDescent="0.35">
      <c r="A130">
        <f t="shared" si="1"/>
        <v>1.7</v>
      </c>
      <c r="C130" s="14">
        <v>33</v>
      </c>
      <c r="E130" s="1" t="s">
        <v>795</v>
      </c>
      <c r="F130" s="80">
        <v>17</v>
      </c>
      <c r="G130" s="63">
        <v>10</v>
      </c>
      <c r="H130" s="46" t="s">
        <v>789</v>
      </c>
      <c r="J130" s="14" t="s">
        <v>194</v>
      </c>
    </row>
    <row r="131" spans="1:11" x14ac:dyDescent="0.35">
      <c r="A131">
        <f t="shared" ref="A131:A194" si="2">(F131/G131)</f>
        <v>7.5</v>
      </c>
      <c r="C131" s="14">
        <v>34</v>
      </c>
      <c r="E131" s="1" t="s">
        <v>58</v>
      </c>
      <c r="F131" s="80">
        <v>30</v>
      </c>
      <c r="G131" s="63">
        <v>4</v>
      </c>
      <c r="H131" s="46" t="s">
        <v>118</v>
      </c>
      <c r="J131" s="14" t="s">
        <v>620</v>
      </c>
    </row>
    <row r="132" spans="1:11" x14ac:dyDescent="0.35">
      <c r="A132">
        <f t="shared" si="2"/>
        <v>1.4285714285714286</v>
      </c>
      <c r="C132" s="14">
        <v>35</v>
      </c>
      <c r="E132" s="1" t="s">
        <v>145</v>
      </c>
      <c r="F132" s="80">
        <v>20</v>
      </c>
      <c r="G132" s="63">
        <v>14</v>
      </c>
      <c r="H132" s="46" t="s">
        <v>51</v>
      </c>
      <c r="J132" s="14" t="s">
        <v>301</v>
      </c>
    </row>
    <row r="133" spans="1:11" x14ac:dyDescent="0.35">
      <c r="A133">
        <f t="shared" si="2"/>
        <v>1.2</v>
      </c>
      <c r="C133" s="14">
        <v>36</v>
      </c>
      <c r="E133" s="1" t="s">
        <v>292</v>
      </c>
      <c r="F133" s="80">
        <v>12</v>
      </c>
      <c r="G133" s="63">
        <v>10</v>
      </c>
      <c r="H133" s="46" t="s">
        <v>1860</v>
      </c>
      <c r="I133" s="63">
        <v>9</v>
      </c>
      <c r="J133" s="14" t="s">
        <v>331</v>
      </c>
    </row>
    <row r="134" spans="1:11" x14ac:dyDescent="0.35">
      <c r="A134">
        <f t="shared" si="2"/>
        <v>1.6153846153846154</v>
      </c>
      <c r="C134" s="14">
        <v>37</v>
      </c>
      <c r="E134" s="1" t="s">
        <v>43</v>
      </c>
      <c r="F134" s="80">
        <v>21</v>
      </c>
      <c r="G134" s="63">
        <v>13</v>
      </c>
      <c r="H134" s="46" t="s">
        <v>37</v>
      </c>
      <c r="I134" s="63">
        <v>22</v>
      </c>
      <c r="J134" s="14" t="s">
        <v>331</v>
      </c>
    </row>
    <row r="135" spans="1:11" x14ac:dyDescent="0.35">
      <c r="A135">
        <f t="shared" si="2"/>
        <v>1.0476190476190477</v>
      </c>
      <c r="C135" s="14">
        <v>38</v>
      </c>
      <c r="D135" s="80">
        <v>25</v>
      </c>
      <c r="E135" s="1" t="s">
        <v>55</v>
      </c>
      <c r="F135" s="80">
        <v>22</v>
      </c>
      <c r="G135" s="63">
        <v>21</v>
      </c>
      <c r="H135" s="46" t="s">
        <v>47</v>
      </c>
      <c r="J135" s="14" t="s">
        <v>416</v>
      </c>
    </row>
    <row r="136" spans="1:11" x14ac:dyDescent="0.35">
      <c r="A136">
        <f t="shared" si="2"/>
        <v>1.0666666666666667</v>
      </c>
      <c r="C136" s="14">
        <v>39</v>
      </c>
      <c r="E136" s="1" t="s">
        <v>80</v>
      </c>
      <c r="F136" s="80">
        <v>16</v>
      </c>
      <c r="G136" s="63">
        <v>15</v>
      </c>
      <c r="H136" s="46" t="s">
        <v>81</v>
      </c>
      <c r="J136" s="14" t="s">
        <v>577</v>
      </c>
    </row>
    <row r="137" spans="1:11" x14ac:dyDescent="0.35">
      <c r="A137">
        <f t="shared" si="2"/>
        <v>2.2222222222222223</v>
      </c>
      <c r="C137" s="14">
        <v>40</v>
      </c>
      <c r="E137" s="1" t="s">
        <v>34</v>
      </c>
      <c r="F137" s="80">
        <v>20</v>
      </c>
      <c r="G137" s="63">
        <v>9</v>
      </c>
      <c r="H137" s="46" t="s">
        <v>32</v>
      </c>
      <c r="J137" s="14" t="s">
        <v>332</v>
      </c>
    </row>
    <row r="138" spans="1:11" x14ac:dyDescent="0.35">
      <c r="A138">
        <f t="shared" si="2"/>
        <v>1.3529411764705883</v>
      </c>
      <c r="C138" s="14">
        <v>41</v>
      </c>
      <c r="D138" s="80">
        <v>24</v>
      </c>
      <c r="E138" s="1" t="s">
        <v>40</v>
      </c>
      <c r="F138" s="80">
        <v>23</v>
      </c>
      <c r="G138" s="63">
        <v>17</v>
      </c>
      <c r="H138" s="46" t="s">
        <v>1859</v>
      </c>
      <c r="J138" s="14" t="s">
        <v>874</v>
      </c>
    </row>
    <row r="139" spans="1:11" x14ac:dyDescent="0.35">
      <c r="A139">
        <f t="shared" si="2"/>
        <v>1.25</v>
      </c>
      <c r="C139" s="14">
        <v>42</v>
      </c>
      <c r="D139" s="80">
        <v>21</v>
      </c>
      <c r="E139" s="1" t="s">
        <v>788</v>
      </c>
      <c r="F139" s="80">
        <v>10</v>
      </c>
      <c r="G139" s="63">
        <v>8</v>
      </c>
      <c r="H139" s="46" t="s">
        <v>783</v>
      </c>
      <c r="J139" s="14" t="s">
        <v>400</v>
      </c>
    </row>
    <row r="140" spans="1:11" x14ac:dyDescent="0.35">
      <c r="A140">
        <f t="shared" si="2"/>
        <v>1.0526315789473684</v>
      </c>
      <c r="C140" s="14">
        <v>43</v>
      </c>
      <c r="D140" s="80">
        <v>13</v>
      </c>
      <c r="E140" s="1" t="s">
        <v>79</v>
      </c>
      <c r="F140" s="80">
        <v>20</v>
      </c>
      <c r="G140" s="63">
        <v>19</v>
      </c>
      <c r="H140" s="46" t="s">
        <v>82</v>
      </c>
      <c r="J140" s="14" t="s">
        <v>512</v>
      </c>
      <c r="K140" t="s">
        <v>875</v>
      </c>
    </row>
    <row r="141" spans="1:11" x14ac:dyDescent="0.35">
      <c r="A141">
        <f t="shared" si="2"/>
        <v>1.2307692307692308</v>
      </c>
      <c r="C141" s="14">
        <v>44</v>
      </c>
      <c r="D141" s="80">
        <v>17</v>
      </c>
      <c r="E141" s="1" t="s">
        <v>31</v>
      </c>
      <c r="F141" s="80">
        <v>16</v>
      </c>
      <c r="G141" s="63">
        <v>13</v>
      </c>
      <c r="H141" s="46" t="s">
        <v>24</v>
      </c>
      <c r="I141" s="63">
        <v>20</v>
      </c>
      <c r="J141" s="14" t="s">
        <v>191</v>
      </c>
    </row>
    <row r="142" spans="1:11" x14ac:dyDescent="0.35">
      <c r="A142">
        <f t="shared" si="2"/>
        <v>2.2000000000000002</v>
      </c>
      <c r="C142" s="14">
        <v>45</v>
      </c>
      <c r="D142" s="80">
        <v>8</v>
      </c>
      <c r="E142" s="1" t="s">
        <v>49</v>
      </c>
      <c r="F142" s="80">
        <v>22</v>
      </c>
      <c r="G142" s="63">
        <v>10</v>
      </c>
      <c r="H142" s="46" t="s">
        <v>53</v>
      </c>
      <c r="I142" s="63">
        <v>15</v>
      </c>
      <c r="J142" s="14" t="s">
        <v>404</v>
      </c>
    </row>
    <row r="143" spans="1:11" x14ac:dyDescent="0.35">
      <c r="A143">
        <f t="shared" si="2"/>
        <v>1.4615384615384615</v>
      </c>
      <c r="C143" s="14">
        <v>46</v>
      </c>
      <c r="D143" s="80">
        <v>3</v>
      </c>
      <c r="E143" s="1" t="s">
        <v>41</v>
      </c>
      <c r="F143" s="80">
        <v>19</v>
      </c>
      <c r="G143" s="63">
        <v>13</v>
      </c>
      <c r="H143" s="46" t="s">
        <v>39</v>
      </c>
      <c r="I143" s="63">
        <v>12</v>
      </c>
      <c r="J143" s="14" t="s">
        <v>507</v>
      </c>
    </row>
    <row r="144" spans="1:11" x14ac:dyDescent="0.35">
      <c r="A144">
        <f t="shared" si="2"/>
        <v>1.625</v>
      </c>
      <c r="C144" s="14">
        <v>47</v>
      </c>
      <c r="D144" s="80">
        <v>1</v>
      </c>
      <c r="E144" s="1" t="s">
        <v>69</v>
      </c>
      <c r="F144" s="80">
        <v>13</v>
      </c>
      <c r="G144" s="63">
        <v>8</v>
      </c>
      <c r="H144" s="46" t="s">
        <v>62</v>
      </c>
      <c r="I144" s="63">
        <v>7</v>
      </c>
      <c r="J144" s="14" t="s">
        <v>281</v>
      </c>
    </row>
    <row r="145" spans="1:11" ht="15" thickBot="1" x14ac:dyDescent="0.4">
      <c r="A145">
        <f t="shared" si="2"/>
        <v>2.0769230769230771</v>
      </c>
      <c r="C145" s="23">
        <v>48</v>
      </c>
      <c r="D145" s="55">
        <v>5</v>
      </c>
      <c r="E145" s="44" t="s">
        <v>42</v>
      </c>
      <c r="F145" s="55">
        <v>27</v>
      </c>
      <c r="G145" s="56">
        <v>13</v>
      </c>
      <c r="H145" s="57" t="s">
        <v>36</v>
      </c>
      <c r="I145" s="56">
        <v>6</v>
      </c>
      <c r="J145" s="23" t="s">
        <v>876</v>
      </c>
      <c r="K145" s="12"/>
    </row>
    <row r="146" spans="1:11" x14ac:dyDescent="0.35">
      <c r="A146">
        <f t="shared" si="2"/>
        <v>3.4</v>
      </c>
      <c r="C146" s="14">
        <v>1</v>
      </c>
      <c r="E146" s="1" t="s">
        <v>51</v>
      </c>
      <c r="F146" s="80">
        <v>17</v>
      </c>
      <c r="G146" s="63">
        <v>5</v>
      </c>
      <c r="H146" s="46" t="s">
        <v>52</v>
      </c>
      <c r="J146" s="14" t="s">
        <v>360</v>
      </c>
    </row>
    <row r="147" spans="1:11" x14ac:dyDescent="0.35">
      <c r="A147">
        <f t="shared" si="2"/>
        <v>1.25</v>
      </c>
      <c r="C147" s="14">
        <v>2</v>
      </c>
      <c r="E147" s="1" t="s">
        <v>786</v>
      </c>
      <c r="F147" s="80">
        <v>20</v>
      </c>
      <c r="G147" s="63">
        <v>16</v>
      </c>
      <c r="H147" s="46" t="s">
        <v>908</v>
      </c>
      <c r="J147" s="14" t="s">
        <v>289</v>
      </c>
    </row>
    <row r="148" spans="1:11" x14ac:dyDescent="0.35">
      <c r="A148">
        <f t="shared" si="2"/>
        <v>1.9285714285714286</v>
      </c>
      <c r="C148" s="14">
        <v>3</v>
      </c>
      <c r="D148" s="80">
        <v>20</v>
      </c>
      <c r="E148" s="1" t="s">
        <v>70</v>
      </c>
      <c r="F148" s="80">
        <v>27</v>
      </c>
      <c r="G148" s="63">
        <v>14</v>
      </c>
      <c r="H148" s="46" t="s">
        <v>72</v>
      </c>
      <c r="J148" s="14" t="s">
        <v>299</v>
      </c>
    </row>
    <row r="149" spans="1:11" x14ac:dyDescent="0.35">
      <c r="A149">
        <f t="shared" si="2"/>
        <v>1.0714285714285714</v>
      </c>
      <c r="C149" s="14">
        <v>4</v>
      </c>
      <c r="E149" s="1" t="s">
        <v>2011</v>
      </c>
      <c r="F149" s="80">
        <v>15</v>
      </c>
      <c r="G149" s="63">
        <v>14</v>
      </c>
      <c r="H149" s="46" t="s">
        <v>900</v>
      </c>
      <c r="J149" s="14" t="s">
        <v>185</v>
      </c>
    </row>
    <row r="150" spans="1:11" x14ac:dyDescent="0.35">
      <c r="A150">
        <f t="shared" si="2"/>
        <v>1.1111111111111112</v>
      </c>
      <c r="C150" s="14">
        <v>5</v>
      </c>
      <c r="E150" s="1" t="s">
        <v>33</v>
      </c>
      <c r="F150" s="80">
        <v>20</v>
      </c>
      <c r="G150" s="63">
        <v>18</v>
      </c>
      <c r="H150" s="46" t="s">
        <v>1860</v>
      </c>
      <c r="I150" s="63">
        <v>25</v>
      </c>
      <c r="J150" s="14" t="s">
        <v>347</v>
      </c>
      <c r="K150" t="s">
        <v>878</v>
      </c>
    </row>
    <row r="151" spans="1:11" x14ac:dyDescent="0.35">
      <c r="A151">
        <f t="shared" si="2"/>
        <v>3.5</v>
      </c>
      <c r="C151" s="14">
        <v>6</v>
      </c>
      <c r="E151" s="1" t="s">
        <v>78</v>
      </c>
      <c r="F151" s="80">
        <v>21</v>
      </c>
      <c r="G151" s="63">
        <v>6</v>
      </c>
      <c r="H151" s="46" t="s">
        <v>76</v>
      </c>
      <c r="J151" s="14" t="s">
        <v>201</v>
      </c>
    </row>
    <row r="152" spans="1:11" x14ac:dyDescent="0.35">
      <c r="A152">
        <f t="shared" si="2"/>
        <v>2.4285714285714284</v>
      </c>
      <c r="C152" s="14">
        <v>7</v>
      </c>
      <c r="E152" s="1" t="s">
        <v>61</v>
      </c>
      <c r="F152" s="80">
        <v>17</v>
      </c>
      <c r="G152" s="63">
        <v>7</v>
      </c>
      <c r="H152" s="46" t="s">
        <v>63</v>
      </c>
      <c r="J152" s="14" t="s">
        <v>200</v>
      </c>
    </row>
    <row r="153" spans="1:11" x14ac:dyDescent="0.35">
      <c r="A153">
        <f t="shared" si="2"/>
        <v>1.0625</v>
      </c>
      <c r="C153" s="14">
        <v>8</v>
      </c>
      <c r="E153" s="1" t="s">
        <v>796</v>
      </c>
      <c r="F153" s="80">
        <v>17</v>
      </c>
      <c r="G153" s="63">
        <v>16</v>
      </c>
      <c r="H153" s="46" t="s">
        <v>785</v>
      </c>
      <c r="J153" s="14" t="s">
        <v>347</v>
      </c>
    </row>
    <row r="154" spans="1:11" x14ac:dyDescent="0.35">
      <c r="A154">
        <f t="shared" si="2"/>
        <v>1.2</v>
      </c>
      <c r="C154" s="14">
        <v>9</v>
      </c>
      <c r="E154" s="1" t="s">
        <v>85</v>
      </c>
      <c r="F154" s="80">
        <v>12</v>
      </c>
      <c r="G154" s="63">
        <v>10</v>
      </c>
      <c r="H154" s="46" t="s">
        <v>81</v>
      </c>
      <c r="J154" s="14" t="s">
        <v>190</v>
      </c>
    </row>
    <row r="155" spans="1:11" x14ac:dyDescent="0.35">
      <c r="A155">
        <f t="shared" si="2"/>
        <v>1.625</v>
      </c>
      <c r="C155" s="14">
        <v>10</v>
      </c>
      <c r="E155" s="1" t="s">
        <v>23</v>
      </c>
      <c r="F155" s="80">
        <v>13</v>
      </c>
      <c r="G155" s="63">
        <v>8</v>
      </c>
      <c r="H155" s="46" t="s">
        <v>25</v>
      </c>
      <c r="J155" s="14" t="s">
        <v>331</v>
      </c>
    </row>
    <row r="156" spans="1:11" x14ac:dyDescent="0.35">
      <c r="A156">
        <f t="shared" si="2"/>
        <v>3.625</v>
      </c>
      <c r="C156" s="14">
        <v>11</v>
      </c>
      <c r="E156" s="1" t="s">
        <v>73</v>
      </c>
      <c r="F156" s="80">
        <v>29</v>
      </c>
      <c r="G156" s="63">
        <v>8</v>
      </c>
      <c r="H156" s="46" t="s">
        <v>75</v>
      </c>
      <c r="J156" s="14" t="s">
        <v>465</v>
      </c>
    </row>
    <row r="157" spans="1:11" x14ac:dyDescent="0.35">
      <c r="A157">
        <f t="shared" si="2"/>
        <v>2.2307692307692308</v>
      </c>
      <c r="C157" s="14">
        <v>12</v>
      </c>
      <c r="E157" s="1" t="s">
        <v>54</v>
      </c>
      <c r="F157" s="80">
        <v>29</v>
      </c>
      <c r="G157" s="63">
        <v>13</v>
      </c>
      <c r="H157" s="46" t="s">
        <v>117</v>
      </c>
      <c r="J157" s="14" t="s">
        <v>413</v>
      </c>
    </row>
    <row r="158" spans="1:11" x14ac:dyDescent="0.35">
      <c r="A158">
        <f t="shared" si="2"/>
        <v>1.0769230769230769</v>
      </c>
      <c r="C158" s="14">
        <v>13</v>
      </c>
      <c r="E158" s="1" t="s">
        <v>48</v>
      </c>
      <c r="F158" s="80">
        <v>14</v>
      </c>
      <c r="G158" s="63">
        <v>13</v>
      </c>
      <c r="H158" s="46" t="s">
        <v>47</v>
      </c>
      <c r="J158" s="14" t="s">
        <v>299</v>
      </c>
    </row>
    <row r="159" spans="1:11" x14ac:dyDescent="0.35">
      <c r="A159">
        <f t="shared" si="2"/>
        <v>1.4166666666666667</v>
      </c>
      <c r="C159" s="14">
        <v>14</v>
      </c>
      <c r="E159" s="1" t="s">
        <v>794</v>
      </c>
      <c r="F159" s="80">
        <v>17</v>
      </c>
      <c r="G159" s="63">
        <v>12</v>
      </c>
      <c r="H159" s="46" t="s">
        <v>791</v>
      </c>
      <c r="J159" s="14" t="s">
        <v>347</v>
      </c>
    </row>
    <row r="160" spans="1:11" x14ac:dyDescent="0.35">
      <c r="A160">
        <f t="shared" si="2"/>
        <v>1.8461538461538463</v>
      </c>
      <c r="C160" s="14">
        <v>15</v>
      </c>
      <c r="D160" s="80">
        <v>12</v>
      </c>
      <c r="E160" s="1" t="s">
        <v>40</v>
      </c>
      <c r="F160" s="80">
        <v>24</v>
      </c>
      <c r="G160" s="63">
        <v>13</v>
      </c>
      <c r="H160" s="46" t="s">
        <v>38</v>
      </c>
      <c r="J160" s="14" t="s">
        <v>507</v>
      </c>
    </row>
    <row r="161" spans="1:11" x14ac:dyDescent="0.35">
      <c r="A161">
        <f t="shared" si="2"/>
        <v>1.6428571428571428</v>
      </c>
      <c r="C161" s="14">
        <v>16</v>
      </c>
      <c r="E161" s="1" t="s">
        <v>787</v>
      </c>
      <c r="F161" s="80">
        <v>23</v>
      </c>
      <c r="G161" s="63">
        <v>14</v>
      </c>
      <c r="H161" s="46" t="s">
        <v>792</v>
      </c>
      <c r="I161" s="63">
        <v>19</v>
      </c>
      <c r="J161" s="14" t="s">
        <v>359</v>
      </c>
    </row>
    <row r="162" spans="1:11" x14ac:dyDescent="0.35">
      <c r="A162">
        <f t="shared" si="2"/>
        <v>1.1052631578947369</v>
      </c>
      <c r="C162" s="14">
        <v>17</v>
      </c>
      <c r="E162" s="1" t="s">
        <v>790</v>
      </c>
      <c r="F162" s="80">
        <v>21</v>
      </c>
      <c r="G162" s="63">
        <v>19</v>
      </c>
      <c r="H162" s="46" t="s">
        <v>909</v>
      </c>
      <c r="J162" s="14" t="s">
        <v>512</v>
      </c>
      <c r="K162" t="s">
        <v>879</v>
      </c>
    </row>
    <row r="163" spans="1:11" x14ac:dyDescent="0.35">
      <c r="A163">
        <f t="shared" si="2"/>
        <v>2.1818181818181817</v>
      </c>
      <c r="C163" s="14">
        <v>18</v>
      </c>
      <c r="D163" s="80">
        <v>8</v>
      </c>
      <c r="E163" s="1" t="s">
        <v>31</v>
      </c>
      <c r="F163" s="80">
        <v>24</v>
      </c>
      <c r="G163" s="63">
        <v>11</v>
      </c>
      <c r="H163" s="46" t="s">
        <v>27</v>
      </c>
      <c r="J163" s="14" t="s">
        <v>331</v>
      </c>
    </row>
    <row r="164" spans="1:11" x14ac:dyDescent="0.35">
      <c r="A164">
        <f t="shared" si="2"/>
        <v>1.0666666666666667</v>
      </c>
      <c r="C164" s="14">
        <v>19</v>
      </c>
      <c r="E164" s="1" t="s">
        <v>118</v>
      </c>
      <c r="F164" s="80">
        <v>16</v>
      </c>
      <c r="G164" s="63">
        <v>15</v>
      </c>
      <c r="H164" s="46" t="s">
        <v>53</v>
      </c>
      <c r="J164" s="14" t="s">
        <v>337</v>
      </c>
    </row>
    <row r="165" spans="1:11" x14ac:dyDescent="0.35">
      <c r="A165">
        <f t="shared" si="2"/>
        <v>1.0869565217391304</v>
      </c>
      <c r="C165" s="14">
        <v>20</v>
      </c>
      <c r="D165" s="80">
        <v>7</v>
      </c>
      <c r="E165" s="1" t="s">
        <v>34</v>
      </c>
      <c r="F165" s="80">
        <v>25</v>
      </c>
      <c r="G165" s="63">
        <v>23</v>
      </c>
      <c r="H165" s="46" t="s">
        <v>22</v>
      </c>
      <c r="J165" s="14" t="s">
        <v>633</v>
      </c>
      <c r="K165" t="s">
        <v>880</v>
      </c>
    </row>
    <row r="166" spans="1:11" x14ac:dyDescent="0.35">
      <c r="A166">
        <f t="shared" si="2"/>
        <v>1.2857142857142858</v>
      </c>
      <c r="C166" s="14">
        <v>21</v>
      </c>
      <c r="E166" s="1" t="s">
        <v>145</v>
      </c>
      <c r="F166" s="80">
        <v>27</v>
      </c>
      <c r="G166" s="63">
        <v>21</v>
      </c>
      <c r="H166" s="46" t="s">
        <v>56</v>
      </c>
      <c r="J166" s="14" t="s">
        <v>747</v>
      </c>
      <c r="K166" t="s">
        <v>938</v>
      </c>
    </row>
    <row r="167" spans="1:11" x14ac:dyDescent="0.35">
      <c r="A167">
        <f t="shared" si="2"/>
        <v>1.5</v>
      </c>
      <c r="C167" s="14">
        <v>22</v>
      </c>
      <c r="E167" s="1" t="s">
        <v>45</v>
      </c>
      <c r="F167" s="80">
        <v>18</v>
      </c>
      <c r="G167" s="63">
        <v>12</v>
      </c>
      <c r="H167" s="46" t="s">
        <v>1858</v>
      </c>
      <c r="J167" s="14" t="s">
        <v>194</v>
      </c>
    </row>
    <row r="168" spans="1:11" x14ac:dyDescent="0.35">
      <c r="A168">
        <f t="shared" si="2"/>
        <v>2.1111111111111112</v>
      </c>
      <c r="C168" s="14">
        <v>23</v>
      </c>
      <c r="E168" s="1" t="s">
        <v>59</v>
      </c>
      <c r="F168" s="80">
        <v>19</v>
      </c>
      <c r="G168" s="63">
        <v>9</v>
      </c>
      <c r="H168" s="46" t="s">
        <v>65</v>
      </c>
      <c r="J168" s="14" t="s">
        <v>190</v>
      </c>
    </row>
    <row r="169" spans="1:11" x14ac:dyDescent="0.35">
      <c r="A169">
        <f t="shared" si="2"/>
        <v>1.5</v>
      </c>
      <c r="C169" s="14">
        <v>24</v>
      </c>
      <c r="E169" s="1" t="s">
        <v>83</v>
      </c>
      <c r="F169" s="80">
        <v>18</v>
      </c>
      <c r="G169" s="63">
        <v>12</v>
      </c>
      <c r="H169" s="46" t="s">
        <v>88</v>
      </c>
      <c r="J169" s="14" t="s">
        <v>296</v>
      </c>
    </row>
    <row r="170" spans="1:11" x14ac:dyDescent="0.35">
      <c r="A170">
        <f t="shared" si="2"/>
        <v>1.7692307692307692</v>
      </c>
      <c r="C170" s="14">
        <v>25</v>
      </c>
      <c r="D170" s="80">
        <v>5</v>
      </c>
      <c r="E170" s="1" t="s">
        <v>119</v>
      </c>
      <c r="F170" s="80">
        <v>23</v>
      </c>
      <c r="G170" s="63">
        <v>13</v>
      </c>
      <c r="H170" s="46" t="s">
        <v>28</v>
      </c>
      <c r="J170" s="14" t="s">
        <v>360</v>
      </c>
    </row>
    <row r="171" spans="1:11" x14ac:dyDescent="0.35">
      <c r="A171">
        <f t="shared" si="2"/>
        <v>2.125</v>
      </c>
      <c r="C171" s="14">
        <v>26</v>
      </c>
      <c r="D171" s="80">
        <v>14</v>
      </c>
      <c r="E171" s="1" t="s">
        <v>788</v>
      </c>
      <c r="F171" s="80">
        <v>17</v>
      </c>
      <c r="G171" s="63">
        <v>8</v>
      </c>
      <c r="H171" s="46" t="s">
        <v>789</v>
      </c>
      <c r="J171" s="14" t="s">
        <v>296</v>
      </c>
    </row>
    <row r="172" spans="1:11" x14ac:dyDescent="0.35">
      <c r="A172">
        <f t="shared" si="2"/>
        <v>1.5833333333333333</v>
      </c>
      <c r="C172" s="14">
        <v>27</v>
      </c>
      <c r="E172" s="1" t="s">
        <v>60</v>
      </c>
      <c r="F172" s="80">
        <v>19</v>
      </c>
      <c r="G172" s="63">
        <v>12</v>
      </c>
      <c r="H172" s="46" t="s">
        <v>64</v>
      </c>
      <c r="J172" s="14" t="s">
        <v>296</v>
      </c>
    </row>
    <row r="173" spans="1:11" x14ac:dyDescent="0.35">
      <c r="A173">
        <f t="shared" si="2"/>
        <v>1.2857142857142858</v>
      </c>
      <c r="C173" s="14">
        <v>28</v>
      </c>
      <c r="D173" s="80">
        <v>17</v>
      </c>
      <c r="E173" s="1" t="s">
        <v>62</v>
      </c>
      <c r="F173" s="80">
        <v>18</v>
      </c>
      <c r="G173" s="63">
        <v>14</v>
      </c>
      <c r="H173" s="46" t="s">
        <v>115</v>
      </c>
      <c r="J173" s="14" t="s">
        <v>194</v>
      </c>
    </row>
    <row r="174" spans="1:11" x14ac:dyDescent="0.35">
      <c r="A174">
        <f t="shared" si="2"/>
        <v>2.4</v>
      </c>
      <c r="C174" s="14">
        <v>29</v>
      </c>
      <c r="D174" s="80">
        <v>13</v>
      </c>
      <c r="E174" s="1" t="s">
        <v>57</v>
      </c>
      <c r="F174" s="80">
        <v>24</v>
      </c>
      <c r="G174" s="63">
        <v>10</v>
      </c>
      <c r="H174" s="46" t="s">
        <v>50</v>
      </c>
      <c r="J174" s="14" t="s">
        <v>337</v>
      </c>
    </row>
    <row r="175" spans="1:11" x14ac:dyDescent="0.35">
      <c r="A175">
        <f t="shared" si="2"/>
        <v>1.875</v>
      </c>
      <c r="C175" s="14">
        <v>30</v>
      </c>
      <c r="E175" s="1" t="s">
        <v>71</v>
      </c>
      <c r="F175" s="80">
        <v>15</v>
      </c>
      <c r="G175" s="63">
        <v>8</v>
      </c>
      <c r="H175" s="46" t="s">
        <v>68</v>
      </c>
      <c r="J175" s="14" t="s">
        <v>331</v>
      </c>
    </row>
    <row r="176" spans="1:11" x14ac:dyDescent="0.35">
      <c r="A176">
        <f t="shared" si="2"/>
        <v>1.7692307692307692</v>
      </c>
      <c r="C176" s="14">
        <v>31</v>
      </c>
      <c r="E176" s="1" t="s">
        <v>35</v>
      </c>
      <c r="F176" s="80">
        <v>23</v>
      </c>
      <c r="G176" s="63">
        <v>13</v>
      </c>
      <c r="H176" s="46" t="s">
        <v>36</v>
      </c>
      <c r="I176" s="63">
        <v>23</v>
      </c>
      <c r="J176" s="14" t="s">
        <v>507</v>
      </c>
    </row>
    <row r="177" spans="1:11" x14ac:dyDescent="0.35">
      <c r="A177">
        <f t="shared" si="2"/>
        <v>1.4285714285714286</v>
      </c>
      <c r="C177" s="14">
        <v>32</v>
      </c>
      <c r="E177" s="1" t="s">
        <v>82</v>
      </c>
      <c r="F177" s="80">
        <v>20</v>
      </c>
      <c r="G177" s="63">
        <v>14</v>
      </c>
      <c r="H177" s="46" t="s">
        <v>84</v>
      </c>
      <c r="J177" s="14" t="s">
        <v>577</v>
      </c>
    </row>
    <row r="178" spans="1:11" x14ac:dyDescent="0.35">
      <c r="A178">
        <f t="shared" si="2"/>
        <v>1.0526315789473684</v>
      </c>
      <c r="C178" s="14">
        <v>33</v>
      </c>
      <c r="E178" s="1" t="s">
        <v>32</v>
      </c>
      <c r="F178" s="80">
        <v>20</v>
      </c>
      <c r="G178" s="63">
        <v>19</v>
      </c>
      <c r="H178" s="46" t="s">
        <v>29</v>
      </c>
      <c r="J178" s="14" t="s">
        <v>512</v>
      </c>
    </row>
    <row r="179" spans="1:11" x14ac:dyDescent="0.35">
      <c r="A179">
        <f t="shared" si="2"/>
        <v>1.1666666666666667</v>
      </c>
      <c r="C179" s="14">
        <v>34</v>
      </c>
      <c r="D179" s="80">
        <v>9</v>
      </c>
      <c r="E179" s="1" t="s">
        <v>79</v>
      </c>
      <c r="F179" s="80">
        <v>14</v>
      </c>
      <c r="G179" s="63">
        <v>12</v>
      </c>
      <c r="H179" s="46" t="s">
        <v>77</v>
      </c>
      <c r="J179" s="14" t="s">
        <v>400</v>
      </c>
    </row>
    <row r="180" spans="1:11" x14ac:dyDescent="0.35">
      <c r="A180">
        <f t="shared" si="2"/>
        <v>1.0909090909090908</v>
      </c>
      <c r="C180" s="14">
        <v>35</v>
      </c>
      <c r="E180" s="1" t="s">
        <v>784</v>
      </c>
      <c r="F180" s="80">
        <v>12</v>
      </c>
      <c r="G180" s="63">
        <v>11</v>
      </c>
      <c r="H180" s="46" t="s">
        <v>793</v>
      </c>
      <c r="J180" s="14" t="s">
        <v>190</v>
      </c>
    </row>
    <row r="181" spans="1:11" x14ac:dyDescent="0.35">
      <c r="A181">
        <f t="shared" si="2"/>
        <v>1.3571428571428572</v>
      </c>
      <c r="C181" s="14">
        <v>36</v>
      </c>
      <c r="E181" s="1" t="s">
        <v>292</v>
      </c>
      <c r="F181" s="80">
        <v>19</v>
      </c>
      <c r="G181" s="63">
        <v>14</v>
      </c>
      <c r="H181" s="46" t="s">
        <v>30</v>
      </c>
      <c r="J181" s="14" t="s">
        <v>507</v>
      </c>
    </row>
    <row r="182" spans="1:11" x14ac:dyDescent="0.35">
      <c r="A182">
        <f t="shared" si="2"/>
        <v>1.5454545454545454</v>
      </c>
      <c r="C182" s="14">
        <v>37</v>
      </c>
      <c r="E182" s="1" t="s">
        <v>783</v>
      </c>
      <c r="F182" s="80">
        <v>17</v>
      </c>
      <c r="G182" s="63">
        <v>11</v>
      </c>
      <c r="H182" s="46" t="s">
        <v>795</v>
      </c>
      <c r="I182" s="63">
        <v>21</v>
      </c>
      <c r="J182" s="14" t="s">
        <v>281</v>
      </c>
    </row>
    <row r="183" spans="1:11" x14ac:dyDescent="0.35">
      <c r="A183">
        <f t="shared" si="2"/>
        <v>1.9090909090909092</v>
      </c>
      <c r="C183" s="14">
        <v>38</v>
      </c>
      <c r="D183" s="80">
        <v>1</v>
      </c>
      <c r="E183" s="1" t="s">
        <v>69</v>
      </c>
      <c r="F183" s="80">
        <v>21</v>
      </c>
      <c r="G183" s="63">
        <v>11</v>
      </c>
      <c r="H183" s="46" t="s">
        <v>66</v>
      </c>
      <c r="J183" s="14" t="s">
        <v>296</v>
      </c>
    </row>
    <row r="184" spans="1:11" x14ac:dyDescent="0.35">
      <c r="A184">
        <f t="shared" si="2"/>
        <v>1.5</v>
      </c>
      <c r="C184" s="14">
        <v>39</v>
      </c>
      <c r="E184" s="1" t="s">
        <v>37</v>
      </c>
      <c r="F184" s="80">
        <v>15</v>
      </c>
      <c r="G184" s="63">
        <v>10</v>
      </c>
      <c r="H184" s="46" t="s">
        <v>39</v>
      </c>
      <c r="I184" s="63">
        <v>24</v>
      </c>
      <c r="J184" s="14" t="s">
        <v>191</v>
      </c>
    </row>
    <row r="185" spans="1:11" x14ac:dyDescent="0.35">
      <c r="A185">
        <f t="shared" si="2"/>
        <v>1.3846153846153846</v>
      </c>
      <c r="C185" s="14">
        <v>40</v>
      </c>
      <c r="E185" s="1" t="s">
        <v>1859</v>
      </c>
      <c r="F185" s="80">
        <v>18</v>
      </c>
      <c r="G185" s="63">
        <v>13</v>
      </c>
      <c r="H185" s="46" t="s">
        <v>44</v>
      </c>
      <c r="J185" s="14" t="s">
        <v>185</v>
      </c>
    </row>
    <row r="186" spans="1:11" x14ac:dyDescent="0.35">
      <c r="A186">
        <f t="shared" si="2"/>
        <v>1.5</v>
      </c>
      <c r="C186" s="14">
        <v>41</v>
      </c>
      <c r="D186" s="80">
        <v>4</v>
      </c>
      <c r="E186" s="1" t="s">
        <v>42</v>
      </c>
      <c r="F186" s="80">
        <v>21</v>
      </c>
      <c r="G186" s="63">
        <v>14</v>
      </c>
      <c r="H186" s="46" t="s">
        <v>46</v>
      </c>
      <c r="J186" s="14" t="s">
        <v>621</v>
      </c>
    </row>
    <row r="187" spans="1:11" x14ac:dyDescent="0.35">
      <c r="A187">
        <f t="shared" si="2"/>
        <v>1.2352941176470589</v>
      </c>
      <c r="C187" s="14">
        <v>42</v>
      </c>
      <c r="D187" s="80">
        <v>10</v>
      </c>
      <c r="E187" s="1" t="s">
        <v>114</v>
      </c>
      <c r="F187" s="80">
        <v>21</v>
      </c>
      <c r="G187" s="63">
        <v>17</v>
      </c>
      <c r="H187" s="46" t="s">
        <v>67</v>
      </c>
      <c r="J187" s="14" t="s">
        <v>750</v>
      </c>
      <c r="K187" t="s">
        <v>881</v>
      </c>
    </row>
    <row r="188" spans="1:11" x14ac:dyDescent="0.35">
      <c r="A188">
        <f t="shared" si="2"/>
        <v>2.3333333333333335</v>
      </c>
      <c r="C188" s="14">
        <v>43</v>
      </c>
      <c r="E188" s="1" t="s">
        <v>24</v>
      </c>
      <c r="F188" s="80">
        <v>21</v>
      </c>
      <c r="G188" s="63">
        <v>9</v>
      </c>
      <c r="H188" s="46" t="s">
        <v>26</v>
      </c>
      <c r="I188" s="63">
        <v>6</v>
      </c>
      <c r="J188" s="14" t="s">
        <v>297</v>
      </c>
    </row>
    <row r="189" spans="1:11" x14ac:dyDescent="0.35">
      <c r="A189">
        <f t="shared" si="2"/>
        <v>3</v>
      </c>
      <c r="C189" s="14">
        <v>44</v>
      </c>
      <c r="E189" s="1" t="s">
        <v>86</v>
      </c>
      <c r="F189" s="80">
        <v>21</v>
      </c>
      <c r="G189" s="63">
        <v>7</v>
      </c>
      <c r="H189" s="46" t="s">
        <v>87</v>
      </c>
      <c r="I189" s="63">
        <v>11</v>
      </c>
      <c r="J189" s="14" t="s">
        <v>489</v>
      </c>
    </row>
    <row r="190" spans="1:11" x14ac:dyDescent="0.35">
      <c r="A190">
        <f t="shared" si="2"/>
        <v>1.1333333333333333</v>
      </c>
      <c r="C190" s="14">
        <v>45</v>
      </c>
      <c r="E190" s="1" t="s">
        <v>300</v>
      </c>
      <c r="F190" s="80">
        <v>17</v>
      </c>
      <c r="G190" s="63">
        <v>15</v>
      </c>
      <c r="H190" s="46" t="s">
        <v>55</v>
      </c>
      <c r="I190" s="63">
        <v>16</v>
      </c>
      <c r="J190" s="14" t="s">
        <v>369</v>
      </c>
      <c r="K190" t="s">
        <v>882</v>
      </c>
    </row>
    <row r="191" spans="1:11" x14ac:dyDescent="0.35">
      <c r="A191">
        <f t="shared" si="2"/>
        <v>1.9090909090909092</v>
      </c>
      <c r="C191" s="14">
        <v>46</v>
      </c>
      <c r="D191" s="80">
        <v>15</v>
      </c>
      <c r="E191" s="1" t="s">
        <v>74</v>
      </c>
      <c r="F191" s="80">
        <v>21</v>
      </c>
      <c r="G191" s="63">
        <v>11</v>
      </c>
      <c r="H191" s="46" t="s">
        <v>80</v>
      </c>
      <c r="J191" s="14" t="s">
        <v>179</v>
      </c>
    </row>
    <row r="192" spans="1:11" x14ac:dyDescent="0.35">
      <c r="A192">
        <f t="shared" si="2"/>
        <v>2.875</v>
      </c>
      <c r="C192" s="14">
        <v>47</v>
      </c>
      <c r="D192" s="80">
        <v>2</v>
      </c>
      <c r="E192" s="1" t="s">
        <v>41</v>
      </c>
      <c r="F192" s="80">
        <v>23</v>
      </c>
      <c r="G192" s="63">
        <v>8</v>
      </c>
      <c r="H192" s="46" t="s">
        <v>43</v>
      </c>
      <c r="I192" s="63">
        <v>22</v>
      </c>
      <c r="J192" s="14" t="s">
        <v>397</v>
      </c>
    </row>
    <row r="193" spans="1:11" ht="15" thickBot="1" x14ac:dyDescent="0.4">
      <c r="A193">
        <f t="shared" si="2"/>
        <v>2.8571428571428572</v>
      </c>
      <c r="C193" s="23">
        <v>48</v>
      </c>
      <c r="D193" s="55">
        <v>3</v>
      </c>
      <c r="E193" s="44" t="s">
        <v>49</v>
      </c>
      <c r="F193" s="55">
        <v>20</v>
      </c>
      <c r="G193" s="56">
        <v>7</v>
      </c>
      <c r="H193" s="57" t="s">
        <v>58</v>
      </c>
      <c r="I193" s="56">
        <v>18</v>
      </c>
      <c r="J193" s="12" t="s">
        <v>191</v>
      </c>
      <c r="K193" s="12"/>
    </row>
    <row r="194" spans="1:11" x14ac:dyDescent="0.35">
      <c r="A194">
        <f t="shared" si="2"/>
        <v>1.1538461538461537</v>
      </c>
      <c r="C194" s="14">
        <v>1</v>
      </c>
      <c r="E194" s="1" t="s">
        <v>52</v>
      </c>
      <c r="F194" s="80">
        <v>15</v>
      </c>
      <c r="G194" s="63">
        <v>13</v>
      </c>
      <c r="H194" s="46" t="s">
        <v>85</v>
      </c>
      <c r="J194" s="14" t="s">
        <v>507</v>
      </c>
    </row>
    <row r="195" spans="1:11" x14ac:dyDescent="0.35">
      <c r="A195">
        <f t="shared" ref="A195:A258" si="3">(F195/G195)</f>
        <v>1.0714285714285714</v>
      </c>
      <c r="C195" s="14">
        <v>2</v>
      </c>
      <c r="E195" s="1" t="s">
        <v>61</v>
      </c>
      <c r="F195" s="80">
        <v>15</v>
      </c>
      <c r="G195" s="63">
        <v>14</v>
      </c>
      <c r="H195" s="46" t="s">
        <v>908</v>
      </c>
      <c r="J195" s="14" t="s">
        <v>295</v>
      </c>
    </row>
    <row r="196" spans="1:11" x14ac:dyDescent="0.35">
      <c r="A196">
        <f t="shared" si="3"/>
        <v>1.0666666666666667</v>
      </c>
      <c r="C196" s="14">
        <v>3</v>
      </c>
      <c r="E196" s="1" t="s">
        <v>794</v>
      </c>
      <c r="F196" s="80">
        <v>16</v>
      </c>
      <c r="G196" s="63">
        <v>15</v>
      </c>
      <c r="H196" s="46" t="s">
        <v>72</v>
      </c>
      <c r="J196" s="14" t="s">
        <v>179</v>
      </c>
    </row>
    <row r="197" spans="1:11" x14ac:dyDescent="0.35">
      <c r="A197">
        <f t="shared" si="3"/>
        <v>1.1111111111111112</v>
      </c>
      <c r="C197" s="14">
        <v>4</v>
      </c>
      <c r="E197" s="1" t="s">
        <v>53</v>
      </c>
      <c r="F197" s="80">
        <v>20</v>
      </c>
      <c r="G197" s="63">
        <v>18</v>
      </c>
      <c r="H197" s="46" t="s">
        <v>76</v>
      </c>
      <c r="J197" s="14" t="s">
        <v>625</v>
      </c>
      <c r="K197" t="s">
        <v>884</v>
      </c>
    </row>
    <row r="198" spans="1:11" x14ac:dyDescent="0.35">
      <c r="A198">
        <f t="shared" si="3"/>
        <v>1.1428571428571428</v>
      </c>
      <c r="C198" s="14">
        <v>5</v>
      </c>
      <c r="E198" s="1" t="s">
        <v>75</v>
      </c>
      <c r="F198" s="80">
        <v>16</v>
      </c>
      <c r="G198" s="63">
        <v>14</v>
      </c>
      <c r="H198" s="46" t="s">
        <v>55</v>
      </c>
      <c r="J198" s="14" t="s">
        <v>507</v>
      </c>
    </row>
    <row r="199" spans="1:11" x14ac:dyDescent="0.35">
      <c r="A199">
        <f t="shared" si="3"/>
        <v>1.2857142857142858</v>
      </c>
      <c r="C199" s="14">
        <v>6</v>
      </c>
      <c r="E199" s="1" t="s">
        <v>117</v>
      </c>
      <c r="F199" s="80">
        <v>9</v>
      </c>
      <c r="G199" s="63">
        <v>7</v>
      </c>
      <c r="H199" s="46" t="s">
        <v>77</v>
      </c>
      <c r="J199" s="14" t="s">
        <v>403</v>
      </c>
    </row>
    <row r="200" spans="1:11" x14ac:dyDescent="0.35">
      <c r="A200">
        <f t="shared" si="3"/>
        <v>1.0909090909090908</v>
      </c>
      <c r="C200" s="14">
        <v>7</v>
      </c>
      <c r="E200" s="1" t="s">
        <v>22</v>
      </c>
      <c r="F200" s="80">
        <v>12</v>
      </c>
      <c r="G200" s="63">
        <v>11</v>
      </c>
      <c r="H200" s="46" t="s">
        <v>25</v>
      </c>
      <c r="J200" s="14" t="s">
        <v>185</v>
      </c>
    </row>
    <row r="201" spans="1:11" x14ac:dyDescent="0.35">
      <c r="A201">
        <f t="shared" si="3"/>
        <v>2.2142857142857144</v>
      </c>
      <c r="C201" s="14">
        <v>8</v>
      </c>
      <c r="D201" s="80">
        <v>18</v>
      </c>
      <c r="E201" s="1" t="s">
        <v>70</v>
      </c>
      <c r="F201" s="80">
        <v>31</v>
      </c>
      <c r="G201" s="63">
        <v>14</v>
      </c>
      <c r="H201" s="46" t="s">
        <v>791</v>
      </c>
      <c r="J201" s="14" t="s">
        <v>289</v>
      </c>
    </row>
    <row r="202" spans="1:11" x14ac:dyDescent="0.35">
      <c r="A202">
        <f t="shared" si="3"/>
        <v>2</v>
      </c>
      <c r="C202" s="14">
        <v>9</v>
      </c>
      <c r="E202" s="1" t="s">
        <v>786</v>
      </c>
      <c r="F202" s="80">
        <v>18</v>
      </c>
      <c r="G202" s="63">
        <v>9</v>
      </c>
      <c r="H202" s="46" t="s">
        <v>63</v>
      </c>
      <c r="J202" s="14" t="s">
        <v>359</v>
      </c>
    </row>
    <row r="203" spans="1:11" x14ac:dyDescent="0.35">
      <c r="A203">
        <f t="shared" si="3"/>
        <v>4</v>
      </c>
      <c r="C203" s="14">
        <v>10</v>
      </c>
      <c r="E203" s="1" t="s">
        <v>2011</v>
      </c>
      <c r="F203" s="80">
        <v>28</v>
      </c>
      <c r="G203" s="63">
        <v>7</v>
      </c>
      <c r="H203" s="46" t="s">
        <v>38</v>
      </c>
      <c r="J203" s="14" t="s">
        <v>332</v>
      </c>
    </row>
    <row r="204" spans="1:11" x14ac:dyDescent="0.35">
      <c r="A204">
        <f t="shared" si="3"/>
        <v>1.0833333333333333</v>
      </c>
      <c r="C204" s="14">
        <v>11</v>
      </c>
      <c r="E204" s="1" t="s">
        <v>44</v>
      </c>
      <c r="F204" s="80">
        <v>13</v>
      </c>
      <c r="G204" s="63">
        <v>12</v>
      </c>
      <c r="H204" s="46" t="s">
        <v>1858</v>
      </c>
      <c r="J204" s="14" t="s">
        <v>179</v>
      </c>
      <c r="K204" t="s">
        <v>885</v>
      </c>
    </row>
    <row r="205" spans="1:11" x14ac:dyDescent="0.35">
      <c r="A205">
        <f t="shared" si="3"/>
        <v>2</v>
      </c>
      <c r="C205" s="14">
        <v>12</v>
      </c>
      <c r="D205" s="80">
        <v>19</v>
      </c>
      <c r="E205" s="1" t="s">
        <v>292</v>
      </c>
      <c r="F205" s="80">
        <v>26</v>
      </c>
      <c r="G205" s="63">
        <v>13</v>
      </c>
      <c r="H205" s="46" t="s">
        <v>27</v>
      </c>
      <c r="J205" s="14" t="s">
        <v>285</v>
      </c>
    </row>
    <row r="206" spans="1:11" x14ac:dyDescent="0.35">
      <c r="A206">
        <f t="shared" si="3"/>
        <v>1.4615384615384615</v>
      </c>
      <c r="C206" s="14">
        <v>13</v>
      </c>
      <c r="D206" s="80">
        <v>11</v>
      </c>
      <c r="E206" s="1" t="s">
        <v>74</v>
      </c>
      <c r="F206" s="80">
        <v>19</v>
      </c>
      <c r="G206" s="63">
        <v>13</v>
      </c>
      <c r="H206" s="46" t="s">
        <v>56</v>
      </c>
      <c r="J206" s="14" t="s">
        <v>331</v>
      </c>
    </row>
    <row r="207" spans="1:11" x14ac:dyDescent="0.35">
      <c r="A207">
        <f t="shared" si="3"/>
        <v>1.0769230769230769</v>
      </c>
      <c r="C207" s="14">
        <v>14</v>
      </c>
      <c r="E207" s="1" t="s">
        <v>65</v>
      </c>
      <c r="F207" s="80">
        <v>14</v>
      </c>
      <c r="G207" s="63">
        <v>13</v>
      </c>
      <c r="H207" s="46" t="s">
        <v>785</v>
      </c>
      <c r="J207" s="14" t="s">
        <v>186</v>
      </c>
    </row>
    <row r="208" spans="1:11" x14ac:dyDescent="0.35">
      <c r="A208">
        <f t="shared" si="3"/>
        <v>1.0909090909090908</v>
      </c>
      <c r="C208" s="14">
        <v>15</v>
      </c>
      <c r="D208" s="80">
        <v>21</v>
      </c>
      <c r="E208" s="1" t="s">
        <v>59</v>
      </c>
      <c r="F208" s="80">
        <v>12</v>
      </c>
      <c r="G208" s="63">
        <v>11</v>
      </c>
      <c r="H208" s="46" t="s">
        <v>796</v>
      </c>
      <c r="J208" s="14" t="s">
        <v>365</v>
      </c>
    </row>
    <row r="209" spans="1:11" x14ac:dyDescent="0.35">
      <c r="A209">
        <f t="shared" si="3"/>
        <v>1.2</v>
      </c>
      <c r="C209" s="14">
        <v>16</v>
      </c>
      <c r="D209" s="80">
        <v>8</v>
      </c>
      <c r="E209" s="1" t="s">
        <v>34</v>
      </c>
      <c r="F209" s="80">
        <v>18</v>
      </c>
      <c r="G209" s="63">
        <v>15</v>
      </c>
      <c r="H209" s="46" t="s">
        <v>23</v>
      </c>
      <c r="J209" s="14" t="s">
        <v>423</v>
      </c>
    </row>
    <row r="210" spans="1:11" x14ac:dyDescent="0.35">
      <c r="A210">
        <f t="shared" si="3"/>
        <v>1.1578947368421053</v>
      </c>
      <c r="C210" s="14">
        <v>17</v>
      </c>
      <c r="E210" s="1" t="s">
        <v>66</v>
      </c>
      <c r="F210" s="80">
        <v>22</v>
      </c>
      <c r="G210" s="63">
        <v>19</v>
      </c>
      <c r="H210" s="46" t="s">
        <v>789</v>
      </c>
      <c r="J210" s="14" t="s">
        <v>606</v>
      </c>
    </row>
    <row r="211" spans="1:11" x14ac:dyDescent="0.35">
      <c r="A211">
        <f t="shared" si="3"/>
        <v>1.8333333333333333</v>
      </c>
      <c r="C211" s="14">
        <v>18</v>
      </c>
      <c r="E211" s="1" t="s">
        <v>793</v>
      </c>
      <c r="F211" s="80">
        <v>22</v>
      </c>
      <c r="G211" s="63">
        <v>12</v>
      </c>
      <c r="H211" s="46" t="s">
        <v>64</v>
      </c>
      <c r="J211" s="14" t="s">
        <v>178</v>
      </c>
    </row>
    <row r="212" spans="1:11" x14ac:dyDescent="0.35">
      <c r="A212">
        <f t="shared" si="3"/>
        <v>1.625</v>
      </c>
      <c r="C212" s="14">
        <v>19</v>
      </c>
      <c r="E212" s="1" t="s">
        <v>28</v>
      </c>
      <c r="F212" s="80">
        <v>26</v>
      </c>
      <c r="G212" s="63">
        <v>16</v>
      </c>
      <c r="H212" s="46" t="s">
        <v>32</v>
      </c>
      <c r="J212" s="14" t="s">
        <v>886</v>
      </c>
    </row>
    <row r="213" spans="1:11" x14ac:dyDescent="0.35">
      <c r="A213">
        <f t="shared" si="3"/>
        <v>4.25</v>
      </c>
      <c r="C213" s="14">
        <v>20</v>
      </c>
      <c r="D213" s="80">
        <v>20</v>
      </c>
      <c r="E213" s="1" t="s">
        <v>300</v>
      </c>
      <c r="F213" s="80">
        <v>34</v>
      </c>
      <c r="G213" s="63">
        <v>8</v>
      </c>
      <c r="H213" s="46" t="s">
        <v>73</v>
      </c>
      <c r="J213" s="14" t="s">
        <v>361</v>
      </c>
      <c r="K213" t="s">
        <v>887</v>
      </c>
    </row>
    <row r="214" spans="1:11" x14ac:dyDescent="0.35">
      <c r="A214">
        <f t="shared" si="3"/>
        <v>1.4444444444444444</v>
      </c>
      <c r="C214" s="14">
        <v>21</v>
      </c>
      <c r="D214" s="80">
        <v>25</v>
      </c>
      <c r="E214" s="1" t="s">
        <v>82</v>
      </c>
      <c r="F214" s="80">
        <v>13</v>
      </c>
      <c r="G214" s="63">
        <v>9</v>
      </c>
      <c r="H214" s="46" t="s">
        <v>50</v>
      </c>
      <c r="J214" s="14" t="s">
        <v>561</v>
      </c>
    </row>
    <row r="215" spans="1:11" x14ac:dyDescent="0.35">
      <c r="A215">
        <f t="shared" si="3"/>
        <v>2</v>
      </c>
      <c r="C215" s="14">
        <v>22</v>
      </c>
      <c r="E215" s="1" t="s">
        <v>795</v>
      </c>
      <c r="F215" s="80">
        <v>18</v>
      </c>
      <c r="G215" s="63">
        <v>9</v>
      </c>
      <c r="H215" s="46" t="s">
        <v>115</v>
      </c>
      <c r="J215" s="14" t="s">
        <v>191</v>
      </c>
    </row>
    <row r="216" spans="1:11" x14ac:dyDescent="0.35">
      <c r="A216">
        <f t="shared" si="3"/>
        <v>1.625</v>
      </c>
      <c r="C216" s="14">
        <v>23</v>
      </c>
      <c r="E216" s="1" t="s">
        <v>48</v>
      </c>
      <c r="F216" s="80">
        <v>26</v>
      </c>
      <c r="G216" s="63">
        <v>16</v>
      </c>
      <c r="H216" s="46" t="s">
        <v>86</v>
      </c>
      <c r="I216" s="63">
        <v>13</v>
      </c>
      <c r="J216" s="14" t="s">
        <v>332</v>
      </c>
    </row>
    <row r="217" spans="1:11" x14ac:dyDescent="0.35">
      <c r="A217">
        <f t="shared" si="3"/>
        <v>1.1333333333333333</v>
      </c>
      <c r="C217" s="14">
        <v>24</v>
      </c>
      <c r="E217" s="1" t="s">
        <v>68</v>
      </c>
      <c r="F217" s="80">
        <v>17</v>
      </c>
      <c r="G217" s="63">
        <v>15</v>
      </c>
      <c r="H217" s="46" t="s">
        <v>909</v>
      </c>
      <c r="J217" s="14" t="s">
        <v>184</v>
      </c>
    </row>
    <row r="218" spans="1:11" x14ac:dyDescent="0.35">
      <c r="A218">
        <f t="shared" si="3"/>
        <v>1.3846153846153846</v>
      </c>
      <c r="C218" s="14">
        <v>25</v>
      </c>
      <c r="E218" s="1" t="s">
        <v>81</v>
      </c>
      <c r="F218" s="80">
        <v>18</v>
      </c>
      <c r="G218" s="63">
        <v>13</v>
      </c>
      <c r="H218" s="46" t="s">
        <v>51</v>
      </c>
      <c r="J218" s="14" t="s">
        <v>178</v>
      </c>
    </row>
    <row r="219" spans="1:11" x14ac:dyDescent="0.35">
      <c r="A219">
        <f t="shared" si="3"/>
        <v>5</v>
      </c>
      <c r="C219" s="14">
        <v>26</v>
      </c>
      <c r="D219" s="80">
        <v>23</v>
      </c>
      <c r="E219" s="1" t="s">
        <v>87</v>
      </c>
      <c r="F219" s="80">
        <v>25</v>
      </c>
      <c r="G219" s="63">
        <v>5</v>
      </c>
      <c r="H219" s="46" t="s">
        <v>47</v>
      </c>
      <c r="J219" s="14" t="s">
        <v>201</v>
      </c>
      <c r="K219" t="s">
        <v>888</v>
      </c>
    </row>
    <row r="220" spans="1:11" x14ac:dyDescent="0.35">
      <c r="A220">
        <f t="shared" si="3"/>
        <v>1.5</v>
      </c>
      <c r="C220" s="14">
        <v>27</v>
      </c>
      <c r="E220" s="1" t="s">
        <v>58</v>
      </c>
      <c r="F220" s="80">
        <v>12</v>
      </c>
      <c r="G220" s="63">
        <v>8</v>
      </c>
      <c r="H220" s="46" t="s">
        <v>88</v>
      </c>
      <c r="J220" s="14" t="s">
        <v>190</v>
      </c>
    </row>
    <row r="221" spans="1:11" x14ac:dyDescent="0.35">
      <c r="A221">
        <f t="shared" si="3"/>
        <v>1.2941176470588236</v>
      </c>
      <c r="C221" s="14">
        <v>28</v>
      </c>
      <c r="E221" s="1" t="s">
        <v>84</v>
      </c>
      <c r="F221" s="80">
        <v>22</v>
      </c>
      <c r="G221" s="63">
        <v>17</v>
      </c>
      <c r="H221" s="46" t="s">
        <v>57</v>
      </c>
      <c r="I221" s="63">
        <v>10</v>
      </c>
      <c r="J221" s="14" t="s">
        <v>332</v>
      </c>
    </row>
    <row r="222" spans="1:11" x14ac:dyDescent="0.35">
      <c r="A222">
        <f t="shared" si="3"/>
        <v>1.5</v>
      </c>
      <c r="C222" s="14">
        <v>29</v>
      </c>
      <c r="E222" s="1" t="s">
        <v>71</v>
      </c>
      <c r="F222" s="80">
        <v>18</v>
      </c>
      <c r="G222" s="63">
        <v>12</v>
      </c>
      <c r="H222" s="46" t="s">
        <v>790</v>
      </c>
      <c r="J222" s="14" t="s">
        <v>507</v>
      </c>
    </row>
    <row r="223" spans="1:11" x14ac:dyDescent="0.35">
      <c r="A223">
        <f t="shared" si="3"/>
        <v>1.6666666666666667</v>
      </c>
      <c r="C223" s="14">
        <v>30</v>
      </c>
      <c r="E223" s="1" t="s">
        <v>33</v>
      </c>
      <c r="F223" s="80">
        <v>20</v>
      </c>
      <c r="G223" s="63">
        <v>12</v>
      </c>
      <c r="H223" s="46" t="s">
        <v>24</v>
      </c>
      <c r="I223" s="63">
        <v>14</v>
      </c>
      <c r="J223" s="14" t="s">
        <v>404</v>
      </c>
    </row>
    <row r="224" spans="1:11" x14ac:dyDescent="0.35">
      <c r="A224">
        <f t="shared" si="3"/>
        <v>1.2857142857142858</v>
      </c>
      <c r="C224" s="14">
        <v>31</v>
      </c>
      <c r="E224" s="1" t="s">
        <v>54</v>
      </c>
      <c r="F224" s="80">
        <v>18</v>
      </c>
      <c r="G224" s="63">
        <v>14</v>
      </c>
      <c r="H224" s="46" t="s">
        <v>79</v>
      </c>
      <c r="I224" s="63">
        <v>7</v>
      </c>
      <c r="J224" s="14" t="s">
        <v>288</v>
      </c>
    </row>
    <row r="225" spans="1:11" x14ac:dyDescent="0.35">
      <c r="A225">
        <f t="shared" si="3"/>
        <v>2.4</v>
      </c>
      <c r="C225" s="14">
        <v>32</v>
      </c>
      <c r="E225" s="1" t="s">
        <v>118</v>
      </c>
      <c r="F225" s="80">
        <v>12</v>
      </c>
      <c r="G225" s="63">
        <v>5</v>
      </c>
      <c r="H225" s="46" t="s">
        <v>78</v>
      </c>
      <c r="J225" s="14" t="s">
        <v>447</v>
      </c>
    </row>
    <row r="226" spans="1:11" x14ac:dyDescent="0.35">
      <c r="A226">
        <f t="shared" si="3"/>
        <v>2.625</v>
      </c>
      <c r="C226" s="14">
        <v>33</v>
      </c>
      <c r="D226" s="80">
        <v>6</v>
      </c>
      <c r="E226" s="1" t="s">
        <v>31</v>
      </c>
      <c r="F226" s="80">
        <v>21</v>
      </c>
      <c r="G226" s="63">
        <v>8</v>
      </c>
      <c r="H226" s="46" t="s">
        <v>30</v>
      </c>
      <c r="J226" s="14" t="s">
        <v>404</v>
      </c>
    </row>
    <row r="227" spans="1:11" x14ac:dyDescent="0.35">
      <c r="A227">
        <f t="shared" si="3"/>
        <v>1.1111111111111112</v>
      </c>
      <c r="C227" s="14">
        <v>34</v>
      </c>
      <c r="E227" s="1" t="s">
        <v>787</v>
      </c>
      <c r="F227" s="80">
        <v>20</v>
      </c>
      <c r="G227" s="63">
        <v>18</v>
      </c>
      <c r="H227" s="46" t="s">
        <v>114</v>
      </c>
      <c r="I227" s="63">
        <v>9</v>
      </c>
      <c r="J227" s="14" t="s">
        <v>299</v>
      </c>
      <c r="K227" t="s">
        <v>889</v>
      </c>
    </row>
    <row r="228" spans="1:11" x14ac:dyDescent="0.35">
      <c r="A228">
        <f t="shared" si="3"/>
        <v>1.2352941176470589</v>
      </c>
      <c r="C228" s="14">
        <v>35</v>
      </c>
      <c r="E228" s="1" t="s">
        <v>900</v>
      </c>
      <c r="F228" s="80">
        <v>21</v>
      </c>
      <c r="G228" s="63">
        <v>17</v>
      </c>
      <c r="H228" s="46" t="s">
        <v>40</v>
      </c>
      <c r="I228" s="63">
        <v>12</v>
      </c>
      <c r="J228" s="14" t="s">
        <v>347</v>
      </c>
    </row>
    <row r="229" spans="1:11" x14ac:dyDescent="0.35">
      <c r="A229">
        <f t="shared" si="3"/>
        <v>1.5454545454545454</v>
      </c>
      <c r="C229" s="14">
        <v>36</v>
      </c>
      <c r="D229" s="80">
        <v>3</v>
      </c>
      <c r="E229" s="1" t="s">
        <v>49</v>
      </c>
      <c r="F229" s="80">
        <v>17</v>
      </c>
      <c r="G229" s="63">
        <v>11</v>
      </c>
      <c r="H229" s="46" t="s">
        <v>83</v>
      </c>
      <c r="J229" s="14" t="s">
        <v>365</v>
      </c>
    </row>
    <row r="230" spans="1:11" x14ac:dyDescent="0.35">
      <c r="A230">
        <f t="shared" si="3"/>
        <v>1.8181818181818181</v>
      </c>
      <c r="C230" s="14">
        <v>37</v>
      </c>
      <c r="E230" s="1" t="s">
        <v>792</v>
      </c>
      <c r="F230" s="80">
        <v>20</v>
      </c>
      <c r="G230" s="63">
        <v>11</v>
      </c>
      <c r="H230" s="46" t="s">
        <v>67</v>
      </c>
      <c r="J230" s="14" t="s">
        <v>361</v>
      </c>
    </row>
    <row r="231" spans="1:11" x14ac:dyDescent="0.35">
      <c r="A231">
        <f t="shared" si="3"/>
        <v>1.5333333333333334</v>
      </c>
      <c r="C231" s="14">
        <v>38</v>
      </c>
      <c r="E231" s="1" t="s">
        <v>45</v>
      </c>
      <c r="F231" s="80">
        <v>23</v>
      </c>
      <c r="G231" s="63">
        <v>15</v>
      </c>
      <c r="H231" s="46" t="s">
        <v>1859</v>
      </c>
      <c r="J231" s="14" t="s">
        <v>285</v>
      </c>
    </row>
    <row r="232" spans="1:11" x14ac:dyDescent="0.35">
      <c r="A232">
        <f t="shared" si="3"/>
        <v>1.0625</v>
      </c>
      <c r="C232" s="14">
        <v>39</v>
      </c>
      <c r="E232" s="1" t="s">
        <v>43</v>
      </c>
      <c r="F232" s="80">
        <v>17</v>
      </c>
      <c r="G232" s="63">
        <v>16</v>
      </c>
      <c r="H232" s="46" t="s">
        <v>46</v>
      </c>
      <c r="J232" s="14" t="s">
        <v>507</v>
      </c>
    </row>
    <row r="233" spans="1:11" x14ac:dyDescent="0.35">
      <c r="A233">
        <f t="shared" si="3"/>
        <v>1.1875</v>
      </c>
      <c r="C233" s="14">
        <v>40</v>
      </c>
      <c r="E233" s="1" t="s">
        <v>29</v>
      </c>
      <c r="F233" s="80">
        <v>19</v>
      </c>
      <c r="G233" s="63">
        <v>16</v>
      </c>
      <c r="H233" s="46" t="s">
        <v>119</v>
      </c>
      <c r="I233" s="63">
        <v>4</v>
      </c>
      <c r="J233" s="14" t="s">
        <v>347</v>
      </c>
    </row>
    <row r="234" spans="1:11" x14ac:dyDescent="0.35">
      <c r="A234">
        <f t="shared" si="3"/>
        <v>1.875</v>
      </c>
      <c r="C234" s="14">
        <v>41</v>
      </c>
      <c r="E234" s="1" t="s">
        <v>60</v>
      </c>
      <c r="F234" s="80">
        <v>15</v>
      </c>
      <c r="G234" s="63">
        <v>8</v>
      </c>
      <c r="H234" s="46" t="s">
        <v>784</v>
      </c>
      <c r="I234" s="63">
        <v>22</v>
      </c>
      <c r="J234" s="14" t="s">
        <v>397</v>
      </c>
    </row>
    <row r="235" spans="1:11" x14ac:dyDescent="0.35">
      <c r="A235">
        <f t="shared" si="3"/>
        <v>1.6923076923076923</v>
      </c>
      <c r="C235" s="14">
        <v>42</v>
      </c>
      <c r="E235" s="1" t="s">
        <v>80</v>
      </c>
      <c r="F235" s="80">
        <v>22</v>
      </c>
      <c r="G235" s="63">
        <v>13</v>
      </c>
      <c r="H235" s="46" t="s">
        <v>145</v>
      </c>
      <c r="J235" s="14" t="s">
        <v>347</v>
      </c>
    </row>
    <row r="236" spans="1:11" x14ac:dyDescent="0.35">
      <c r="A236">
        <f t="shared" si="3"/>
        <v>1.25</v>
      </c>
      <c r="C236" s="14">
        <v>43</v>
      </c>
      <c r="E236" s="1" t="s">
        <v>36</v>
      </c>
      <c r="F236" s="80">
        <v>25</v>
      </c>
      <c r="G236" s="63">
        <v>20</v>
      </c>
      <c r="H236" s="46" t="s">
        <v>39</v>
      </c>
      <c r="J236" s="14" t="s">
        <v>621</v>
      </c>
    </row>
    <row r="237" spans="1:11" x14ac:dyDescent="0.35">
      <c r="A237">
        <f t="shared" si="3"/>
        <v>1.1875</v>
      </c>
      <c r="C237" s="14">
        <v>44</v>
      </c>
      <c r="D237" s="80">
        <v>16</v>
      </c>
      <c r="E237" s="1" t="s">
        <v>26</v>
      </c>
      <c r="F237" s="80">
        <v>19</v>
      </c>
      <c r="G237" s="63">
        <v>16</v>
      </c>
      <c r="H237" s="46" t="s">
        <v>1860</v>
      </c>
      <c r="J237" s="14" t="s">
        <v>606</v>
      </c>
      <c r="K237" t="s">
        <v>890</v>
      </c>
    </row>
    <row r="238" spans="1:11" x14ac:dyDescent="0.35">
      <c r="A238">
        <f t="shared" si="3"/>
        <v>1.5384615384615385</v>
      </c>
      <c r="C238" s="14">
        <v>45</v>
      </c>
      <c r="E238" s="1" t="s">
        <v>783</v>
      </c>
      <c r="F238" s="80">
        <v>20</v>
      </c>
      <c r="G238" s="63">
        <v>13</v>
      </c>
      <c r="H238" s="46" t="s">
        <v>62</v>
      </c>
      <c r="I238" s="63">
        <v>17</v>
      </c>
      <c r="J238" s="14" t="s">
        <v>397</v>
      </c>
    </row>
    <row r="239" spans="1:11" x14ac:dyDescent="0.35">
      <c r="A239">
        <f t="shared" si="3"/>
        <v>1.2142857142857142</v>
      </c>
      <c r="C239" s="14">
        <v>46</v>
      </c>
      <c r="E239" s="1" t="s">
        <v>37</v>
      </c>
      <c r="F239" s="80">
        <v>17</v>
      </c>
      <c r="G239" s="63">
        <v>14</v>
      </c>
      <c r="H239" s="46" t="s">
        <v>35</v>
      </c>
      <c r="I239" s="63">
        <v>24</v>
      </c>
      <c r="J239" s="14" t="s">
        <v>334</v>
      </c>
    </row>
    <row r="240" spans="1:11" x14ac:dyDescent="0.35">
      <c r="A240">
        <f t="shared" si="3"/>
        <v>1.8571428571428572</v>
      </c>
      <c r="C240" s="14">
        <v>47</v>
      </c>
      <c r="D240" s="80">
        <v>1</v>
      </c>
      <c r="E240" s="1" t="s">
        <v>69</v>
      </c>
      <c r="F240" s="80">
        <v>26</v>
      </c>
      <c r="G240" s="63">
        <v>14</v>
      </c>
      <c r="H240" s="46" t="s">
        <v>788</v>
      </c>
      <c r="I240" s="63">
        <v>15</v>
      </c>
      <c r="J240" s="14" t="s">
        <v>413</v>
      </c>
    </row>
    <row r="241" spans="1:11" ht="15" thickBot="1" x14ac:dyDescent="0.4">
      <c r="A241">
        <f t="shared" si="3"/>
        <v>1.2727272727272727</v>
      </c>
      <c r="C241" s="23">
        <v>48</v>
      </c>
      <c r="D241" s="55">
        <v>2</v>
      </c>
      <c r="E241" s="44" t="s">
        <v>41</v>
      </c>
      <c r="F241" s="55">
        <v>14</v>
      </c>
      <c r="G241" s="56">
        <v>11</v>
      </c>
      <c r="H241" s="57" t="s">
        <v>42</v>
      </c>
      <c r="I241" s="56">
        <v>5</v>
      </c>
      <c r="J241" s="12" t="s">
        <v>191</v>
      </c>
      <c r="K241" s="12" t="s">
        <v>891</v>
      </c>
    </row>
    <row r="242" spans="1:11" x14ac:dyDescent="0.35">
      <c r="A242">
        <f t="shared" si="3"/>
        <v>2.3636363636363638</v>
      </c>
      <c r="C242" s="14">
        <v>1</v>
      </c>
      <c r="E242" s="1" t="s">
        <v>72</v>
      </c>
      <c r="F242" s="80">
        <v>26</v>
      </c>
      <c r="G242" s="63">
        <v>11</v>
      </c>
      <c r="H242" s="46" t="s">
        <v>66</v>
      </c>
      <c r="J242" s="14" t="s">
        <v>871</v>
      </c>
    </row>
    <row r="243" spans="1:11" x14ac:dyDescent="0.35">
      <c r="A243">
        <f t="shared" si="3"/>
        <v>1.3333333333333333</v>
      </c>
      <c r="C243" s="14">
        <v>2</v>
      </c>
      <c r="D243" s="80">
        <v>17</v>
      </c>
      <c r="E243" s="1" t="s">
        <v>783</v>
      </c>
      <c r="F243" s="80">
        <v>24</v>
      </c>
      <c r="G243" s="63">
        <v>18</v>
      </c>
      <c r="H243" s="46" t="s">
        <v>908</v>
      </c>
      <c r="J243" s="14" t="s">
        <v>507</v>
      </c>
    </row>
    <row r="244" spans="1:11" x14ac:dyDescent="0.35">
      <c r="A244">
        <f t="shared" si="3"/>
        <v>1.1428571428571428</v>
      </c>
      <c r="C244" s="14">
        <v>3</v>
      </c>
      <c r="E244" s="1" t="s">
        <v>25</v>
      </c>
      <c r="F244" s="80">
        <v>16</v>
      </c>
      <c r="G244" s="63">
        <v>14</v>
      </c>
      <c r="H244" s="46" t="s">
        <v>24</v>
      </c>
      <c r="I244" s="63">
        <v>24</v>
      </c>
      <c r="J244" s="14" t="s">
        <v>360</v>
      </c>
      <c r="K244" t="s">
        <v>892</v>
      </c>
    </row>
    <row r="245" spans="1:11" x14ac:dyDescent="0.35">
      <c r="A245">
        <f t="shared" si="3"/>
        <v>2</v>
      </c>
      <c r="C245" s="14">
        <v>4</v>
      </c>
      <c r="E245" s="1" t="s">
        <v>77</v>
      </c>
      <c r="F245" s="80">
        <v>12</v>
      </c>
      <c r="G245" s="63">
        <v>6</v>
      </c>
      <c r="H245" s="46" t="s">
        <v>76</v>
      </c>
      <c r="J245" s="14" t="s">
        <v>403</v>
      </c>
    </row>
    <row r="246" spans="1:11" x14ac:dyDescent="0.35">
      <c r="A246">
        <f t="shared" si="3"/>
        <v>4.25</v>
      </c>
      <c r="C246" s="14">
        <v>5</v>
      </c>
      <c r="E246" s="1" t="s">
        <v>35</v>
      </c>
      <c r="F246" s="80">
        <v>17</v>
      </c>
      <c r="G246" s="63">
        <v>4</v>
      </c>
      <c r="H246" s="46" t="s">
        <v>38</v>
      </c>
      <c r="J246" s="14" t="s">
        <v>200</v>
      </c>
    </row>
    <row r="247" spans="1:11" x14ac:dyDescent="0.35">
      <c r="A247">
        <f t="shared" si="3"/>
        <v>1.9</v>
      </c>
      <c r="C247" s="14">
        <v>6</v>
      </c>
      <c r="E247" s="1" t="s">
        <v>48</v>
      </c>
      <c r="F247" s="80">
        <v>19</v>
      </c>
      <c r="G247" s="63">
        <v>10</v>
      </c>
      <c r="H247" s="46" t="s">
        <v>52</v>
      </c>
      <c r="J247" s="14" t="s">
        <v>507</v>
      </c>
    </row>
    <row r="248" spans="1:11" x14ac:dyDescent="0.35">
      <c r="A248">
        <f t="shared" si="3"/>
        <v>1.5</v>
      </c>
      <c r="C248" s="14">
        <v>7</v>
      </c>
      <c r="E248" s="1" t="s">
        <v>791</v>
      </c>
      <c r="F248" s="80">
        <v>18</v>
      </c>
      <c r="G248" s="63">
        <v>12</v>
      </c>
      <c r="H248" s="46" t="s">
        <v>788</v>
      </c>
      <c r="I248" s="63">
        <v>15</v>
      </c>
      <c r="J248" s="14" t="s">
        <v>397</v>
      </c>
    </row>
    <row r="249" spans="1:11" x14ac:dyDescent="0.35">
      <c r="A249">
        <f t="shared" si="3"/>
        <v>1.4545454545454546</v>
      </c>
      <c r="C249" s="14">
        <v>8</v>
      </c>
      <c r="E249" s="1" t="s">
        <v>115</v>
      </c>
      <c r="F249" s="80">
        <v>16</v>
      </c>
      <c r="G249" s="63">
        <v>11</v>
      </c>
      <c r="H249" s="46" t="s">
        <v>63</v>
      </c>
      <c r="J249" s="14" t="s">
        <v>294</v>
      </c>
    </row>
    <row r="250" spans="1:11" x14ac:dyDescent="0.35">
      <c r="A250">
        <f t="shared" si="3"/>
        <v>1.5</v>
      </c>
      <c r="C250" s="14">
        <v>9</v>
      </c>
      <c r="E250" s="1" t="s">
        <v>795</v>
      </c>
      <c r="F250" s="80">
        <v>12</v>
      </c>
      <c r="G250" s="63">
        <v>8</v>
      </c>
      <c r="H250" s="46" t="s">
        <v>786</v>
      </c>
      <c r="J250" s="14" t="s">
        <v>893</v>
      </c>
    </row>
    <row r="251" spans="1:11" x14ac:dyDescent="0.35">
      <c r="A251">
        <f t="shared" si="3"/>
        <v>1.0833333333333333</v>
      </c>
      <c r="C251" s="14">
        <v>10</v>
      </c>
      <c r="E251" s="1" t="s">
        <v>1858</v>
      </c>
      <c r="F251" s="80">
        <v>13</v>
      </c>
      <c r="G251" s="63">
        <v>12</v>
      </c>
      <c r="H251" s="46" t="s">
        <v>43</v>
      </c>
      <c r="J251" s="14" t="s">
        <v>365</v>
      </c>
    </row>
    <row r="252" spans="1:11" x14ac:dyDescent="0.35">
      <c r="A252">
        <f t="shared" si="3"/>
        <v>5.25</v>
      </c>
      <c r="C252" s="14">
        <v>11</v>
      </c>
      <c r="E252" s="1" t="s">
        <v>28</v>
      </c>
      <c r="F252" s="80">
        <v>21</v>
      </c>
      <c r="G252" s="63">
        <v>4</v>
      </c>
      <c r="H252" s="46" t="s">
        <v>27</v>
      </c>
      <c r="J252" s="14" t="s">
        <v>495</v>
      </c>
    </row>
    <row r="253" spans="1:11" x14ac:dyDescent="0.35">
      <c r="A253">
        <f t="shared" si="3"/>
        <v>2</v>
      </c>
      <c r="C253" s="14">
        <v>12</v>
      </c>
      <c r="E253" s="1" t="s">
        <v>53</v>
      </c>
      <c r="F253" s="80">
        <v>20</v>
      </c>
      <c r="G253" s="63">
        <v>10</v>
      </c>
      <c r="H253" s="46" t="s">
        <v>117</v>
      </c>
      <c r="J253" s="14" t="s">
        <v>178</v>
      </c>
    </row>
    <row r="254" spans="1:11" x14ac:dyDescent="0.35">
      <c r="A254">
        <f t="shared" si="3"/>
        <v>1.25</v>
      </c>
      <c r="C254" s="14">
        <v>13</v>
      </c>
      <c r="D254" s="80">
        <v>11</v>
      </c>
      <c r="E254" s="1" t="s">
        <v>300</v>
      </c>
      <c r="F254" s="80">
        <v>20</v>
      </c>
      <c r="G254" s="63">
        <v>16</v>
      </c>
      <c r="H254" s="46" t="s">
        <v>56</v>
      </c>
      <c r="J254" s="14" t="s">
        <v>369</v>
      </c>
    </row>
    <row r="255" spans="1:11" x14ac:dyDescent="0.35">
      <c r="A255">
        <f t="shared" si="3"/>
        <v>3.125</v>
      </c>
      <c r="C255" s="14">
        <v>14</v>
      </c>
      <c r="D255" s="80">
        <v>25</v>
      </c>
      <c r="E255" s="1" t="s">
        <v>59</v>
      </c>
      <c r="F255" s="80">
        <v>25</v>
      </c>
      <c r="G255" s="63">
        <v>8</v>
      </c>
      <c r="H255" s="46" t="s">
        <v>64</v>
      </c>
      <c r="J255" s="14" t="s">
        <v>286</v>
      </c>
    </row>
    <row r="256" spans="1:11" x14ac:dyDescent="0.35">
      <c r="A256">
        <f t="shared" si="3"/>
        <v>1.2222222222222223</v>
      </c>
      <c r="C256" s="14">
        <v>15</v>
      </c>
      <c r="E256" s="1" t="s">
        <v>73</v>
      </c>
      <c r="F256" s="80">
        <v>22</v>
      </c>
      <c r="G256" s="63">
        <v>18</v>
      </c>
      <c r="H256" s="46" t="s">
        <v>74</v>
      </c>
      <c r="I256" s="63">
        <v>8</v>
      </c>
      <c r="J256" s="14" t="s">
        <v>184</v>
      </c>
    </row>
    <row r="257" spans="1:11" x14ac:dyDescent="0.35">
      <c r="A257">
        <f t="shared" si="3"/>
        <v>1.4285714285714286</v>
      </c>
      <c r="C257" s="14">
        <v>16</v>
      </c>
      <c r="E257" s="1" t="s">
        <v>785</v>
      </c>
      <c r="F257" s="80">
        <v>20</v>
      </c>
      <c r="G257" s="63">
        <v>14</v>
      </c>
      <c r="H257" s="46" t="s">
        <v>784</v>
      </c>
      <c r="J257" s="14" t="s">
        <v>185</v>
      </c>
    </row>
    <row r="258" spans="1:11" x14ac:dyDescent="0.35">
      <c r="A258">
        <f t="shared" si="3"/>
        <v>1.875</v>
      </c>
      <c r="C258" s="14">
        <v>17</v>
      </c>
      <c r="D258" s="80">
        <v>9</v>
      </c>
      <c r="E258" s="1" t="s">
        <v>26</v>
      </c>
      <c r="F258" s="80">
        <v>15</v>
      </c>
      <c r="G258" s="63">
        <v>8</v>
      </c>
      <c r="H258" s="46" t="s">
        <v>23</v>
      </c>
      <c r="J258" s="14" t="s">
        <v>365</v>
      </c>
    </row>
    <row r="259" spans="1:11" x14ac:dyDescent="0.35">
      <c r="A259">
        <f t="shared" ref="A259:A322" si="4">(F259/G259)</f>
        <v>1.3571428571428572</v>
      </c>
      <c r="C259" s="14">
        <v>18</v>
      </c>
      <c r="E259" s="1" t="s">
        <v>60</v>
      </c>
      <c r="F259" s="80">
        <v>19</v>
      </c>
      <c r="G259" s="63">
        <v>14</v>
      </c>
      <c r="H259" s="46" t="s">
        <v>65</v>
      </c>
      <c r="J259" s="14" t="s">
        <v>178</v>
      </c>
    </row>
    <row r="260" spans="1:11" x14ac:dyDescent="0.35">
      <c r="A260">
        <f t="shared" si="4"/>
        <v>1.588235294117647</v>
      </c>
      <c r="C260" s="14">
        <v>19</v>
      </c>
      <c r="E260" s="1" t="s">
        <v>796</v>
      </c>
      <c r="F260" s="80">
        <v>27</v>
      </c>
      <c r="G260" s="63">
        <v>17</v>
      </c>
      <c r="H260" s="46" t="s">
        <v>793</v>
      </c>
      <c r="J260" s="14" t="s">
        <v>290</v>
      </c>
    </row>
    <row r="261" spans="1:11" x14ac:dyDescent="0.35">
      <c r="A261">
        <f t="shared" si="4"/>
        <v>1.5555555555555556</v>
      </c>
      <c r="C261" s="14">
        <v>20</v>
      </c>
      <c r="E261" s="1" t="s">
        <v>47</v>
      </c>
      <c r="F261" s="80">
        <v>14</v>
      </c>
      <c r="G261" s="63">
        <v>9</v>
      </c>
      <c r="H261" s="46" t="s">
        <v>51</v>
      </c>
      <c r="J261" s="14" t="s">
        <v>281</v>
      </c>
    </row>
    <row r="262" spans="1:11" x14ac:dyDescent="0.35">
      <c r="A262">
        <f t="shared" si="4"/>
        <v>1.0666666666666667</v>
      </c>
      <c r="C262" s="14">
        <v>21</v>
      </c>
      <c r="D262" s="80">
        <v>23</v>
      </c>
      <c r="E262" s="1" t="s">
        <v>86</v>
      </c>
      <c r="F262" s="80">
        <v>16</v>
      </c>
      <c r="G262" s="63">
        <v>15</v>
      </c>
      <c r="H262" s="46" t="s">
        <v>85</v>
      </c>
      <c r="J262" s="14" t="s">
        <v>369</v>
      </c>
      <c r="K262" t="s">
        <v>894</v>
      </c>
    </row>
    <row r="263" spans="1:11" x14ac:dyDescent="0.35">
      <c r="A263">
        <f t="shared" si="4"/>
        <v>1.4</v>
      </c>
      <c r="C263" s="14">
        <v>22</v>
      </c>
      <c r="E263" s="1" t="s">
        <v>794</v>
      </c>
      <c r="F263" s="80">
        <v>14</v>
      </c>
      <c r="G263" s="63">
        <v>10</v>
      </c>
      <c r="H263" s="46" t="s">
        <v>789</v>
      </c>
      <c r="J263" s="14" t="s">
        <v>400</v>
      </c>
    </row>
    <row r="264" spans="1:11" x14ac:dyDescent="0.35">
      <c r="A264">
        <f t="shared" si="4"/>
        <v>1.3076923076923077</v>
      </c>
      <c r="C264" s="14">
        <v>23</v>
      </c>
      <c r="E264" s="1" t="s">
        <v>75</v>
      </c>
      <c r="F264" s="80">
        <v>17</v>
      </c>
      <c r="G264" s="63">
        <v>13</v>
      </c>
      <c r="H264" s="46" t="s">
        <v>80</v>
      </c>
      <c r="J264" s="14" t="s">
        <v>299</v>
      </c>
    </row>
    <row r="265" spans="1:11" x14ac:dyDescent="0.35">
      <c r="A265">
        <f t="shared" si="4"/>
        <v>1.5</v>
      </c>
      <c r="C265" s="14">
        <v>24</v>
      </c>
      <c r="D265" s="80">
        <v>20</v>
      </c>
      <c r="E265" s="1" t="s">
        <v>62</v>
      </c>
      <c r="F265" s="80">
        <v>18</v>
      </c>
      <c r="G265" s="63">
        <v>12</v>
      </c>
      <c r="H265" s="46" t="s">
        <v>61</v>
      </c>
      <c r="J265" s="14" t="s">
        <v>331</v>
      </c>
    </row>
    <row r="266" spans="1:11" x14ac:dyDescent="0.35">
      <c r="A266">
        <f t="shared" si="4"/>
        <v>1.6666666666666667</v>
      </c>
      <c r="C266" s="14">
        <v>25</v>
      </c>
      <c r="E266" s="1" t="s">
        <v>33</v>
      </c>
      <c r="F266" s="80">
        <v>25</v>
      </c>
      <c r="G266" s="63">
        <v>15</v>
      </c>
      <c r="H266" s="46" t="s">
        <v>22</v>
      </c>
      <c r="J266" s="14" t="s">
        <v>191</v>
      </c>
    </row>
    <row r="267" spans="1:11" x14ac:dyDescent="0.35">
      <c r="A267">
        <f t="shared" si="4"/>
        <v>1.1428571428571428</v>
      </c>
      <c r="C267" s="14">
        <v>26</v>
      </c>
      <c r="E267" s="1" t="s">
        <v>88</v>
      </c>
      <c r="F267" s="80">
        <v>16</v>
      </c>
      <c r="G267" s="63">
        <v>14</v>
      </c>
      <c r="H267" s="46" t="s">
        <v>82</v>
      </c>
      <c r="I267" s="63">
        <v>22</v>
      </c>
      <c r="J267" s="14" t="s">
        <v>400</v>
      </c>
    </row>
    <row r="268" spans="1:11" x14ac:dyDescent="0.35">
      <c r="A268">
        <f t="shared" si="4"/>
        <v>1.1333333333333333</v>
      </c>
      <c r="C268" s="14">
        <v>27</v>
      </c>
      <c r="E268" s="1" t="s">
        <v>792</v>
      </c>
      <c r="F268" s="80">
        <v>17</v>
      </c>
      <c r="G268" s="63">
        <v>15</v>
      </c>
      <c r="H268" s="46" t="s">
        <v>909</v>
      </c>
      <c r="J268" s="14" t="s">
        <v>299</v>
      </c>
    </row>
    <row r="269" spans="1:11" x14ac:dyDescent="0.35">
      <c r="A269">
        <f t="shared" si="4"/>
        <v>1.125</v>
      </c>
      <c r="C269" s="14">
        <v>28</v>
      </c>
      <c r="E269" s="1" t="s">
        <v>790</v>
      </c>
      <c r="F269" s="80">
        <v>9</v>
      </c>
      <c r="G269" s="63">
        <v>8</v>
      </c>
      <c r="H269" s="46" t="s">
        <v>787</v>
      </c>
      <c r="J269" s="14" t="s">
        <v>403</v>
      </c>
    </row>
    <row r="270" spans="1:11" x14ac:dyDescent="0.35">
      <c r="A270">
        <f t="shared" si="4"/>
        <v>1.9</v>
      </c>
      <c r="C270" s="14">
        <v>29</v>
      </c>
      <c r="E270" s="1" t="s">
        <v>58</v>
      </c>
      <c r="F270" s="80">
        <v>19</v>
      </c>
      <c r="G270" s="63">
        <v>10</v>
      </c>
      <c r="H270" s="46" t="s">
        <v>50</v>
      </c>
      <c r="J270" s="14" t="s">
        <v>334</v>
      </c>
    </row>
    <row r="271" spans="1:11" x14ac:dyDescent="0.35">
      <c r="A271">
        <f t="shared" si="4"/>
        <v>1.0666666666666667</v>
      </c>
      <c r="C271" s="14">
        <v>30</v>
      </c>
      <c r="E271" s="1" t="s">
        <v>30</v>
      </c>
      <c r="F271" s="80">
        <v>16</v>
      </c>
      <c r="G271" s="63">
        <v>15</v>
      </c>
      <c r="H271" s="46" t="s">
        <v>29</v>
      </c>
      <c r="J271" s="14" t="s">
        <v>400</v>
      </c>
      <c r="K271" t="s">
        <v>895</v>
      </c>
    </row>
    <row r="272" spans="1:11" x14ac:dyDescent="0.35">
      <c r="A272">
        <f t="shared" si="4"/>
        <v>1.125</v>
      </c>
      <c r="C272" s="14">
        <v>31</v>
      </c>
      <c r="E272" s="1" t="s">
        <v>68</v>
      </c>
      <c r="F272" s="80">
        <v>18</v>
      </c>
      <c r="G272" s="63">
        <v>16</v>
      </c>
      <c r="H272" s="46" t="s">
        <v>67</v>
      </c>
      <c r="J272" s="14" t="s">
        <v>290</v>
      </c>
      <c r="K272" t="s">
        <v>896</v>
      </c>
    </row>
    <row r="273" spans="1:11" x14ac:dyDescent="0.35">
      <c r="A273">
        <f t="shared" si="4"/>
        <v>1.3846153846153846</v>
      </c>
      <c r="C273" s="14">
        <v>32</v>
      </c>
      <c r="D273" s="80">
        <v>19</v>
      </c>
      <c r="E273" s="1" t="s">
        <v>37</v>
      </c>
      <c r="F273" s="80">
        <v>18</v>
      </c>
      <c r="G273" s="63">
        <v>13</v>
      </c>
      <c r="H273" s="46" t="s">
        <v>2011</v>
      </c>
      <c r="J273" s="14" t="s">
        <v>507</v>
      </c>
    </row>
    <row r="274" spans="1:11" x14ac:dyDescent="0.35">
      <c r="A274">
        <f t="shared" si="4"/>
        <v>1.1428571428571428</v>
      </c>
      <c r="C274" s="14">
        <v>33</v>
      </c>
      <c r="D274" s="80">
        <v>18</v>
      </c>
      <c r="E274" s="1" t="s">
        <v>87</v>
      </c>
      <c r="F274" s="80">
        <v>24</v>
      </c>
      <c r="G274" s="63">
        <v>21</v>
      </c>
      <c r="H274" s="46" t="s">
        <v>81</v>
      </c>
      <c r="J274" s="14" t="s">
        <v>609</v>
      </c>
      <c r="K274" t="s">
        <v>897</v>
      </c>
    </row>
    <row r="275" spans="1:11" x14ac:dyDescent="0.35">
      <c r="A275">
        <f t="shared" si="4"/>
        <v>1.4705882352941178</v>
      </c>
      <c r="C275" s="14">
        <v>34</v>
      </c>
      <c r="D275" s="80">
        <v>10</v>
      </c>
      <c r="E275" s="1" t="s">
        <v>79</v>
      </c>
      <c r="F275" s="80">
        <v>25</v>
      </c>
      <c r="G275" s="63">
        <v>17</v>
      </c>
      <c r="H275" s="46" t="s">
        <v>78</v>
      </c>
      <c r="J275" s="14" t="s">
        <v>285</v>
      </c>
    </row>
    <row r="276" spans="1:11" x14ac:dyDescent="0.35">
      <c r="A276">
        <f t="shared" si="4"/>
        <v>1.3333333333333333</v>
      </c>
      <c r="C276" s="14">
        <v>35</v>
      </c>
      <c r="E276" s="1" t="s">
        <v>46</v>
      </c>
      <c r="F276" s="80">
        <v>16</v>
      </c>
      <c r="G276" s="63">
        <v>12</v>
      </c>
      <c r="H276" s="46" t="s">
        <v>44</v>
      </c>
      <c r="J276" s="14" t="s">
        <v>190</v>
      </c>
    </row>
    <row r="277" spans="1:11" x14ac:dyDescent="0.35">
      <c r="A277">
        <f t="shared" si="4"/>
        <v>1.4166666666666667</v>
      </c>
      <c r="C277" s="14">
        <v>36</v>
      </c>
      <c r="E277" s="1" t="s">
        <v>84</v>
      </c>
      <c r="F277" s="80">
        <v>17</v>
      </c>
      <c r="G277" s="63">
        <v>12</v>
      </c>
      <c r="H277" s="46" t="s">
        <v>83</v>
      </c>
      <c r="J277" s="14" t="s">
        <v>331</v>
      </c>
    </row>
    <row r="278" spans="1:11" x14ac:dyDescent="0.35">
      <c r="A278">
        <f t="shared" si="4"/>
        <v>1.2</v>
      </c>
      <c r="C278" s="14">
        <v>37</v>
      </c>
      <c r="E278" s="1" t="s">
        <v>32</v>
      </c>
      <c r="F278" s="80">
        <v>18</v>
      </c>
      <c r="G278" s="63">
        <v>15</v>
      </c>
      <c r="H278" s="46" t="s">
        <v>292</v>
      </c>
      <c r="I278" s="63">
        <v>16</v>
      </c>
      <c r="J278" s="14" t="s">
        <v>337</v>
      </c>
    </row>
    <row r="279" spans="1:11" x14ac:dyDescent="0.35">
      <c r="A279">
        <f t="shared" si="4"/>
        <v>1.7142857142857142</v>
      </c>
      <c r="C279" s="14">
        <v>38</v>
      </c>
      <c r="E279" s="1" t="s">
        <v>54</v>
      </c>
      <c r="F279" s="80">
        <v>12</v>
      </c>
      <c r="G279" s="63">
        <v>7</v>
      </c>
      <c r="H279" s="46" t="s">
        <v>118</v>
      </c>
      <c r="J279" s="14" t="s">
        <v>190</v>
      </c>
    </row>
    <row r="280" spans="1:11" x14ac:dyDescent="0.35">
      <c r="A280">
        <f t="shared" si="4"/>
        <v>1.6666666666666667</v>
      </c>
      <c r="C280" s="14">
        <v>39</v>
      </c>
      <c r="E280" s="1" t="s">
        <v>39</v>
      </c>
      <c r="F280" s="80">
        <v>15</v>
      </c>
      <c r="G280" s="63">
        <v>9</v>
      </c>
      <c r="H280" s="46" t="s">
        <v>900</v>
      </c>
      <c r="J280" s="14" t="s">
        <v>186</v>
      </c>
    </row>
    <row r="281" spans="1:11" x14ac:dyDescent="0.35">
      <c r="A281">
        <f t="shared" si="4"/>
        <v>2.5555555555555554</v>
      </c>
      <c r="C281" s="14">
        <v>40</v>
      </c>
      <c r="D281" s="80">
        <v>6</v>
      </c>
      <c r="E281" s="1" t="s">
        <v>34</v>
      </c>
      <c r="F281" s="80">
        <v>23</v>
      </c>
      <c r="G281" s="63">
        <v>9</v>
      </c>
      <c r="H281" s="46" t="s">
        <v>1860</v>
      </c>
      <c r="J281" s="14" t="s">
        <v>465</v>
      </c>
    </row>
    <row r="282" spans="1:11" x14ac:dyDescent="0.35">
      <c r="A282">
        <f t="shared" si="4"/>
        <v>1.4</v>
      </c>
      <c r="C282" s="14">
        <v>41</v>
      </c>
      <c r="E282" s="1" t="s">
        <v>71</v>
      </c>
      <c r="F282" s="80">
        <v>14</v>
      </c>
      <c r="G282" s="63">
        <v>10</v>
      </c>
      <c r="H282" s="46" t="s">
        <v>114</v>
      </c>
      <c r="I282" s="63">
        <v>12</v>
      </c>
      <c r="J282" s="14" t="s">
        <v>286</v>
      </c>
    </row>
    <row r="283" spans="1:11" x14ac:dyDescent="0.35">
      <c r="A283">
        <f t="shared" si="4"/>
        <v>1.4545454545454546</v>
      </c>
      <c r="C283" s="14">
        <v>42</v>
      </c>
      <c r="D283" s="80">
        <v>5</v>
      </c>
      <c r="E283" s="1" t="s">
        <v>42</v>
      </c>
      <c r="F283" s="80">
        <v>16</v>
      </c>
      <c r="G283" s="63">
        <v>11</v>
      </c>
      <c r="H283" s="46" t="s">
        <v>1859</v>
      </c>
      <c r="J283" s="14" t="s">
        <v>190</v>
      </c>
    </row>
    <row r="284" spans="1:11" x14ac:dyDescent="0.35">
      <c r="A284">
        <f t="shared" si="4"/>
        <v>2.1428571428571428</v>
      </c>
      <c r="C284" s="14">
        <v>43</v>
      </c>
      <c r="E284" s="1" t="s">
        <v>55</v>
      </c>
      <c r="F284" s="80">
        <v>15</v>
      </c>
      <c r="G284" s="63">
        <v>7</v>
      </c>
      <c r="H284" s="46" t="s">
        <v>145</v>
      </c>
      <c r="J284" s="14" t="s">
        <v>447</v>
      </c>
    </row>
    <row r="285" spans="1:11" x14ac:dyDescent="0.35">
      <c r="A285">
        <f t="shared" si="4"/>
        <v>1.1818181818181819</v>
      </c>
      <c r="C285" s="14">
        <v>44</v>
      </c>
      <c r="D285" s="80">
        <v>2</v>
      </c>
      <c r="E285" s="1" t="s">
        <v>41</v>
      </c>
      <c r="F285" s="80">
        <v>13</v>
      </c>
      <c r="G285" s="63">
        <v>11</v>
      </c>
      <c r="H285" s="46" t="s">
        <v>45</v>
      </c>
      <c r="J285" s="14" t="s">
        <v>403</v>
      </c>
    </row>
    <row r="286" spans="1:11" x14ac:dyDescent="0.35">
      <c r="A286">
        <f t="shared" si="4"/>
        <v>1.1818181818181819</v>
      </c>
      <c r="C286" s="14">
        <v>45</v>
      </c>
      <c r="E286" s="1" t="s">
        <v>36</v>
      </c>
      <c r="F286" s="80">
        <v>13</v>
      </c>
      <c r="G286" s="63">
        <v>11</v>
      </c>
      <c r="H286" s="46" t="s">
        <v>40</v>
      </c>
      <c r="I286" s="63">
        <v>21</v>
      </c>
      <c r="J286" s="14" t="s">
        <v>179</v>
      </c>
    </row>
    <row r="287" spans="1:11" x14ac:dyDescent="0.35">
      <c r="A287">
        <f t="shared" si="4"/>
        <v>1.1111111111111112</v>
      </c>
      <c r="C287" s="14">
        <v>46</v>
      </c>
      <c r="D287" s="80">
        <v>1</v>
      </c>
      <c r="E287" s="1" t="s">
        <v>69</v>
      </c>
      <c r="F287" s="80">
        <v>20</v>
      </c>
      <c r="G287" s="63">
        <v>18</v>
      </c>
      <c r="H287" s="46" t="s">
        <v>70</v>
      </c>
      <c r="I287" s="63">
        <v>14</v>
      </c>
      <c r="J287" s="14" t="s">
        <v>285</v>
      </c>
      <c r="K287" t="s">
        <v>898</v>
      </c>
    </row>
    <row r="288" spans="1:11" x14ac:dyDescent="0.35">
      <c r="A288">
        <f t="shared" si="4"/>
        <v>1.1666666666666667</v>
      </c>
      <c r="C288" s="14">
        <v>47</v>
      </c>
      <c r="D288" s="80">
        <v>13</v>
      </c>
      <c r="E288" s="1" t="s">
        <v>57</v>
      </c>
      <c r="F288" s="80">
        <v>14</v>
      </c>
      <c r="G288" s="63">
        <v>12</v>
      </c>
      <c r="H288" s="46" t="s">
        <v>49</v>
      </c>
      <c r="I288" s="63">
        <v>3</v>
      </c>
      <c r="J288" s="14" t="s">
        <v>400</v>
      </c>
    </row>
    <row r="289" spans="1:11" ht="15" thickBot="1" x14ac:dyDescent="0.4">
      <c r="A289">
        <f t="shared" si="4"/>
        <v>8.5</v>
      </c>
      <c r="C289" s="23">
        <v>48</v>
      </c>
      <c r="D289" s="55">
        <v>4</v>
      </c>
      <c r="E289" s="44" t="s">
        <v>31</v>
      </c>
      <c r="F289" s="55">
        <v>17</v>
      </c>
      <c r="G289" s="56">
        <v>2</v>
      </c>
      <c r="H289" s="57" t="s">
        <v>119</v>
      </c>
      <c r="I289" s="56">
        <v>7</v>
      </c>
      <c r="J289" s="12" t="s">
        <v>418</v>
      </c>
      <c r="K289" s="12" t="s">
        <v>899</v>
      </c>
    </row>
    <row r="290" spans="1:11" x14ac:dyDescent="0.35">
      <c r="A290">
        <f t="shared" si="4"/>
        <v>1.0526315789473684</v>
      </c>
      <c r="C290" s="14">
        <v>1</v>
      </c>
      <c r="E290" s="1" t="s">
        <v>908</v>
      </c>
      <c r="F290" s="80">
        <v>20</v>
      </c>
      <c r="G290" s="63">
        <v>19</v>
      </c>
      <c r="H290" s="46" t="s">
        <v>900</v>
      </c>
      <c r="J290" s="14" t="s">
        <v>184</v>
      </c>
    </row>
    <row r="291" spans="1:11" x14ac:dyDescent="0.35">
      <c r="A291">
        <f t="shared" si="4"/>
        <v>2.625</v>
      </c>
      <c r="C291" s="14">
        <v>2</v>
      </c>
      <c r="D291" s="80">
        <v>20</v>
      </c>
      <c r="E291" s="1" t="s">
        <v>74</v>
      </c>
      <c r="F291" s="80">
        <v>21</v>
      </c>
      <c r="G291" s="63">
        <v>8</v>
      </c>
      <c r="H291" s="46" t="s">
        <v>76</v>
      </c>
      <c r="J291" s="14" t="s">
        <v>331</v>
      </c>
    </row>
    <row r="292" spans="1:11" x14ac:dyDescent="0.35">
      <c r="A292">
        <f t="shared" si="4"/>
        <v>1.7272727272727273</v>
      </c>
      <c r="C292" s="14">
        <v>3</v>
      </c>
      <c r="E292" s="1" t="s">
        <v>793</v>
      </c>
      <c r="F292" s="80">
        <v>19</v>
      </c>
      <c r="G292" s="63">
        <v>11</v>
      </c>
      <c r="H292" s="46" t="s">
        <v>38</v>
      </c>
      <c r="J292" s="14" t="s">
        <v>191</v>
      </c>
    </row>
    <row r="293" spans="1:11" x14ac:dyDescent="0.35">
      <c r="A293">
        <f t="shared" si="4"/>
        <v>1.5833333333333333</v>
      </c>
      <c r="C293" s="14">
        <v>4</v>
      </c>
      <c r="E293" s="1" t="s">
        <v>25</v>
      </c>
      <c r="F293" s="80">
        <v>19</v>
      </c>
      <c r="G293" s="63">
        <v>12</v>
      </c>
      <c r="H293" s="46" t="s">
        <v>52</v>
      </c>
      <c r="J293" s="14" t="s">
        <v>507</v>
      </c>
    </row>
    <row r="294" spans="1:11" x14ac:dyDescent="0.35">
      <c r="A294">
        <f t="shared" si="4"/>
        <v>1.1764705882352942</v>
      </c>
      <c r="C294" s="14">
        <v>5</v>
      </c>
      <c r="E294" s="1" t="s">
        <v>64</v>
      </c>
      <c r="F294" s="80">
        <v>20</v>
      </c>
      <c r="G294" s="63">
        <v>17</v>
      </c>
      <c r="H294" s="46" t="s">
        <v>63</v>
      </c>
      <c r="J294" s="14" t="s">
        <v>621</v>
      </c>
      <c r="K294" t="s">
        <v>907</v>
      </c>
    </row>
    <row r="295" spans="1:11" x14ac:dyDescent="0.35">
      <c r="A295">
        <f t="shared" si="4"/>
        <v>2</v>
      </c>
      <c r="C295" s="14">
        <v>6</v>
      </c>
      <c r="E295" s="1" t="s">
        <v>786</v>
      </c>
      <c r="F295" s="80">
        <v>26</v>
      </c>
      <c r="G295" s="63">
        <v>13</v>
      </c>
      <c r="H295" s="46" t="s">
        <v>2011</v>
      </c>
      <c r="J295" s="14" t="s">
        <v>876</v>
      </c>
    </row>
    <row r="296" spans="1:11" x14ac:dyDescent="0.35">
      <c r="A296">
        <f t="shared" si="4"/>
        <v>2.25</v>
      </c>
      <c r="C296" s="14">
        <v>7</v>
      </c>
      <c r="E296" s="1" t="s">
        <v>55</v>
      </c>
      <c r="F296" s="80">
        <v>18</v>
      </c>
      <c r="G296" s="63">
        <v>8</v>
      </c>
      <c r="H296" s="46" t="s">
        <v>27</v>
      </c>
      <c r="J296" s="14" t="s">
        <v>546</v>
      </c>
    </row>
    <row r="297" spans="1:11" x14ac:dyDescent="0.35">
      <c r="A297">
        <f t="shared" si="4"/>
        <v>2.375</v>
      </c>
      <c r="C297" s="14">
        <v>8</v>
      </c>
      <c r="E297" s="1" t="s">
        <v>117</v>
      </c>
      <c r="F297" s="80">
        <v>19</v>
      </c>
      <c r="G297" s="63">
        <v>8</v>
      </c>
      <c r="H297" s="46" t="s">
        <v>30</v>
      </c>
      <c r="J297" s="14" t="s">
        <v>201</v>
      </c>
    </row>
    <row r="298" spans="1:11" x14ac:dyDescent="0.35">
      <c r="A298">
        <f t="shared" si="4"/>
        <v>1.8571428571428572</v>
      </c>
      <c r="C298" s="14">
        <v>9</v>
      </c>
      <c r="E298" s="1" t="s">
        <v>68</v>
      </c>
      <c r="F298" s="80">
        <v>13</v>
      </c>
      <c r="G298" s="63">
        <v>7</v>
      </c>
      <c r="H298" s="46" t="s">
        <v>72</v>
      </c>
      <c r="J298" s="14" t="s">
        <v>187</v>
      </c>
    </row>
    <row r="299" spans="1:11" x14ac:dyDescent="0.35">
      <c r="A299">
        <f t="shared" si="4"/>
        <v>1.875</v>
      </c>
      <c r="C299" s="14">
        <v>10</v>
      </c>
      <c r="D299" s="80">
        <v>11</v>
      </c>
      <c r="E299" s="1" t="s">
        <v>119</v>
      </c>
      <c r="F299" s="80">
        <v>15</v>
      </c>
      <c r="G299" s="63">
        <v>8</v>
      </c>
      <c r="H299" s="46" t="s">
        <v>56</v>
      </c>
      <c r="J299" s="14" t="s">
        <v>365</v>
      </c>
    </row>
    <row r="300" spans="1:11" x14ac:dyDescent="0.35">
      <c r="A300">
        <f t="shared" si="4"/>
        <v>3.5</v>
      </c>
      <c r="C300" s="14">
        <v>11</v>
      </c>
      <c r="E300" s="1" t="s">
        <v>51</v>
      </c>
      <c r="F300" s="80">
        <v>28</v>
      </c>
      <c r="G300" s="63">
        <v>8</v>
      </c>
      <c r="H300" s="46" t="s">
        <v>23</v>
      </c>
      <c r="J300" s="14" t="s">
        <v>910</v>
      </c>
    </row>
    <row r="301" spans="1:11" x14ac:dyDescent="0.35">
      <c r="A301">
        <f t="shared" si="4"/>
        <v>1.0625</v>
      </c>
      <c r="C301" s="14">
        <v>12</v>
      </c>
      <c r="E301" s="1" t="s">
        <v>789</v>
      </c>
      <c r="F301" s="80">
        <v>17</v>
      </c>
      <c r="G301" s="63">
        <v>16</v>
      </c>
      <c r="H301" s="46" t="s">
        <v>43</v>
      </c>
      <c r="J301" s="14" t="s">
        <v>369</v>
      </c>
    </row>
    <row r="302" spans="1:11" x14ac:dyDescent="0.35">
      <c r="A302">
        <f t="shared" si="4"/>
        <v>1.3333333333333333</v>
      </c>
      <c r="C302" s="14">
        <v>13</v>
      </c>
      <c r="D302" s="80">
        <v>13</v>
      </c>
      <c r="E302" s="1" t="s">
        <v>62</v>
      </c>
      <c r="F302" s="80">
        <v>24</v>
      </c>
      <c r="G302" s="63">
        <v>18</v>
      </c>
      <c r="H302" s="46" t="s">
        <v>65</v>
      </c>
      <c r="J302" s="14" t="s">
        <v>621</v>
      </c>
    </row>
    <row r="303" spans="1:11" x14ac:dyDescent="0.35">
      <c r="A303">
        <f t="shared" si="4"/>
        <v>1.3076923076923077</v>
      </c>
      <c r="C303" s="14">
        <v>14</v>
      </c>
      <c r="D303" s="80">
        <v>4</v>
      </c>
      <c r="E303" s="1" t="s">
        <v>49</v>
      </c>
      <c r="F303" s="80">
        <v>17</v>
      </c>
      <c r="G303" s="63">
        <v>13</v>
      </c>
      <c r="H303" s="46" t="s">
        <v>22</v>
      </c>
      <c r="J303" s="14" t="s">
        <v>453</v>
      </c>
    </row>
    <row r="304" spans="1:11" x14ac:dyDescent="0.35">
      <c r="A304">
        <f t="shared" si="4"/>
        <v>1.0714285714285714</v>
      </c>
      <c r="C304" s="14">
        <v>15</v>
      </c>
      <c r="E304" s="1" t="s">
        <v>45</v>
      </c>
      <c r="F304" s="80">
        <v>15</v>
      </c>
      <c r="G304" s="63">
        <v>14</v>
      </c>
      <c r="H304" s="46" t="s">
        <v>791</v>
      </c>
      <c r="J304" s="14" t="s">
        <v>423</v>
      </c>
    </row>
    <row r="305" spans="1:11" x14ac:dyDescent="0.35">
      <c r="A305">
        <f t="shared" si="4"/>
        <v>3.1428571428571428</v>
      </c>
      <c r="C305" s="14">
        <v>16</v>
      </c>
      <c r="E305" s="1" t="s">
        <v>83</v>
      </c>
      <c r="F305" s="80">
        <v>22</v>
      </c>
      <c r="G305" s="63">
        <v>7</v>
      </c>
      <c r="H305" s="46" t="s">
        <v>85</v>
      </c>
      <c r="J305" s="14" t="s">
        <v>465</v>
      </c>
    </row>
    <row r="306" spans="1:11" x14ac:dyDescent="0.35">
      <c r="A306">
        <f t="shared" si="4"/>
        <v>1.75</v>
      </c>
      <c r="C306" s="14">
        <v>17</v>
      </c>
      <c r="E306" s="1" t="s">
        <v>60</v>
      </c>
      <c r="F306" s="80">
        <v>21</v>
      </c>
      <c r="G306" s="63">
        <v>12</v>
      </c>
      <c r="H306" s="46" t="s">
        <v>61</v>
      </c>
      <c r="J306" s="14" t="s">
        <v>337</v>
      </c>
    </row>
    <row r="307" spans="1:11" x14ac:dyDescent="0.35">
      <c r="A307">
        <f t="shared" si="4"/>
        <v>1.1538461538461537</v>
      </c>
      <c r="C307" s="14">
        <v>18</v>
      </c>
      <c r="E307" s="1" t="s">
        <v>44</v>
      </c>
      <c r="F307" s="80">
        <v>15</v>
      </c>
      <c r="G307" s="63">
        <v>13</v>
      </c>
      <c r="H307" s="46" t="s">
        <v>909</v>
      </c>
      <c r="J307" s="14" t="s">
        <v>179</v>
      </c>
    </row>
    <row r="308" spans="1:11" x14ac:dyDescent="0.35">
      <c r="A308">
        <f t="shared" si="4"/>
        <v>1.0625</v>
      </c>
      <c r="C308" s="14">
        <v>19</v>
      </c>
      <c r="E308" s="1" t="s">
        <v>50</v>
      </c>
      <c r="F308" s="80">
        <v>17</v>
      </c>
      <c r="G308" s="63">
        <v>16</v>
      </c>
      <c r="H308" s="46" t="s">
        <v>1860</v>
      </c>
      <c r="J308" s="14" t="s">
        <v>443</v>
      </c>
      <c r="K308" t="s">
        <v>911</v>
      </c>
    </row>
    <row r="309" spans="1:11" x14ac:dyDescent="0.35">
      <c r="A309">
        <f t="shared" si="4"/>
        <v>1.1764705882352942</v>
      </c>
      <c r="C309" s="14">
        <v>20</v>
      </c>
      <c r="E309" s="1" t="s">
        <v>794</v>
      </c>
      <c r="F309" s="80">
        <v>20</v>
      </c>
      <c r="G309" s="63">
        <v>17</v>
      </c>
      <c r="H309" s="46" t="s">
        <v>1858</v>
      </c>
      <c r="J309" s="14" t="s">
        <v>358</v>
      </c>
    </row>
    <row r="310" spans="1:11" x14ac:dyDescent="0.35">
      <c r="A310">
        <f t="shared" si="4"/>
        <v>1.8</v>
      </c>
      <c r="C310" s="14">
        <v>21</v>
      </c>
      <c r="D310" s="80">
        <v>16</v>
      </c>
      <c r="E310" s="1" t="s">
        <v>59</v>
      </c>
      <c r="F310" s="80">
        <v>18</v>
      </c>
      <c r="G310" s="63">
        <v>10</v>
      </c>
      <c r="H310" s="46" t="s">
        <v>115</v>
      </c>
      <c r="J310" s="14" t="s">
        <v>331</v>
      </c>
    </row>
    <row r="311" spans="1:11" x14ac:dyDescent="0.35">
      <c r="A311">
        <f t="shared" si="4"/>
        <v>1.0666666666666667</v>
      </c>
      <c r="C311" s="14">
        <v>22</v>
      </c>
      <c r="E311" s="1" t="s">
        <v>66</v>
      </c>
      <c r="F311" s="80">
        <v>16</v>
      </c>
      <c r="G311" s="63">
        <v>15</v>
      </c>
      <c r="H311" s="46" t="s">
        <v>67</v>
      </c>
      <c r="J311" s="14" t="s">
        <v>296</v>
      </c>
    </row>
    <row r="312" spans="1:11" x14ac:dyDescent="0.35">
      <c r="A312">
        <f t="shared" si="4"/>
        <v>2</v>
      </c>
      <c r="C312" s="14">
        <v>23</v>
      </c>
      <c r="D312" s="80">
        <v>9</v>
      </c>
      <c r="E312" s="1" t="s">
        <v>26</v>
      </c>
      <c r="F312" s="80">
        <v>30</v>
      </c>
      <c r="G312" s="63">
        <v>15</v>
      </c>
      <c r="H312" s="46" t="s">
        <v>47</v>
      </c>
      <c r="J312" s="14" t="s">
        <v>912</v>
      </c>
    </row>
    <row r="313" spans="1:11" x14ac:dyDescent="0.35">
      <c r="A313">
        <f t="shared" si="4"/>
        <v>1.3333333333333333</v>
      </c>
      <c r="C313" s="14">
        <v>24</v>
      </c>
      <c r="E313" s="1" t="s">
        <v>78</v>
      </c>
      <c r="F313" s="80">
        <v>12</v>
      </c>
      <c r="G313" s="63">
        <v>9</v>
      </c>
      <c r="H313" s="46" t="s">
        <v>80</v>
      </c>
      <c r="J313" s="14" t="s">
        <v>181</v>
      </c>
    </row>
    <row r="314" spans="1:11" x14ac:dyDescent="0.35">
      <c r="A314">
        <f t="shared" si="4"/>
        <v>1.2666666666666666</v>
      </c>
      <c r="C314" s="14">
        <v>25</v>
      </c>
      <c r="E314" s="1" t="s">
        <v>88</v>
      </c>
      <c r="F314" s="80">
        <v>19</v>
      </c>
      <c r="G314" s="63">
        <v>15</v>
      </c>
      <c r="H314" s="46" t="s">
        <v>81</v>
      </c>
      <c r="J314" s="14" t="s">
        <v>621</v>
      </c>
    </row>
    <row r="315" spans="1:11" x14ac:dyDescent="0.35">
      <c r="A315">
        <f t="shared" si="4"/>
        <v>1.6363636363636365</v>
      </c>
      <c r="C315" s="14">
        <v>26</v>
      </c>
      <c r="D315" s="80">
        <v>18</v>
      </c>
      <c r="E315" s="1" t="s">
        <v>36</v>
      </c>
      <c r="F315" s="80">
        <v>18</v>
      </c>
      <c r="G315" s="63">
        <v>11</v>
      </c>
      <c r="H315" s="46" t="s">
        <v>785</v>
      </c>
      <c r="J315" s="14" t="s">
        <v>186</v>
      </c>
    </row>
    <row r="316" spans="1:11" x14ac:dyDescent="0.35">
      <c r="A316">
        <f t="shared" si="4"/>
        <v>1.1176470588235294</v>
      </c>
      <c r="C316" s="14">
        <v>27</v>
      </c>
      <c r="E316" s="1" t="s">
        <v>75</v>
      </c>
      <c r="F316" s="80">
        <v>19</v>
      </c>
      <c r="G316" s="63">
        <v>17</v>
      </c>
      <c r="H316" s="46" t="s">
        <v>79</v>
      </c>
      <c r="I316" s="63">
        <v>8</v>
      </c>
      <c r="J316" s="14" t="s">
        <v>178</v>
      </c>
    </row>
    <row r="317" spans="1:11" x14ac:dyDescent="0.35">
      <c r="A317">
        <f t="shared" si="4"/>
        <v>1.2142857142857142</v>
      </c>
      <c r="C317" s="14">
        <v>28</v>
      </c>
      <c r="E317" s="1" t="s">
        <v>35</v>
      </c>
      <c r="F317" s="80">
        <v>17</v>
      </c>
      <c r="G317" s="63">
        <v>14</v>
      </c>
      <c r="H317" s="46" t="s">
        <v>796</v>
      </c>
      <c r="J317" s="14" t="s">
        <v>295</v>
      </c>
      <c r="K317" t="s">
        <v>913</v>
      </c>
    </row>
    <row r="318" spans="1:11" x14ac:dyDescent="0.35">
      <c r="A318">
        <f t="shared" si="4"/>
        <v>2.2000000000000002</v>
      </c>
      <c r="C318" s="14">
        <v>29</v>
      </c>
      <c r="E318" s="1" t="s">
        <v>73</v>
      </c>
      <c r="F318" s="80">
        <v>11</v>
      </c>
      <c r="G318" s="63">
        <v>5</v>
      </c>
      <c r="H318" s="46" t="s">
        <v>77</v>
      </c>
      <c r="J318" s="14" t="s">
        <v>545</v>
      </c>
    </row>
    <row r="319" spans="1:11" x14ac:dyDescent="0.35">
      <c r="A319">
        <f t="shared" si="4"/>
        <v>1.2105263157894737</v>
      </c>
      <c r="C319" s="14">
        <v>30</v>
      </c>
      <c r="E319" s="1" t="s">
        <v>32</v>
      </c>
      <c r="F319" s="80">
        <v>23</v>
      </c>
      <c r="G319" s="63">
        <v>19</v>
      </c>
      <c r="H319" s="46" t="s">
        <v>118</v>
      </c>
      <c r="J319" s="14" t="s">
        <v>358</v>
      </c>
    </row>
    <row r="320" spans="1:11" x14ac:dyDescent="0.35">
      <c r="A320">
        <f t="shared" si="4"/>
        <v>1.1000000000000001</v>
      </c>
      <c r="C320" s="14">
        <v>31</v>
      </c>
      <c r="E320" s="1" t="s">
        <v>790</v>
      </c>
      <c r="F320" s="80">
        <v>11</v>
      </c>
      <c r="G320" s="63">
        <v>10</v>
      </c>
      <c r="H320" s="46" t="s">
        <v>1859</v>
      </c>
      <c r="J320" s="14" t="s">
        <v>400</v>
      </c>
    </row>
    <row r="321" spans="1:11" x14ac:dyDescent="0.35">
      <c r="A321">
        <f t="shared" si="4"/>
        <v>1.4</v>
      </c>
      <c r="C321" s="14">
        <v>32</v>
      </c>
      <c r="D321" s="80">
        <v>5</v>
      </c>
      <c r="E321" s="1" t="s">
        <v>42</v>
      </c>
      <c r="F321" s="80">
        <v>21</v>
      </c>
      <c r="G321" s="63">
        <v>15</v>
      </c>
      <c r="H321" s="46" t="s">
        <v>787</v>
      </c>
      <c r="J321" s="14" t="s">
        <v>199</v>
      </c>
      <c r="K321" t="s">
        <v>914</v>
      </c>
    </row>
    <row r="322" spans="1:11" x14ac:dyDescent="0.35">
      <c r="A322">
        <f t="shared" si="4"/>
        <v>1.4</v>
      </c>
      <c r="C322" s="14">
        <v>33</v>
      </c>
      <c r="E322" s="1" t="s">
        <v>145</v>
      </c>
      <c r="F322" s="80">
        <v>14</v>
      </c>
      <c r="G322" s="63">
        <v>10</v>
      </c>
      <c r="H322" s="46" t="s">
        <v>28</v>
      </c>
      <c r="J322" s="14" t="s">
        <v>400</v>
      </c>
    </row>
    <row r="323" spans="1:11" x14ac:dyDescent="0.35">
      <c r="A323">
        <f t="shared" ref="A323:A386" si="5">(F323/G323)</f>
        <v>1.125</v>
      </c>
      <c r="C323" s="14">
        <v>34</v>
      </c>
      <c r="D323" s="80">
        <v>25</v>
      </c>
      <c r="E323" s="1" t="s">
        <v>40</v>
      </c>
      <c r="F323" s="80">
        <v>18</v>
      </c>
      <c r="G323" s="63">
        <v>16</v>
      </c>
      <c r="H323" s="46" t="s">
        <v>784</v>
      </c>
      <c r="J323" s="14" t="s">
        <v>577</v>
      </c>
    </row>
    <row r="324" spans="1:11" x14ac:dyDescent="0.35">
      <c r="A324">
        <f t="shared" si="5"/>
        <v>1.3571428571428572</v>
      </c>
      <c r="C324" s="14">
        <v>35</v>
      </c>
      <c r="E324" s="1" t="s">
        <v>24</v>
      </c>
      <c r="F324" s="80">
        <v>19</v>
      </c>
      <c r="G324" s="63">
        <v>14</v>
      </c>
      <c r="H324" s="46" t="s">
        <v>48</v>
      </c>
      <c r="J324" s="14" t="s">
        <v>609</v>
      </c>
    </row>
    <row r="325" spans="1:11" x14ac:dyDescent="0.35">
      <c r="A325">
        <f t="shared" si="5"/>
        <v>1.1538461538461537</v>
      </c>
      <c r="C325" s="14">
        <v>36</v>
      </c>
      <c r="E325" s="1" t="s">
        <v>46</v>
      </c>
      <c r="F325" s="80">
        <v>15</v>
      </c>
      <c r="G325" s="63">
        <v>13</v>
      </c>
      <c r="H325" s="46" t="s">
        <v>792</v>
      </c>
      <c r="I325" s="63">
        <v>24</v>
      </c>
      <c r="J325" s="14" t="s">
        <v>179</v>
      </c>
    </row>
    <row r="326" spans="1:11" x14ac:dyDescent="0.35">
      <c r="A326">
        <f t="shared" si="5"/>
        <v>1.3529411764705883</v>
      </c>
      <c r="C326" s="14">
        <v>37</v>
      </c>
      <c r="D326" s="80">
        <v>17</v>
      </c>
      <c r="E326" s="1" t="s">
        <v>86</v>
      </c>
      <c r="F326" s="80">
        <v>23</v>
      </c>
      <c r="G326" s="63">
        <v>17</v>
      </c>
      <c r="H326" s="46" t="s">
        <v>84</v>
      </c>
      <c r="J326" s="14" t="s">
        <v>184</v>
      </c>
    </row>
    <row r="327" spans="1:11" x14ac:dyDescent="0.35">
      <c r="A327">
        <f t="shared" si="5"/>
        <v>1.1304347826086956</v>
      </c>
      <c r="C327" s="14">
        <v>38</v>
      </c>
      <c r="E327" s="1" t="s">
        <v>33</v>
      </c>
      <c r="F327" s="80">
        <v>26</v>
      </c>
      <c r="G327" s="63">
        <v>23</v>
      </c>
      <c r="H327" s="46" t="s">
        <v>57</v>
      </c>
      <c r="I327" s="63">
        <v>7</v>
      </c>
      <c r="J327" s="14" t="s">
        <v>647</v>
      </c>
      <c r="K327" t="s">
        <v>934</v>
      </c>
    </row>
    <row r="328" spans="1:11" x14ac:dyDescent="0.35">
      <c r="A328">
        <f t="shared" si="5"/>
        <v>1.2727272727272727</v>
      </c>
      <c r="C328" s="14">
        <v>39</v>
      </c>
      <c r="E328" s="1" t="s">
        <v>53</v>
      </c>
      <c r="F328" s="80">
        <v>14</v>
      </c>
      <c r="G328" s="63">
        <v>11</v>
      </c>
      <c r="H328" s="46" t="s">
        <v>29</v>
      </c>
      <c r="J328" s="14" t="s">
        <v>369</v>
      </c>
    </row>
    <row r="329" spans="1:11" x14ac:dyDescent="0.35">
      <c r="A329">
        <f t="shared" si="5"/>
        <v>1.375</v>
      </c>
      <c r="C329" s="14">
        <v>40</v>
      </c>
      <c r="D329" s="80">
        <v>23</v>
      </c>
      <c r="E329" s="1" t="s">
        <v>292</v>
      </c>
      <c r="F329" s="80">
        <v>22</v>
      </c>
      <c r="G329" s="63">
        <v>16</v>
      </c>
      <c r="H329" s="46" t="s">
        <v>54</v>
      </c>
      <c r="J329" s="14" t="s">
        <v>504</v>
      </c>
    </row>
    <row r="330" spans="1:11" x14ac:dyDescent="0.35">
      <c r="A330">
        <f t="shared" si="5"/>
        <v>1.5714285714285714</v>
      </c>
      <c r="C330" s="14">
        <v>41</v>
      </c>
      <c r="D330" s="80">
        <v>15</v>
      </c>
      <c r="E330" s="1" t="s">
        <v>783</v>
      </c>
      <c r="F330" s="80">
        <v>11</v>
      </c>
      <c r="G330" s="63">
        <v>7</v>
      </c>
      <c r="H330" s="46" t="s">
        <v>39</v>
      </c>
      <c r="J330" s="14" t="s">
        <v>639</v>
      </c>
    </row>
    <row r="331" spans="1:11" x14ac:dyDescent="0.35">
      <c r="A331">
        <f t="shared" si="5"/>
        <v>2.1818181818181817</v>
      </c>
      <c r="C331" s="14">
        <v>42</v>
      </c>
      <c r="D331" s="80">
        <v>12</v>
      </c>
      <c r="E331" s="1" t="s">
        <v>87</v>
      </c>
      <c r="F331" s="80">
        <v>24</v>
      </c>
      <c r="G331" s="63">
        <v>11</v>
      </c>
      <c r="H331" s="46" t="s">
        <v>82</v>
      </c>
      <c r="J331" s="14" t="s">
        <v>871</v>
      </c>
    </row>
    <row r="332" spans="1:11" x14ac:dyDescent="0.35">
      <c r="A332">
        <f t="shared" si="5"/>
        <v>1.0769230769230769</v>
      </c>
      <c r="C332" s="14">
        <v>43</v>
      </c>
      <c r="E332" s="1" t="s">
        <v>795</v>
      </c>
      <c r="F332" s="80">
        <v>14</v>
      </c>
      <c r="G332" s="63">
        <v>13</v>
      </c>
      <c r="H332" s="46" t="s">
        <v>37</v>
      </c>
      <c r="I332" s="63">
        <v>14</v>
      </c>
      <c r="J332" s="14" t="s">
        <v>299</v>
      </c>
      <c r="K332" t="s">
        <v>915</v>
      </c>
    </row>
    <row r="333" spans="1:11" x14ac:dyDescent="0.35">
      <c r="A333">
        <f t="shared" si="5"/>
        <v>1.1000000000000001</v>
      </c>
      <c r="C333" s="14">
        <v>44</v>
      </c>
      <c r="D333" s="80">
        <v>2</v>
      </c>
      <c r="E333" s="1" t="s">
        <v>41</v>
      </c>
      <c r="F333" s="80">
        <v>22</v>
      </c>
      <c r="G333" s="63">
        <v>20</v>
      </c>
      <c r="H333" s="46" t="s">
        <v>788</v>
      </c>
      <c r="J333" s="14" t="s">
        <v>533</v>
      </c>
    </row>
    <row r="334" spans="1:11" x14ac:dyDescent="0.35">
      <c r="A334">
        <f t="shared" si="5"/>
        <v>2.3076923076923075</v>
      </c>
      <c r="C334" s="14">
        <v>45</v>
      </c>
      <c r="D334" s="80">
        <v>21</v>
      </c>
      <c r="E334" s="1" t="s">
        <v>70</v>
      </c>
      <c r="F334" s="80">
        <v>30</v>
      </c>
      <c r="G334" s="63">
        <v>13</v>
      </c>
      <c r="H334" s="46" t="s">
        <v>71</v>
      </c>
      <c r="J334" s="14" t="s">
        <v>916</v>
      </c>
    </row>
    <row r="335" spans="1:11" x14ac:dyDescent="0.35">
      <c r="A335">
        <f t="shared" si="5"/>
        <v>1.1904761904761905</v>
      </c>
      <c r="C335" s="14">
        <v>46</v>
      </c>
      <c r="D335" s="80">
        <v>22</v>
      </c>
      <c r="E335" s="1" t="s">
        <v>58</v>
      </c>
      <c r="F335" s="80">
        <v>25</v>
      </c>
      <c r="G335" s="63">
        <v>21</v>
      </c>
      <c r="H335" s="46" t="s">
        <v>34</v>
      </c>
      <c r="I335" s="63">
        <v>6</v>
      </c>
      <c r="J335" s="14" t="s">
        <v>372</v>
      </c>
    </row>
    <row r="336" spans="1:11" x14ac:dyDescent="0.35">
      <c r="A336">
        <f t="shared" si="5"/>
        <v>1.3333333333333333</v>
      </c>
      <c r="C336" s="14">
        <v>47</v>
      </c>
      <c r="D336" s="80">
        <v>1</v>
      </c>
      <c r="E336" s="1" t="s">
        <v>69</v>
      </c>
      <c r="F336" s="80">
        <v>16</v>
      </c>
      <c r="G336" s="63">
        <v>12</v>
      </c>
      <c r="H336" s="46" t="s">
        <v>114</v>
      </c>
      <c r="I336" s="63">
        <v>12</v>
      </c>
      <c r="J336" s="14" t="s">
        <v>488</v>
      </c>
    </row>
    <row r="337" spans="1:11" ht="15" thickBot="1" x14ac:dyDescent="0.4">
      <c r="A337">
        <f t="shared" si="5"/>
        <v>2.2000000000000002</v>
      </c>
      <c r="C337" s="23">
        <v>48</v>
      </c>
      <c r="D337" s="55">
        <v>3</v>
      </c>
      <c r="E337" s="44" t="s">
        <v>31</v>
      </c>
      <c r="F337" s="55">
        <v>11</v>
      </c>
      <c r="G337" s="56">
        <v>5</v>
      </c>
      <c r="H337" s="57" t="s">
        <v>300</v>
      </c>
      <c r="I337" s="56">
        <v>10</v>
      </c>
      <c r="J337" s="12" t="s">
        <v>603</v>
      </c>
      <c r="K337" s="12" t="s">
        <v>917</v>
      </c>
    </row>
    <row r="338" spans="1:11" x14ac:dyDescent="0.35">
      <c r="A338">
        <f t="shared" si="5"/>
        <v>3</v>
      </c>
      <c r="C338" s="14">
        <v>1</v>
      </c>
      <c r="E338" s="1" t="s">
        <v>73</v>
      </c>
      <c r="F338" s="80">
        <v>12</v>
      </c>
      <c r="G338" s="63">
        <v>4</v>
      </c>
      <c r="H338" s="46" t="s">
        <v>76</v>
      </c>
      <c r="J338" s="14" t="s">
        <v>196</v>
      </c>
    </row>
    <row r="339" spans="1:11" x14ac:dyDescent="0.35">
      <c r="A339">
        <f t="shared" si="5"/>
        <v>1.1666666666666667</v>
      </c>
      <c r="C339" s="14">
        <v>2</v>
      </c>
      <c r="D339" s="80">
        <v>21</v>
      </c>
      <c r="E339" s="1" t="s">
        <v>37</v>
      </c>
      <c r="F339" s="80">
        <v>21</v>
      </c>
      <c r="G339" s="63">
        <v>18</v>
      </c>
      <c r="H339" s="46" t="s">
        <v>38</v>
      </c>
      <c r="J339" s="14" t="s">
        <v>185</v>
      </c>
    </row>
    <row r="340" spans="1:11" x14ac:dyDescent="0.35">
      <c r="A340">
        <f t="shared" si="5"/>
        <v>1.04</v>
      </c>
      <c r="C340" s="14">
        <v>3</v>
      </c>
      <c r="E340" s="1" t="s">
        <v>63</v>
      </c>
      <c r="F340" s="80">
        <v>26</v>
      </c>
      <c r="G340" s="63">
        <v>25</v>
      </c>
      <c r="H340" s="46" t="s">
        <v>59</v>
      </c>
      <c r="I340" s="63">
        <v>17</v>
      </c>
      <c r="J340" s="14" t="s">
        <v>289</v>
      </c>
      <c r="K340" t="s">
        <v>935</v>
      </c>
    </row>
    <row r="341" spans="1:11" x14ac:dyDescent="0.35">
      <c r="A341">
        <f t="shared" si="5"/>
        <v>2</v>
      </c>
      <c r="C341" s="14">
        <v>4</v>
      </c>
      <c r="D341" s="80">
        <v>9</v>
      </c>
      <c r="E341" s="1" t="s">
        <v>57</v>
      </c>
      <c r="F341" s="80">
        <v>20</v>
      </c>
      <c r="G341" s="63">
        <v>10</v>
      </c>
      <c r="H341" s="46" t="s">
        <v>52</v>
      </c>
      <c r="J341" s="14" t="s">
        <v>331</v>
      </c>
    </row>
    <row r="342" spans="1:11" x14ac:dyDescent="0.35">
      <c r="A342">
        <f t="shared" si="5"/>
        <v>2.1666666666666665</v>
      </c>
      <c r="C342" s="14">
        <v>5</v>
      </c>
      <c r="E342" s="1" t="s">
        <v>32</v>
      </c>
      <c r="F342" s="80">
        <v>13</v>
      </c>
      <c r="G342" s="63">
        <v>6</v>
      </c>
      <c r="H342" s="46" t="s">
        <v>27</v>
      </c>
      <c r="J342" s="14" t="s">
        <v>371</v>
      </c>
    </row>
    <row r="343" spans="1:11" x14ac:dyDescent="0.35">
      <c r="A343">
        <f t="shared" si="5"/>
        <v>1.75</v>
      </c>
      <c r="C343" s="14">
        <v>6</v>
      </c>
      <c r="E343" s="1" t="s">
        <v>1860</v>
      </c>
      <c r="F343" s="80">
        <v>21</v>
      </c>
      <c r="G343" s="63">
        <v>12</v>
      </c>
      <c r="H343" s="46" t="s">
        <v>23</v>
      </c>
      <c r="J343" s="14" t="s">
        <v>178</v>
      </c>
    </row>
    <row r="344" spans="1:11" x14ac:dyDescent="0.35">
      <c r="A344">
        <f t="shared" si="5"/>
        <v>1.0454545454545454</v>
      </c>
      <c r="C344" s="14">
        <v>7</v>
      </c>
      <c r="E344" s="1" t="s">
        <v>785</v>
      </c>
      <c r="F344" s="80">
        <v>23</v>
      </c>
      <c r="G344" s="63">
        <v>22</v>
      </c>
      <c r="H344" s="46" t="s">
        <v>908</v>
      </c>
      <c r="J344" s="14" t="s">
        <v>358</v>
      </c>
      <c r="K344" t="s">
        <v>923</v>
      </c>
    </row>
    <row r="345" spans="1:11" x14ac:dyDescent="0.35">
      <c r="A345">
        <f t="shared" si="5"/>
        <v>1.1538461538461537</v>
      </c>
      <c r="C345" s="14">
        <v>8</v>
      </c>
      <c r="E345" s="1" t="s">
        <v>67</v>
      </c>
      <c r="F345" s="80">
        <v>15</v>
      </c>
      <c r="G345" s="63">
        <v>13</v>
      </c>
      <c r="H345" s="46" t="s">
        <v>72</v>
      </c>
      <c r="J345" s="14" t="s">
        <v>296</v>
      </c>
      <c r="K345" t="s">
        <v>924</v>
      </c>
    </row>
    <row r="346" spans="1:11" x14ac:dyDescent="0.35">
      <c r="A346">
        <f t="shared" si="5"/>
        <v>1.4</v>
      </c>
      <c r="C346" s="14">
        <v>9</v>
      </c>
      <c r="E346" s="1" t="s">
        <v>56</v>
      </c>
      <c r="F346" s="80">
        <v>14</v>
      </c>
      <c r="G346" s="63">
        <v>10</v>
      </c>
      <c r="H346" s="46" t="s">
        <v>117</v>
      </c>
      <c r="J346" s="14" t="s">
        <v>450</v>
      </c>
    </row>
    <row r="347" spans="1:11" x14ac:dyDescent="0.35">
      <c r="A347">
        <f t="shared" si="5"/>
        <v>2.2857142857142856</v>
      </c>
      <c r="C347" s="14">
        <v>10</v>
      </c>
      <c r="E347" s="1" t="s">
        <v>84</v>
      </c>
      <c r="F347" s="80">
        <v>16</v>
      </c>
      <c r="G347" s="63">
        <v>7</v>
      </c>
      <c r="H347" s="46" t="s">
        <v>85</v>
      </c>
      <c r="J347" s="14" t="s">
        <v>281</v>
      </c>
    </row>
    <row r="348" spans="1:11" x14ac:dyDescent="0.35">
      <c r="A348">
        <f t="shared" si="5"/>
        <v>1.125</v>
      </c>
      <c r="C348" s="14">
        <v>11</v>
      </c>
      <c r="E348" s="1" t="s">
        <v>786</v>
      </c>
      <c r="F348" s="80">
        <v>18</v>
      </c>
      <c r="G348" s="63">
        <v>16</v>
      </c>
      <c r="H348" s="46" t="s">
        <v>796</v>
      </c>
      <c r="J348" s="14" t="s">
        <v>337</v>
      </c>
    </row>
    <row r="349" spans="1:11" x14ac:dyDescent="0.35">
      <c r="A349">
        <f t="shared" si="5"/>
        <v>2.2000000000000002</v>
      </c>
      <c r="C349" s="14">
        <v>12</v>
      </c>
      <c r="E349" s="1" t="s">
        <v>64</v>
      </c>
      <c r="F349" s="80">
        <v>22</v>
      </c>
      <c r="G349" s="63">
        <v>10</v>
      </c>
      <c r="H349" s="46" t="s">
        <v>115</v>
      </c>
      <c r="J349" s="14" t="s">
        <v>336</v>
      </c>
    </row>
    <row r="350" spans="1:11" x14ac:dyDescent="0.35">
      <c r="A350">
        <f t="shared" si="5"/>
        <v>1.0555555555555556</v>
      </c>
      <c r="C350" s="14">
        <v>13</v>
      </c>
      <c r="E350" s="1" t="s">
        <v>65</v>
      </c>
      <c r="F350" s="80">
        <v>19</v>
      </c>
      <c r="G350" s="63">
        <v>18</v>
      </c>
      <c r="H350" s="46" t="s">
        <v>61</v>
      </c>
      <c r="J350" s="14" t="s">
        <v>184</v>
      </c>
    </row>
    <row r="351" spans="1:11" x14ac:dyDescent="0.35">
      <c r="A351">
        <f t="shared" si="5"/>
        <v>1.6428571428571428</v>
      </c>
      <c r="C351" s="14">
        <v>14</v>
      </c>
      <c r="E351" s="1" t="s">
        <v>22</v>
      </c>
      <c r="F351" s="80">
        <v>23</v>
      </c>
      <c r="G351" s="63">
        <v>14</v>
      </c>
      <c r="H351" s="46" t="s">
        <v>24</v>
      </c>
      <c r="J351" s="14" t="s">
        <v>331</v>
      </c>
    </row>
    <row r="352" spans="1:11" x14ac:dyDescent="0.35">
      <c r="A352">
        <f t="shared" si="5"/>
        <v>1.7</v>
      </c>
      <c r="C352" s="14">
        <v>15</v>
      </c>
      <c r="E352" s="1" t="s">
        <v>25</v>
      </c>
      <c r="F352" s="80">
        <v>17</v>
      </c>
      <c r="G352" s="63">
        <v>10</v>
      </c>
      <c r="H352" s="46" t="s">
        <v>33</v>
      </c>
      <c r="J352" s="14" t="s">
        <v>450</v>
      </c>
    </row>
    <row r="353" spans="1:11" x14ac:dyDescent="0.35">
      <c r="A353">
        <f t="shared" si="5"/>
        <v>1.1333333333333333</v>
      </c>
      <c r="C353" s="14">
        <v>16</v>
      </c>
      <c r="E353" s="1" t="s">
        <v>791</v>
      </c>
      <c r="F353" s="80">
        <v>17</v>
      </c>
      <c r="G353" s="63">
        <v>15</v>
      </c>
      <c r="H353" s="46" t="s">
        <v>787</v>
      </c>
      <c r="J353" s="14" t="s">
        <v>623</v>
      </c>
    </row>
    <row r="354" spans="1:11" x14ac:dyDescent="0.35">
      <c r="A354">
        <f t="shared" si="5"/>
        <v>2.125</v>
      </c>
      <c r="C354" s="14">
        <v>17</v>
      </c>
      <c r="E354" s="1" t="s">
        <v>2011</v>
      </c>
      <c r="F354" s="80">
        <v>17</v>
      </c>
      <c r="G354" s="63">
        <v>8</v>
      </c>
      <c r="H354" s="46" t="s">
        <v>35</v>
      </c>
      <c r="J354" s="14" t="s">
        <v>546</v>
      </c>
    </row>
    <row r="355" spans="1:11" x14ac:dyDescent="0.35">
      <c r="A355">
        <f t="shared" si="5"/>
        <v>1.0555555555555556</v>
      </c>
      <c r="C355" s="14">
        <v>18</v>
      </c>
      <c r="E355" s="1" t="s">
        <v>909</v>
      </c>
      <c r="F355" s="80">
        <v>19</v>
      </c>
      <c r="G355" s="63">
        <v>18</v>
      </c>
      <c r="H355" s="46" t="s">
        <v>789</v>
      </c>
      <c r="J355" s="14" t="s">
        <v>301</v>
      </c>
      <c r="K355" t="s">
        <v>925</v>
      </c>
    </row>
    <row r="356" spans="1:11" x14ac:dyDescent="0.35">
      <c r="A356">
        <f t="shared" si="5"/>
        <v>1.5</v>
      </c>
      <c r="C356" s="14">
        <v>19</v>
      </c>
      <c r="E356" s="1" t="s">
        <v>46</v>
      </c>
      <c r="F356" s="80">
        <v>15</v>
      </c>
      <c r="G356" s="63">
        <v>10</v>
      </c>
      <c r="H356" s="46" t="s">
        <v>1858</v>
      </c>
      <c r="J356" s="14" t="s">
        <v>296</v>
      </c>
    </row>
    <row r="357" spans="1:11" x14ac:dyDescent="0.35">
      <c r="A357">
        <f t="shared" si="5"/>
        <v>1.6</v>
      </c>
      <c r="C357" s="14">
        <v>20</v>
      </c>
      <c r="D357" s="80">
        <v>18</v>
      </c>
      <c r="E357" s="1" t="s">
        <v>58</v>
      </c>
      <c r="F357" s="80">
        <v>16</v>
      </c>
      <c r="G357" s="63">
        <v>10</v>
      </c>
      <c r="H357" s="46" t="s">
        <v>47</v>
      </c>
      <c r="J357" s="14" t="s">
        <v>181</v>
      </c>
    </row>
    <row r="358" spans="1:11" x14ac:dyDescent="0.35">
      <c r="A358">
        <f t="shared" si="5"/>
        <v>1.1333333333333333</v>
      </c>
      <c r="C358" s="14">
        <v>21</v>
      </c>
      <c r="E358" s="1" t="s">
        <v>50</v>
      </c>
      <c r="F358" s="80">
        <v>17</v>
      </c>
      <c r="G358" s="63">
        <v>15</v>
      </c>
      <c r="H358" s="46" t="s">
        <v>51</v>
      </c>
      <c r="J358" s="14" t="s">
        <v>191</v>
      </c>
    </row>
    <row r="359" spans="1:11" x14ac:dyDescent="0.35">
      <c r="A359">
        <f t="shared" si="5"/>
        <v>1.0454545454545454</v>
      </c>
      <c r="C359" s="14">
        <v>22</v>
      </c>
      <c r="E359" s="1" t="s">
        <v>82</v>
      </c>
      <c r="F359" s="80">
        <v>23</v>
      </c>
      <c r="G359" s="63">
        <v>22</v>
      </c>
      <c r="H359" s="46" t="s">
        <v>81</v>
      </c>
      <c r="J359" s="14" t="s">
        <v>927</v>
      </c>
      <c r="K359" t="s">
        <v>926</v>
      </c>
    </row>
    <row r="360" spans="1:11" x14ac:dyDescent="0.35">
      <c r="A360">
        <f t="shared" si="5"/>
        <v>1.0555555555555556</v>
      </c>
      <c r="C360" s="14">
        <v>23</v>
      </c>
      <c r="E360" s="1" t="s">
        <v>77</v>
      </c>
      <c r="F360" s="80">
        <v>19</v>
      </c>
      <c r="G360" s="63">
        <v>18</v>
      </c>
      <c r="H360" s="46" t="s">
        <v>74</v>
      </c>
      <c r="I360" s="63">
        <v>20</v>
      </c>
      <c r="J360" s="14" t="s">
        <v>929</v>
      </c>
      <c r="K360" t="s">
        <v>928</v>
      </c>
    </row>
    <row r="361" spans="1:11" x14ac:dyDescent="0.35">
      <c r="A361">
        <f t="shared" si="5"/>
        <v>1.2</v>
      </c>
      <c r="C361" s="14">
        <v>24</v>
      </c>
      <c r="E361" s="1" t="s">
        <v>794</v>
      </c>
      <c r="F361" s="80">
        <v>18</v>
      </c>
      <c r="G361" s="63">
        <v>15</v>
      </c>
      <c r="H361" s="46" t="s">
        <v>792</v>
      </c>
      <c r="J361" s="14" t="s">
        <v>185</v>
      </c>
      <c r="K361" t="s">
        <v>930</v>
      </c>
    </row>
    <row r="362" spans="1:11" x14ac:dyDescent="0.35">
      <c r="A362">
        <f t="shared" si="5"/>
        <v>1.7777777777777777</v>
      </c>
      <c r="C362" s="14">
        <v>25</v>
      </c>
      <c r="E362" s="1" t="s">
        <v>66</v>
      </c>
      <c r="F362" s="80">
        <v>16</v>
      </c>
      <c r="G362" s="63">
        <v>9</v>
      </c>
      <c r="H362" s="46" t="s">
        <v>68</v>
      </c>
      <c r="J362" s="14" t="s">
        <v>331</v>
      </c>
    </row>
    <row r="363" spans="1:11" x14ac:dyDescent="0.35">
      <c r="A363">
        <f t="shared" si="5"/>
        <v>1.3333333333333333</v>
      </c>
      <c r="C363" s="14">
        <v>26</v>
      </c>
      <c r="D363" s="80">
        <v>14</v>
      </c>
      <c r="E363" s="1" t="s">
        <v>119</v>
      </c>
      <c r="F363" s="80">
        <v>24</v>
      </c>
      <c r="G363" s="63">
        <v>18</v>
      </c>
      <c r="H363" s="46" t="s">
        <v>30</v>
      </c>
      <c r="J363" s="14" t="s">
        <v>625</v>
      </c>
    </row>
    <row r="364" spans="1:11" x14ac:dyDescent="0.35">
      <c r="A364">
        <f t="shared" si="5"/>
        <v>1.5</v>
      </c>
      <c r="C364" s="14">
        <v>27</v>
      </c>
      <c r="E364" s="1" t="s">
        <v>118</v>
      </c>
      <c r="F364" s="80">
        <v>15</v>
      </c>
      <c r="G364" s="63">
        <v>10</v>
      </c>
      <c r="H364" s="46" t="s">
        <v>55</v>
      </c>
      <c r="J364" s="14" t="s">
        <v>286</v>
      </c>
    </row>
    <row r="365" spans="1:11" x14ac:dyDescent="0.35">
      <c r="A365">
        <f t="shared" si="5"/>
        <v>2</v>
      </c>
      <c r="C365" s="14">
        <v>28</v>
      </c>
      <c r="D365" s="80">
        <v>23</v>
      </c>
      <c r="E365" s="1" t="s">
        <v>795</v>
      </c>
      <c r="F365" s="80">
        <v>12</v>
      </c>
      <c r="G365" s="63">
        <v>6</v>
      </c>
      <c r="H365" s="46" t="s">
        <v>793</v>
      </c>
      <c r="J365" s="14" t="s">
        <v>281</v>
      </c>
    </row>
    <row r="366" spans="1:11" x14ac:dyDescent="0.35">
      <c r="A366">
        <f t="shared" si="5"/>
        <v>1.6363636363636365</v>
      </c>
      <c r="C366" s="14">
        <v>29</v>
      </c>
      <c r="E366" s="1" t="s">
        <v>43</v>
      </c>
      <c r="F366" s="80">
        <v>18</v>
      </c>
      <c r="G366" s="63">
        <v>11</v>
      </c>
      <c r="H366" s="46" t="s">
        <v>44</v>
      </c>
      <c r="J366" s="14" t="s">
        <v>331</v>
      </c>
    </row>
    <row r="367" spans="1:11" x14ac:dyDescent="0.35">
      <c r="A367">
        <f t="shared" si="5"/>
        <v>1.1875</v>
      </c>
      <c r="C367" s="14">
        <v>30</v>
      </c>
      <c r="D367" s="80">
        <v>15</v>
      </c>
      <c r="E367" s="1" t="s">
        <v>86</v>
      </c>
      <c r="F367" s="80">
        <v>19</v>
      </c>
      <c r="G367" s="63">
        <v>16</v>
      </c>
      <c r="H367" s="46" t="s">
        <v>83</v>
      </c>
      <c r="J367" s="14" t="s">
        <v>577</v>
      </c>
    </row>
    <row r="368" spans="1:11" x14ac:dyDescent="0.35">
      <c r="A368">
        <f t="shared" si="5"/>
        <v>1.2352941176470589</v>
      </c>
      <c r="C368" s="14">
        <v>31</v>
      </c>
      <c r="D368" s="80">
        <v>19</v>
      </c>
      <c r="E368" s="1" t="s">
        <v>36</v>
      </c>
      <c r="F368" s="80">
        <v>21</v>
      </c>
      <c r="G368" s="63">
        <v>17</v>
      </c>
      <c r="H368" s="46" t="s">
        <v>900</v>
      </c>
      <c r="J368" s="14" t="s">
        <v>507</v>
      </c>
    </row>
    <row r="369" spans="1:11" x14ac:dyDescent="0.35">
      <c r="A369">
        <f t="shared" si="5"/>
        <v>1.8181818181818181</v>
      </c>
      <c r="C369" s="14">
        <v>32</v>
      </c>
      <c r="E369" s="1" t="s">
        <v>75</v>
      </c>
      <c r="F369" s="80">
        <v>20</v>
      </c>
      <c r="G369" s="63">
        <v>11</v>
      </c>
      <c r="H369" s="46" t="s">
        <v>78</v>
      </c>
      <c r="J369" s="14" t="s">
        <v>400</v>
      </c>
    </row>
    <row r="370" spans="1:11" x14ac:dyDescent="0.35">
      <c r="A370">
        <f t="shared" si="5"/>
        <v>2.2307692307692308</v>
      </c>
      <c r="C370" s="14">
        <v>33</v>
      </c>
      <c r="D370" s="80">
        <v>4</v>
      </c>
      <c r="E370" s="1" t="s">
        <v>49</v>
      </c>
      <c r="F370" s="80">
        <v>29</v>
      </c>
      <c r="G370" s="63">
        <v>13</v>
      </c>
      <c r="H370" s="46" t="s">
        <v>48</v>
      </c>
      <c r="J370" s="14" t="s">
        <v>876</v>
      </c>
      <c r="K370" t="s">
        <v>931</v>
      </c>
    </row>
    <row r="371" spans="1:11" x14ac:dyDescent="0.35">
      <c r="A371">
        <f t="shared" si="5"/>
        <v>1.0769230769230769</v>
      </c>
      <c r="C371" s="14">
        <v>34</v>
      </c>
      <c r="E371" s="1" t="s">
        <v>28</v>
      </c>
      <c r="F371" s="80">
        <v>14</v>
      </c>
      <c r="G371" s="63">
        <v>13</v>
      </c>
      <c r="H371" s="46" t="s">
        <v>292</v>
      </c>
      <c r="I371" s="63">
        <v>22</v>
      </c>
      <c r="J371" s="14" t="s">
        <v>296</v>
      </c>
    </row>
    <row r="372" spans="1:11" x14ac:dyDescent="0.35">
      <c r="A372">
        <f t="shared" si="5"/>
        <v>1.0666666666666667</v>
      </c>
      <c r="C372" s="14">
        <v>35</v>
      </c>
      <c r="E372" s="1" t="s">
        <v>80</v>
      </c>
      <c r="F372" s="80">
        <v>16</v>
      </c>
      <c r="G372" s="63">
        <v>15</v>
      </c>
      <c r="H372" s="46" t="s">
        <v>79</v>
      </c>
      <c r="I372" s="63">
        <v>13</v>
      </c>
      <c r="J372" s="14" t="s">
        <v>185</v>
      </c>
    </row>
    <row r="373" spans="1:11" x14ac:dyDescent="0.35">
      <c r="A373">
        <f t="shared" si="5"/>
        <v>1.037037037037037</v>
      </c>
      <c r="C373" s="14">
        <v>36</v>
      </c>
      <c r="E373" s="1" t="s">
        <v>788</v>
      </c>
      <c r="F373" s="80">
        <v>28</v>
      </c>
      <c r="G373" s="63">
        <v>27</v>
      </c>
      <c r="H373" s="46" t="s">
        <v>790</v>
      </c>
      <c r="J373" s="14" t="s">
        <v>348</v>
      </c>
      <c r="K373" t="s">
        <v>936</v>
      </c>
    </row>
    <row r="374" spans="1:11" x14ac:dyDescent="0.35">
      <c r="A374">
        <f t="shared" si="5"/>
        <v>2.4545454545454546</v>
      </c>
      <c r="C374" s="14">
        <v>37</v>
      </c>
      <c r="D374" s="80">
        <v>11</v>
      </c>
      <c r="E374" s="1" t="s">
        <v>783</v>
      </c>
      <c r="F374" s="80">
        <v>27</v>
      </c>
      <c r="G374" s="63">
        <v>11</v>
      </c>
      <c r="H374" s="46" t="s">
        <v>784</v>
      </c>
      <c r="J374" s="14" t="s">
        <v>286</v>
      </c>
    </row>
    <row r="375" spans="1:11" x14ac:dyDescent="0.35">
      <c r="A375">
        <f t="shared" si="5"/>
        <v>2.6</v>
      </c>
      <c r="C375" s="14">
        <v>38</v>
      </c>
      <c r="D375" s="80">
        <v>2</v>
      </c>
      <c r="E375" s="1" t="s">
        <v>41</v>
      </c>
      <c r="F375" s="80">
        <v>26</v>
      </c>
      <c r="G375" s="63">
        <v>10</v>
      </c>
      <c r="H375" s="46" t="s">
        <v>1859</v>
      </c>
      <c r="J375" s="14" t="s">
        <v>178</v>
      </c>
    </row>
    <row r="376" spans="1:11" x14ac:dyDescent="0.35">
      <c r="A376">
        <f t="shared" si="5"/>
        <v>1.125</v>
      </c>
      <c r="C376" s="14">
        <v>39</v>
      </c>
      <c r="E376" s="1" t="s">
        <v>88</v>
      </c>
      <c r="F376" s="80">
        <v>18</v>
      </c>
      <c r="G376" s="63">
        <v>16</v>
      </c>
      <c r="H376" s="46" t="s">
        <v>87</v>
      </c>
      <c r="I376" s="63">
        <v>8</v>
      </c>
      <c r="J376" s="14" t="s">
        <v>337</v>
      </c>
    </row>
    <row r="377" spans="1:11" x14ac:dyDescent="0.35">
      <c r="A377">
        <f t="shared" si="5"/>
        <v>1.4285714285714286</v>
      </c>
      <c r="C377" s="14">
        <v>40</v>
      </c>
      <c r="E377" s="1" t="s">
        <v>145</v>
      </c>
      <c r="F377" s="80">
        <v>20</v>
      </c>
      <c r="G377" s="63">
        <v>14</v>
      </c>
      <c r="H377" s="46" t="s">
        <v>54</v>
      </c>
      <c r="J377" s="14" t="s">
        <v>334</v>
      </c>
    </row>
    <row r="378" spans="1:11" x14ac:dyDescent="0.35">
      <c r="A378">
        <f t="shared" si="5"/>
        <v>2.2857142857142856</v>
      </c>
      <c r="C378" s="14">
        <v>41</v>
      </c>
      <c r="D378" s="80">
        <v>3</v>
      </c>
      <c r="E378" s="1" t="s">
        <v>31</v>
      </c>
      <c r="F378" s="80">
        <v>16</v>
      </c>
      <c r="G378" s="63">
        <v>7</v>
      </c>
      <c r="H378" s="46" t="s">
        <v>29</v>
      </c>
      <c r="J378" s="14" t="s">
        <v>450</v>
      </c>
    </row>
    <row r="379" spans="1:11" x14ac:dyDescent="0.35">
      <c r="A379">
        <f t="shared" si="5"/>
        <v>1.4</v>
      </c>
      <c r="C379" s="14">
        <v>42</v>
      </c>
      <c r="D379" s="80">
        <v>1</v>
      </c>
      <c r="E379" s="1" t="s">
        <v>69</v>
      </c>
      <c r="F379" s="80">
        <v>14</v>
      </c>
      <c r="G379" s="63">
        <v>10</v>
      </c>
      <c r="H379" s="46" t="s">
        <v>71</v>
      </c>
      <c r="J379" s="14" t="s">
        <v>281</v>
      </c>
    </row>
    <row r="380" spans="1:11" x14ac:dyDescent="0.35">
      <c r="A380">
        <f t="shared" si="5"/>
        <v>1.0625</v>
      </c>
      <c r="C380" s="14">
        <v>43</v>
      </c>
      <c r="D380" s="80">
        <v>24</v>
      </c>
      <c r="E380" s="1" t="s">
        <v>40</v>
      </c>
      <c r="F380" s="80">
        <v>17</v>
      </c>
      <c r="G380" s="63">
        <v>16</v>
      </c>
      <c r="H380" s="46" t="s">
        <v>39</v>
      </c>
      <c r="J380" s="14" t="s">
        <v>416</v>
      </c>
    </row>
    <row r="381" spans="1:11" x14ac:dyDescent="0.35">
      <c r="A381">
        <f t="shared" si="5"/>
        <v>1.5333333333333334</v>
      </c>
      <c r="C381" s="14">
        <v>44</v>
      </c>
      <c r="D381" s="80">
        <v>5</v>
      </c>
      <c r="E381" s="1" t="s">
        <v>42</v>
      </c>
      <c r="F381" s="80">
        <v>23</v>
      </c>
      <c r="G381" s="63">
        <v>15</v>
      </c>
      <c r="H381" s="46" t="s">
        <v>45</v>
      </c>
      <c r="J381" s="14" t="s">
        <v>533</v>
      </c>
    </row>
    <row r="382" spans="1:11" x14ac:dyDescent="0.35">
      <c r="A382">
        <f t="shared" si="5"/>
        <v>2.1818181818181817</v>
      </c>
      <c r="C382" s="14">
        <v>45</v>
      </c>
      <c r="E382" s="1" t="s">
        <v>53</v>
      </c>
      <c r="F382" s="80">
        <v>24</v>
      </c>
      <c r="G382" s="63">
        <v>11</v>
      </c>
      <c r="H382" s="46" t="s">
        <v>300</v>
      </c>
      <c r="I382" s="63">
        <v>10</v>
      </c>
      <c r="J382" s="14" t="s">
        <v>642</v>
      </c>
    </row>
    <row r="383" spans="1:11" x14ac:dyDescent="0.35">
      <c r="A383">
        <f t="shared" si="5"/>
        <v>2.5454545454545454</v>
      </c>
      <c r="C383" s="14">
        <v>46</v>
      </c>
      <c r="E383" s="1" t="s">
        <v>60</v>
      </c>
      <c r="F383" s="80">
        <v>28</v>
      </c>
      <c r="G383" s="63">
        <v>11</v>
      </c>
      <c r="H383" s="46" t="s">
        <v>62</v>
      </c>
      <c r="I383" s="63">
        <v>16</v>
      </c>
      <c r="J383" s="14" t="s">
        <v>937</v>
      </c>
      <c r="K383" t="s">
        <v>748</v>
      </c>
    </row>
    <row r="384" spans="1:11" x14ac:dyDescent="0.35">
      <c r="A384">
        <f t="shared" si="5"/>
        <v>1.1666666666666667</v>
      </c>
      <c r="C384" s="14">
        <v>47</v>
      </c>
      <c r="D384" s="80">
        <v>12</v>
      </c>
      <c r="E384" s="1" t="s">
        <v>70</v>
      </c>
      <c r="F384" s="80">
        <v>21</v>
      </c>
      <c r="G384" s="63">
        <v>18</v>
      </c>
      <c r="H384" s="46" t="s">
        <v>114</v>
      </c>
      <c r="I384" s="63">
        <v>25</v>
      </c>
      <c r="J384" s="14" t="s">
        <v>504</v>
      </c>
    </row>
    <row r="385" spans="1:11" ht="15" thickBot="1" x14ac:dyDescent="0.4">
      <c r="A385">
        <f t="shared" si="5"/>
        <v>1.3846153846153846</v>
      </c>
      <c r="C385" s="23">
        <v>48</v>
      </c>
      <c r="D385" s="55">
        <v>6</v>
      </c>
      <c r="E385" s="44" t="s">
        <v>34</v>
      </c>
      <c r="F385" s="55">
        <v>18</v>
      </c>
      <c r="G385" s="56">
        <v>13</v>
      </c>
      <c r="H385" s="57" t="s">
        <v>26</v>
      </c>
      <c r="I385" s="56">
        <v>7</v>
      </c>
      <c r="J385" s="12" t="s">
        <v>296</v>
      </c>
      <c r="K385" s="12"/>
    </row>
    <row r="386" spans="1:11" x14ac:dyDescent="0.35">
      <c r="A386">
        <f t="shared" si="5"/>
        <v>2.0769230769230771</v>
      </c>
      <c r="C386" s="14">
        <v>1</v>
      </c>
      <c r="E386" s="1" t="s">
        <v>75</v>
      </c>
      <c r="F386" s="80">
        <v>27</v>
      </c>
      <c r="G386" s="63">
        <v>13</v>
      </c>
      <c r="H386" s="46" t="s">
        <v>76</v>
      </c>
      <c r="J386" s="14" t="s">
        <v>285</v>
      </c>
    </row>
    <row r="387" spans="1:11" x14ac:dyDescent="0.35">
      <c r="A387">
        <f t="shared" ref="A387:A450" si="6">(F387/G387)</f>
        <v>1.5333333333333334</v>
      </c>
      <c r="C387" s="14">
        <v>2</v>
      </c>
      <c r="E387" s="1" t="s">
        <v>38</v>
      </c>
      <c r="F387" s="80">
        <v>23</v>
      </c>
      <c r="G387" s="63">
        <v>15</v>
      </c>
      <c r="H387" s="46" t="s">
        <v>39</v>
      </c>
      <c r="J387" s="14" t="s">
        <v>536</v>
      </c>
    </row>
    <row r="388" spans="1:11" x14ac:dyDescent="0.35">
      <c r="A388">
        <f t="shared" si="6"/>
        <v>5.4</v>
      </c>
      <c r="C388" s="14">
        <v>3</v>
      </c>
      <c r="E388" s="1" t="s">
        <v>50</v>
      </c>
      <c r="F388" s="80">
        <v>27</v>
      </c>
      <c r="G388" s="63">
        <v>5</v>
      </c>
      <c r="H388" s="46" t="s">
        <v>52</v>
      </c>
      <c r="J388" s="14" t="s">
        <v>336</v>
      </c>
    </row>
    <row r="389" spans="1:11" x14ac:dyDescent="0.35">
      <c r="A389">
        <f t="shared" si="6"/>
        <v>1.7692307692307692</v>
      </c>
      <c r="C389" s="14">
        <v>4</v>
      </c>
      <c r="E389" s="1" t="s">
        <v>23</v>
      </c>
      <c r="F389" s="80">
        <v>23</v>
      </c>
      <c r="G389" s="63">
        <v>13</v>
      </c>
      <c r="H389" s="46" t="s">
        <v>33</v>
      </c>
      <c r="J389" s="14" t="s">
        <v>178</v>
      </c>
    </row>
    <row r="390" spans="1:11" x14ac:dyDescent="0.35">
      <c r="A390">
        <f t="shared" si="6"/>
        <v>1.1428571428571428</v>
      </c>
      <c r="C390" s="14">
        <v>5</v>
      </c>
      <c r="E390" s="1" t="s">
        <v>29</v>
      </c>
      <c r="F390" s="80">
        <v>24</v>
      </c>
      <c r="G390" s="63">
        <v>21</v>
      </c>
      <c r="H390" s="46" t="s">
        <v>27</v>
      </c>
      <c r="J390" s="14" t="s">
        <v>185</v>
      </c>
    </row>
    <row r="391" spans="1:11" x14ac:dyDescent="0.35">
      <c r="A391">
        <f t="shared" si="6"/>
        <v>1.0625</v>
      </c>
      <c r="C391" s="14">
        <v>6</v>
      </c>
      <c r="E391" s="1" t="s">
        <v>908</v>
      </c>
      <c r="F391" s="80">
        <v>17</v>
      </c>
      <c r="G391" s="63">
        <v>16</v>
      </c>
      <c r="H391" s="46" t="s">
        <v>796</v>
      </c>
      <c r="J391" s="14" t="s">
        <v>185</v>
      </c>
    </row>
    <row r="392" spans="1:11" x14ac:dyDescent="0.35">
      <c r="A392">
        <f t="shared" si="6"/>
        <v>1.2307692307692308</v>
      </c>
      <c r="C392" s="14">
        <v>7</v>
      </c>
      <c r="E392" s="1" t="s">
        <v>85</v>
      </c>
      <c r="F392" s="80">
        <v>16</v>
      </c>
      <c r="G392" s="63">
        <v>13</v>
      </c>
      <c r="H392" s="46" t="s">
        <v>82</v>
      </c>
      <c r="J392" s="14" t="s">
        <v>450</v>
      </c>
    </row>
    <row r="393" spans="1:11" x14ac:dyDescent="0.35">
      <c r="A393">
        <f t="shared" si="6"/>
        <v>1.3529411764705883</v>
      </c>
      <c r="C393" s="14">
        <v>8</v>
      </c>
      <c r="E393" s="1" t="s">
        <v>114</v>
      </c>
      <c r="F393" s="80">
        <v>23</v>
      </c>
      <c r="G393" s="63">
        <v>17</v>
      </c>
      <c r="H393" s="46" t="s">
        <v>72</v>
      </c>
      <c r="J393" s="14" t="s">
        <v>606</v>
      </c>
      <c r="K393" t="s">
        <v>939</v>
      </c>
    </row>
    <row r="394" spans="1:11" x14ac:dyDescent="0.35">
      <c r="A394">
        <f t="shared" si="6"/>
        <v>1.8</v>
      </c>
      <c r="C394" s="14">
        <v>9</v>
      </c>
      <c r="E394" s="1" t="s">
        <v>61</v>
      </c>
      <c r="F394" s="80">
        <v>9</v>
      </c>
      <c r="G394" s="63">
        <v>5</v>
      </c>
      <c r="H394" s="46" t="s">
        <v>59</v>
      </c>
      <c r="I394" s="63">
        <v>25</v>
      </c>
      <c r="J394" s="14" t="s">
        <v>603</v>
      </c>
    </row>
    <row r="395" spans="1:11" x14ac:dyDescent="0.35">
      <c r="A395">
        <f t="shared" si="6"/>
        <v>1.4285714285714286</v>
      </c>
      <c r="C395" s="14">
        <v>10</v>
      </c>
      <c r="E395" s="1" t="s">
        <v>65</v>
      </c>
      <c r="F395" s="80">
        <v>20</v>
      </c>
      <c r="G395" s="63">
        <v>14</v>
      </c>
      <c r="H395" s="46" t="s">
        <v>63</v>
      </c>
      <c r="J395" s="14" t="s">
        <v>507</v>
      </c>
    </row>
    <row r="396" spans="1:11" x14ac:dyDescent="0.35">
      <c r="A396">
        <f t="shared" si="6"/>
        <v>1.0714285714285714</v>
      </c>
      <c r="C396" s="14">
        <v>11</v>
      </c>
      <c r="E396" s="1" t="s">
        <v>145</v>
      </c>
      <c r="F396" s="80">
        <v>15</v>
      </c>
      <c r="G396" s="63">
        <v>14</v>
      </c>
      <c r="H396" s="46" t="s">
        <v>117</v>
      </c>
      <c r="J396" s="14" t="s">
        <v>185</v>
      </c>
      <c r="K396" t="s">
        <v>940</v>
      </c>
    </row>
    <row r="397" spans="1:11" x14ac:dyDescent="0.35">
      <c r="A397">
        <f t="shared" si="6"/>
        <v>1.3076923076923077</v>
      </c>
      <c r="C397" s="14">
        <v>12</v>
      </c>
      <c r="E397" s="1" t="s">
        <v>54</v>
      </c>
      <c r="F397" s="80">
        <v>17</v>
      </c>
      <c r="G397" s="63">
        <v>13</v>
      </c>
      <c r="H397" s="46" t="s">
        <v>56</v>
      </c>
      <c r="J397" s="14" t="s">
        <v>337</v>
      </c>
    </row>
    <row r="398" spans="1:11" x14ac:dyDescent="0.35">
      <c r="A398">
        <f t="shared" si="6"/>
        <v>1.5833333333333333</v>
      </c>
      <c r="C398" s="14">
        <v>13</v>
      </c>
      <c r="D398" s="80">
        <v>16</v>
      </c>
      <c r="E398" s="1" t="s">
        <v>60</v>
      </c>
      <c r="F398" s="80">
        <v>19</v>
      </c>
      <c r="G398" s="63">
        <v>12</v>
      </c>
      <c r="H398" s="46" t="s">
        <v>115</v>
      </c>
      <c r="J398" s="14" t="s">
        <v>294</v>
      </c>
    </row>
    <row r="399" spans="1:11" x14ac:dyDescent="0.35">
      <c r="A399">
        <f t="shared" si="6"/>
        <v>1.2857142857142858</v>
      </c>
      <c r="C399" s="14">
        <v>14</v>
      </c>
      <c r="D399" s="80">
        <v>24</v>
      </c>
      <c r="E399" s="1" t="s">
        <v>62</v>
      </c>
      <c r="F399" s="80">
        <v>18</v>
      </c>
      <c r="G399" s="63">
        <v>14</v>
      </c>
      <c r="H399" s="46" t="s">
        <v>64</v>
      </c>
      <c r="J399" s="14" t="s">
        <v>178</v>
      </c>
    </row>
    <row r="400" spans="1:11" x14ac:dyDescent="0.35">
      <c r="A400">
        <f t="shared" si="6"/>
        <v>1.8333333333333333</v>
      </c>
      <c r="C400" s="14">
        <v>15</v>
      </c>
      <c r="E400" s="1" t="s">
        <v>786</v>
      </c>
      <c r="F400" s="80">
        <v>11</v>
      </c>
      <c r="G400" s="63">
        <v>6</v>
      </c>
      <c r="H400" s="46" t="s">
        <v>785</v>
      </c>
      <c r="J400" s="14" t="s">
        <v>297</v>
      </c>
    </row>
    <row r="401" spans="1:11" x14ac:dyDescent="0.35">
      <c r="A401">
        <f t="shared" si="6"/>
        <v>1.25</v>
      </c>
      <c r="C401" s="14">
        <v>16</v>
      </c>
      <c r="E401" s="1" t="s">
        <v>790</v>
      </c>
      <c r="F401" s="80">
        <v>20</v>
      </c>
      <c r="G401" s="63">
        <v>16</v>
      </c>
      <c r="H401" s="46" t="s">
        <v>789</v>
      </c>
      <c r="J401" s="14" t="s">
        <v>337</v>
      </c>
    </row>
    <row r="402" spans="1:11" x14ac:dyDescent="0.35">
      <c r="A402">
        <f t="shared" si="6"/>
        <v>1.5833333333333333</v>
      </c>
      <c r="C402" s="14">
        <v>17</v>
      </c>
      <c r="D402" s="80">
        <v>4</v>
      </c>
      <c r="E402" s="1" t="s">
        <v>42</v>
      </c>
      <c r="F402" s="80">
        <v>19</v>
      </c>
      <c r="G402" s="63">
        <v>12</v>
      </c>
      <c r="H402" s="46" t="s">
        <v>1858</v>
      </c>
      <c r="J402" s="14" t="s">
        <v>186</v>
      </c>
    </row>
    <row r="403" spans="1:11" x14ac:dyDescent="0.35">
      <c r="A403">
        <f t="shared" si="6"/>
        <v>1.2727272727272727</v>
      </c>
      <c r="C403" s="14">
        <v>18</v>
      </c>
      <c r="D403" s="80">
        <v>5</v>
      </c>
      <c r="E403" s="1" t="s">
        <v>49</v>
      </c>
      <c r="F403" s="80">
        <v>14</v>
      </c>
      <c r="G403" s="63">
        <v>11</v>
      </c>
      <c r="H403" s="46" t="s">
        <v>47</v>
      </c>
      <c r="J403" s="14" t="s">
        <v>423</v>
      </c>
    </row>
    <row r="404" spans="1:11" x14ac:dyDescent="0.35">
      <c r="A404">
        <f t="shared" si="6"/>
        <v>1.6470588235294117</v>
      </c>
      <c r="C404" s="14">
        <v>19</v>
      </c>
      <c r="D404" s="80">
        <v>10</v>
      </c>
      <c r="E404" s="1" t="s">
        <v>57</v>
      </c>
      <c r="F404" s="80">
        <v>28</v>
      </c>
      <c r="G404" s="63">
        <v>17</v>
      </c>
      <c r="H404" s="46" t="s">
        <v>51</v>
      </c>
      <c r="J404" s="14" t="s">
        <v>507</v>
      </c>
    </row>
    <row r="405" spans="1:11" x14ac:dyDescent="0.35">
      <c r="A405">
        <f t="shared" si="6"/>
        <v>1.7777777777777777</v>
      </c>
      <c r="C405" s="14">
        <v>20</v>
      </c>
      <c r="E405" s="1" t="s">
        <v>909</v>
      </c>
      <c r="F405" s="80">
        <v>16</v>
      </c>
      <c r="G405" s="63">
        <v>9</v>
      </c>
      <c r="H405" s="46" t="s">
        <v>788</v>
      </c>
      <c r="I405" s="63">
        <v>23</v>
      </c>
      <c r="J405" s="14" t="s">
        <v>450</v>
      </c>
    </row>
    <row r="406" spans="1:11" x14ac:dyDescent="0.35">
      <c r="A406">
        <f t="shared" si="6"/>
        <v>1.2105263157894737</v>
      </c>
      <c r="C406" s="14">
        <v>21</v>
      </c>
      <c r="E406" s="1" t="s">
        <v>81</v>
      </c>
      <c r="F406" s="80">
        <v>23</v>
      </c>
      <c r="G406" s="63">
        <v>19</v>
      </c>
      <c r="H406" s="46" t="s">
        <v>84</v>
      </c>
      <c r="J406" s="14" t="s">
        <v>185</v>
      </c>
    </row>
    <row r="407" spans="1:11" x14ac:dyDescent="0.35">
      <c r="A407">
        <f t="shared" si="6"/>
        <v>1.5555555555555556</v>
      </c>
      <c r="C407" s="14">
        <v>22</v>
      </c>
      <c r="E407" s="1" t="s">
        <v>67</v>
      </c>
      <c r="F407" s="80">
        <v>28</v>
      </c>
      <c r="G407" s="63">
        <v>18</v>
      </c>
      <c r="H407" s="46" t="s">
        <v>70</v>
      </c>
      <c r="I407" s="63">
        <v>8</v>
      </c>
      <c r="J407" s="14" t="s">
        <v>886</v>
      </c>
    </row>
    <row r="408" spans="1:11" x14ac:dyDescent="0.35">
      <c r="A408">
        <f t="shared" si="6"/>
        <v>1.0909090909090908</v>
      </c>
      <c r="C408" s="14">
        <v>23</v>
      </c>
      <c r="E408" s="1" t="s">
        <v>792</v>
      </c>
      <c r="F408" s="80">
        <v>12</v>
      </c>
      <c r="G408" s="63">
        <v>11</v>
      </c>
      <c r="H408" s="46" t="s">
        <v>791</v>
      </c>
      <c r="J408" s="14" t="s">
        <v>403</v>
      </c>
    </row>
    <row r="409" spans="1:11" x14ac:dyDescent="0.35">
      <c r="A409">
        <f t="shared" si="6"/>
        <v>1.8333333333333333</v>
      </c>
      <c r="C409" s="14">
        <v>24</v>
      </c>
      <c r="D409" s="80">
        <v>1</v>
      </c>
      <c r="E409" s="1" t="s">
        <v>41</v>
      </c>
      <c r="F409" s="80">
        <v>22</v>
      </c>
      <c r="G409" s="63">
        <v>12</v>
      </c>
      <c r="H409" s="46" t="s">
        <v>44</v>
      </c>
      <c r="J409" s="14" t="s">
        <v>194</v>
      </c>
    </row>
    <row r="410" spans="1:11" x14ac:dyDescent="0.35">
      <c r="A410">
        <f t="shared" si="6"/>
        <v>1.6</v>
      </c>
      <c r="C410" s="14">
        <v>25</v>
      </c>
      <c r="E410" s="1" t="s">
        <v>25</v>
      </c>
      <c r="F410" s="80">
        <v>16</v>
      </c>
      <c r="G410" s="63">
        <v>10</v>
      </c>
      <c r="H410" s="46" t="s">
        <v>1860</v>
      </c>
      <c r="J410" s="14" t="s">
        <v>359</v>
      </c>
    </row>
    <row r="411" spans="1:11" x14ac:dyDescent="0.35">
      <c r="A411">
        <f t="shared" si="6"/>
        <v>1.5833333333333333</v>
      </c>
      <c r="C411" s="14">
        <v>26</v>
      </c>
      <c r="D411" s="80">
        <v>7</v>
      </c>
      <c r="E411" s="1" t="s">
        <v>783</v>
      </c>
      <c r="F411" s="80">
        <v>19</v>
      </c>
      <c r="G411" s="63">
        <v>12</v>
      </c>
      <c r="H411" s="46" t="s">
        <v>793</v>
      </c>
      <c r="J411" s="14" t="s">
        <v>184</v>
      </c>
    </row>
    <row r="412" spans="1:11" x14ac:dyDescent="0.35">
      <c r="A412">
        <f t="shared" si="6"/>
        <v>1.25</v>
      </c>
      <c r="C412" s="14">
        <v>27</v>
      </c>
      <c r="E412" s="1" t="s">
        <v>30</v>
      </c>
      <c r="F412" s="80">
        <v>25</v>
      </c>
      <c r="G412" s="63">
        <v>20</v>
      </c>
      <c r="H412" s="46" t="s">
        <v>28</v>
      </c>
      <c r="J412" s="14" t="s">
        <v>425</v>
      </c>
    </row>
    <row r="413" spans="1:11" x14ac:dyDescent="0.35">
      <c r="A413">
        <f t="shared" si="6"/>
        <v>4.166666666666667</v>
      </c>
      <c r="C413" s="14">
        <v>28</v>
      </c>
      <c r="D413" s="80">
        <v>9</v>
      </c>
      <c r="E413" s="1" t="s">
        <v>26</v>
      </c>
      <c r="F413" s="80">
        <v>25</v>
      </c>
      <c r="G413" s="63">
        <v>6</v>
      </c>
      <c r="H413" s="46" t="s">
        <v>22</v>
      </c>
      <c r="J413" s="14" t="s">
        <v>547</v>
      </c>
    </row>
    <row r="414" spans="1:11" x14ac:dyDescent="0.35">
      <c r="A414">
        <f t="shared" si="6"/>
        <v>1.3125</v>
      </c>
      <c r="C414" s="14">
        <v>29</v>
      </c>
      <c r="D414" s="80">
        <v>12</v>
      </c>
      <c r="E414" s="1" t="s">
        <v>36</v>
      </c>
      <c r="F414" s="80">
        <v>21</v>
      </c>
      <c r="G414" s="63">
        <v>16</v>
      </c>
      <c r="H414" s="46" t="s">
        <v>2011</v>
      </c>
      <c r="J414" s="14" t="s">
        <v>347</v>
      </c>
    </row>
    <row r="415" spans="1:11" x14ac:dyDescent="0.35">
      <c r="A415">
        <f t="shared" si="6"/>
        <v>2.5</v>
      </c>
      <c r="C415" s="14">
        <v>30</v>
      </c>
      <c r="D415" s="80">
        <v>2</v>
      </c>
      <c r="E415" s="1" t="s">
        <v>69</v>
      </c>
      <c r="F415" s="80">
        <v>30</v>
      </c>
      <c r="G415" s="63">
        <v>12</v>
      </c>
      <c r="H415" s="46" t="s">
        <v>68</v>
      </c>
      <c r="J415" s="14" t="s">
        <v>504</v>
      </c>
      <c r="K415" t="s">
        <v>941</v>
      </c>
    </row>
    <row r="416" spans="1:11" x14ac:dyDescent="0.35">
      <c r="A416">
        <f t="shared" si="6"/>
        <v>1.1818181818181819</v>
      </c>
      <c r="C416" s="14">
        <v>31</v>
      </c>
      <c r="D416" s="80">
        <v>15</v>
      </c>
      <c r="E416" s="1" t="s">
        <v>87</v>
      </c>
      <c r="F416" s="80">
        <v>13</v>
      </c>
      <c r="G416" s="63">
        <v>11</v>
      </c>
      <c r="H416" s="46" t="s">
        <v>83</v>
      </c>
      <c r="J416" s="14" t="s">
        <v>295</v>
      </c>
    </row>
    <row r="417" spans="1:11" x14ac:dyDescent="0.35">
      <c r="A417">
        <f t="shared" si="6"/>
        <v>1.375</v>
      </c>
      <c r="C417" s="14">
        <v>32</v>
      </c>
      <c r="E417" s="1" t="s">
        <v>78</v>
      </c>
      <c r="F417" s="80">
        <v>11</v>
      </c>
      <c r="G417" s="63">
        <v>8</v>
      </c>
      <c r="H417" s="46" t="s">
        <v>73</v>
      </c>
      <c r="J417" s="14" t="s">
        <v>400</v>
      </c>
    </row>
    <row r="418" spans="1:11" x14ac:dyDescent="0.35">
      <c r="A418">
        <f t="shared" si="6"/>
        <v>1.4545454545454546</v>
      </c>
      <c r="C418" s="14">
        <v>33</v>
      </c>
      <c r="E418" s="1" t="s">
        <v>35</v>
      </c>
      <c r="F418" s="80">
        <v>16</v>
      </c>
      <c r="G418" s="63">
        <v>11</v>
      </c>
      <c r="H418" s="46" t="s">
        <v>900</v>
      </c>
      <c r="J418" s="14" t="s">
        <v>331</v>
      </c>
    </row>
    <row r="419" spans="1:11" x14ac:dyDescent="0.35">
      <c r="A419">
        <f t="shared" si="6"/>
        <v>1.6363636363636365</v>
      </c>
      <c r="C419" s="14">
        <v>34</v>
      </c>
      <c r="D419" s="80">
        <v>11</v>
      </c>
      <c r="E419" s="1" t="s">
        <v>58</v>
      </c>
      <c r="F419" s="80">
        <v>18</v>
      </c>
      <c r="G419" s="63">
        <v>11</v>
      </c>
      <c r="H419" s="46" t="s">
        <v>48</v>
      </c>
      <c r="J419" s="14" t="s">
        <v>331</v>
      </c>
    </row>
    <row r="420" spans="1:11" x14ac:dyDescent="0.35">
      <c r="A420">
        <f t="shared" si="6"/>
        <v>1.5454545454545454</v>
      </c>
      <c r="C420" s="14">
        <v>35</v>
      </c>
      <c r="E420" s="1" t="s">
        <v>794</v>
      </c>
      <c r="F420" s="80">
        <v>17</v>
      </c>
      <c r="G420" s="63">
        <v>11</v>
      </c>
      <c r="H420" s="46" t="s">
        <v>787</v>
      </c>
      <c r="J420" s="14" t="s">
        <v>201</v>
      </c>
    </row>
    <row r="421" spans="1:11" x14ac:dyDescent="0.35">
      <c r="A421">
        <f t="shared" si="6"/>
        <v>1.6153846153846154</v>
      </c>
      <c r="C421" s="14">
        <v>36</v>
      </c>
      <c r="D421" s="80">
        <v>17</v>
      </c>
      <c r="E421" s="1" t="s">
        <v>795</v>
      </c>
      <c r="F421" s="80">
        <v>21</v>
      </c>
      <c r="G421" s="63">
        <v>13</v>
      </c>
      <c r="H421" s="46" t="s">
        <v>784</v>
      </c>
      <c r="J421" s="14" t="s">
        <v>296</v>
      </c>
    </row>
    <row r="422" spans="1:11" x14ac:dyDescent="0.35">
      <c r="A422">
        <f t="shared" si="6"/>
        <v>1.0714285714285714</v>
      </c>
      <c r="C422" s="14">
        <v>37</v>
      </c>
      <c r="E422" s="1" t="s">
        <v>77</v>
      </c>
      <c r="F422" s="80">
        <v>15</v>
      </c>
      <c r="G422" s="63">
        <v>14</v>
      </c>
      <c r="H422" s="46" t="s">
        <v>80</v>
      </c>
      <c r="J422" s="14" t="s">
        <v>578</v>
      </c>
    </row>
    <row r="423" spans="1:11" x14ac:dyDescent="0.35">
      <c r="A423">
        <f t="shared" si="6"/>
        <v>1.1538461538461537</v>
      </c>
      <c r="C423" s="14">
        <v>38</v>
      </c>
      <c r="E423" s="1" t="s">
        <v>1859</v>
      </c>
      <c r="F423" s="80">
        <v>15</v>
      </c>
      <c r="G423" s="63">
        <v>13</v>
      </c>
      <c r="H423" s="46" t="s">
        <v>43</v>
      </c>
      <c r="J423" s="14" t="s">
        <v>942</v>
      </c>
    </row>
    <row r="424" spans="1:11" x14ac:dyDescent="0.35">
      <c r="A424">
        <f t="shared" si="6"/>
        <v>1.1666666666666667</v>
      </c>
      <c r="C424" s="14">
        <v>39</v>
      </c>
      <c r="E424" s="1" t="s">
        <v>71</v>
      </c>
      <c r="F424" s="80">
        <v>21</v>
      </c>
      <c r="G424" s="63">
        <v>18</v>
      </c>
      <c r="H424" s="46" t="s">
        <v>66</v>
      </c>
      <c r="J424" s="14" t="s">
        <v>504</v>
      </c>
    </row>
    <row r="425" spans="1:11" x14ac:dyDescent="0.35">
      <c r="A425">
        <f t="shared" si="6"/>
        <v>1.2307692307692308</v>
      </c>
      <c r="C425" s="14">
        <v>40</v>
      </c>
      <c r="D425" s="80">
        <v>18</v>
      </c>
      <c r="E425" s="1" t="s">
        <v>300</v>
      </c>
      <c r="F425" s="80">
        <v>16</v>
      </c>
      <c r="G425" s="63">
        <v>13</v>
      </c>
      <c r="H425" s="46" t="s">
        <v>118</v>
      </c>
      <c r="J425" s="14" t="s">
        <v>296</v>
      </c>
    </row>
    <row r="426" spans="1:11" x14ac:dyDescent="0.35">
      <c r="A426">
        <f t="shared" si="6"/>
        <v>4.75</v>
      </c>
      <c r="C426" s="14">
        <v>41</v>
      </c>
      <c r="E426" s="1" t="s">
        <v>46</v>
      </c>
      <c r="F426" s="80">
        <v>19</v>
      </c>
      <c r="G426" s="63">
        <v>4</v>
      </c>
      <c r="H426" s="46" t="s">
        <v>45</v>
      </c>
      <c r="J426" s="14" t="s">
        <v>418</v>
      </c>
    </row>
    <row r="427" spans="1:11" x14ac:dyDescent="0.35">
      <c r="A427">
        <f t="shared" si="6"/>
        <v>3.5714285714285716</v>
      </c>
      <c r="C427" s="14">
        <v>42</v>
      </c>
      <c r="D427" s="80">
        <v>6</v>
      </c>
      <c r="E427" s="1" t="s">
        <v>34</v>
      </c>
      <c r="F427" s="80">
        <v>25</v>
      </c>
      <c r="G427" s="63">
        <v>7</v>
      </c>
      <c r="H427" s="46" t="s">
        <v>24</v>
      </c>
      <c r="J427" s="14" t="s">
        <v>178</v>
      </c>
      <c r="K427" t="s">
        <v>943</v>
      </c>
    </row>
    <row r="428" spans="1:11" x14ac:dyDescent="0.35">
      <c r="A428">
        <f t="shared" si="6"/>
        <v>1.5</v>
      </c>
      <c r="C428" s="14">
        <v>43</v>
      </c>
      <c r="D428" s="80">
        <v>21</v>
      </c>
      <c r="E428" s="1" t="s">
        <v>53</v>
      </c>
      <c r="F428" s="80">
        <v>24</v>
      </c>
      <c r="G428" s="63">
        <v>16</v>
      </c>
      <c r="H428" s="46" t="s">
        <v>55</v>
      </c>
      <c r="J428" s="14" t="s">
        <v>504</v>
      </c>
    </row>
    <row r="429" spans="1:11" x14ac:dyDescent="0.35">
      <c r="A429">
        <f t="shared" si="6"/>
        <v>1.0555555555555556</v>
      </c>
      <c r="C429" s="14">
        <v>44</v>
      </c>
      <c r="E429" s="1" t="s">
        <v>88</v>
      </c>
      <c r="F429" s="80">
        <v>19</v>
      </c>
      <c r="G429" s="63">
        <v>18</v>
      </c>
      <c r="H429" s="46" t="s">
        <v>86</v>
      </c>
      <c r="I429" s="63">
        <v>14</v>
      </c>
      <c r="J429" s="14" t="s">
        <v>443</v>
      </c>
      <c r="K429" t="s">
        <v>944</v>
      </c>
    </row>
    <row r="430" spans="1:11" x14ac:dyDescent="0.35">
      <c r="A430">
        <f t="shared" si="6"/>
        <v>1.5714285714285714</v>
      </c>
      <c r="C430" s="14">
        <v>45</v>
      </c>
      <c r="D430" s="80">
        <v>22</v>
      </c>
      <c r="E430" s="1" t="s">
        <v>79</v>
      </c>
      <c r="F430" s="80">
        <v>11</v>
      </c>
      <c r="G430" s="63">
        <v>7</v>
      </c>
      <c r="H430" s="46" t="s">
        <v>74</v>
      </c>
      <c r="J430" s="14" t="s">
        <v>331</v>
      </c>
      <c r="K430" s="64"/>
    </row>
    <row r="431" spans="1:11" x14ac:dyDescent="0.35">
      <c r="A431">
        <f t="shared" si="6"/>
        <v>1.5</v>
      </c>
      <c r="C431" s="14">
        <v>46</v>
      </c>
      <c r="D431" s="80">
        <v>3</v>
      </c>
      <c r="E431" s="1" t="s">
        <v>31</v>
      </c>
      <c r="F431" s="80">
        <v>15</v>
      </c>
      <c r="G431" s="63">
        <v>10</v>
      </c>
      <c r="H431" s="46" t="s">
        <v>32</v>
      </c>
      <c r="J431" s="14" t="s">
        <v>294</v>
      </c>
      <c r="K431" s="64" t="s">
        <v>945</v>
      </c>
    </row>
    <row r="432" spans="1:11" x14ac:dyDescent="0.35">
      <c r="A432">
        <f t="shared" si="6"/>
        <v>1.25</v>
      </c>
      <c r="C432" s="14">
        <v>47</v>
      </c>
      <c r="D432" s="80">
        <v>13</v>
      </c>
      <c r="E432" s="1" t="s">
        <v>119</v>
      </c>
      <c r="F432" s="80">
        <v>20</v>
      </c>
      <c r="G432" s="63">
        <v>16</v>
      </c>
      <c r="H432" s="46" t="s">
        <v>292</v>
      </c>
      <c r="J432" s="14" t="s">
        <v>299</v>
      </c>
      <c r="K432" s="64" t="s">
        <v>946</v>
      </c>
    </row>
    <row r="433" spans="1:11" ht="15" thickBot="1" x14ac:dyDescent="0.4">
      <c r="A433">
        <f t="shared" si="6"/>
        <v>1.25</v>
      </c>
      <c r="C433" s="23">
        <v>48</v>
      </c>
      <c r="D433" s="55">
        <v>19</v>
      </c>
      <c r="E433" s="44" t="s">
        <v>37</v>
      </c>
      <c r="F433" s="55">
        <v>15</v>
      </c>
      <c r="G433" s="56">
        <v>12</v>
      </c>
      <c r="H433" s="57" t="s">
        <v>40</v>
      </c>
      <c r="I433" s="56">
        <v>20</v>
      </c>
      <c r="J433" s="12" t="s">
        <v>191</v>
      </c>
      <c r="K433" s="12"/>
    </row>
    <row r="434" spans="1:11" x14ac:dyDescent="0.35">
      <c r="A434">
        <f t="shared" si="6"/>
        <v>1.0434782608695652</v>
      </c>
      <c r="C434" s="14">
        <v>1</v>
      </c>
      <c r="E434" s="1" t="s">
        <v>76</v>
      </c>
      <c r="F434" s="80">
        <v>24</v>
      </c>
      <c r="G434" s="63">
        <v>23</v>
      </c>
      <c r="H434" s="46" t="s">
        <v>41</v>
      </c>
      <c r="I434" s="63">
        <v>2</v>
      </c>
      <c r="J434" s="14" t="s">
        <v>290</v>
      </c>
      <c r="K434" s="14" t="s">
        <v>947</v>
      </c>
    </row>
    <row r="435" spans="1:11" x14ac:dyDescent="0.35">
      <c r="A435">
        <f t="shared" si="6"/>
        <v>1.0769230769230769</v>
      </c>
      <c r="C435" s="14">
        <v>2</v>
      </c>
      <c r="E435" s="1" t="s">
        <v>52</v>
      </c>
      <c r="F435" s="80">
        <v>14</v>
      </c>
      <c r="G435" s="63">
        <v>13</v>
      </c>
      <c r="H435" s="46" t="s">
        <v>62</v>
      </c>
      <c r="I435" s="63">
        <v>25</v>
      </c>
      <c r="J435" s="14" t="s">
        <v>397</v>
      </c>
    </row>
    <row r="436" spans="1:11" x14ac:dyDescent="0.35">
      <c r="A436">
        <f t="shared" si="6"/>
        <v>1.1538461538461537</v>
      </c>
      <c r="C436" s="14">
        <v>3</v>
      </c>
      <c r="D436" s="80">
        <v>15</v>
      </c>
      <c r="E436" s="1" t="s">
        <v>795</v>
      </c>
      <c r="F436" s="80">
        <v>15</v>
      </c>
      <c r="G436" s="63">
        <v>13</v>
      </c>
      <c r="H436" s="46" t="s">
        <v>27</v>
      </c>
      <c r="J436" s="14" t="s">
        <v>194</v>
      </c>
    </row>
    <row r="437" spans="1:11" x14ac:dyDescent="0.35">
      <c r="A437">
        <f t="shared" si="6"/>
        <v>1.1428571428571428</v>
      </c>
      <c r="C437" s="14">
        <v>4</v>
      </c>
      <c r="E437" s="1" t="s">
        <v>63</v>
      </c>
      <c r="F437" s="80">
        <v>16</v>
      </c>
      <c r="G437" s="63">
        <v>14</v>
      </c>
      <c r="H437" s="46" t="s">
        <v>47</v>
      </c>
      <c r="J437" s="14" t="s">
        <v>296</v>
      </c>
    </row>
    <row r="438" spans="1:11" x14ac:dyDescent="0.35">
      <c r="A438">
        <f t="shared" si="6"/>
        <v>1.3333333333333333</v>
      </c>
      <c r="C438" s="14">
        <v>5</v>
      </c>
      <c r="E438" s="1" t="s">
        <v>55</v>
      </c>
      <c r="F438" s="80">
        <v>16</v>
      </c>
      <c r="G438" s="63">
        <v>12</v>
      </c>
      <c r="H438" s="46" t="s">
        <v>72</v>
      </c>
      <c r="J438" s="14" t="s">
        <v>294</v>
      </c>
    </row>
    <row r="439" spans="1:11" x14ac:dyDescent="0.35">
      <c r="A439">
        <f t="shared" si="6"/>
        <v>1.8333333333333333</v>
      </c>
      <c r="C439" s="14">
        <v>6</v>
      </c>
      <c r="D439" s="80">
        <v>9</v>
      </c>
      <c r="E439" s="1" t="s">
        <v>119</v>
      </c>
      <c r="F439" s="80">
        <v>22</v>
      </c>
      <c r="G439" s="63">
        <v>12</v>
      </c>
      <c r="H439" s="46" t="s">
        <v>908</v>
      </c>
      <c r="J439" s="14" t="s">
        <v>185</v>
      </c>
    </row>
    <row r="440" spans="1:11" x14ac:dyDescent="0.35">
      <c r="A440">
        <f t="shared" si="6"/>
        <v>2.75</v>
      </c>
      <c r="C440" s="14">
        <v>7</v>
      </c>
      <c r="E440" s="1" t="s">
        <v>117</v>
      </c>
      <c r="F440" s="80">
        <v>22</v>
      </c>
      <c r="G440" s="63">
        <v>8</v>
      </c>
      <c r="H440" s="46" t="s">
        <v>71</v>
      </c>
      <c r="J440" s="14" t="s">
        <v>332</v>
      </c>
    </row>
    <row r="441" spans="1:11" x14ac:dyDescent="0.35">
      <c r="A441">
        <f t="shared" si="6"/>
        <v>2.2727272727272729</v>
      </c>
      <c r="C441" s="14">
        <v>8</v>
      </c>
      <c r="D441" s="80">
        <v>13</v>
      </c>
      <c r="E441" s="1" t="s">
        <v>87</v>
      </c>
      <c r="F441" s="80">
        <v>25</v>
      </c>
      <c r="G441" s="63">
        <v>11</v>
      </c>
      <c r="H441" s="46" t="s">
        <v>38</v>
      </c>
      <c r="J441" s="14" t="s">
        <v>465</v>
      </c>
    </row>
    <row r="442" spans="1:11" x14ac:dyDescent="0.35">
      <c r="A442">
        <f t="shared" si="6"/>
        <v>1.0555555555555556</v>
      </c>
      <c r="C442" s="14">
        <v>9</v>
      </c>
      <c r="E442" s="1" t="s">
        <v>56</v>
      </c>
      <c r="F442" s="80">
        <v>19</v>
      </c>
      <c r="G442" s="63">
        <v>18</v>
      </c>
      <c r="H442" s="46" t="s">
        <v>69</v>
      </c>
      <c r="I442" s="63">
        <v>1</v>
      </c>
      <c r="J442" s="14" t="s">
        <v>296</v>
      </c>
      <c r="K442" t="s">
        <v>948</v>
      </c>
    </row>
    <row r="443" spans="1:11" x14ac:dyDescent="0.35">
      <c r="A443">
        <f t="shared" si="6"/>
        <v>1.5714285714285714</v>
      </c>
      <c r="C443" s="14">
        <v>10</v>
      </c>
      <c r="E443" s="1" t="s">
        <v>115</v>
      </c>
      <c r="F443" s="80">
        <v>11</v>
      </c>
      <c r="G443" s="63">
        <v>7</v>
      </c>
      <c r="H443" s="46" t="s">
        <v>51</v>
      </c>
      <c r="J443" s="14" t="s">
        <v>297</v>
      </c>
    </row>
    <row r="444" spans="1:11" x14ac:dyDescent="0.35">
      <c r="A444">
        <f t="shared" si="6"/>
        <v>1.5555555555555556</v>
      </c>
      <c r="C444" s="14">
        <v>11</v>
      </c>
      <c r="E444" s="1" t="s">
        <v>50</v>
      </c>
      <c r="F444" s="80">
        <v>14</v>
      </c>
      <c r="G444" s="63">
        <v>9</v>
      </c>
      <c r="H444" s="46" t="s">
        <v>64</v>
      </c>
      <c r="J444" s="14" t="s">
        <v>331</v>
      </c>
    </row>
    <row r="445" spans="1:11" x14ac:dyDescent="0.35">
      <c r="A445">
        <f t="shared" si="6"/>
        <v>4.2</v>
      </c>
      <c r="C445" s="14">
        <v>12</v>
      </c>
      <c r="D445" s="80">
        <v>8</v>
      </c>
      <c r="E445" s="1" t="s">
        <v>26</v>
      </c>
      <c r="F445" s="80">
        <v>21</v>
      </c>
      <c r="G445" s="63">
        <v>5</v>
      </c>
      <c r="H445" s="46" t="s">
        <v>789</v>
      </c>
      <c r="J445" s="14" t="s">
        <v>450</v>
      </c>
    </row>
    <row r="446" spans="1:11" x14ac:dyDescent="0.35">
      <c r="A446">
        <f t="shared" si="6"/>
        <v>1.0625</v>
      </c>
      <c r="C446" s="14">
        <v>13</v>
      </c>
      <c r="E446" s="1" t="s">
        <v>85</v>
      </c>
      <c r="F446" s="80">
        <v>17</v>
      </c>
      <c r="G446" s="63">
        <v>16</v>
      </c>
      <c r="H446" s="46" t="s">
        <v>36</v>
      </c>
      <c r="I446" s="63">
        <v>12</v>
      </c>
      <c r="J446" s="14" t="s">
        <v>526</v>
      </c>
      <c r="K446" t="s">
        <v>949</v>
      </c>
    </row>
    <row r="447" spans="1:11" x14ac:dyDescent="0.35">
      <c r="A447">
        <f t="shared" si="6"/>
        <v>1.3571428571428572</v>
      </c>
      <c r="C447" s="14">
        <v>14</v>
      </c>
      <c r="E447" s="1" t="s">
        <v>794</v>
      </c>
      <c r="F447" s="80">
        <v>19</v>
      </c>
      <c r="G447" s="63">
        <v>14</v>
      </c>
      <c r="H447" s="46" t="s">
        <v>23</v>
      </c>
      <c r="J447" s="14" t="s">
        <v>337</v>
      </c>
    </row>
    <row r="448" spans="1:11" x14ac:dyDescent="0.35">
      <c r="A448">
        <f t="shared" si="6"/>
        <v>1.75</v>
      </c>
      <c r="C448" s="14">
        <v>15</v>
      </c>
      <c r="D448" s="80">
        <v>19</v>
      </c>
      <c r="E448" s="1" t="s">
        <v>79</v>
      </c>
      <c r="F448" s="80">
        <v>21</v>
      </c>
      <c r="G448" s="63">
        <v>12</v>
      </c>
      <c r="H448" s="46" t="s">
        <v>1858</v>
      </c>
      <c r="J448" s="14" t="s">
        <v>488</v>
      </c>
    </row>
    <row r="449" spans="1:10" x14ac:dyDescent="0.35">
      <c r="A449">
        <f t="shared" si="6"/>
        <v>1.3076923076923077</v>
      </c>
      <c r="C449" s="14">
        <v>16</v>
      </c>
      <c r="E449" s="1" t="s">
        <v>48</v>
      </c>
      <c r="F449" s="80">
        <v>17</v>
      </c>
      <c r="G449" s="63">
        <v>13</v>
      </c>
      <c r="H449" s="46" t="s">
        <v>61</v>
      </c>
      <c r="J449" s="14" t="s">
        <v>301</v>
      </c>
    </row>
    <row r="450" spans="1:10" x14ac:dyDescent="0.35">
      <c r="A450">
        <f t="shared" si="6"/>
        <v>3.375</v>
      </c>
      <c r="C450" s="14">
        <v>17</v>
      </c>
      <c r="D450" s="80">
        <v>5</v>
      </c>
      <c r="E450" s="1" t="s">
        <v>49</v>
      </c>
      <c r="F450" s="80">
        <v>27</v>
      </c>
      <c r="G450" s="63">
        <v>8</v>
      </c>
      <c r="H450" s="46" t="s">
        <v>65</v>
      </c>
      <c r="J450" s="14" t="s">
        <v>332</v>
      </c>
    </row>
    <row r="451" spans="1:10" x14ac:dyDescent="0.35">
      <c r="A451">
        <f t="shared" ref="A451:A514" si="7">(F451/G451)</f>
        <v>2.5</v>
      </c>
      <c r="C451" s="14">
        <v>18</v>
      </c>
      <c r="E451" s="1" t="s">
        <v>292</v>
      </c>
      <c r="F451" s="80">
        <v>20</v>
      </c>
      <c r="G451" s="63">
        <v>8</v>
      </c>
      <c r="H451" s="46" t="s">
        <v>796</v>
      </c>
      <c r="J451" s="14" t="s">
        <v>286</v>
      </c>
    </row>
    <row r="452" spans="1:10" x14ac:dyDescent="0.35">
      <c r="A452">
        <f t="shared" si="7"/>
        <v>2.1428571428571428</v>
      </c>
      <c r="C452" s="14">
        <v>19</v>
      </c>
      <c r="E452" s="1" t="s">
        <v>786</v>
      </c>
      <c r="F452" s="80">
        <v>15</v>
      </c>
      <c r="G452" s="63">
        <v>7</v>
      </c>
      <c r="H452" s="46" t="s">
        <v>28</v>
      </c>
      <c r="J452" s="14" t="s">
        <v>196</v>
      </c>
    </row>
    <row r="453" spans="1:10" x14ac:dyDescent="0.35">
      <c r="A453">
        <f t="shared" si="7"/>
        <v>1.3125</v>
      </c>
      <c r="C453" s="14">
        <v>20</v>
      </c>
      <c r="E453" s="1" t="s">
        <v>785</v>
      </c>
      <c r="F453" s="80">
        <v>21</v>
      </c>
      <c r="G453" s="63">
        <v>16</v>
      </c>
      <c r="H453" s="46" t="s">
        <v>30</v>
      </c>
      <c r="J453" s="14" t="s">
        <v>184</v>
      </c>
    </row>
    <row r="454" spans="1:10" x14ac:dyDescent="0.35">
      <c r="A454">
        <f t="shared" si="7"/>
        <v>1.5454545454545454</v>
      </c>
      <c r="C454" s="14">
        <v>21</v>
      </c>
      <c r="E454" s="1" t="s">
        <v>791</v>
      </c>
      <c r="F454" s="80">
        <v>17</v>
      </c>
      <c r="G454" s="63">
        <v>11</v>
      </c>
      <c r="H454" s="46" t="s">
        <v>25</v>
      </c>
      <c r="J454" s="14" t="s">
        <v>337</v>
      </c>
    </row>
    <row r="455" spans="1:10" x14ac:dyDescent="0.35">
      <c r="A455">
        <f t="shared" si="7"/>
        <v>1.5</v>
      </c>
      <c r="C455" s="14">
        <v>22</v>
      </c>
      <c r="E455" s="1" t="s">
        <v>75</v>
      </c>
      <c r="F455" s="80">
        <v>18</v>
      </c>
      <c r="G455" s="63">
        <v>12</v>
      </c>
      <c r="H455" s="46" t="s">
        <v>44</v>
      </c>
      <c r="J455" s="14" t="s">
        <v>178</v>
      </c>
    </row>
    <row r="456" spans="1:10" x14ac:dyDescent="0.35">
      <c r="A456">
        <f t="shared" si="7"/>
        <v>1.8181818181818181</v>
      </c>
      <c r="C456" s="14">
        <v>23</v>
      </c>
      <c r="E456" s="1" t="s">
        <v>54</v>
      </c>
      <c r="F456" s="80">
        <v>20</v>
      </c>
      <c r="G456" s="63">
        <v>11</v>
      </c>
      <c r="H456" s="46" t="s">
        <v>68</v>
      </c>
      <c r="J456" s="14" t="s">
        <v>577</v>
      </c>
    </row>
    <row r="457" spans="1:10" x14ac:dyDescent="0.35">
      <c r="A457">
        <f t="shared" si="7"/>
        <v>1.9</v>
      </c>
      <c r="C457" s="14">
        <v>24</v>
      </c>
      <c r="E457" s="1" t="s">
        <v>793</v>
      </c>
      <c r="F457" s="80">
        <v>19</v>
      </c>
      <c r="G457" s="63">
        <v>10</v>
      </c>
      <c r="H457" s="46" t="s">
        <v>32</v>
      </c>
      <c r="J457" s="14" t="s">
        <v>360</v>
      </c>
    </row>
    <row r="458" spans="1:10" x14ac:dyDescent="0.35">
      <c r="A458">
        <f t="shared" si="7"/>
        <v>1.2</v>
      </c>
      <c r="C458" s="14">
        <v>25</v>
      </c>
      <c r="E458" s="1" t="s">
        <v>22</v>
      </c>
      <c r="F458" s="80">
        <v>18</v>
      </c>
      <c r="G458" s="63">
        <v>15</v>
      </c>
      <c r="H458" s="46" t="s">
        <v>790</v>
      </c>
      <c r="J458" s="14" t="s">
        <v>296</v>
      </c>
    </row>
    <row r="459" spans="1:10" x14ac:dyDescent="0.35">
      <c r="A459">
        <f t="shared" si="7"/>
        <v>1.875</v>
      </c>
      <c r="C459" s="14">
        <v>26</v>
      </c>
      <c r="E459" s="1" t="s">
        <v>792</v>
      </c>
      <c r="F459" s="80">
        <v>15</v>
      </c>
      <c r="G459" s="63">
        <v>8</v>
      </c>
      <c r="H459" s="46" t="s">
        <v>1860</v>
      </c>
      <c r="J459" s="14" t="s">
        <v>450</v>
      </c>
    </row>
    <row r="460" spans="1:10" x14ac:dyDescent="0.35">
      <c r="A460">
        <f t="shared" si="7"/>
        <v>1.0666666666666667</v>
      </c>
      <c r="C460" s="14">
        <v>27</v>
      </c>
      <c r="E460" s="1" t="s">
        <v>82</v>
      </c>
      <c r="F460" s="80">
        <v>16</v>
      </c>
      <c r="G460" s="63">
        <v>15</v>
      </c>
      <c r="H460" s="46" t="s">
        <v>2011</v>
      </c>
      <c r="J460" s="14" t="s">
        <v>294</v>
      </c>
    </row>
    <row r="461" spans="1:10" x14ac:dyDescent="0.35">
      <c r="A461">
        <f t="shared" si="7"/>
        <v>3.5</v>
      </c>
      <c r="C461" s="14">
        <v>28</v>
      </c>
      <c r="E461" s="1" t="s">
        <v>83</v>
      </c>
      <c r="F461" s="80">
        <v>21</v>
      </c>
      <c r="G461" s="63">
        <v>6</v>
      </c>
      <c r="H461" s="46" t="s">
        <v>39</v>
      </c>
      <c r="J461" s="14" t="s">
        <v>547</v>
      </c>
    </row>
    <row r="462" spans="1:10" x14ac:dyDescent="0.35">
      <c r="A462">
        <f t="shared" si="7"/>
        <v>1.375</v>
      </c>
      <c r="C462" s="14">
        <v>29</v>
      </c>
      <c r="E462" s="1" t="s">
        <v>81</v>
      </c>
      <c r="F462" s="80">
        <v>22</v>
      </c>
      <c r="G462" s="63">
        <v>16</v>
      </c>
      <c r="H462" s="46" t="s">
        <v>35</v>
      </c>
      <c r="J462" s="14" t="s">
        <v>332</v>
      </c>
    </row>
    <row r="463" spans="1:10" x14ac:dyDescent="0.35">
      <c r="A463">
        <f t="shared" si="7"/>
        <v>1.6666666666666667</v>
      </c>
      <c r="C463" s="14">
        <v>30</v>
      </c>
      <c r="E463" s="1" t="s">
        <v>84</v>
      </c>
      <c r="F463" s="80">
        <v>15</v>
      </c>
      <c r="G463" s="63">
        <v>9</v>
      </c>
      <c r="H463" s="46" t="s">
        <v>900</v>
      </c>
      <c r="J463" s="14" t="s">
        <v>331</v>
      </c>
    </row>
    <row r="464" spans="1:10" x14ac:dyDescent="0.35">
      <c r="A464">
        <f t="shared" si="7"/>
        <v>1.5</v>
      </c>
      <c r="C464" s="14">
        <v>31</v>
      </c>
      <c r="E464" s="1" t="s">
        <v>33</v>
      </c>
      <c r="F464" s="80">
        <v>12</v>
      </c>
      <c r="G464" s="63">
        <v>8</v>
      </c>
      <c r="H464" s="46" t="s">
        <v>787</v>
      </c>
      <c r="J464" s="14" t="s">
        <v>291</v>
      </c>
    </row>
    <row r="465" spans="1:11" x14ac:dyDescent="0.35">
      <c r="A465">
        <f t="shared" si="7"/>
        <v>1.5714285714285714</v>
      </c>
      <c r="C465" s="14">
        <v>32</v>
      </c>
      <c r="E465" s="1" t="s">
        <v>784</v>
      </c>
      <c r="F465" s="80">
        <v>22</v>
      </c>
      <c r="G465" s="63">
        <v>14</v>
      </c>
      <c r="H465" s="46" t="s">
        <v>29</v>
      </c>
      <c r="J465" s="14" t="s">
        <v>347</v>
      </c>
    </row>
    <row r="466" spans="1:11" x14ac:dyDescent="0.35">
      <c r="A466">
        <f t="shared" si="7"/>
        <v>1.75</v>
      </c>
      <c r="C466" s="14">
        <v>33</v>
      </c>
      <c r="D466" s="80">
        <v>6</v>
      </c>
      <c r="E466" s="1" t="s">
        <v>34</v>
      </c>
      <c r="F466" s="80">
        <v>21</v>
      </c>
      <c r="G466" s="63">
        <v>12</v>
      </c>
      <c r="H466" s="46" t="s">
        <v>909</v>
      </c>
      <c r="J466" s="14" t="s">
        <v>533</v>
      </c>
    </row>
    <row r="467" spans="1:11" x14ac:dyDescent="0.35">
      <c r="A467">
        <f t="shared" si="7"/>
        <v>2.1</v>
      </c>
      <c r="C467" s="14">
        <v>34</v>
      </c>
      <c r="E467" s="1" t="s">
        <v>66</v>
      </c>
      <c r="F467" s="80">
        <v>21</v>
      </c>
      <c r="G467" s="63">
        <v>10</v>
      </c>
      <c r="H467" s="46" t="s">
        <v>145</v>
      </c>
      <c r="J467" s="14" t="s">
        <v>950</v>
      </c>
    </row>
    <row r="468" spans="1:11" x14ac:dyDescent="0.35">
      <c r="A468">
        <f t="shared" si="7"/>
        <v>1.9166666666666667</v>
      </c>
      <c r="C468" s="14">
        <v>35</v>
      </c>
      <c r="E468" s="1" t="s">
        <v>1859</v>
      </c>
      <c r="F468" s="80">
        <v>23</v>
      </c>
      <c r="G468" s="63">
        <v>12</v>
      </c>
      <c r="H468" s="46" t="s">
        <v>73</v>
      </c>
      <c r="J468" s="14" t="s">
        <v>404</v>
      </c>
    </row>
    <row r="469" spans="1:11" x14ac:dyDescent="0.35">
      <c r="A469">
        <f t="shared" si="7"/>
        <v>1.0526315789473684</v>
      </c>
      <c r="C469" s="14">
        <v>36</v>
      </c>
      <c r="E469" s="1" t="s">
        <v>43</v>
      </c>
      <c r="F469" s="80">
        <v>20</v>
      </c>
      <c r="G469" s="63">
        <v>19</v>
      </c>
      <c r="H469" s="46" t="s">
        <v>78</v>
      </c>
      <c r="J469" s="14" t="s">
        <v>471</v>
      </c>
      <c r="K469" t="s">
        <v>951</v>
      </c>
    </row>
    <row r="470" spans="1:11" x14ac:dyDescent="0.35">
      <c r="A470">
        <f t="shared" si="7"/>
        <v>1.5</v>
      </c>
      <c r="C470" s="14">
        <v>37</v>
      </c>
      <c r="E470" s="1" t="s">
        <v>24</v>
      </c>
      <c r="F470" s="80">
        <v>24</v>
      </c>
      <c r="G470" s="63">
        <v>16</v>
      </c>
      <c r="H470" s="46" t="s">
        <v>788</v>
      </c>
      <c r="J470" s="14" t="s">
        <v>609</v>
      </c>
      <c r="K470" t="s">
        <v>952</v>
      </c>
    </row>
    <row r="471" spans="1:11" x14ac:dyDescent="0.35">
      <c r="A471">
        <f t="shared" si="7"/>
        <v>1.0909090909090908</v>
      </c>
      <c r="C471" s="14">
        <v>38</v>
      </c>
      <c r="E471" s="1" t="s">
        <v>77</v>
      </c>
      <c r="F471" s="80">
        <v>12</v>
      </c>
      <c r="G471" s="63">
        <v>11</v>
      </c>
      <c r="H471" s="46" t="s">
        <v>45</v>
      </c>
      <c r="J471" s="14" t="s">
        <v>608</v>
      </c>
      <c r="K471" t="s">
        <v>953</v>
      </c>
    </row>
    <row r="472" spans="1:11" x14ac:dyDescent="0.35">
      <c r="A472">
        <f t="shared" si="7"/>
        <v>1.2857142857142858</v>
      </c>
      <c r="C472" s="14">
        <v>39</v>
      </c>
      <c r="E472" s="1" t="s">
        <v>118</v>
      </c>
      <c r="F472" s="80">
        <v>18</v>
      </c>
      <c r="G472" s="63">
        <v>14</v>
      </c>
      <c r="H472" s="46" t="s">
        <v>67</v>
      </c>
      <c r="J472" s="14" t="s">
        <v>400</v>
      </c>
    </row>
    <row r="473" spans="1:11" x14ac:dyDescent="0.35">
      <c r="A473">
        <f t="shared" si="7"/>
        <v>1.5</v>
      </c>
      <c r="C473" s="14">
        <v>40</v>
      </c>
      <c r="D473" s="80">
        <v>23</v>
      </c>
      <c r="E473" s="1" t="s">
        <v>46</v>
      </c>
      <c r="F473" s="80">
        <v>21</v>
      </c>
      <c r="G473" s="63">
        <v>14</v>
      </c>
      <c r="H473" s="46" t="s">
        <v>80</v>
      </c>
      <c r="J473" s="14" t="s">
        <v>178</v>
      </c>
    </row>
    <row r="474" spans="1:11" x14ac:dyDescent="0.35">
      <c r="A474">
        <f t="shared" si="7"/>
        <v>1.4666666666666666</v>
      </c>
      <c r="C474" s="14">
        <v>41</v>
      </c>
      <c r="D474" s="80">
        <v>4</v>
      </c>
      <c r="E474" s="1" t="s">
        <v>42</v>
      </c>
      <c r="F474" s="80">
        <v>22</v>
      </c>
      <c r="G474" s="63">
        <v>15</v>
      </c>
      <c r="H474" s="46" t="s">
        <v>74</v>
      </c>
      <c r="J474" s="14" t="s">
        <v>621</v>
      </c>
    </row>
    <row r="475" spans="1:11" x14ac:dyDescent="0.35">
      <c r="A475">
        <f t="shared" si="7"/>
        <v>3.5</v>
      </c>
      <c r="C475" s="14">
        <v>42</v>
      </c>
      <c r="E475" s="1" t="s">
        <v>59</v>
      </c>
      <c r="F475" s="80">
        <v>14</v>
      </c>
      <c r="G475" s="63">
        <v>4</v>
      </c>
      <c r="H475" s="46" t="s">
        <v>58</v>
      </c>
      <c r="I475" s="63">
        <v>11</v>
      </c>
      <c r="J475" s="14" t="s">
        <v>545</v>
      </c>
    </row>
    <row r="476" spans="1:11" x14ac:dyDescent="0.35">
      <c r="A476">
        <f t="shared" si="7"/>
        <v>1.0714285714285714</v>
      </c>
      <c r="C476" s="14">
        <v>43</v>
      </c>
      <c r="D476" s="80">
        <v>17</v>
      </c>
      <c r="E476" s="1" t="s">
        <v>53</v>
      </c>
      <c r="F476" s="80">
        <v>15</v>
      </c>
      <c r="G476" s="63">
        <v>14</v>
      </c>
      <c r="H476" s="46" t="s">
        <v>114</v>
      </c>
      <c r="J476" s="14" t="s">
        <v>179</v>
      </c>
    </row>
    <row r="477" spans="1:11" x14ac:dyDescent="0.35">
      <c r="A477">
        <f t="shared" si="7"/>
        <v>1.0833333333333333</v>
      </c>
      <c r="C477" s="14">
        <v>44</v>
      </c>
      <c r="D477" s="80">
        <v>21</v>
      </c>
      <c r="E477" s="1" t="s">
        <v>86</v>
      </c>
      <c r="F477" s="80">
        <v>13</v>
      </c>
      <c r="G477" s="63">
        <v>12</v>
      </c>
      <c r="H477" s="46" t="s">
        <v>40</v>
      </c>
      <c r="I477" s="63">
        <v>24</v>
      </c>
      <c r="J477" s="14" t="s">
        <v>296</v>
      </c>
      <c r="K477" t="s">
        <v>954</v>
      </c>
    </row>
    <row r="478" spans="1:11" x14ac:dyDescent="0.35">
      <c r="A478">
        <f t="shared" si="7"/>
        <v>1.1428571428571428</v>
      </c>
      <c r="C478" s="14">
        <v>45</v>
      </c>
      <c r="D478" s="80">
        <v>22</v>
      </c>
      <c r="E478" s="1" t="s">
        <v>88</v>
      </c>
      <c r="F478" s="80">
        <v>16</v>
      </c>
      <c r="G478" s="63">
        <v>14</v>
      </c>
      <c r="H478" s="46" t="s">
        <v>37</v>
      </c>
      <c r="I478" s="63">
        <v>14</v>
      </c>
      <c r="J478" s="14" t="s">
        <v>369</v>
      </c>
    </row>
    <row r="479" spans="1:11" x14ac:dyDescent="0.35">
      <c r="A479">
        <f t="shared" si="7"/>
        <v>1.9</v>
      </c>
      <c r="C479" s="14">
        <v>46</v>
      </c>
      <c r="D479" s="80">
        <v>18</v>
      </c>
      <c r="E479" s="1" t="s">
        <v>300</v>
      </c>
      <c r="F479" s="80">
        <v>19</v>
      </c>
      <c r="G479" s="63">
        <v>10</v>
      </c>
      <c r="H479" s="46" t="s">
        <v>70</v>
      </c>
      <c r="I479" s="63">
        <v>20</v>
      </c>
      <c r="J479" s="14" t="s">
        <v>360</v>
      </c>
    </row>
    <row r="480" spans="1:11" x14ac:dyDescent="0.35">
      <c r="A480">
        <f t="shared" si="7"/>
        <v>3.1666666666666665</v>
      </c>
      <c r="C480" s="14">
        <v>47</v>
      </c>
      <c r="D480" s="80">
        <v>10</v>
      </c>
      <c r="E480" s="1" t="s">
        <v>57</v>
      </c>
      <c r="F480" s="80">
        <v>19</v>
      </c>
      <c r="G480" s="63">
        <v>6</v>
      </c>
      <c r="H480" s="46" t="s">
        <v>60</v>
      </c>
      <c r="I480" s="63">
        <v>16</v>
      </c>
      <c r="J480" s="14" t="s">
        <v>450</v>
      </c>
    </row>
    <row r="481" spans="1:11" ht="15" thickBot="1" x14ac:dyDescent="0.4">
      <c r="A481">
        <f t="shared" si="7"/>
        <v>1.1000000000000001</v>
      </c>
      <c r="C481" s="23">
        <v>48</v>
      </c>
      <c r="D481" s="55">
        <v>7</v>
      </c>
      <c r="E481" s="44" t="s">
        <v>783</v>
      </c>
      <c r="F481" s="55">
        <v>22</v>
      </c>
      <c r="G481" s="56">
        <v>20</v>
      </c>
      <c r="H481" s="57" t="s">
        <v>31</v>
      </c>
      <c r="I481" s="56">
        <v>3</v>
      </c>
      <c r="J481" s="12" t="s">
        <v>536</v>
      </c>
      <c r="K481" s="12" t="s">
        <v>955</v>
      </c>
    </row>
    <row r="482" spans="1:11" x14ac:dyDescent="0.35">
      <c r="A482">
        <f t="shared" si="7"/>
        <v>1.0625</v>
      </c>
      <c r="C482" s="14">
        <v>1</v>
      </c>
      <c r="E482" s="1" t="s">
        <v>52</v>
      </c>
      <c r="F482" s="80">
        <v>17</v>
      </c>
      <c r="G482" s="63">
        <v>16</v>
      </c>
      <c r="H482" s="46" t="s">
        <v>53</v>
      </c>
      <c r="I482" s="63">
        <v>15</v>
      </c>
      <c r="J482" s="14" t="s">
        <v>191</v>
      </c>
      <c r="K482" t="s">
        <v>1123</v>
      </c>
    </row>
    <row r="483" spans="1:11" x14ac:dyDescent="0.35">
      <c r="A483">
        <f t="shared" si="7"/>
        <v>1.5555555555555556</v>
      </c>
      <c r="C483" s="14">
        <v>2</v>
      </c>
      <c r="E483" s="1" t="s">
        <v>1860</v>
      </c>
      <c r="F483" s="80">
        <v>14</v>
      </c>
      <c r="G483" s="63">
        <v>9</v>
      </c>
      <c r="H483" s="46" t="s">
        <v>27</v>
      </c>
      <c r="J483" s="14" t="s">
        <v>295</v>
      </c>
    </row>
    <row r="484" spans="1:11" x14ac:dyDescent="0.35">
      <c r="A484">
        <f t="shared" si="7"/>
        <v>4</v>
      </c>
      <c r="C484" s="14">
        <v>3</v>
      </c>
      <c r="E484" s="1" t="s">
        <v>64</v>
      </c>
      <c r="F484" s="80">
        <v>12</v>
      </c>
      <c r="G484" s="63">
        <v>3</v>
      </c>
      <c r="H484" s="46" t="s">
        <v>72</v>
      </c>
      <c r="J484" s="14" t="s">
        <v>545</v>
      </c>
    </row>
    <row r="485" spans="1:11" x14ac:dyDescent="0.35">
      <c r="A485">
        <f t="shared" si="7"/>
        <v>1.0625</v>
      </c>
      <c r="C485" s="14">
        <v>4</v>
      </c>
      <c r="E485" s="1" t="s">
        <v>68</v>
      </c>
      <c r="F485" s="80">
        <v>17</v>
      </c>
      <c r="G485" s="63">
        <v>16</v>
      </c>
      <c r="H485" s="46" t="s">
        <v>63</v>
      </c>
      <c r="J485" s="14" t="s">
        <v>443</v>
      </c>
    </row>
    <row r="486" spans="1:11" x14ac:dyDescent="0.35">
      <c r="A486">
        <f t="shared" si="7"/>
        <v>2.4545454545454546</v>
      </c>
      <c r="C486" s="14">
        <v>5</v>
      </c>
      <c r="E486" s="1" t="s">
        <v>790</v>
      </c>
      <c r="F486" s="80">
        <v>27</v>
      </c>
      <c r="G486" s="63">
        <v>11</v>
      </c>
      <c r="H486" s="46" t="s">
        <v>908</v>
      </c>
      <c r="J486" s="14" t="s">
        <v>413</v>
      </c>
    </row>
    <row r="487" spans="1:11" x14ac:dyDescent="0.35">
      <c r="A487">
        <f t="shared" si="7"/>
        <v>1.5</v>
      </c>
      <c r="C487" s="14">
        <v>6</v>
      </c>
      <c r="E487" s="1" t="s">
        <v>1858</v>
      </c>
      <c r="F487" s="80">
        <v>15</v>
      </c>
      <c r="G487" s="63">
        <v>10</v>
      </c>
      <c r="H487" s="46" t="s">
        <v>38</v>
      </c>
      <c r="J487" s="14" t="s">
        <v>299</v>
      </c>
    </row>
    <row r="488" spans="1:11" x14ac:dyDescent="0.35">
      <c r="A488">
        <f t="shared" si="7"/>
        <v>1.25</v>
      </c>
      <c r="C488" s="14">
        <v>7</v>
      </c>
      <c r="E488" s="1" t="s">
        <v>118</v>
      </c>
      <c r="F488" s="80">
        <v>15</v>
      </c>
      <c r="G488" s="63">
        <v>12</v>
      </c>
      <c r="H488" s="46" t="s">
        <v>51</v>
      </c>
      <c r="J488" s="14" t="s">
        <v>179</v>
      </c>
    </row>
    <row r="489" spans="1:11" x14ac:dyDescent="0.35">
      <c r="A489">
        <f t="shared" si="7"/>
        <v>1.263157894736842</v>
      </c>
      <c r="C489" s="14">
        <v>8</v>
      </c>
      <c r="E489" s="1" t="s">
        <v>47</v>
      </c>
      <c r="F489" s="80">
        <v>24</v>
      </c>
      <c r="G489" s="63">
        <v>19</v>
      </c>
      <c r="H489" s="46" t="s">
        <v>54</v>
      </c>
      <c r="J489" s="14" t="s">
        <v>372</v>
      </c>
    </row>
    <row r="490" spans="1:11" x14ac:dyDescent="0.35">
      <c r="A490">
        <f t="shared" si="7"/>
        <v>1.3529411764705883</v>
      </c>
      <c r="C490" s="14">
        <v>9</v>
      </c>
      <c r="E490" s="1" t="s">
        <v>67</v>
      </c>
      <c r="F490" s="80">
        <v>23</v>
      </c>
      <c r="G490" s="63">
        <v>17</v>
      </c>
      <c r="H490" s="46" t="s">
        <v>115</v>
      </c>
      <c r="J490" s="14" t="s">
        <v>504</v>
      </c>
      <c r="K490" t="s">
        <v>4040</v>
      </c>
    </row>
    <row r="491" spans="1:11" x14ac:dyDescent="0.35">
      <c r="A491">
        <f t="shared" si="7"/>
        <v>1.6363636363636365</v>
      </c>
      <c r="C491" s="14">
        <v>10</v>
      </c>
      <c r="E491" s="1" t="s">
        <v>85</v>
      </c>
      <c r="F491" s="80">
        <v>18</v>
      </c>
      <c r="G491" s="63">
        <v>11</v>
      </c>
      <c r="H491" s="46" t="s">
        <v>76</v>
      </c>
      <c r="J491" s="14" t="s">
        <v>507</v>
      </c>
    </row>
    <row r="492" spans="1:11" x14ac:dyDescent="0.35">
      <c r="A492">
        <f t="shared" si="7"/>
        <v>2.3333333333333335</v>
      </c>
      <c r="C492" s="14">
        <v>11</v>
      </c>
      <c r="E492" s="1" t="s">
        <v>23</v>
      </c>
      <c r="F492" s="80">
        <v>21</v>
      </c>
      <c r="G492" s="63">
        <v>9</v>
      </c>
      <c r="H492" s="46" t="s">
        <v>32</v>
      </c>
      <c r="J492" s="14" t="s">
        <v>950</v>
      </c>
    </row>
    <row r="493" spans="1:11" x14ac:dyDescent="0.35">
      <c r="A493">
        <f t="shared" si="7"/>
        <v>2</v>
      </c>
      <c r="C493" s="14">
        <v>12</v>
      </c>
      <c r="E493" s="1" t="s">
        <v>789</v>
      </c>
      <c r="F493" s="80">
        <v>20</v>
      </c>
      <c r="G493" s="63">
        <v>10</v>
      </c>
      <c r="H493" s="46" t="s">
        <v>796</v>
      </c>
      <c r="J493" s="14" t="s">
        <v>404</v>
      </c>
    </row>
    <row r="494" spans="1:11" x14ac:dyDescent="0.35">
      <c r="A494">
        <f t="shared" si="7"/>
        <v>1.0714285714285714</v>
      </c>
      <c r="C494" s="14">
        <v>13</v>
      </c>
      <c r="E494" s="1" t="s">
        <v>61</v>
      </c>
      <c r="F494" s="80">
        <v>15</v>
      </c>
      <c r="G494" s="63">
        <v>14</v>
      </c>
      <c r="H494" s="46" t="s">
        <v>71</v>
      </c>
      <c r="J494" s="14" t="s">
        <v>294</v>
      </c>
    </row>
    <row r="495" spans="1:11" x14ac:dyDescent="0.35">
      <c r="A495">
        <f t="shared" si="7"/>
        <v>1.375</v>
      </c>
      <c r="C495" s="14">
        <v>14</v>
      </c>
      <c r="E495" s="1" t="s">
        <v>65</v>
      </c>
      <c r="F495" s="80">
        <v>22</v>
      </c>
      <c r="G495" s="63">
        <v>16</v>
      </c>
      <c r="H495" s="46" t="s">
        <v>69</v>
      </c>
      <c r="I495" s="63">
        <v>1</v>
      </c>
      <c r="J495" s="14" t="s">
        <v>360</v>
      </c>
      <c r="K495" t="s">
        <v>1125</v>
      </c>
    </row>
    <row r="496" spans="1:11" x14ac:dyDescent="0.35">
      <c r="A496">
        <f t="shared" si="7"/>
        <v>1.1428571428571428</v>
      </c>
      <c r="C496" s="14">
        <v>15</v>
      </c>
      <c r="E496" s="1" t="s">
        <v>117</v>
      </c>
      <c r="F496" s="80">
        <v>16</v>
      </c>
      <c r="G496" s="63">
        <v>14</v>
      </c>
      <c r="H496" s="46" t="s">
        <v>48</v>
      </c>
      <c r="J496" s="14" t="s">
        <v>185</v>
      </c>
    </row>
    <row r="497" spans="1:11" x14ac:dyDescent="0.35">
      <c r="A497">
        <f t="shared" si="7"/>
        <v>1.3888888888888888</v>
      </c>
      <c r="C497" s="14">
        <v>16</v>
      </c>
      <c r="E497" s="1" t="s">
        <v>2011</v>
      </c>
      <c r="F497" s="80">
        <v>25</v>
      </c>
      <c r="G497" s="63">
        <v>18</v>
      </c>
      <c r="H497" s="46" t="s">
        <v>44</v>
      </c>
      <c r="J497" s="14" t="s">
        <v>184</v>
      </c>
    </row>
    <row r="498" spans="1:11" x14ac:dyDescent="0.35">
      <c r="A498">
        <f t="shared" si="7"/>
        <v>1.411764705882353</v>
      </c>
      <c r="C498" s="14">
        <v>17</v>
      </c>
      <c r="E498" s="1" t="s">
        <v>900</v>
      </c>
      <c r="F498" s="80">
        <v>24</v>
      </c>
      <c r="G498" s="63">
        <v>17</v>
      </c>
      <c r="H498" s="46" t="s">
        <v>1859</v>
      </c>
      <c r="J498" s="14" t="s">
        <v>290</v>
      </c>
    </row>
    <row r="499" spans="1:11" x14ac:dyDescent="0.35">
      <c r="A499">
        <f t="shared" si="7"/>
        <v>2</v>
      </c>
      <c r="C499" s="14">
        <v>18</v>
      </c>
      <c r="D499" s="80">
        <v>5</v>
      </c>
      <c r="E499" s="1" t="s">
        <v>49</v>
      </c>
      <c r="F499" s="80">
        <v>22</v>
      </c>
      <c r="G499" s="63">
        <v>11</v>
      </c>
      <c r="H499" s="46" t="s">
        <v>56</v>
      </c>
      <c r="J499" s="14" t="s">
        <v>296</v>
      </c>
    </row>
    <row r="500" spans="1:11" x14ac:dyDescent="0.35">
      <c r="A500">
        <f t="shared" si="7"/>
        <v>1.05</v>
      </c>
      <c r="C500" s="14">
        <v>19</v>
      </c>
      <c r="E500" s="1" t="s">
        <v>39</v>
      </c>
      <c r="F500" s="80">
        <v>21</v>
      </c>
      <c r="G500" s="63">
        <v>20</v>
      </c>
      <c r="H500" s="46" t="s">
        <v>42</v>
      </c>
      <c r="I500" s="63">
        <v>4</v>
      </c>
      <c r="J500" s="14" t="s">
        <v>358</v>
      </c>
      <c r="K500" t="s">
        <v>4041</v>
      </c>
    </row>
    <row r="501" spans="1:11" x14ac:dyDescent="0.35">
      <c r="A501">
        <f t="shared" si="7"/>
        <v>1.8333333333333333</v>
      </c>
      <c r="C501" s="14">
        <v>20</v>
      </c>
      <c r="E501" s="1" t="s">
        <v>25</v>
      </c>
      <c r="F501" s="80">
        <v>22</v>
      </c>
      <c r="G501" s="63">
        <v>12</v>
      </c>
      <c r="H501" s="46" t="s">
        <v>29</v>
      </c>
      <c r="J501" s="14" t="s">
        <v>359</v>
      </c>
    </row>
    <row r="502" spans="1:11" x14ac:dyDescent="0.35">
      <c r="A502">
        <f t="shared" si="7"/>
        <v>1.625</v>
      </c>
      <c r="C502" s="14">
        <v>21</v>
      </c>
      <c r="E502" s="1" t="s">
        <v>788</v>
      </c>
      <c r="F502" s="80">
        <v>13</v>
      </c>
      <c r="G502" s="63">
        <v>8</v>
      </c>
      <c r="H502" s="46" t="s">
        <v>785</v>
      </c>
      <c r="J502" s="14" t="s">
        <v>294</v>
      </c>
    </row>
    <row r="503" spans="1:11" x14ac:dyDescent="0.35">
      <c r="A503">
        <f t="shared" si="7"/>
        <v>2.1818181818181817</v>
      </c>
      <c r="C503" s="14">
        <v>22</v>
      </c>
      <c r="D503" s="80">
        <v>11</v>
      </c>
      <c r="E503" s="1" t="s">
        <v>119</v>
      </c>
      <c r="F503" s="80">
        <v>24</v>
      </c>
      <c r="G503" s="63">
        <v>11</v>
      </c>
      <c r="H503" s="46" t="s">
        <v>22</v>
      </c>
      <c r="J503" s="14" t="s">
        <v>495</v>
      </c>
    </row>
    <row r="504" spans="1:11" x14ac:dyDescent="0.35">
      <c r="A504">
        <f t="shared" si="7"/>
        <v>1.2857142857142858</v>
      </c>
      <c r="C504" s="14">
        <v>23</v>
      </c>
      <c r="E504" s="1" t="s">
        <v>786</v>
      </c>
      <c r="F504" s="80">
        <v>18</v>
      </c>
      <c r="G504" s="63">
        <v>14</v>
      </c>
      <c r="H504" s="46" t="s">
        <v>909</v>
      </c>
      <c r="J504" s="14" t="s">
        <v>178</v>
      </c>
    </row>
    <row r="505" spans="1:11" x14ac:dyDescent="0.35">
      <c r="A505">
        <f t="shared" si="7"/>
        <v>1.2142857142857142</v>
      </c>
      <c r="C505" s="14">
        <v>24</v>
      </c>
      <c r="E505" s="1" t="s">
        <v>787</v>
      </c>
      <c r="F505" s="80">
        <v>17</v>
      </c>
      <c r="G505" s="63">
        <v>14</v>
      </c>
      <c r="H505" s="46" t="s">
        <v>783</v>
      </c>
      <c r="I505" s="63">
        <v>7</v>
      </c>
      <c r="J505" s="14" t="s">
        <v>179</v>
      </c>
    </row>
    <row r="506" spans="1:11" x14ac:dyDescent="0.35">
      <c r="A506">
        <f t="shared" si="7"/>
        <v>1.8181818181818181</v>
      </c>
      <c r="C506" s="14">
        <v>25</v>
      </c>
      <c r="E506" s="1" t="s">
        <v>84</v>
      </c>
      <c r="F506" s="80">
        <v>20</v>
      </c>
      <c r="G506" s="63">
        <v>11</v>
      </c>
      <c r="H506" s="46" t="s">
        <v>73</v>
      </c>
      <c r="J506" s="14" t="s">
        <v>361</v>
      </c>
    </row>
    <row r="507" spans="1:11" x14ac:dyDescent="0.35">
      <c r="A507">
        <f t="shared" si="7"/>
        <v>1.1428571428571428</v>
      </c>
      <c r="C507" s="14">
        <v>26</v>
      </c>
      <c r="E507" s="1" t="s">
        <v>784</v>
      </c>
      <c r="F507" s="80">
        <v>16</v>
      </c>
      <c r="G507" s="63">
        <v>14</v>
      </c>
      <c r="H507" s="46" t="s">
        <v>791</v>
      </c>
      <c r="J507" s="14" t="s">
        <v>332</v>
      </c>
    </row>
    <row r="508" spans="1:11" x14ac:dyDescent="0.35">
      <c r="A508">
        <f t="shared" si="7"/>
        <v>1.1111111111111112</v>
      </c>
      <c r="C508" s="14">
        <v>27</v>
      </c>
      <c r="E508" s="1" t="s">
        <v>24</v>
      </c>
      <c r="F508" s="80">
        <v>10</v>
      </c>
      <c r="G508" s="63">
        <v>9</v>
      </c>
      <c r="H508" s="46" t="s">
        <v>30</v>
      </c>
      <c r="J508" s="14" t="s">
        <v>365</v>
      </c>
    </row>
    <row r="509" spans="1:11" x14ac:dyDescent="0.35">
      <c r="A509">
        <f t="shared" si="7"/>
        <v>1.1818181818181819</v>
      </c>
      <c r="C509" s="14">
        <v>28</v>
      </c>
      <c r="E509" s="1" t="s">
        <v>45</v>
      </c>
      <c r="F509" s="80">
        <v>13</v>
      </c>
      <c r="G509" s="63">
        <v>11</v>
      </c>
      <c r="H509" s="46" t="s">
        <v>40</v>
      </c>
      <c r="I509" s="63">
        <v>25</v>
      </c>
      <c r="J509" s="14" t="s">
        <v>294</v>
      </c>
    </row>
    <row r="510" spans="1:11" x14ac:dyDescent="0.35">
      <c r="A510">
        <f t="shared" si="7"/>
        <v>1.1333333333333333</v>
      </c>
      <c r="C510" s="14">
        <v>29</v>
      </c>
      <c r="E510" s="1" t="s">
        <v>78</v>
      </c>
      <c r="F510" s="80">
        <v>17</v>
      </c>
      <c r="G510" s="63">
        <v>15</v>
      </c>
      <c r="H510" s="46" t="s">
        <v>81</v>
      </c>
      <c r="J510" s="14" t="s">
        <v>337</v>
      </c>
      <c r="K510" t="s">
        <v>1126</v>
      </c>
    </row>
    <row r="511" spans="1:11" x14ac:dyDescent="0.35">
      <c r="A511">
        <f t="shared" si="7"/>
        <v>1.0625</v>
      </c>
      <c r="C511" s="14">
        <v>30</v>
      </c>
      <c r="E511" s="1" t="s">
        <v>793</v>
      </c>
      <c r="F511" s="80">
        <v>17</v>
      </c>
      <c r="G511" s="63">
        <v>16</v>
      </c>
      <c r="H511" s="46" t="s">
        <v>794</v>
      </c>
      <c r="J511" s="14" t="s">
        <v>191</v>
      </c>
    </row>
    <row r="512" spans="1:11" x14ac:dyDescent="0.35">
      <c r="A512">
        <f t="shared" si="7"/>
        <v>1.4166666666666667</v>
      </c>
      <c r="C512" s="14">
        <v>31</v>
      </c>
      <c r="E512" s="1" t="s">
        <v>74</v>
      </c>
      <c r="F512" s="80">
        <v>17</v>
      </c>
      <c r="G512" s="63">
        <v>12</v>
      </c>
      <c r="H512" s="46" t="s">
        <v>83</v>
      </c>
      <c r="J512" s="14" t="s">
        <v>185</v>
      </c>
    </row>
    <row r="513" spans="1:11" x14ac:dyDescent="0.35">
      <c r="A513">
        <f t="shared" si="7"/>
        <v>3.25</v>
      </c>
      <c r="C513" s="14">
        <v>32</v>
      </c>
      <c r="D513" s="80">
        <v>6</v>
      </c>
      <c r="E513" s="1" t="s">
        <v>34</v>
      </c>
      <c r="F513" s="80">
        <v>26</v>
      </c>
      <c r="G513" s="63">
        <v>8</v>
      </c>
      <c r="H513" s="46" t="s">
        <v>28</v>
      </c>
      <c r="J513" s="14" t="s">
        <v>547</v>
      </c>
    </row>
    <row r="514" spans="1:11" x14ac:dyDescent="0.35">
      <c r="A514">
        <f t="shared" si="7"/>
        <v>1.3636363636363635</v>
      </c>
      <c r="C514" s="14">
        <v>33</v>
      </c>
      <c r="E514" s="1" t="s">
        <v>33</v>
      </c>
      <c r="F514" s="80">
        <v>15</v>
      </c>
      <c r="G514" s="63">
        <v>11</v>
      </c>
      <c r="H514" s="46" t="s">
        <v>31</v>
      </c>
      <c r="I514" s="63">
        <v>3</v>
      </c>
      <c r="J514" s="14" t="s">
        <v>190</v>
      </c>
    </row>
    <row r="515" spans="1:11" x14ac:dyDescent="0.35">
      <c r="A515">
        <f t="shared" ref="A515:A578" si="8">(F515/G515)</f>
        <v>1.25</v>
      </c>
      <c r="C515" s="14">
        <v>34</v>
      </c>
      <c r="E515" s="1" t="s">
        <v>66</v>
      </c>
      <c r="F515" s="80">
        <v>15</v>
      </c>
      <c r="G515" s="63">
        <v>12</v>
      </c>
      <c r="H515" s="46" t="s">
        <v>59</v>
      </c>
      <c r="I515" s="63">
        <v>24</v>
      </c>
      <c r="J515" s="14" t="s">
        <v>332</v>
      </c>
    </row>
    <row r="516" spans="1:11" x14ac:dyDescent="0.35">
      <c r="A516">
        <f t="shared" si="8"/>
        <v>2.125</v>
      </c>
      <c r="C516" s="14">
        <v>35</v>
      </c>
      <c r="E516" s="1" t="s">
        <v>50</v>
      </c>
      <c r="F516" s="80">
        <v>17</v>
      </c>
      <c r="G516" s="63">
        <v>8</v>
      </c>
      <c r="H516" s="46" t="s">
        <v>55</v>
      </c>
      <c r="J516" s="14" t="s">
        <v>331</v>
      </c>
    </row>
    <row r="517" spans="1:11" x14ac:dyDescent="0.35">
      <c r="A517">
        <f t="shared" si="8"/>
        <v>1.1666666666666667</v>
      </c>
      <c r="C517" s="14">
        <v>36</v>
      </c>
      <c r="E517" s="1" t="s">
        <v>75</v>
      </c>
      <c r="F517" s="80">
        <v>14</v>
      </c>
      <c r="G517" s="63">
        <v>12</v>
      </c>
      <c r="H517" s="46" t="s">
        <v>82</v>
      </c>
      <c r="J517" s="14" t="s">
        <v>194</v>
      </c>
    </row>
    <row r="518" spans="1:11" x14ac:dyDescent="0.35">
      <c r="A518">
        <f t="shared" si="8"/>
        <v>1.5555555555555556</v>
      </c>
      <c r="C518" s="14">
        <v>37</v>
      </c>
      <c r="D518" s="80">
        <v>19</v>
      </c>
      <c r="E518" s="1" t="s">
        <v>88</v>
      </c>
      <c r="F518" s="80">
        <v>14</v>
      </c>
      <c r="G518" s="63">
        <v>9</v>
      </c>
      <c r="H518" s="46" t="s">
        <v>80</v>
      </c>
      <c r="J518" s="14" t="s">
        <v>187</v>
      </c>
    </row>
    <row r="519" spans="1:11" x14ac:dyDescent="0.35">
      <c r="A519">
        <f t="shared" si="8"/>
        <v>1.5454545454545454</v>
      </c>
      <c r="C519" s="14">
        <v>38</v>
      </c>
      <c r="D519" s="80">
        <v>12</v>
      </c>
      <c r="E519" s="1" t="s">
        <v>58</v>
      </c>
      <c r="F519" s="80">
        <v>17</v>
      </c>
      <c r="G519" s="63">
        <v>11</v>
      </c>
      <c r="H519" s="46" t="s">
        <v>145</v>
      </c>
      <c r="J519" s="14" t="s">
        <v>331</v>
      </c>
    </row>
    <row r="520" spans="1:11" x14ac:dyDescent="0.35">
      <c r="A520">
        <f t="shared" si="8"/>
        <v>1.3076923076923077</v>
      </c>
      <c r="C520" s="14">
        <v>39</v>
      </c>
      <c r="E520" s="1" t="s">
        <v>43</v>
      </c>
      <c r="F520" s="80">
        <v>17</v>
      </c>
      <c r="G520" s="63">
        <v>13</v>
      </c>
      <c r="H520" s="46" t="s">
        <v>35</v>
      </c>
      <c r="J520" s="14" t="s">
        <v>347</v>
      </c>
    </row>
    <row r="521" spans="1:11" x14ac:dyDescent="0.35">
      <c r="A521">
        <f t="shared" si="8"/>
        <v>2</v>
      </c>
      <c r="C521" s="14">
        <v>40</v>
      </c>
      <c r="E521" s="1" t="s">
        <v>77</v>
      </c>
      <c r="F521" s="80">
        <v>22</v>
      </c>
      <c r="G521" s="63">
        <v>11</v>
      </c>
      <c r="H521" s="46" t="s">
        <v>86</v>
      </c>
      <c r="I521" s="63">
        <v>21</v>
      </c>
      <c r="J521" s="14" t="s">
        <v>950</v>
      </c>
    </row>
    <row r="522" spans="1:11" x14ac:dyDescent="0.35">
      <c r="A522">
        <f t="shared" si="8"/>
        <v>2.8333333333333335</v>
      </c>
      <c r="C522" s="14">
        <v>41</v>
      </c>
      <c r="E522" s="1" t="s">
        <v>792</v>
      </c>
      <c r="F522" s="80">
        <v>17</v>
      </c>
      <c r="G522" s="63">
        <v>6</v>
      </c>
      <c r="H522" s="46" t="s">
        <v>795</v>
      </c>
      <c r="I522" s="63">
        <v>14</v>
      </c>
      <c r="J522" s="14" t="s">
        <v>489</v>
      </c>
    </row>
    <row r="523" spans="1:11" x14ac:dyDescent="0.35">
      <c r="A523">
        <f t="shared" si="8"/>
        <v>1.1818181818181819</v>
      </c>
      <c r="C523" s="14">
        <v>42</v>
      </c>
      <c r="E523" s="1" t="s">
        <v>62</v>
      </c>
      <c r="F523" s="80">
        <v>13</v>
      </c>
      <c r="G523" s="63">
        <v>11</v>
      </c>
      <c r="H523" s="46" t="s">
        <v>114</v>
      </c>
      <c r="J523" s="14" t="s">
        <v>295</v>
      </c>
    </row>
    <row r="524" spans="1:11" x14ac:dyDescent="0.35">
      <c r="A524">
        <f t="shared" si="8"/>
        <v>2.625</v>
      </c>
      <c r="C524" s="14">
        <v>43</v>
      </c>
      <c r="D524" s="80">
        <v>9</v>
      </c>
      <c r="E524" s="1" t="s">
        <v>26</v>
      </c>
      <c r="F524" s="80">
        <v>21</v>
      </c>
      <c r="G524" s="63">
        <v>8</v>
      </c>
      <c r="H524" s="46" t="s">
        <v>292</v>
      </c>
      <c r="J524" s="14" t="s">
        <v>334</v>
      </c>
    </row>
    <row r="525" spans="1:11" x14ac:dyDescent="0.35">
      <c r="A525">
        <f t="shared" si="8"/>
        <v>2.6666666666666665</v>
      </c>
      <c r="C525" s="14">
        <v>44</v>
      </c>
      <c r="D525" s="80">
        <v>23</v>
      </c>
      <c r="E525" s="1" t="s">
        <v>70</v>
      </c>
      <c r="F525" s="80">
        <v>16</v>
      </c>
      <c r="G525" s="63">
        <v>6</v>
      </c>
      <c r="H525" s="46" t="s">
        <v>60</v>
      </c>
      <c r="I525" s="63">
        <v>20</v>
      </c>
      <c r="J525" s="14" t="s">
        <v>297</v>
      </c>
    </row>
    <row r="526" spans="1:11" x14ac:dyDescent="0.35">
      <c r="A526">
        <f t="shared" si="8"/>
        <v>2.3333333333333335</v>
      </c>
      <c r="C526" s="14">
        <v>45</v>
      </c>
      <c r="D526" s="80">
        <v>22</v>
      </c>
      <c r="E526" s="1" t="s">
        <v>46</v>
      </c>
      <c r="F526" s="80">
        <v>21</v>
      </c>
      <c r="G526" s="63">
        <v>9</v>
      </c>
      <c r="H526" s="46" t="s">
        <v>37</v>
      </c>
      <c r="I526" s="63">
        <v>16</v>
      </c>
      <c r="J526" s="14" t="s">
        <v>404</v>
      </c>
    </row>
    <row r="527" spans="1:11" x14ac:dyDescent="0.35">
      <c r="A527">
        <f t="shared" si="8"/>
        <v>1.5833333333333333</v>
      </c>
      <c r="C527" s="14">
        <v>46</v>
      </c>
      <c r="D527" s="80">
        <v>18</v>
      </c>
      <c r="E527" s="1" t="s">
        <v>36</v>
      </c>
      <c r="F527" s="80">
        <v>19</v>
      </c>
      <c r="G527" s="63">
        <v>12</v>
      </c>
      <c r="H527" s="46" t="s">
        <v>41</v>
      </c>
      <c r="I527" s="63">
        <v>2</v>
      </c>
      <c r="J527" s="14" t="s">
        <v>296</v>
      </c>
      <c r="K527" t="s">
        <v>1159</v>
      </c>
    </row>
    <row r="528" spans="1:11" x14ac:dyDescent="0.35">
      <c r="A528">
        <f t="shared" si="8"/>
        <v>3.3333333333333335</v>
      </c>
      <c r="C528" s="14">
        <v>47</v>
      </c>
      <c r="D528" s="80">
        <v>13</v>
      </c>
      <c r="E528" s="1" t="s">
        <v>87</v>
      </c>
      <c r="F528" s="80">
        <v>20</v>
      </c>
      <c r="G528" s="63">
        <v>6</v>
      </c>
      <c r="H528" s="46" t="s">
        <v>79</v>
      </c>
      <c r="I528" s="63">
        <v>17</v>
      </c>
      <c r="J528" s="14" t="s">
        <v>397</v>
      </c>
    </row>
    <row r="529" spans="1:20" ht="15" thickBot="1" x14ac:dyDescent="0.4">
      <c r="A529">
        <f t="shared" si="8"/>
        <v>1.1111111111111112</v>
      </c>
      <c r="C529" s="23">
        <v>48</v>
      </c>
      <c r="D529" s="55">
        <v>10</v>
      </c>
      <c r="E529" s="44" t="s">
        <v>300</v>
      </c>
      <c r="F529" s="55">
        <v>10</v>
      </c>
      <c r="G529" s="56">
        <v>9</v>
      </c>
      <c r="H529" s="57" t="s">
        <v>57</v>
      </c>
      <c r="I529" s="56">
        <v>8</v>
      </c>
      <c r="J529" s="12" t="s">
        <v>578</v>
      </c>
      <c r="K529" s="12" t="s">
        <v>1153</v>
      </c>
    </row>
    <row r="530" spans="1:20" x14ac:dyDescent="0.35">
      <c r="A530">
        <f t="shared" si="8"/>
        <v>1.3846153846153846</v>
      </c>
      <c r="C530" s="14">
        <v>1</v>
      </c>
      <c r="E530" s="1" t="s">
        <v>72</v>
      </c>
      <c r="F530" s="80">
        <v>18</v>
      </c>
      <c r="G530" s="63">
        <v>13</v>
      </c>
      <c r="H530" s="46" t="s">
        <v>71</v>
      </c>
      <c r="J530" s="14" t="s">
        <v>178</v>
      </c>
      <c r="T530">
        <v>400</v>
      </c>
    </row>
    <row r="531" spans="1:20" x14ac:dyDescent="0.35">
      <c r="A531">
        <f t="shared" si="8"/>
        <v>1.3636363636363635</v>
      </c>
      <c r="C531" s="14">
        <v>2</v>
      </c>
      <c r="E531" s="1" t="s">
        <v>30</v>
      </c>
      <c r="F531" s="80">
        <v>15</v>
      </c>
      <c r="G531" s="63">
        <v>11</v>
      </c>
      <c r="H531" s="46" t="s">
        <v>27</v>
      </c>
      <c r="J531" s="14" t="s">
        <v>179</v>
      </c>
      <c r="T531">
        <v>300</v>
      </c>
    </row>
    <row r="532" spans="1:20" x14ac:dyDescent="0.35">
      <c r="A532">
        <f t="shared" si="8"/>
        <v>1.2142857142857142</v>
      </c>
      <c r="C532" s="14">
        <v>3</v>
      </c>
      <c r="E532" s="1" t="s">
        <v>63</v>
      </c>
      <c r="F532" s="80">
        <v>17</v>
      </c>
      <c r="G532" s="63">
        <v>14</v>
      </c>
      <c r="H532" s="46" t="s">
        <v>60</v>
      </c>
      <c r="I532" s="63">
        <v>24</v>
      </c>
      <c r="J532" s="14" t="s">
        <v>397</v>
      </c>
      <c r="T532">
        <v>200</v>
      </c>
    </row>
    <row r="533" spans="1:20" x14ac:dyDescent="0.35">
      <c r="A533">
        <f t="shared" si="8"/>
        <v>1.8333333333333333</v>
      </c>
      <c r="C533" s="14">
        <v>4</v>
      </c>
      <c r="E533" s="1" t="s">
        <v>900</v>
      </c>
      <c r="F533" s="80">
        <v>22</v>
      </c>
      <c r="G533" s="63">
        <v>12</v>
      </c>
      <c r="H533" s="46" t="s">
        <v>38</v>
      </c>
      <c r="J533" s="14" t="s">
        <v>526</v>
      </c>
      <c r="T533">
        <v>175</v>
      </c>
    </row>
    <row r="534" spans="1:20" x14ac:dyDescent="0.35">
      <c r="A534">
        <f t="shared" si="8"/>
        <v>1.1428571428571428</v>
      </c>
      <c r="C534" s="14">
        <v>5</v>
      </c>
      <c r="E534" s="1" t="s">
        <v>908</v>
      </c>
      <c r="F534" s="80">
        <v>16</v>
      </c>
      <c r="G534" s="63">
        <v>14</v>
      </c>
      <c r="H534" s="46" t="s">
        <v>793</v>
      </c>
      <c r="J534" s="14" t="s">
        <v>190</v>
      </c>
      <c r="K534" t="s">
        <v>1156</v>
      </c>
      <c r="T534">
        <v>125</v>
      </c>
    </row>
    <row r="535" spans="1:20" x14ac:dyDescent="0.35">
      <c r="A535">
        <f t="shared" si="8"/>
        <v>1.1666666666666667</v>
      </c>
      <c r="C535" s="14">
        <v>6</v>
      </c>
      <c r="E535" s="1" t="s">
        <v>52</v>
      </c>
      <c r="F535" s="80">
        <v>21</v>
      </c>
      <c r="G535" s="63">
        <v>18</v>
      </c>
      <c r="H535" s="46" t="s">
        <v>58</v>
      </c>
      <c r="I535" s="63">
        <v>13</v>
      </c>
      <c r="J535" s="14" t="s">
        <v>290</v>
      </c>
      <c r="K535" t="s">
        <v>1157</v>
      </c>
      <c r="T535">
        <v>100</v>
      </c>
    </row>
    <row r="536" spans="1:20" x14ac:dyDescent="0.35">
      <c r="A536">
        <f t="shared" si="8"/>
        <v>1.4545454545454546</v>
      </c>
      <c r="C536" s="14">
        <v>7</v>
      </c>
      <c r="E536" s="1" t="s">
        <v>115</v>
      </c>
      <c r="F536" s="80">
        <v>16</v>
      </c>
      <c r="G536" s="63">
        <v>11</v>
      </c>
      <c r="H536" s="46" t="s">
        <v>65</v>
      </c>
      <c r="J536" s="14" t="s">
        <v>190</v>
      </c>
      <c r="T536">
        <v>75</v>
      </c>
    </row>
    <row r="537" spans="1:20" x14ac:dyDescent="0.35">
      <c r="A537">
        <f t="shared" si="8"/>
        <v>1.625</v>
      </c>
      <c r="C537" s="14">
        <v>8</v>
      </c>
      <c r="E537" s="1" t="s">
        <v>76</v>
      </c>
      <c r="F537" s="80">
        <v>13</v>
      </c>
      <c r="G537" s="63">
        <v>8</v>
      </c>
      <c r="H537" s="46" t="s">
        <v>80</v>
      </c>
      <c r="J537" s="14" t="s">
        <v>196</v>
      </c>
      <c r="T537">
        <v>50</v>
      </c>
    </row>
    <row r="538" spans="1:20" x14ac:dyDescent="0.35">
      <c r="A538">
        <f t="shared" si="8"/>
        <v>1.9090909090909092</v>
      </c>
      <c r="C538" s="14">
        <v>9</v>
      </c>
      <c r="D538" s="80">
        <v>2</v>
      </c>
      <c r="E538" s="1" t="s">
        <v>49</v>
      </c>
      <c r="F538" s="80">
        <v>21</v>
      </c>
      <c r="G538" s="63">
        <v>11</v>
      </c>
      <c r="H538" s="46" t="s">
        <v>51</v>
      </c>
      <c r="J538" s="14" t="s">
        <v>296</v>
      </c>
    </row>
    <row r="539" spans="1:20" x14ac:dyDescent="0.35">
      <c r="A539">
        <f t="shared" si="8"/>
        <v>1.3333333333333333</v>
      </c>
      <c r="C539" s="14">
        <v>10</v>
      </c>
      <c r="E539" s="1" t="s">
        <v>61</v>
      </c>
      <c r="F539" s="80">
        <v>12</v>
      </c>
      <c r="G539" s="63">
        <v>9</v>
      </c>
      <c r="H539" s="46" t="s">
        <v>64</v>
      </c>
      <c r="J539" s="14" t="s">
        <v>190</v>
      </c>
    </row>
    <row r="540" spans="1:20" x14ac:dyDescent="0.35">
      <c r="A540">
        <f t="shared" si="8"/>
        <v>1.5714285714285714</v>
      </c>
      <c r="C540" s="14">
        <v>11</v>
      </c>
      <c r="D540" s="80">
        <v>10</v>
      </c>
      <c r="E540" s="1" t="s">
        <v>783</v>
      </c>
      <c r="F540" s="80">
        <v>22</v>
      </c>
      <c r="G540" s="63">
        <v>14</v>
      </c>
      <c r="H540" s="46" t="s">
        <v>796</v>
      </c>
      <c r="J540" s="14" t="s">
        <v>416</v>
      </c>
      <c r="K540" t="s">
        <v>1158</v>
      </c>
    </row>
    <row r="541" spans="1:20" x14ac:dyDescent="0.35">
      <c r="A541">
        <f t="shared" si="8"/>
        <v>2.5</v>
      </c>
      <c r="C541" s="14">
        <v>12</v>
      </c>
      <c r="E541" s="1" t="s">
        <v>45</v>
      </c>
      <c r="F541" s="80">
        <v>15</v>
      </c>
      <c r="G541" s="63">
        <v>6</v>
      </c>
      <c r="H541" s="46" t="s">
        <v>44</v>
      </c>
      <c r="J541" s="14" t="s">
        <v>281</v>
      </c>
    </row>
    <row r="542" spans="1:20" x14ac:dyDescent="0.35">
      <c r="A542">
        <f t="shared" si="8"/>
        <v>1.1176470588235294</v>
      </c>
      <c r="C542" s="14">
        <v>13</v>
      </c>
      <c r="E542" s="1" t="s">
        <v>1858</v>
      </c>
      <c r="F542" s="80">
        <v>19</v>
      </c>
      <c r="G542" s="63">
        <v>17</v>
      </c>
      <c r="H542" s="46" t="s">
        <v>1859</v>
      </c>
      <c r="J542" s="14" t="s">
        <v>443</v>
      </c>
    </row>
    <row r="543" spans="1:20" x14ac:dyDescent="0.35">
      <c r="A543">
        <f t="shared" si="8"/>
        <v>1.8181818181818181</v>
      </c>
      <c r="C543" s="14">
        <v>14</v>
      </c>
      <c r="E543" s="1" t="s">
        <v>789</v>
      </c>
      <c r="F543" s="80">
        <v>20</v>
      </c>
      <c r="G543" s="63">
        <v>11</v>
      </c>
      <c r="H543" s="46" t="s">
        <v>787</v>
      </c>
      <c r="J543" s="14" t="s">
        <v>285</v>
      </c>
    </row>
    <row r="544" spans="1:20" x14ac:dyDescent="0.35">
      <c r="A544">
        <f t="shared" si="8"/>
        <v>1.8888888888888888</v>
      </c>
      <c r="C544" s="14">
        <v>15</v>
      </c>
      <c r="D544" s="80">
        <v>15</v>
      </c>
      <c r="E544" s="1" t="s">
        <v>70</v>
      </c>
      <c r="F544" s="80">
        <v>17</v>
      </c>
      <c r="G544" s="63">
        <v>9</v>
      </c>
      <c r="H544" s="46" t="s">
        <v>68</v>
      </c>
      <c r="J544" s="14" t="s">
        <v>190</v>
      </c>
    </row>
    <row r="545" spans="1:11" x14ac:dyDescent="0.35">
      <c r="A545">
        <f t="shared" si="8"/>
        <v>1.0714285714285714</v>
      </c>
      <c r="C545" s="14">
        <v>16</v>
      </c>
      <c r="E545" s="1" t="s">
        <v>55</v>
      </c>
      <c r="F545" s="80">
        <v>15</v>
      </c>
      <c r="G545" s="63">
        <v>14</v>
      </c>
      <c r="H545" s="46" t="s">
        <v>117</v>
      </c>
      <c r="J545" s="14" t="s">
        <v>186</v>
      </c>
    </row>
    <row r="546" spans="1:11" x14ac:dyDescent="0.35">
      <c r="A546">
        <f t="shared" si="8"/>
        <v>1.375</v>
      </c>
      <c r="C546" s="14">
        <v>17</v>
      </c>
      <c r="E546" s="1" t="s">
        <v>47</v>
      </c>
      <c r="F546" s="80">
        <v>22</v>
      </c>
      <c r="G546" s="63">
        <v>16</v>
      </c>
      <c r="H546" s="46" t="s">
        <v>57</v>
      </c>
      <c r="I546" s="63">
        <v>12</v>
      </c>
      <c r="J546" s="14" t="s">
        <v>337</v>
      </c>
      <c r="K546" t="s">
        <v>4042</v>
      </c>
    </row>
    <row r="547" spans="1:11" x14ac:dyDescent="0.35">
      <c r="A547">
        <f t="shared" si="8"/>
        <v>1.1428571428571428</v>
      </c>
      <c r="C547" s="14">
        <v>18</v>
      </c>
      <c r="E547" s="1" t="s">
        <v>24</v>
      </c>
      <c r="F547" s="80">
        <v>16</v>
      </c>
      <c r="G547" s="63">
        <v>14</v>
      </c>
      <c r="H547" s="46" t="s">
        <v>1860</v>
      </c>
      <c r="J547" s="14" t="s">
        <v>179</v>
      </c>
    </row>
    <row r="548" spans="1:11" x14ac:dyDescent="0.35">
      <c r="A548">
        <f t="shared" si="8"/>
        <v>1.3333333333333333</v>
      </c>
      <c r="C548" s="14">
        <v>19</v>
      </c>
      <c r="E548" s="1" t="s">
        <v>22</v>
      </c>
      <c r="F548" s="80">
        <v>16</v>
      </c>
      <c r="G548" s="63">
        <v>12</v>
      </c>
      <c r="H548" s="46" t="s">
        <v>23</v>
      </c>
      <c r="J548" s="14" t="s">
        <v>443</v>
      </c>
    </row>
    <row r="549" spans="1:11" x14ac:dyDescent="0.35">
      <c r="A549">
        <f t="shared" si="8"/>
        <v>1.05</v>
      </c>
      <c r="C549" s="14">
        <v>20</v>
      </c>
      <c r="E549" s="1" t="s">
        <v>785</v>
      </c>
      <c r="F549" s="80">
        <v>21</v>
      </c>
      <c r="G549" s="63">
        <v>20</v>
      </c>
      <c r="H549" s="46" t="s">
        <v>795</v>
      </c>
      <c r="I549" s="63">
        <v>20</v>
      </c>
      <c r="J549" s="14" t="s">
        <v>199</v>
      </c>
      <c r="K549" t="s">
        <v>1160</v>
      </c>
    </row>
    <row r="550" spans="1:11" x14ac:dyDescent="0.35">
      <c r="A550">
        <f t="shared" si="8"/>
        <v>2.2000000000000002</v>
      </c>
      <c r="C550" s="14">
        <v>21</v>
      </c>
      <c r="E550" s="1" t="s">
        <v>118</v>
      </c>
      <c r="F550" s="80">
        <v>22</v>
      </c>
      <c r="G550" s="63">
        <v>10</v>
      </c>
      <c r="H550" s="46" t="s">
        <v>56</v>
      </c>
      <c r="J550" s="14" t="s">
        <v>178</v>
      </c>
    </row>
    <row r="551" spans="1:11" x14ac:dyDescent="0.35">
      <c r="A551">
        <f t="shared" si="8"/>
        <v>1.1428571428571428</v>
      </c>
      <c r="C551" s="14">
        <v>22</v>
      </c>
      <c r="E551" s="1" t="s">
        <v>73</v>
      </c>
      <c r="F551" s="80">
        <v>16</v>
      </c>
      <c r="G551" s="63">
        <v>14</v>
      </c>
      <c r="H551" s="46" t="s">
        <v>79</v>
      </c>
      <c r="I551" s="63">
        <v>19</v>
      </c>
      <c r="J551" s="14" t="s">
        <v>285</v>
      </c>
      <c r="K551" t="s">
        <v>1161</v>
      </c>
    </row>
    <row r="552" spans="1:11" x14ac:dyDescent="0.35">
      <c r="A552">
        <f t="shared" si="8"/>
        <v>1.6</v>
      </c>
      <c r="C552" s="14">
        <v>23</v>
      </c>
      <c r="E552" s="1" t="s">
        <v>50</v>
      </c>
      <c r="F552" s="80">
        <v>16</v>
      </c>
      <c r="G552" s="63">
        <v>10</v>
      </c>
      <c r="H552" s="46" t="s">
        <v>48</v>
      </c>
      <c r="J552" s="14" t="s">
        <v>294</v>
      </c>
    </row>
    <row r="553" spans="1:11" x14ac:dyDescent="0.35">
      <c r="A553">
        <f t="shared" si="8"/>
        <v>2.3333333333333335</v>
      </c>
      <c r="C553" s="14">
        <v>24</v>
      </c>
      <c r="D553" s="80">
        <v>17</v>
      </c>
      <c r="E553" s="1" t="s">
        <v>88</v>
      </c>
      <c r="F553" s="80">
        <v>14</v>
      </c>
      <c r="G553" s="63">
        <v>6</v>
      </c>
      <c r="H553" s="46" t="s">
        <v>85</v>
      </c>
      <c r="J553" s="14" t="s">
        <v>187</v>
      </c>
      <c r="K553" t="s">
        <v>1162</v>
      </c>
    </row>
    <row r="554" spans="1:11" x14ac:dyDescent="0.35">
      <c r="A554">
        <f t="shared" si="8"/>
        <v>4</v>
      </c>
      <c r="C554" s="14">
        <v>25</v>
      </c>
      <c r="E554" s="1" t="s">
        <v>909</v>
      </c>
      <c r="F554" s="80">
        <v>20</v>
      </c>
      <c r="G554" s="63">
        <v>5</v>
      </c>
      <c r="H554" s="46" t="s">
        <v>791</v>
      </c>
      <c r="J554" s="14" t="s">
        <v>397</v>
      </c>
    </row>
    <row r="555" spans="1:11" x14ac:dyDescent="0.35">
      <c r="A555">
        <f t="shared" si="8"/>
        <v>1.1428571428571428</v>
      </c>
      <c r="C555" s="14">
        <v>26</v>
      </c>
      <c r="E555" s="1" t="s">
        <v>40</v>
      </c>
      <c r="F555" s="80">
        <v>16</v>
      </c>
      <c r="G555" s="63">
        <v>14</v>
      </c>
      <c r="H555" s="46" t="s">
        <v>2011</v>
      </c>
      <c r="J555" s="14" t="s">
        <v>337</v>
      </c>
    </row>
    <row r="556" spans="1:11" x14ac:dyDescent="0.35">
      <c r="A556">
        <f t="shared" si="8"/>
        <v>1.3636363636363635</v>
      </c>
      <c r="C556" s="14">
        <v>27</v>
      </c>
      <c r="D556" s="80">
        <v>4</v>
      </c>
      <c r="E556" s="1" t="s">
        <v>34</v>
      </c>
      <c r="F556" s="80">
        <v>15</v>
      </c>
      <c r="G556" s="63">
        <v>11</v>
      </c>
      <c r="H556" s="46" t="s">
        <v>25</v>
      </c>
      <c r="J556" s="14" t="s">
        <v>187</v>
      </c>
    </row>
    <row r="557" spans="1:11" x14ac:dyDescent="0.35">
      <c r="A557">
        <f t="shared" si="8"/>
        <v>1.4444444444444444</v>
      </c>
      <c r="C557" s="14">
        <v>28</v>
      </c>
      <c r="E557" s="1" t="s">
        <v>83</v>
      </c>
      <c r="F557" s="80">
        <v>13</v>
      </c>
      <c r="G557" s="63">
        <v>9</v>
      </c>
      <c r="H557" s="46" t="s">
        <v>81</v>
      </c>
      <c r="J557" s="14" t="s">
        <v>299</v>
      </c>
    </row>
    <row r="558" spans="1:11" x14ac:dyDescent="0.35">
      <c r="A558">
        <f t="shared" si="8"/>
        <v>1.1818181818181819</v>
      </c>
      <c r="C558" s="14">
        <v>29</v>
      </c>
      <c r="E558" s="1" t="s">
        <v>28</v>
      </c>
      <c r="F558" s="80">
        <v>13</v>
      </c>
      <c r="G558" s="63">
        <v>11</v>
      </c>
      <c r="H558" s="46" t="s">
        <v>29</v>
      </c>
      <c r="J558" s="14" t="s">
        <v>179</v>
      </c>
    </row>
    <row r="559" spans="1:11" x14ac:dyDescent="0.35">
      <c r="A559">
        <f t="shared" si="8"/>
        <v>4</v>
      </c>
      <c r="C559" s="14">
        <v>30</v>
      </c>
      <c r="D559" s="80">
        <v>11</v>
      </c>
      <c r="E559" s="1" t="s">
        <v>119</v>
      </c>
      <c r="F559" s="80">
        <v>24</v>
      </c>
      <c r="G559" s="63">
        <v>6</v>
      </c>
      <c r="H559" s="46" t="s">
        <v>32</v>
      </c>
      <c r="J559" s="14" t="s">
        <v>404</v>
      </c>
    </row>
    <row r="560" spans="1:11" x14ac:dyDescent="0.35">
      <c r="A560">
        <f t="shared" si="8"/>
        <v>1.3</v>
      </c>
      <c r="C560" s="14">
        <v>31</v>
      </c>
      <c r="E560" s="1" t="s">
        <v>786</v>
      </c>
      <c r="F560" s="80">
        <v>13</v>
      </c>
      <c r="G560" s="63">
        <v>10</v>
      </c>
      <c r="H560" s="46" t="s">
        <v>784</v>
      </c>
      <c r="J560" s="14" t="s">
        <v>186</v>
      </c>
    </row>
    <row r="561" spans="1:11" x14ac:dyDescent="0.35">
      <c r="A561">
        <f t="shared" si="8"/>
        <v>1.2</v>
      </c>
      <c r="C561" s="14">
        <v>32</v>
      </c>
      <c r="E561" s="1" t="s">
        <v>67</v>
      </c>
      <c r="F561" s="80">
        <v>18</v>
      </c>
      <c r="G561" s="63">
        <v>15</v>
      </c>
      <c r="H561" s="46" t="s">
        <v>69</v>
      </c>
      <c r="I561" s="63">
        <v>3</v>
      </c>
      <c r="J561" s="14" t="s">
        <v>296</v>
      </c>
      <c r="K561" t="s">
        <v>1164</v>
      </c>
    </row>
    <row r="562" spans="1:11" x14ac:dyDescent="0.35">
      <c r="A562">
        <f t="shared" si="8"/>
        <v>1.2307692307692308</v>
      </c>
      <c r="C562" s="14">
        <v>33</v>
      </c>
      <c r="E562" s="1" t="s">
        <v>78</v>
      </c>
      <c r="F562" s="80">
        <v>16</v>
      </c>
      <c r="G562" s="63">
        <v>13</v>
      </c>
      <c r="H562" s="46" t="s">
        <v>74</v>
      </c>
      <c r="J562" s="14" t="s">
        <v>507</v>
      </c>
    </row>
    <row r="563" spans="1:11" x14ac:dyDescent="0.35">
      <c r="A563">
        <f t="shared" si="8"/>
        <v>4.4285714285714288</v>
      </c>
      <c r="C563" s="14">
        <v>34</v>
      </c>
      <c r="E563" s="1" t="s">
        <v>35</v>
      </c>
      <c r="F563" s="80">
        <v>31</v>
      </c>
      <c r="G563" s="63">
        <v>7</v>
      </c>
      <c r="H563" s="46" t="s">
        <v>39</v>
      </c>
      <c r="J563" s="14" t="s">
        <v>780</v>
      </c>
    </row>
    <row r="564" spans="1:11" x14ac:dyDescent="0.35">
      <c r="A564">
        <f t="shared" si="8"/>
        <v>1.6363636363636365</v>
      </c>
      <c r="C564" s="14">
        <v>35</v>
      </c>
      <c r="E564" s="1" t="s">
        <v>82</v>
      </c>
      <c r="F564" s="80">
        <v>18</v>
      </c>
      <c r="G564" s="63">
        <v>11</v>
      </c>
      <c r="H564" s="46" t="s">
        <v>86</v>
      </c>
      <c r="I564" s="63">
        <v>25</v>
      </c>
      <c r="J564" s="14" t="s">
        <v>332</v>
      </c>
    </row>
    <row r="565" spans="1:11" x14ac:dyDescent="0.35">
      <c r="A565">
        <f t="shared" si="8"/>
        <v>1.7142857142857142</v>
      </c>
      <c r="C565" s="14">
        <v>36</v>
      </c>
      <c r="D565" s="80">
        <v>8</v>
      </c>
      <c r="E565" s="1" t="s">
        <v>300</v>
      </c>
      <c r="F565" s="80">
        <v>12</v>
      </c>
      <c r="G565" s="63">
        <v>7</v>
      </c>
      <c r="H565" s="46" t="s">
        <v>54</v>
      </c>
      <c r="J565" s="14" t="s">
        <v>187</v>
      </c>
    </row>
    <row r="566" spans="1:11" x14ac:dyDescent="0.35">
      <c r="A566">
        <f t="shared" si="8"/>
        <v>1.125</v>
      </c>
      <c r="C566" s="14">
        <v>37</v>
      </c>
      <c r="E566" s="1" t="s">
        <v>794</v>
      </c>
      <c r="F566" s="80">
        <v>9</v>
      </c>
      <c r="G566" s="63">
        <v>8</v>
      </c>
      <c r="H566" s="46" t="s">
        <v>790</v>
      </c>
      <c r="J566" s="14" t="s">
        <v>353</v>
      </c>
    </row>
    <row r="567" spans="1:11" x14ac:dyDescent="0.35">
      <c r="A567">
        <f t="shared" si="8"/>
        <v>3.3333333333333335</v>
      </c>
      <c r="C567" s="14">
        <v>38</v>
      </c>
      <c r="E567" s="1" t="s">
        <v>145</v>
      </c>
      <c r="F567" s="80">
        <v>20</v>
      </c>
      <c r="G567" s="63">
        <v>6</v>
      </c>
      <c r="H567" s="46" t="s">
        <v>53</v>
      </c>
      <c r="I567" s="63">
        <v>18</v>
      </c>
      <c r="J567" s="14" t="s">
        <v>744</v>
      </c>
    </row>
    <row r="568" spans="1:11" x14ac:dyDescent="0.35">
      <c r="A568">
        <f t="shared" si="8"/>
        <v>4</v>
      </c>
      <c r="C568" s="14">
        <v>39</v>
      </c>
      <c r="D568" s="80">
        <v>9</v>
      </c>
      <c r="E568" s="1" t="s">
        <v>87</v>
      </c>
      <c r="F568" s="80">
        <v>20</v>
      </c>
      <c r="G568" s="63">
        <v>5</v>
      </c>
      <c r="H568" s="46" t="s">
        <v>84</v>
      </c>
      <c r="J568" s="14" t="s">
        <v>404</v>
      </c>
    </row>
    <row r="569" spans="1:11" x14ac:dyDescent="0.35">
      <c r="A569">
        <f t="shared" si="8"/>
        <v>1.4</v>
      </c>
      <c r="C569" s="14">
        <v>40</v>
      </c>
      <c r="D569" s="80">
        <v>7</v>
      </c>
      <c r="E569" s="1" t="s">
        <v>26</v>
      </c>
      <c r="F569" s="80">
        <v>21</v>
      </c>
      <c r="G569" s="63">
        <v>15</v>
      </c>
      <c r="H569" s="46" t="s">
        <v>33</v>
      </c>
      <c r="J569" s="14" t="s">
        <v>577</v>
      </c>
    </row>
    <row r="570" spans="1:11" x14ac:dyDescent="0.35">
      <c r="A570">
        <f t="shared" si="8"/>
        <v>1.0769230769230769</v>
      </c>
      <c r="C570" s="14">
        <v>41</v>
      </c>
      <c r="E570" s="1" t="s">
        <v>66</v>
      </c>
      <c r="F570" s="80">
        <v>14</v>
      </c>
      <c r="G570" s="63">
        <v>13</v>
      </c>
      <c r="H570" s="46" t="s">
        <v>114</v>
      </c>
      <c r="J570" s="14" t="s">
        <v>194</v>
      </c>
    </row>
    <row r="571" spans="1:11" x14ac:dyDescent="0.35">
      <c r="A571">
        <f t="shared" si="8"/>
        <v>1.8888888888888888</v>
      </c>
      <c r="C571" s="14">
        <v>42</v>
      </c>
      <c r="E571" s="1" t="s">
        <v>43</v>
      </c>
      <c r="F571" s="80">
        <v>17</v>
      </c>
      <c r="G571" s="63">
        <v>9</v>
      </c>
      <c r="H571" s="46" t="s">
        <v>42</v>
      </c>
      <c r="I571" s="63">
        <v>6</v>
      </c>
      <c r="J571" s="14" t="s">
        <v>620</v>
      </c>
    </row>
    <row r="572" spans="1:11" x14ac:dyDescent="0.35">
      <c r="A572">
        <f t="shared" si="8"/>
        <v>1.3125</v>
      </c>
      <c r="C572" s="14">
        <v>43</v>
      </c>
      <c r="D572" s="80">
        <v>5</v>
      </c>
      <c r="E572" s="1" t="s">
        <v>31</v>
      </c>
      <c r="F572" s="80">
        <v>21</v>
      </c>
      <c r="G572" s="63">
        <v>16</v>
      </c>
      <c r="H572" s="46" t="s">
        <v>292</v>
      </c>
      <c r="J572" s="14" t="s">
        <v>185</v>
      </c>
    </row>
    <row r="573" spans="1:11" x14ac:dyDescent="0.35">
      <c r="A573">
        <f t="shared" si="8"/>
        <v>1.0588235294117647</v>
      </c>
      <c r="C573" s="14">
        <v>44</v>
      </c>
      <c r="E573" s="1" t="s">
        <v>59</v>
      </c>
      <c r="F573" s="80">
        <v>18</v>
      </c>
      <c r="G573" s="63">
        <v>17</v>
      </c>
      <c r="H573" s="46" t="s">
        <v>62</v>
      </c>
      <c r="I573" s="63">
        <v>23</v>
      </c>
      <c r="J573" s="14" t="s">
        <v>577</v>
      </c>
      <c r="K573" t="s">
        <v>1166</v>
      </c>
    </row>
    <row r="574" spans="1:11" x14ac:dyDescent="0.35">
      <c r="A574">
        <f t="shared" si="8"/>
        <v>1.5714285714285714</v>
      </c>
      <c r="C574" s="14">
        <v>45</v>
      </c>
      <c r="E574" s="1" t="s">
        <v>75</v>
      </c>
      <c r="F574" s="80">
        <v>22</v>
      </c>
      <c r="G574" s="63">
        <v>14</v>
      </c>
      <c r="H574" s="46" t="s">
        <v>77</v>
      </c>
      <c r="J574" s="14" t="s">
        <v>526</v>
      </c>
      <c r="K574" t="s">
        <v>1168</v>
      </c>
    </row>
    <row r="575" spans="1:11" x14ac:dyDescent="0.35">
      <c r="A575">
        <f t="shared" si="8"/>
        <v>2</v>
      </c>
      <c r="C575" s="14">
        <v>46</v>
      </c>
      <c r="E575" s="1" t="s">
        <v>788</v>
      </c>
      <c r="F575" s="80">
        <v>10</v>
      </c>
      <c r="G575" s="63">
        <v>5</v>
      </c>
      <c r="H575" s="46" t="s">
        <v>792</v>
      </c>
      <c r="I575" s="63">
        <v>22</v>
      </c>
      <c r="J575" s="14" t="s">
        <v>545</v>
      </c>
      <c r="K575" t="s">
        <v>1169</v>
      </c>
    </row>
    <row r="576" spans="1:11" x14ac:dyDescent="0.35">
      <c r="A576">
        <f t="shared" si="8"/>
        <v>3.4285714285714284</v>
      </c>
      <c r="C576" s="14">
        <v>47</v>
      </c>
      <c r="D576" s="80">
        <v>14</v>
      </c>
      <c r="E576" s="1" t="s">
        <v>36</v>
      </c>
      <c r="F576" s="80">
        <v>24</v>
      </c>
      <c r="G576" s="63">
        <v>7</v>
      </c>
      <c r="H576" s="46" t="s">
        <v>37</v>
      </c>
      <c r="I576" s="63">
        <v>21</v>
      </c>
      <c r="J576" s="14" t="s">
        <v>297</v>
      </c>
      <c r="K576" t="s">
        <v>1170</v>
      </c>
    </row>
    <row r="577" spans="1:16" ht="15" thickBot="1" x14ac:dyDescent="0.4">
      <c r="A577">
        <f t="shared" si="8"/>
        <v>1.2857142857142858</v>
      </c>
      <c r="C577" s="23">
        <v>48</v>
      </c>
      <c r="D577" s="55">
        <v>1</v>
      </c>
      <c r="E577" s="44" t="s">
        <v>41</v>
      </c>
      <c r="F577" s="55">
        <v>18</v>
      </c>
      <c r="G577" s="56">
        <v>14</v>
      </c>
      <c r="H577" s="57" t="s">
        <v>46</v>
      </c>
      <c r="I577" s="56">
        <v>16</v>
      </c>
      <c r="J577" s="12" t="s">
        <v>301</v>
      </c>
      <c r="K577" s="12"/>
    </row>
    <row r="578" spans="1:16" x14ac:dyDescent="0.35">
      <c r="A578">
        <f t="shared" si="8"/>
        <v>1.9090909090909092</v>
      </c>
      <c r="C578" s="46" t="s">
        <v>144</v>
      </c>
      <c r="D578" s="80">
        <v>6</v>
      </c>
      <c r="E578" s="1" t="s">
        <v>69</v>
      </c>
      <c r="F578" s="80">
        <v>21</v>
      </c>
      <c r="G578" s="63">
        <v>11</v>
      </c>
      <c r="H578" s="46" t="s">
        <v>60</v>
      </c>
      <c r="I578" s="63">
        <v>30</v>
      </c>
      <c r="J578" s="14" t="s">
        <v>296</v>
      </c>
      <c r="K578" t="s">
        <v>674</v>
      </c>
    </row>
    <row r="579" spans="1:16" x14ac:dyDescent="0.35">
      <c r="A579">
        <f t="shared" ref="A579:A601" si="9">(F579/G579)</f>
        <v>1.3333333333333333</v>
      </c>
      <c r="C579" s="46" t="s">
        <v>799</v>
      </c>
      <c r="D579" s="80">
        <v>21</v>
      </c>
      <c r="E579" s="1" t="s">
        <v>788</v>
      </c>
      <c r="F579" s="80">
        <v>12</v>
      </c>
      <c r="G579" s="63">
        <v>9</v>
      </c>
      <c r="H579" s="46" t="s">
        <v>783</v>
      </c>
      <c r="I579" s="63">
        <v>11</v>
      </c>
      <c r="J579" s="14" t="s">
        <v>181</v>
      </c>
      <c r="K579" t="s">
        <v>1155</v>
      </c>
    </row>
    <row r="580" spans="1:16" x14ac:dyDescent="0.35">
      <c r="A580">
        <f t="shared" si="9"/>
        <v>1.1666666666666667</v>
      </c>
      <c r="C580" s="46" t="s">
        <v>172</v>
      </c>
      <c r="D580" s="80">
        <v>1</v>
      </c>
      <c r="E580" s="1" t="s">
        <v>41</v>
      </c>
      <c r="F580" s="80">
        <v>28</v>
      </c>
      <c r="G580" s="63">
        <v>24</v>
      </c>
      <c r="H580" s="46" t="s">
        <v>36</v>
      </c>
      <c r="I580" s="63">
        <v>7</v>
      </c>
      <c r="J580" s="14" t="s">
        <v>1175</v>
      </c>
      <c r="K580" t="s">
        <v>1174</v>
      </c>
    </row>
    <row r="581" spans="1:16" x14ac:dyDescent="0.35">
      <c r="A581">
        <f t="shared" si="9"/>
        <v>1.0833333333333333</v>
      </c>
      <c r="C581" s="46" t="s">
        <v>143</v>
      </c>
      <c r="D581" s="80">
        <v>14</v>
      </c>
      <c r="E581" s="1" t="s">
        <v>88</v>
      </c>
      <c r="F581" s="80">
        <v>13</v>
      </c>
      <c r="G581" s="63">
        <v>12</v>
      </c>
      <c r="H581" s="46" t="s">
        <v>75</v>
      </c>
      <c r="I581" s="63">
        <v>18</v>
      </c>
      <c r="J581" s="14" t="s">
        <v>179</v>
      </c>
      <c r="K581" t="s">
        <v>1154</v>
      </c>
    </row>
    <row r="582" spans="1:16" x14ac:dyDescent="0.35">
      <c r="A582">
        <f t="shared" si="9"/>
        <v>1.5</v>
      </c>
      <c r="C582" s="46" t="s">
        <v>503</v>
      </c>
      <c r="D582" s="80">
        <v>10</v>
      </c>
      <c r="E582" s="1" t="s">
        <v>300</v>
      </c>
      <c r="F582" s="80">
        <v>15</v>
      </c>
      <c r="G582" s="63">
        <v>10</v>
      </c>
      <c r="H582" s="46" t="s">
        <v>49</v>
      </c>
      <c r="I582" s="63">
        <v>4</v>
      </c>
      <c r="J582" s="14" t="s">
        <v>447</v>
      </c>
      <c r="K582" t="s">
        <v>675</v>
      </c>
      <c r="O582" t="s">
        <v>737</v>
      </c>
      <c r="P582" t="s">
        <v>1184</v>
      </c>
    </row>
    <row r="583" spans="1:16" ht="15" thickBot="1" x14ac:dyDescent="0.4">
      <c r="A583">
        <f t="shared" si="9"/>
        <v>1.375</v>
      </c>
      <c r="C583" s="57" t="s">
        <v>173</v>
      </c>
      <c r="D583" s="55">
        <v>3</v>
      </c>
      <c r="E583" s="44" t="s">
        <v>34</v>
      </c>
      <c r="F583" s="55">
        <v>11</v>
      </c>
      <c r="G583" s="56">
        <v>8</v>
      </c>
      <c r="H583" s="57" t="s">
        <v>31</v>
      </c>
      <c r="I583" s="56">
        <v>2</v>
      </c>
      <c r="J583" s="12" t="s">
        <v>450</v>
      </c>
      <c r="K583" s="12" t="s">
        <v>676</v>
      </c>
      <c r="O583">
        <v>10</v>
      </c>
      <c r="P583" t="s">
        <v>1176</v>
      </c>
    </row>
    <row r="584" spans="1:16" x14ac:dyDescent="0.35">
      <c r="A584">
        <f t="shared" si="9"/>
        <v>2.2222222222222223</v>
      </c>
      <c r="C584" s="46" t="s">
        <v>1191</v>
      </c>
      <c r="D584" s="80">
        <v>12</v>
      </c>
      <c r="E584" s="1" t="s">
        <v>88</v>
      </c>
      <c r="F584" s="80">
        <v>20</v>
      </c>
      <c r="G584" s="63">
        <v>9</v>
      </c>
      <c r="H584" s="46" t="s">
        <v>36</v>
      </c>
      <c r="I584" s="63">
        <v>8</v>
      </c>
      <c r="J584" s="14" t="s">
        <v>359</v>
      </c>
      <c r="K584" s="14" t="s">
        <v>1220</v>
      </c>
      <c r="O584">
        <v>4</v>
      </c>
      <c r="P584" t="s">
        <v>1177</v>
      </c>
    </row>
    <row r="585" spans="1:16" x14ac:dyDescent="0.35">
      <c r="A585">
        <f t="shared" si="9"/>
        <v>2</v>
      </c>
      <c r="C585" s="46" t="s">
        <v>1192</v>
      </c>
      <c r="D585" s="80">
        <v>15</v>
      </c>
      <c r="E585" s="1" t="s">
        <v>788</v>
      </c>
      <c r="F585" s="80">
        <v>26</v>
      </c>
      <c r="G585" s="63">
        <v>13</v>
      </c>
      <c r="H585" s="46" t="s">
        <v>26</v>
      </c>
      <c r="I585" s="63">
        <v>7</v>
      </c>
      <c r="J585" s="14" t="s">
        <v>504</v>
      </c>
      <c r="K585" s="14" t="s">
        <v>1221</v>
      </c>
      <c r="P585" t="s">
        <v>1201</v>
      </c>
    </row>
    <row r="586" spans="1:16" x14ac:dyDescent="0.35">
      <c r="A586">
        <f t="shared" si="9"/>
        <v>2.8333333333333335</v>
      </c>
      <c r="C586" s="46" t="s">
        <v>1191</v>
      </c>
      <c r="D586" s="80">
        <v>12</v>
      </c>
      <c r="E586" s="1" t="s">
        <v>88</v>
      </c>
      <c r="F586" s="80">
        <v>17</v>
      </c>
      <c r="G586" s="63">
        <v>6</v>
      </c>
      <c r="H586" s="46" t="s">
        <v>36</v>
      </c>
      <c r="I586" s="63">
        <v>8</v>
      </c>
      <c r="J586" s="14" t="s">
        <v>447</v>
      </c>
      <c r="K586" t="s">
        <v>1206</v>
      </c>
      <c r="O586">
        <v>35</v>
      </c>
      <c r="P586" t="s">
        <v>1248</v>
      </c>
    </row>
    <row r="587" spans="1:16" ht="15" thickBot="1" x14ac:dyDescent="0.4">
      <c r="A587">
        <f t="shared" si="9"/>
        <v>1.2352941176470589</v>
      </c>
      <c r="C587" s="57" t="s">
        <v>1192</v>
      </c>
      <c r="D587" s="55">
        <v>7</v>
      </c>
      <c r="E587" s="44" t="s">
        <v>26</v>
      </c>
      <c r="F587" s="55">
        <v>21</v>
      </c>
      <c r="G587" s="56">
        <v>17</v>
      </c>
      <c r="H587" s="57" t="s">
        <v>788</v>
      </c>
      <c r="I587" s="56">
        <v>15</v>
      </c>
      <c r="J587" s="12" t="s">
        <v>347</v>
      </c>
      <c r="K587" s="12" t="s">
        <v>1207</v>
      </c>
      <c r="O587">
        <v>25</v>
      </c>
      <c r="P587" t="s">
        <v>1205</v>
      </c>
    </row>
    <row r="588" spans="1:16" x14ac:dyDescent="0.35">
      <c r="A588">
        <f t="shared" si="9"/>
        <v>1.4666666666666666</v>
      </c>
      <c r="C588" s="75" t="s">
        <v>1226</v>
      </c>
      <c r="D588" s="80">
        <v>1</v>
      </c>
      <c r="E588" s="1" t="s">
        <v>41</v>
      </c>
      <c r="F588" s="80">
        <v>22</v>
      </c>
      <c r="G588" s="63">
        <v>15</v>
      </c>
      <c r="H588" s="46" t="s">
        <v>788</v>
      </c>
      <c r="I588" s="63">
        <v>14</v>
      </c>
      <c r="J588" s="14" t="s">
        <v>301</v>
      </c>
      <c r="K588" s="14" t="s">
        <v>1222</v>
      </c>
      <c r="O588">
        <v>18</v>
      </c>
      <c r="P588" t="s">
        <v>1204</v>
      </c>
    </row>
    <row r="589" spans="1:16" x14ac:dyDescent="0.35">
      <c r="A589">
        <f t="shared" si="9"/>
        <v>1.1111111111111112</v>
      </c>
      <c r="C589" s="75" t="s">
        <v>1227</v>
      </c>
      <c r="D589" s="80">
        <v>7</v>
      </c>
      <c r="E589" s="1" t="s">
        <v>88</v>
      </c>
      <c r="F589" s="80">
        <v>10</v>
      </c>
      <c r="G589" s="63">
        <v>9</v>
      </c>
      <c r="H589" s="46" t="s">
        <v>34</v>
      </c>
      <c r="I589" s="63">
        <v>2</v>
      </c>
      <c r="J589" s="14" t="s">
        <v>447</v>
      </c>
      <c r="K589" s="14" t="s">
        <v>1223</v>
      </c>
      <c r="O589">
        <v>12</v>
      </c>
      <c r="P589" t="s">
        <v>1203</v>
      </c>
    </row>
    <row r="590" spans="1:16" x14ac:dyDescent="0.35">
      <c r="A590">
        <f t="shared" si="9"/>
        <v>1.1538461538461537</v>
      </c>
      <c r="C590" s="76" t="s">
        <v>1193</v>
      </c>
      <c r="D590" s="80">
        <v>5</v>
      </c>
      <c r="E590" s="1" t="s">
        <v>49</v>
      </c>
      <c r="F590" s="80">
        <v>15</v>
      </c>
      <c r="G590" s="63">
        <v>13</v>
      </c>
      <c r="H590" s="46" t="s">
        <v>69</v>
      </c>
      <c r="I590" s="63">
        <v>4</v>
      </c>
      <c r="J590" s="14" t="s">
        <v>507</v>
      </c>
      <c r="K590" t="s">
        <v>1224</v>
      </c>
      <c r="O590">
        <v>7</v>
      </c>
      <c r="P590" t="s">
        <v>1215</v>
      </c>
    </row>
    <row r="591" spans="1:16" x14ac:dyDescent="0.35">
      <c r="A591">
        <f t="shared" si="9"/>
        <v>1.5</v>
      </c>
      <c r="C591" s="76" t="s">
        <v>1194</v>
      </c>
      <c r="D591" s="80">
        <v>6</v>
      </c>
      <c r="E591" s="1" t="s">
        <v>300</v>
      </c>
      <c r="F591" s="80">
        <v>12</v>
      </c>
      <c r="G591" s="63">
        <v>8</v>
      </c>
      <c r="H591" s="46" t="s">
        <v>31</v>
      </c>
      <c r="I591" s="63">
        <v>3</v>
      </c>
      <c r="J591" s="14" t="s">
        <v>450</v>
      </c>
      <c r="K591" t="s">
        <v>1225</v>
      </c>
    </row>
    <row r="592" spans="1:16" x14ac:dyDescent="0.35">
      <c r="A592">
        <f t="shared" si="9"/>
        <v>1.3571428571428572</v>
      </c>
      <c r="C592" s="75" t="s">
        <v>1226</v>
      </c>
      <c r="D592" s="80">
        <v>1</v>
      </c>
      <c r="E592" s="1" t="s">
        <v>41</v>
      </c>
      <c r="F592" s="80">
        <v>19</v>
      </c>
      <c r="G592" s="63">
        <v>14</v>
      </c>
      <c r="H592" s="46" t="s">
        <v>788</v>
      </c>
      <c r="I592" s="63">
        <v>14</v>
      </c>
      <c r="J592" s="14" t="s">
        <v>194</v>
      </c>
      <c r="K592" t="s">
        <v>1228</v>
      </c>
      <c r="N592" t="s">
        <v>1185</v>
      </c>
    </row>
    <row r="593" spans="1:17" x14ac:dyDescent="0.35">
      <c r="A593">
        <f t="shared" si="9"/>
        <v>1.1176470588235294</v>
      </c>
      <c r="C593" s="75" t="s">
        <v>1227</v>
      </c>
      <c r="D593" s="80">
        <v>2</v>
      </c>
      <c r="E593" s="1" t="s">
        <v>34</v>
      </c>
      <c r="F593" s="80">
        <v>19</v>
      </c>
      <c r="G593" s="63">
        <v>17</v>
      </c>
      <c r="H593" s="46" t="s">
        <v>88</v>
      </c>
      <c r="I593" s="63">
        <v>7</v>
      </c>
      <c r="J593" s="14" t="s">
        <v>183</v>
      </c>
      <c r="K593" t="s">
        <v>1229</v>
      </c>
      <c r="N593" t="s">
        <v>1186</v>
      </c>
    </row>
    <row r="594" spans="1:17" x14ac:dyDescent="0.35">
      <c r="A594">
        <f t="shared" si="9"/>
        <v>1.1333333333333333</v>
      </c>
      <c r="C594" s="76" t="s">
        <v>1193</v>
      </c>
      <c r="D594" s="80">
        <v>4</v>
      </c>
      <c r="E594" s="1" t="s">
        <v>69</v>
      </c>
      <c r="F594" s="80">
        <v>17</v>
      </c>
      <c r="G594" s="63">
        <v>15</v>
      </c>
      <c r="H594" s="46" t="s">
        <v>49</v>
      </c>
      <c r="I594" s="63">
        <v>5</v>
      </c>
      <c r="J594" s="14" t="s">
        <v>369</v>
      </c>
      <c r="K594" t="s">
        <v>1230</v>
      </c>
    </row>
    <row r="595" spans="1:17" ht="15" thickBot="1" x14ac:dyDescent="0.4">
      <c r="A595">
        <f t="shared" si="9"/>
        <v>5</v>
      </c>
      <c r="C595" s="77" t="s">
        <v>1194</v>
      </c>
      <c r="D595" s="55">
        <v>6</v>
      </c>
      <c r="E595" s="44" t="s">
        <v>300</v>
      </c>
      <c r="F595" s="55">
        <v>15</v>
      </c>
      <c r="G595" s="56">
        <v>3</v>
      </c>
      <c r="H595" s="57" t="s">
        <v>31</v>
      </c>
      <c r="I595" s="56">
        <v>3</v>
      </c>
      <c r="J595" s="12" t="s">
        <v>872</v>
      </c>
      <c r="K595" s="12" t="s">
        <v>1231</v>
      </c>
      <c r="N595" t="s">
        <v>1209</v>
      </c>
    </row>
    <row r="596" spans="1:17" x14ac:dyDescent="0.35">
      <c r="A596">
        <f t="shared" si="9"/>
        <v>1.4545454545454546</v>
      </c>
      <c r="C596" s="76" t="s">
        <v>1197</v>
      </c>
      <c r="D596" s="80">
        <v>1</v>
      </c>
      <c r="E596" s="1" t="s">
        <v>41</v>
      </c>
      <c r="F596" s="80">
        <v>16</v>
      </c>
      <c r="G596" s="63">
        <v>11</v>
      </c>
      <c r="H596" s="46" t="s">
        <v>300</v>
      </c>
      <c r="I596" s="63">
        <v>3</v>
      </c>
      <c r="J596" s="14" t="s">
        <v>331</v>
      </c>
      <c r="K596" s="14" t="s">
        <v>1238</v>
      </c>
      <c r="N596" t="s">
        <v>1208</v>
      </c>
    </row>
    <row r="597" spans="1:17" x14ac:dyDescent="0.35">
      <c r="A597">
        <f t="shared" si="9"/>
        <v>2.2222222222222223</v>
      </c>
      <c r="C597" s="76" t="s">
        <v>1199</v>
      </c>
      <c r="D597" s="80">
        <v>2</v>
      </c>
      <c r="E597" s="1" t="s">
        <v>34</v>
      </c>
      <c r="F597" s="80">
        <v>20</v>
      </c>
      <c r="G597" s="63">
        <v>9</v>
      </c>
      <c r="H597" s="46" t="s">
        <v>69</v>
      </c>
      <c r="I597" s="63">
        <v>4</v>
      </c>
      <c r="J597" s="14" t="s">
        <v>334</v>
      </c>
      <c r="K597" s="14" t="s">
        <v>1239</v>
      </c>
      <c r="N597" t="s">
        <v>1216</v>
      </c>
    </row>
    <row r="598" spans="1:17" x14ac:dyDescent="0.35">
      <c r="A598">
        <f t="shared" si="9"/>
        <v>1.0769230769230769</v>
      </c>
      <c r="C598" s="76" t="s">
        <v>1198</v>
      </c>
      <c r="D598" s="80">
        <v>3</v>
      </c>
      <c r="E598" s="1" t="s">
        <v>300</v>
      </c>
      <c r="F598" s="80">
        <v>14</v>
      </c>
      <c r="G598" s="63">
        <v>13</v>
      </c>
      <c r="H598" s="46" t="s">
        <v>41</v>
      </c>
      <c r="I598" s="63">
        <v>1</v>
      </c>
      <c r="J598" s="14" t="s">
        <v>190</v>
      </c>
      <c r="K598" s="14" t="s">
        <v>1240</v>
      </c>
      <c r="N598" t="s">
        <v>1217</v>
      </c>
    </row>
    <row r="599" spans="1:17" ht="15" thickBot="1" x14ac:dyDescent="0.4">
      <c r="A599">
        <f t="shared" si="9"/>
        <v>1.4545454545454546</v>
      </c>
      <c r="C599" s="77" t="s">
        <v>1200</v>
      </c>
      <c r="D599" s="55">
        <v>2</v>
      </c>
      <c r="E599" s="44" t="s">
        <v>34</v>
      </c>
      <c r="F599" s="55">
        <v>16</v>
      </c>
      <c r="G599" s="56">
        <v>11</v>
      </c>
      <c r="H599" s="57" t="s">
        <v>69</v>
      </c>
      <c r="I599" s="56">
        <v>4</v>
      </c>
      <c r="J599" s="12" t="s">
        <v>190</v>
      </c>
      <c r="K599" s="23" t="s">
        <v>1241</v>
      </c>
    </row>
    <row r="600" spans="1:17" x14ac:dyDescent="0.35">
      <c r="A600">
        <f t="shared" si="9"/>
        <v>1.0769230769230769</v>
      </c>
      <c r="C600" s="76" t="s">
        <v>1195</v>
      </c>
      <c r="D600" s="80">
        <v>2</v>
      </c>
      <c r="E600" s="1" t="s">
        <v>34</v>
      </c>
      <c r="F600" s="80">
        <v>14</v>
      </c>
      <c r="G600" s="63">
        <v>13</v>
      </c>
      <c r="H600" s="46" t="s">
        <v>41</v>
      </c>
      <c r="I600" s="63">
        <v>1</v>
      </c>
      <c r="J600" s="14" t="s">
        <v>281</v>
      </c>
      <c r="K600" s="14" t="s">
        <v>1249</v>
      </c>
      <c r="N600" t="s">
        <v>1218</v>
      </c>
    </row>
    <row r="601" spans="1:17" ht="15" thickBot="1" x14ac:dyDescent="0.4">
      <c r="A601">
        <f t="shared" si="9"/>
        <v>2.1428571428571428</v>
      </c>
      <c r="C601" s="77" t="s">
        <v>1196</v>
      </c>
      <c r="D601" s="55">
        <v>2</v>
      </c>
      <c r="E601" s="44" t="s">
        <v>34</v>
      </c>
      <c r="F601" s="55">
        <v>15</v>
      </c>
      <c r="G601" s="56">
        <v>7</v>
      </c>
      <c r="H601" s="57" t="s">
        <v>41</v>
      </c>
      <c r="I601" s="56">
        <v>1</v>
      </c>
      <c r="J601" s="23" t="s">
        <v>286</v>
      </c>
      <c r="K601" s="23" t="s">
        <v>1250</v>
      </c>
      <c r="N601" t="s">
        <v>1219</v>
      </c>
    </row>
    <row r="602" spans="1:17" x14ac:dyDescent="0.35">
      <c r="C602" s="76"/>
      <c r="K602" s="43" t="s">
        <v>1251</v>
      </c>
    </row>
    <row r="603" spans="1:17" x14ac:dyDescent="0.35">
      <c r="N603" s="9" t="s">
        <v>1202</v>
      </c>
    </row>
    <row r="604" spans="1:17" x14ac:dyDescent="0.35">
      <c r="N604" t="s">
        <v>1246</v>
      </c>
    </row>
    <row r="605" spans="1:17" x14ac:dyDescent="0.35">
      <c r="N605" t="s">
        <v>1247</v>
      </c>
    </row>
    <row r="607" spans="1:17" x14ac:dyDescent="0.35">
      <c r="O607" t="s">
        <v>302</v>
      </c>
      <c r="P607" s="19" t="s">
        <v>41</v>
      </c>
      <c r="Q607">
        <v>1</v>
      </c>
    </row>
    <row r="608" spans="1:17" x14ac:dyDescent="0.35">
      <c r="O608" t="s">
        <v>303</v>
      </c>
      <c r="P608" s="21" t="s">
        <v>34</v>
      </c>
      <c r="Q608">
        <v>2</v>
      </c>
    </row>
    <row r="609" spans="14:17" x14ac:dyDescent="0.35">
      <c r="O609" t="s">
        <v>304</v>
      </c>
      <c r="P609" s="17" t="s">
        <v>300</v>
      </c>
      <c r="Q609">
        <v>4</v>
      </c>
    </row>
    <row r="610" spans="14:17" x14ac:dyDescent="0.35">
      <c r="O610" t="s">
        <v>305</v>
      </c>
      <c r="P610" s="16" t="s">
        <v>69</v>
      </c>
      <c r="Q610">
        <v>3</v>
      </c>
    </row>
    <row r="612" spans="14:17" x14ac:dyDescent="0.35">
      <c r="N612" t="s">
        <v>4</v>
      </c>
      <c r="O612" t="s">
        <v>15</v>
      </c>
    </row>
    <row r="613" spans="14:17" x14ac:dyDescent="0.35">
      <c r="N613" t="s">
        <v>723</v>
      </c>
      <c r="O613" t="s">
        <v>14</v>
      </c>
    </row>
    <row r="614" spans="14:17" x14ac:dyDescent="0.35">
      <c r="N614" t="s">
        <v>719</v>
      </c>
      <c r="O614" t="s">
        <v>13</v>
      </c>
    </row>
    <row r="615" spans="14:17" x14ac:dyDescent="0.35">
      <c r="N615" t="s">
        <v>717</v>
      </c>
      <c r="O615" t="s">
        <v>116</v>
      </c>
    </row>
    <row r="616" spans="14:17" x14ac:dyDescent="0.35">
      <c r="N616" t="s">
        <v>714</v>
      </c>
      <c r="O616" t="s">
        <v>8</v>
      </c>
    </row>
    <row r="617" spans="14:17" x14ac:dyDescent="0.35">
      <c r="N617" t="s">
        <v>706</v>
      </c>
      <c r="O617" t="s">
        <v>782</v>
      </c>
    </row>
  </sheetData>
  <conditionalFormatting sqref="L1 Q1">
    <cfRule type="cellIs" dxfId="3" priority="1" operator="lessThan">
      <formula>26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M97"/>
  <sheetViews>
    <sheetView topLeftCell="C1" zoomScaleNormal="100" workbookViewId="0">
      <pane ySplit="1" topLeftCell="A2" activePane="bottomLeft" state="frozen"/>
      <selection activeCell="B1" sqref="B1"/>
      <selection pane="bottomLeft" activeCell="E1" sqref="E1"/>
    </sheetView>
  </sheetViews>
  <sheetFormatPr defaultRowHeight="14.5" x14ac:dyDescent="0.35"/>
  <cols>
    <col min="1" max="1" width="3.36328125" hidden="1" customWidth="1"/>
    <col min="2" max="2" width="10" style="1" customWidth="1"/>
    <col min="3" max="3" width="8.90625" style="1"/>
    <col min="4" max="4" width="16" style="1" customWidth="1"/>
    <col min="5" max="5" width="3" style="9" customWidth="1"/>
    <col min="6" max="7" width="6.08984375" customWidth="1"/>
    <col min="8" max="8" width="2.6328125" customWidth="1"/>
    <col min="9" max="10" width="5.1796875" customWidth="1"/>
    <col min="11" max="11" width="2.6328125" customWidth="1"/>
    <col min="12" max="13" width="6.6328125" customWidth="1"/>
    <col min="14" max="15" width="6.6328125" style="54" hidden="1" customWidth="1"/>
    <col min="16" max="16" width="6.54296875" style="54" customWidth="1"/>
    <col min="17" max="17" width="6.54296875" style="54" hidden="1" customWidth="1"/>
    <col min="18" max="18" width="5.453125" customWidth="1"/>
    <col min="19" max="19" width="7" style="54" customWidth="1"/>
    <col min="20" max="20" width="4" customWidth="1"/>
    <col min="21" max="21" width="4.1796875" customWidth="1"/>
    <col min="22" max="23" width="6.08984375" style="54" customWidth="1"/>
    <col min="24" max="24" width="3.54296875" style="47" customWidth="1"/>
    <col min="25" max="25" width="5" style="49" customWidth="1"/>
    <col min="26" max="26" width="4.453125" style="48" customWidth="1"/>
    <col min="27" max="27" width="8.90625" style="1" customWidth="1"/>
    <col min="28" max="29" width="8.453125" customWidth="1"/>
    <col min="30" max="30" width="6.54296875" customWidth="1"/>
    <col min="31" max="32" width="7.08984375" customWidth="1"/>
    <col min="35" max="35" width="8.1796875" customWidth="1"/>
  </cols>
  <sheetData>
    <row r="1" spans="1:39" s="6" customFormat="1" x14ac:dyDescent="0.35">
      <c r="C1" s="6">
        <f>D1-AL1</f>
        <v>0</v>
      </c>
      <c r="D1" s="6">
        <f>_xlfn.STDEV.P(AA2:AA97)</f>
        <v>0.14411729154613084</v>
      </c>
      <c r="E1" s="9"/>
      <c r="F1" s="6" t="s">
        <v>168</v>
      </c>
      <c r="G1" s="6" t="s">
        <v>169</v>
      </c>
      <c r="I1" s="6" t="s">
        <v>406</v>
      </c>
      <c r="J1" s="6" t="s">
        <v>407</v>
      </c>
      <c r="L1" s="6" t="s">
        <v>170</v>
      </c>
      <c r="M1" s="6" t="s">
        <v>411</v>
      </c>
      <c r="N1" s="54" t="s">
        <v>1171</v>
      </c>
      <c r="O1" s="54" t="s">
        <v>1172</v>
      </c>
      <c r="P1" s="54" t="s">
        <v>408</v>
      </c>
      <c r="Q1" s="54" t="s">
        <v>1173</v>
      </c>
      <c r="R1" s="6" t="s">
        <v>177</v>
      </c>
      <c r="S1" s="54" t="s">
        <v>409</v>
      </c>
      <c r="T1" s="6" t="s">
        <v>410</v>
      </c>
      <c r="U1" s="6" t="s">
        <v>731</v>
      </c>
      <c r="V1" s="54" t="s">
        <v>741</v>
      </c>
      <c r="W1" s="54" t="s">
        <v>742</v>
      </c>
      <c r="X1" s="47" t="s">
        <v>737</v>
      </c>
      <c r="Y1" s="61"/>
      <c r="Z1" s="48"/>
      <c r="AA1" s="6" t="s">
        <v>180</v>
      </c>
      <c r="AB1" s="6" t="s">
        <v>589</v>
      </c>
      <c r="AC1" s="6" t="s">
        <v>734</v>
      </c>
      <c r="AD1" s="6" t="s">
        <v>570</v>
      </c>
      <c r="AE1" s="6" t="s">
        <v>571</v>
      </c>
      <c r="AF1" s="6" t="s">
        <v>733</v>
      </c>
      <c r="AG1" s="6" t="s">
        <v>732</v>
      </c>
      <c r="AH1" s="6" t="s">
        <v>735</v>
      </c>
      <c r="AI1" s="6" t="s">
        <v>736</v>
      </c>
      <c r="AL1" s="6">
        <f>_xlfn.STDEV.P(AK:AK)</f>
        <v>0.14411729154613084</v>
      </c>
    </row>
    <row r="2" spans="1:39" x14ac:dyDescent="0.35">
      <c r="A2" t="s">
        <v>269</v>
      </c>
      <c r="B2" s="21" t="s">
        <v>173</v>
      </c>
      <c r="C2" s="21" t="s">
        <v>166</v>
      </c>
      <c r="D2" s="21" t="s">
        <v>34</v>
      </c>
      <c r="E2" s="9">
        <v>2</v>
      </c>
      <c r="F2">
        <v>17</v>
      </c>
      <c r="G2">
        <v>2</v>
      </c>
      <c r="I2">
        <v>9</v>
      </c>
      <c r="J2">
        <v>0</v>
      </c>
      <c r="L2">
        <f>317+15</f>
        <v>332</v>
      </c>
      <c r="M2">
        <f>213+7</f>
        <v>220</v>
      </c>
      <c r="N2" s="73">
        <f t="shared" ref="N2:N33" si="0">L2/(F2+G2)</f>
        <v>17.473684210526315</v>
      </c>
      <c r="O2" s="73">
        <f t="shared" ref="O2:O33" si="1">M2/(F2+G2)</f>
        <v>11.578947368421053</v>
      </c>
      <c r="P2" s="54">
        <f t="shared" ref="P2:P33" si="2">L2-M2</f>
        <v>112</v>
      </c>
      <c r="Q2" s="73">
        <f t="shared" ref="Q2:Q33" si="3">P2/(F2+G2)</f>
        <v>5.8947368421052628</v>
      </c>
      <c r="R2">
        <f>153+10</f>
        <v>163</v>
      </c>
      <c r="S2" s="54">
        <f t="shared" ref="S2:S33" si="4">L2/R2</f>
        <v>2.03680981595092</v>
      </c>
      <c r="T2" s="9">
        <f>592+1</f>
        <v>593</v>
      </c>
      <c r="U2" s="9">
        <f>563+1</f>
        <v>564</v>
      </c>
      <c r="V2" s="54">
        <f t="shared" ref="V2:V33" si="5">T2/(F2+G2)</f>
        <v>31.210526315789473</v>
      </c>
      <c r="W2" s="54">
        <f t="shared" ref="W2:W33" si="6">IF(F2&gt;0, (U2/F2), 100)</f>
        <v>33.176470588235297</v>
      </c>
      <c r="X2" s="47">
        <f>28+17</f>
        <v>45</v>
      </c>
      <c r="Y2" s="49">
        <v>1</v>
      </c>
      <c r="Z2" s="48">
        <f t="shared" ref="Z2:Z33" si="7">_xlfn.RANK.EQ(AA2,AA:AA, 0)</f>
        <v>1</v>
      </c>
      <c r="AA2" s="36">
        <f t="shared" ref="AA2:AA33" si="8">((AB2*1.25)+(AC2*0.65)+(AD2*0.5)+(AE2*0.5)+(AF2*0.4)+(AG2*0.4)+(AH2*0.65)+(AI2*0.65)+((X2/LARGE(X:X,1))*0.2))/5</f>
        <v>0.89089085526992906</v>
      </c>
      <c r="AB2" s="34">
        <f t="shared" ref="AB2:AB33" si="9">(F2/(F2+G2))</f>
        <v>0.89473684210526316</v>
      </c>
      <c r="AC2" s="34">
        <f t="shared" ref="AC2:AC33" si="10">(I2/(I2+J2))</f>
        <v>1</v>
      </c>
      <c r="AD2" s="34">
        <f t="shared" ref="AD2:AD33" si="11">(N2-(SMALL(N:N, 1)))/((LARGE(N:N, 1))-(SMALL(N:N, 1)))</f>
        <v>0.68226120857699801</v>
      </c>
      <c r="AE2" s="34">
        <f t="shared" ref="AE2:AE33" si="12">1-(O2-SMALL(O:O,1))/(LARGE(O:O,1)-SMALL(O:O,1))</f>
        <v>0.94926595425946259</v>
      </c>
      <c r="AF2" s="34">
        <f t="shared" ref="AF2:AF33" si="13">(Q2-SMALL(Q:Q,1))/(LARGE(Q:Q,1)-SMALL(Q:Q,1))</f>
        <v>0.85069817400644454</v>
      </c>
      <c r="AG2" s="34">
        <f t="shared" ref="AG2:AG33" si="14">(S2-SMALL(S:S,1))/(LARGE(S:S,1)-SMALL(S:S,1))</f>
        <v>0.65392703071820291</v>
      </c>
      <c r="AH2" s="34">
        <f t="shared" ref="AH2:AH33" si="15">1-(V2-SMALL(V:V,1))/(LARGE(V:V,1)-SMALL(V:V,1))</f>
        <v>0.87054593004249758</v>
      </c>
      <c r="AI2" s="34">
        <f t="shared" ref="AI2:AI33" si="16">1-(W2-SMALL(W:W,1))/(LARGE(W:W,1)-SMALL(W:W,1))</f>
        <v>0.77317647058823524</v>
      </c>
      <c r="AK2" s="35">
        <v>0.89089085526992906</v>
      </c>
      <c r="AL2">
        <v>96</v>
      </c>
      <c r="AM2">
        <f t="shared" ref="AM2:AM33" si="17">AL2+X2</f>
        <v>141</v>
      </c>
    </row>
    <row r="3" spans="1:39" x14ac:dyDescent="0.35">
      <c r="A3" t="s">
        <v>259</v>
      </c>
      <c r="B3" s="19" t="s">
        <v>172</v>
      </c>
      <c r="C3" s="19" t="s">
        <v>164</v>
      </c>
      <c r="D3" s="19" t="s">
        <v>41</v>
      </c>
      <c r="E3" s="8">
        <v>1</v>
      </c>
      <c r="F3">
        <v>14</v>
      </c>
      <c r="G3">
        <v>5</v>
      </c>
      <c r="H3" s="9"/>
      <c r="I3">
        <v>8</v>
      </c>
      <c r="J3">
        <v>1</v>
      </c>
      <c r="L3">
        <v>351</v>
      </c>
      <c r="M3">
        <f>250+15</f>
        <v>265</v>
      </c>
      <c r="N3" s="73">
        <f t="shared" si="0"/>
        <v>18.473684210526315</v>
      </c>
      <c r="O3" s="73">
        <f t="shared" si="1"/>
        <v>13.947368421052632</v>
      </c>
      <c r="P3" s="54">
        <f t="shared" si="2"/>
        <v>86</v>
      </c>
      <c r="Q3" s="73">
        <f t="shared" si="3"/>
        <v>4.5263157894736841</v>
      </c>
      <c r="R3">
        <v>165</v>
      </c>
      <c r="S3" s="54">
        <f t="shared" si="4"/>
        <v>2.1272727272727274</v>
      </c>
      <c r="T3" s="9">
        <f>492+2</f>
        <v>494</v>
      </c>
      <c r="U3" s="9">
        <f>370+3</f>
        <v>373</v>
      </c>
      <c r="V3" s="54">
        <f t="shared" si="5"/>
        <v>26</v>
      </c>
      <c r="W3" s="54">
        <f t="shared" si="6"/>
        <v>26.642857142857142</v>
      </c>
      <c r="X3" s="47">
        <v>35</v>
      </c>
      <c r="Y3" s="49">
        <v>2</v>
      </c>
      <c r="Z3" s="48">
        <f t="shared" si="7"/>
        <v>2</v>
      </c>
      <c r="AA3" s="36">
        <f t="shared" si="8"/>
        <v>0.84467311206713036</v>
      </c>
      <c r="AB3" s="34">
        <f t="shared" si="9"/>
        <v>0.73684210526315785</v>
      </c>
      <c r="AC3" s="34">
        <f t="shared" si="10"/>
        <v>0.88888888888888884</v>
      </c>
      <c r="AD3" s="34">
        <f t="shared" si="11"/>
        <v>0.79337231968810917</v>
      </c>
      <c r="AE3" s="34">
        <f t="shared" si="12"/>
        <v>0.67961649855188255</v>
      </c>
      <c r="AF3" s="34">
        <f t="shared" si="13"/>
        <v>0.76691729323308266</v>
      </c>
      <c r="AG3" s="34">
        <f t="shared" si="14"/>
        <v>0.76300995823964024</v>
      </c>
      <c r="AH3" s="34">
        <f t="shared" si="15"/>
        <v>1</v>
      </c>
      <c r="AI3" s="34">
        <f t="shared" si="16"/>
        <v>0.87771428571428567</v>
      </c>
      <c r="AK3" s="35">
        <v>0.84467311206713036</v>
      </c>
      <c r="AL3">
        <v>95</v>
      </c>
      <c r="AM3">
        <f t="shared" si="17"/>
        <v>130</v>
      </c>
    </row>
    <row r="4" spans="1:39" x14ac:dyDescent="0.35">
      <c r="A4" t="s">
        <v>246</v>
      </c>
      <c r="B4" s="17" t="s">
        <v>171</v>
      </c>
      <c r="C4" s="17" t="s">
        <v>162</v>
      </c>
      <c r="D4" s="17" t="s">
        <v>300</v>
      </c>
      <c r="E4" s="8">
        <v>4</v>
      </c>
      <c r="F4">
        <v>14</v>
      </c>
      <c r="G4">
        <v>3</v>
      </c>
      <c r="I4">
        <v>8</v>
      </c>
      <c r="J4">
        <v>1</v>
      </c>
      <c r="L4">
        <v>256</v>
      </c>
      <c r="M4">
        <v>203</v>
      </c>
      <c r="N4" s="73">
        <f t="shared" si="0"/>
        <v>15.058823529411764</v>
      </c>
      <c r="O4" s="73">
        <f t="shared" si="1"/>
        <v>11.941176470588236</v>
      </c>
      <c r="P4" s="54">
        <f t="shared" si="2"/>
        <v>53</v>
      </c>
      <c r="Q4" s="73">
        <f t="shared" si="3"/>
        <v>3.1176470588235294</v>
      </c>
      <c r="R4">
        <v>133</v>
      </c>
      <c r="S4" s="54">
        <f t="shared" si="4"/>
        <v>1.9248120300751879</v>
      </c>
      <c r="T4" s="9">
        <f>516+1</f>
        <v>517</v>
      </c>
      <c r="U4" s="9">
        <f>479+1</f>
        <v>480</v>
      </c>
      <c r="V4" s="54">
        <f t="shared" si="5"/>
        <v>30.411764705882351</v>
      </c>
      <c r="W4" s="54">
        <f t="shared" si="6"/>
        <v>34.285714285714285</v>
      </c>
      <c r="X4" s="47">
        <v>28</v>
      </c>
      <c r="Y4" s="49">
        <v>3</v>
      </c>
      <c r="Z4" s="48">
        <f t="shared" si="7"/>
        <v>3</v>
      </c>
      <c r="AA4" s="36">
        <f t="shared" si="8"/>
        <v>0.78844413145420633</v>
      </c>
      <c r="AB4" s="34">
        <f t="shared" si="9"/>
        <v>0.82352941176470584</v>
      </c>
      <c r="AC4" s="34">
        <f t="shared" si="10"/>
        <v>0.88888888888888884</v>
      </c>
      <c r="AD4" s="34">
        <f t="shared" si="11"/>
        <v>0.41394335511982572</v>
      </c>
      <c r="AE4" s="34">
        <f t="shared" si="12"/>
        <v>0.9080254492688915</v>
      </c>
      <c r="AF4" s="34">
        <f t="shared" si="13"/>
        <v>0.68067226890756294</v>
      </c>
      <c r="AG4" s="34">
        <f t="shared" si="14"/>
        <v>0.51887669704296047</v>
      </c>
      <c r="AH4" s="34">
        <f t="shared" si="15"/>
        <v>0.89039093898428945</v>
      </c>
      <c r="AI4" s="34">
        <f t="shared" si="16"/>
        <v>0.75542857142857145</v>
      </c>
      <c r="AK4" s="35">
        <v>0.78844413145420633</v>
      </c>
      <c r="AL4">
        <v>94</v>
      </c>
      <c r="AM4">
        <f t="shared" si="17"/>
        <v>122</v>
      </c>
    </row>
    <row r="5" spans="1:39" x14ac:dyDescent="0.35">
      <c r="A5" t="s">
        <v>237</v>
      </c>
      <c r="B5" s="17" t="s">
        <v>171</v>
      </c>
      <c r="C5" s="17" t="s">
        <v>163</v>
      </c>
      <c r="D5" s="17" t="s">
        <v>49</v>
      </c>
      <c r="E5" s="8">
        <v>6</v>
      </c>
      <c r="F5">
        <v>12</v>
      </c>
      <c r="G5">
        <v>3</v>
      </c>
      <c r="I5">
        <v>8</v>
      </c>
      <c r="J5">
        <v>1</v>
      </c>
      <c r="L5">
        <f>277+15</f>
        <v>292</v>
      </c>
      <c r="M5">
        <f>150+17</f>
        <v>167</v>
      </c>
      <c r="N5" s="73">
        <f t="shared" si="0"/>
        <v>19.466666666666665</v>
      </c>
      <c r="O5" s="73">
        <f t="shared" si="1"/>
        <v>11.133333333333333</v>
      </c>
      <c r="P5" s="54">
        <f t="shared" si="2"/>
        <v>125</v>
      </c>
      <c r="Q5" s="73">
        <f t="shared" si="3"/>
        <v>8.3333333333333339</v>
      </c>
      <c r="R5">
        <v>140</v>
      </c>
      <c r="S5" s="54">
        <f t="shared" si="4"/>
        <v>2.0857142857142859</v>
      </c>
      <c r="T5" s="9">
        <f>684+4</f>
        <v>688</v>
      </c>
      <c r="U5" s="9">
        <f>657+4</f>
        <v>661</v>
      </c>
      <c r="V5" s="54">
        <f t="shared" si="5"/>
        <v>45.866666666666667</v>
      </c>
      <c r="W5" s="54">
        <f t="shared" si="6"/>
        <v>55.083333333333336</v>
      </c>
      <c r="X5" s="47">
        <v>16</v>
      </c>
      <c r="Y5" s="49">
        <v>4</v>
      </c>
      <c r="Z5" s="48">
        <f t="shared" si="7"/>
        <v>4</v>
      </c>
      <c r="AA5" s="36">
        <f t="shared" si="8"/>
        <v>0.77796098546497683</v>
      </c>
      <c r="AB5" s="34">
        <f t="shared" si="9"/>
        <v>0.8</v>
      </c>
      <c r="AC5" s="34">
        <f t="shared" si="10"/>
        <v>0.88888888888888884</v>
      </c>
      <c r="AD5" s="34">
        <f t="shared" si="11"/>
        <v>0.90370370370370368</v>
      </c>
      <c r="AE5" s="34">
        <f t="shared" si="12"/>
        <v>1</v>
      </c>
      <c r="AF5" s="34">
        <f t="shared" si="13"/>
        <v>1</v>
      </c>
      <c r="AG5" s="34">
        <f t="shared" si="14"/>
        <v>0.71289752650176674</v>
      </c>
      <c r="AH5" s="34">
        <f t="shared" si="15"/>
        <v>0.50641821946169774</v>
      </c>
      <c r="AI5" s="34">
        <f t="shared" si="16"/>
        <v>0.42266666666666663</v>
      </c>
      <c r="AK5" s="35">
        <v>0.77796098546497683</v>
      </c>
      <c r="AL5">
        <v>93</v>
      </c>
      <c r="AM5">
        <f t="shared" si="17"/>
        <v>109</v>
      </c>
    </row>
    <row r="6" spans="1:39" x14ac:dyDescent="0.35">
      <c r="A6" t="s">
        <v>278</v>
      </c>
      <c r="B6" s="21" t="s">
        <v>173</v>
      </c>
      <c r="C6" s="21" t="s">
        <v>167</v>
      </c>
      <c r="D6" s="21" t="s">
        <v>31</v>
      </c>
      <c r="E6" s="8">
        <v>5</v>
      </c>
      <c r="F6">
        <v>10</v>
      </c>
      <c r="G6">
        <v>5</v>
      </c>
      <c r="I6">
        <v>8</v>
      </c>
      <c r="J6">
        <v>1</v>
      </c>
      <c r="L6">
        <v>228</v>
      </c>
      <c r="M6">
        <v>168</v>
      </c>
      <c r="N6" s="73">
        <f t="shared" si="0"/>
        <v>15.2</v>
      </c>
      <c r="O6" s="73">
        <f t="shared" si="1"/>
        <v>11.2</v>
      </c>
      <c r="P6" s="54">
        <f t="shared" si="2"/>
        <v>60</v>
      </c>
      <c r="Q6" s="73">
        <f t="shared" si="3"/>
        <v>4</v>
      </c>
      <c r="R6">
        <v>113</v>
      </c>
      <c r="S6" s="54">
        <f t="shared" si="4"/>
        <v>2.0176991150442478</v>
      </c>
      <c r="T6" s="9">
        <f>449+6</f>
        <v>455</v>
      </c>
      <c r="U6" s="9">
        <f>353+31</f>
        <v>384</v>
      </c>
      <c r="V6" s="54">
        <f t="shared" si="5"/>
        <v>30.333333333333332</v>
      </c>
      <c r="W6" s="54">
        <f t="shared" si="6"/>
        <v>38.4</v>
      </c>
      <c r="X6" s="47">
        <v>16</v>
      </c>
      <c r="Y6" s="49">
        <v>5</v>
      </c>
      <c r="Z6" s="48">
        <f t="shared" si="7"/>
        <v>5</v>
      </c>
      <c r="AA6" s="36">
        <f t="shared" si="8"/>
        <v>0.75354666646076385</v>
      </c>
      <c r="AB6" s="34">
        <f t="shared" si="9"/>
        <v>0.66666666666666663</v>
      </c>
      <c r="AC6" s="34">
        <f t="shared" si="10"/>
        <v>0.88888888888888884</v>
      </c>
      <c r="AD6" s="34">
        <f t="shared" si="11"/>
        <v>0.42962962962962958</v>
      </c>
      <c r="AE6" s="34">
        <f t="shared" si="12"/>
        <v>0.99240986717267554</v>
      </c>
      <c r="AF6" s="34">
        <f t="shared" si="13"/>
        <v>0.73469387755102034</v>
      </c>
      <c r="AG6" s="34">
        <f t="shared" si="14"/>
        <v>0.63088276681572275</v>
      </c>
      <c r="AH6" s="34">
        <f t="shared" si="15"/>
        <v>0.89233954451345754</v>
      </c>
      <c r="AI6" s="34">
        <f t="shared" si="16"/>
        <v>0.68959999999999999</v>
      </c>
      <c r="AK6" s="35">
        <v>0.75354666646076385</v>
      </c>
      <c r="AL6">
        <v>92</v>
      </c>
      <c r="AM6">
        <f t="shared" si="17"/>
        <v>108</v>
      </c>
    </row>
    <row r="7" spans="1:39" x14ac:dyDescent="0.35">
      <c r="A7" t="s">
        <v>223</v>
      </c>
      <c r="B7" s="16" t="s">
        <v>144</v>
      </c>
      <c r="C7" s="16" t="s">
        <v>160</v>
      </c>
      <c r="D7" s="16" t="s">
        <v>69</v>
      </c>
      <c r="E7" s="8">
        <v>3</v>
      </c>
      <c r="F7">
        <v>11</v>
      </c>
      <c r="G7">
        <v>6</v>
      </c>
      <c r="I7">
        <v>7</v>
      </c>
      <c r="J7">
        <v>2</v>
      </c>
      <c r="L7">
        <f>282+11</f>
        <v>293</v>
      </c>
      <c r="M7">
        <f>225+16</f>
        <v>241</v>
      </c>
      <c r="N7" s="73">
        <f t="shared" si="0"/>
        <v>17.235294117647058</v>
      </c>
      <c r="O7" s="73">
        <f t="shared" si="1"/>
        <v>14.176470588235293</v>
      </c>
      <c r="P7" s="54">
        <f t="shared" si="2"/>
        <v>52</v>
      </c>
      <c r="Q7" s="73">
        <f t="shared" si="3"/>
        <v>3.0588235294117645</v>
      </c>
      <c r="R7">
        <f>138+6</f>
        <v>144</v>
      </c>
      <c r="S7" s="54">
        <f t="shared" si="4"/>
        <v>2.0347222222222223</v>
      </c>
      <c r="T7" s="9">
        <f>536+2</f>
        <v>538</v>
      </c>
      <c r="U7" s="9">
        <f>298+5</f>
        <v>303</v>
      </c>
      <c r="V7" s="54">
        <f t="shared" si="5"/>
        <v>31.647058823529413</v>
      </c>
      <c r="W7" s="54">
        <f t="shared" si="6"/>
        <v>27.545454545454547</v>
      </c>
      <c r="X7" s="47">
        <v>28</v>
      </c>
      <c r="Y7" s="49">
        <v>6</v>
      </c>
      <c r="Z7" s="48">
        <f t="shared" si="7"/>
        <v>6</v>
      </c>
      <c r="AA7" s="36">
        <f t="shared" si="8"/>
        <v>0.74896027676537347</v>
      </c>
      <c r="AB7" s="34">
        <f t="shared" si="9"/>
        <v>0.6470588235294118</v>
      </c>
      <c r="AC7" s="34">
        <f t="shared" si="10"/>
        <v>0.77777777777777779</v>
      </c>
      <c r="AD7" s="34">
        <f t="shared" si="11"/>
        <v>0.65577342047930276</v>
      </c>
      <c r="AE7" s="34">
        <f t="shared" si="12"/>
        <v>0.65353276035271801</v>
      </c>
      <c r="AF7" s="34">
        <f t="shared" si="13"/>
        <v>0.67707082833133247</v>
      </c>
      <c r="AG7" s="34">
        <f t="shared" si="14"/>
        <v>0.65140974676089514</v>
      </c>
      <c r="AH7" s="34">
        <f t="shared" si="15"/>
        <v>0.85970040189989039</v>
      </c>
      <c r="AI7" s="34">
        <f t="shared" si="16"/>
        <v>0.86327272727272719</v>
      </c>
      <c r="AK7" s="35">
        <v>0.74896027676537347</v>
      </c>
      <c r="AL7">
        <v>91</v>
      </c>
      <c r="AM7">
        <f t="shared" si="17"/>
        <v>119</v>
      </c>
    </row>
    <row r="8" spans="1:39" x14ac:dyDescent="0.35">
      <c r="A8" t="s">
        <v>270</v>
      </c>
      <c r="B8" s="21" t="s">
        <v>173</v>
      </c>
      <c r="C8" s="21" t="s">
        <v>166</v>
      </c>
      <c r="D8" s="21" t="s">
        <v>26</v>
      </c>
      <c r="E8" s="8">
        <v>9</v>
      </c>
      <c r="F8">
        <v>11</v>
      </c>
      <c r="G8">
        <v>3</v>
      </c>
      <c r="I8">
        <v>7</v>
      </c>
      <c r="J8">
        <v>2</v>
      </c>
      <c r="L8">
        <f>260+21</f>
        <v>281</v>
      </c>
      <c r="M8">
        <f>169+17</f>
        <v>186</v>
      </c>
      <c r="N8" s="73">
        <f t="shared" si="0"/>
        <v>20.071428571428573</v>
      </c>
      <c r="O8" s="73">
        <f t="shared" si="1"/>
        <v>13.285714285714286</v>
      </c>
      <c r="P8" s="54">
        <f t="shared" si="2"/>
        <v>95</v>
      </c>
      <c r="Q8" s="73">
        <f t="shared" si="3"/>
        <v>6.7857142857142856</v>
      </c>
      <c r="R8">
        <v>141</v>
      </c>
      <c r="S8" s="54">
        <f t="shared" si="4"/>
        <v>1.9929078014184398</v>
      </c>
      <c r="T8" s="9">
        <f>566+15</f>
        <v>581</v>
      </c>
      <c r="U8" s="9">
        <f>512+15</f>
        <v>527</v>
      </c>
      <c r="V8" s="54">
        <f t="shared" si="5"/>
        <v>41.5</v>
      </c>
      <c r="W8" s="54">
        <f t="shared" si="6"/>
        <v>47.909090909090907</v>
      </c>
      <c r="Y8" s="49">
        <v>7</v>
      </c>
      <c r="Z8" s="48">
        <f t="shared" si="7"/>
        <v>7</v>
      </c>
      <c r="AA8" s="36">
        <f t="shared" si="8"/>
        <v>0.7404302396226119</v>
      </c>
      <c r="AB8" s="34">
        <f t="shared" si="9"/>
        <v>0.7857142857142857</v>
      </c>
      <c r="AC8" s="34">
        <f t="shared" si="10"/>
        <v>0.77777777777777779</v>
      </c>
      <c r="AD8" s="34">
        <f t="shared" si="11"/>
        <v>0.97089947089947115</v>
      </c>
      <c r="AE8" s="34">
        <f t="shared" si="12"/>
        <v>0.75494714014638098</v>
      </c>
      <c r="AF8" s="34">
        <f t="shared" si="13"/>
        <v>0.90524781341107852</v>
      </c>
      <c r="AG8" s="34">
        <f t="shared" si="14"/>
        <v>0.60098864747011504</v>
      </c>
      <c r="AH8" s="34">
        <f t="shared" si="15"/>
        <v>0.61490683229813659</v>
      </c>
      <c r="AI8" s="34">
        <f t="shared" si="16"/>
        <v>0.53745454545454552</v>
      </c>
      <c r="AK8" s="35">
        <v>0.7404302396226119</v>
      </c>
      <c r="AL8">
        <v>90</v>
      </c>
      <c r="AM8">
        <f t="shared" si="17"/>
        <v>90</v>
      </c>
    </row>
    <row r="9" spans="1:39" x14ac:dyDescent="0.35">
      <c r="A9" t="s">
        <v>212</v>
      </c>
      <c r="B9" s="15" t="s">
        <v>143</v>
      </c>
      <c r="C9" s="15" t="s">
        <v>159</v>
      </c>
      <c r="D9" s="15" t="s">
        <v>87</v>
      </c>
      <c r="F9">
        <v>10</v>
      </c>
      <c r="G9">
        <v>2</v>
      </c>
      <c r="I9">
        <v>7</v>
      </c>
      <c r="J9">
        <v>2</v>
      </c>
      <c r="L9">
        <v>231</v>
      </c>
      <c r="M9">
        <v>139</v>
      </c>
      <c r="N9" s="73">
        <f t="shared" si="0"/>
        <v>19.25</v>
      </c>
      <c r="O9" s="73">
        <f t="shared" si="1"/>
        <v>11.583333333333334</v>
      </c>
      <c r="P9" s="54">
        <f t="shared" si="2"/>
        <v>92</v>
      </c>
      <c r="Q9" s="73">
        <f t="shared" si="3"/>
        <v>7.666666666666667</v>
      </c>
      <c r="R9">
        <v>127</v>
      </c>
      <c r="S9" s="54">
        <f t="shared" si="4"/>
        <v>1.8188976377952757</v>
      </c>
      <c r="T9" s="9">
        <f>533+39</f>
        <v>572</v>
      </c>
      <c r="U9" s="9">
        <f>455+39</f>
        <v>494</v>
      </c>
      <c r="V9" s="54">
        <f t="shared" si="5"/>
        <v>47.666666666666664</v>
      </c>
      <c r="W9" s="54">
        <f t="shared" si="6"/>
        <v>49.4</v>
      </c>
      <c r="Y9" s="49">
        <v>8</v>
      </c>
      <c r="Z9" s="48">
        <f t="shared" si="7"/>
        <v>8</v>
      </c>
      <c r="AA9" s="36">
        <f t="shared" si="8"/>
        <v>0.72710041789881674</v>
      </c>
      <c r="AB9" s="34">
        <f t="shared" si="9"/>
        <v>0.83333333333333337</v>
      </c>
      <c r="AC9" s="34">
        <f t="shared" si="10"/>
        <v>0.77777777777777779</v>
      </c>
      <c r="AD9" s="34">
        <f t="shared" si="11"/>
        <v>0.87962962962962976</v>
      </c>
      <c r="AE9" s="34">
        <f t="shared" si="12"/>
        <v>0.94876660341555963</v>
      </c>
      <c r="AF9" s="34">
        <f t="shared" si="13"/>
        <v>0.95918367346938771</v>
      </c>
      <c r="AG9" s="34">
        <f t="shared" si="14"/>
        <v>0.3911619042319357</v>
      </c>
      <c r="AH9" s="34">
        <f t="shared" si="15"/>
        <v>0.4616977225672878</v>
      </c>
      <c r="AI9" s="34">
        <f t="shared" si="16"/>
        <v>0.51360000000000006</v>
      </c>
      <c r="AK9" s="35">
        <v>0.72710041789881674</v>
      </c>
      <c r="AL9">
        <v>89</v>
      </c>
      <c r="AM9">
        <f t="shared" si="17"/>
        <v>89</v>
      </c>
    </row>
    <row r="10" spans="1:39" x14ac:dyDescent="0.35">
      <c r="A10" t="s">
        <v>264</v>
      </c>
      <c r="B10" s="19" t="s">
        <v>172</v>
      </c>
      <c r="C10" s="19" t="s">
        <v>164</v>
      </c>
      <c r="D10" s="19" t="s">
        <v>42</v>
      </c>
      <c r="F10">
        <v>9</v>
      </c>
      <c r="G10">
        <v>3</v>
      </c>
      <c r="I10">
        <v>6</v>
      </c>
      <c r="J10">
        <v>3</v>
      </c>
      <c r="L10">
        <f>232+9</f>
        <v>241</v>
      </c>
      <c r="M10">
        <f>149+17</f>
        <v>166</v>
      </c>
      <c r="N10" s="73">
        <f t="shared" si="0"/>
        <v>20.083333333333332</v>
      </c>
      <c r="O10" s="73">
        <f t="shared" si="1"/>
        <v>13.833333333333334</v>
      </c>
      <c r="P10" s="54">
        <f t="shared" si="2"/>
        <v>75</v>
      </c>
      <c r="Q10" s="73">
        <f t="shared" si="3"/>
        <v>6.25</v>
      </c>
      <c r="R10">
        <v>127</v>
      </c>
      <c r="S10" s="54">
        <f t="shared" si="4"/>
        <v>1.8976377952755905</v>
      </c>
      <c r="T10" s="9">
        <f>435+33</f>
        <v>468</v>
      </c>
      <c r="U10" s="9">
        <f>326+36</f>
        <v>362</v>
      </c>
      <c r="V10" s="54">
        <f t="shared" si="5"/>
        <v>39</v>
      </c>
      <c r="W10" s="54">
        <f t="shared" si="6"/>
        <v>40.222222222222221</v>
      </c>
      <c r="Y10" s="49">
        <v>9</v>
      </c>
      <c r="Z10" s="48">
        <f t="shared" si="7"/>
        <v>9</v>
      </c>
      <c r="AA10" s="36">
        <f t="shared" si="8"/>
        <v>0.723203703758169</v>
      </c>
      <c r="AB10" s="34">
        <f t="shared" si="9"/>
        <v>0.75</v>
      </c>
      <c r="AC10" s="34">
        <f t="shared" si="10"/>
        <v>0.66666666666666663</v>
      </c>
      <c r="AD10" s="34">
        <f t="shared" si="11"/>
        <v>0.97222222222222221</v>
      </c>
      <c r="AE10" s="34">
        <f t="shared" si="12"/>
        <v>0.69259962049335855</v>
      </c>
      <c r="AF10" s="34">
        <f t="shared" si="13"/>
        <v>0.87244897959183665</v>
      </c>
      <c r="AG10" s="34">
        <f t="shared" si="14"/>
        <v>0.48610917893213862</v>
      </c>
      <c r="AH10" s="34">
        <f t="shared" si="15"/>
        <v>0.67701863354037273</v>
      </c>
      <c r="AI10" s="34">
        <f t="shared" si="16"/>
        <v>0.66044444444444439</v>
      </c>
      <c r="AK10" s="35">
        <v>0.723203703758169</v>
      </c>
      <c r="AL10">
        <v>88</v>
      </c>
      <c r="AM10">
        <f t="shared" si="17"/>
        <v>88</v>
      </c>
    </row>
    <row r="11" spans="1:39" x14ac:dyDescent="0.35">
      <c r="A11" t="s">
        <v>217</v>
      </c>
      <c r="B11" s="15" t="s">
        <v>143</v>
      </c>
      <c r="C11" s="15" t="s">
        <v>159</v>
      </c>
      <c r="D11" s="15" t="s">
        <v>88</v>
      </c>
      <c r="E11" s="8">
        <v>7</v>
      </c>
      <c r="F11">
        <v>12</v>
      </c>
      <c r="G11">
        <v>5</v>
      </c>
      <c r="I11">
        <v>7</v>
      </c>
      <c r="J11">
        <v>2</v>
      </c>
      <c r="L11">
        <v>250</v>
      </c>
      <c r="M11">
        <v>219</v>
      </c>
      <c r="N11" s="73">
        <f t="shared" si="0"/>
        <v>14.705882352941176</v>
      </c>
      <c r="O11" s="73">
        <f t="shared" si="1"/>
        <v>12.882352941176471</v>
      </c>
      <c r="P11" s="54">
        <f t="shared" si="2"/>
        <v>31</v>
      </c>
      <c r="Q11" s="73">
        <f t="shared" si="3"/>
        <v>1.8235294117647058</v>
      </c>
      <c r="R11">
        <v>141</v>
      </c>
      <c r="S11" s="54">
        <f t="shared" si="4"/>
        <v>1.7730496453900708</v>
      </c>
      <c r="T11" s="9">
        <f>511+2</f>
        <v>513</v>
      </c>
      <c r="U11" s="9">
        <f>313+2</f>
        <v>315</v>
      </c>
      <c r="V11" s="54">
        <f t="shared" si="5"/>
        <v>30.176470588235293</v>
      </c>
      <c r="W11" s="54">
        <f t="shared" si="6"/>
        <v>26.25</v>
      </c>
      <c r="X11" s="47">
        <v>22</v>
      </c>
      <c r="Y11" s="49">
        <v>10</v>
      </c>
      <c r="Z11" s="48">
        <f t="shared" si="7"/>
        <v>10</v>
      </c>
      <c r="AA11" s="36">
        <f t="shared" si="8"/>
        <v>0.72111326953591381</v>
      </c>
      <c r="AB11" s="34">
        <f t="shared" si="9"/>
        <v>0.70588235294117652</v>
      </c>
      <c r="AC11" s="34">
        <f t="shared" si="10"/>
        <v>0.77777777777777779</v>
      </c>
      <c r="AD11" s="34">
        <f t="shared" si="11"/>
        <v>0.37472766884531583</v>
      </c>
      <c r="AE11" s="34">
        <f t="shared" si="12"/>
        <v>0.8008706328831342</v>
      </c>
      <c r="AF11" s="34">
        <f t="shared" si="13"/>
        <v>0.60144057623049219</v>
      </c>
      <c r="AG11" s="34">
        <f t="shared" si="14"/>
        <v>0.3358770017291931</v>
      </c>
      <c r="AH11" s="34">
        <f t="shared" si="15"/>
        <v>0.89623675557179394</v>
      </c>
      <c r="AI11" s="34">
        <f t="shared" si="16"/>
        <v>0.88400000000000001</v>
      </c>
      <c r="AK11" s="35">
        <v>0.72111326953591381</v>
      </c>
      <c r="AL11">
        <v>87</v>
      </c>
      <c r="AM11">
        <f t="shared" si="17"/>
        <v>109</v>
      </c>
    </row>
    <row r="12" spans="1:39" x14ac:dyDescent="0.35">
      <c r="A12" t="s">
        <v>280</v>
      </c>
      <c r="B12" s="21" t="s">
        <v>173</v>
      </c>
      <c r="C12" s="21" t="s">
        <v>167</v>
      </c>
      <c r="D12" s="21" t="s">
        <v>119</v>
      </c>
      <c r="F12">
        <v>10</v>
      </c>
      <c r="G12">
        <v>2</v>
      </c>
      <c r="I12">
        <v>7</v>
      </c>
      <c r="J12">
        <v>2</v>
      </c>
      <c r="L12">
        <f>220+24</f>
        <v>244</v>
      </c>
      <c r="M12">
        <f>151+6</f>
        <v>157</v>
      </c>
      <c r="N12" s="73">
        <f t="shared" si="0"/>
        <v>20.333333333333332</v>
      </c>
      <c r="O12" s="73">
        <f t="shared" si="1"/>
        <v>13.083333333333334</v>
      </c>
      <c r="P12" s="54">
        <f t="shared" si="2"/>
        <v>87</v>
      </c>
      <c r="Q12" s="73">
        <f t="shared" si="3"/>
        <v>7.25</v>
      </c>
      <c r="R12">
        <f>93+12</f>
        <v>105</v>
      </c>
      <c r="S12" s="54">
        <f t="shared" si="4"/>
        <v>2.323809523809524</v>
      </c>
      <c r="T12" s="9">
        <f>632+60</f>
        <v>692</v>
      </c>
      <c r="U12" s="9">
        <f>586+60</f>
        <v>646</v>
      </c>
      <c r="V12" s="54">
        <f t="shared" si="5"/>
        <v>57.666666666666664</v>
      </c>
      <c r="W12" s="54">
        <f t="shared" si="6"/>
        <v>64.599999999999994</v>
      </c>
      <c r="Y12" s="49">
        <v>11</v>
      </c>
      <c r="Z12" s="48">
        <f t="shared" si="7"/>
        <v>11</v>
      </c>
      <c r="AA12" s="36">
        <f t="shared" si="8"/>
        <v>0.70481175076332536</v>
      </c>
      <c r="AB12" s="34">
        <f t="shared" si="9"/>
        <v>0.83333333333333337</v>
      </c>
      <c r="AC12" s="34">
        <f t="shared" si="10"/>
        <v>0.77777777777777779</v>
      </c>
      <c r="AD12" s="34">
        <f t="shared" si="11"/>
        <v>1</v>
      </c>
      <c r="AE12" s="34">
        <f t="shared" si="12"/>
        <v>0.77798861480075887</v>
      </c>
      <c r="AF12" s="34">
        <f t="shared" si="13"/>
        <v>0.93367346938775497</v>
      </c>
      <c r="AG12" s="34">
        <f t="shared" si="14"/>
        <v>1</v>
      </c>
      <c r="AH12" s="34">
        <f t="shared" si="15"/>
        <v>0.21325051759834379</v>
      </c>
      <c r="AI12" s="34">
        <f t="shared" si="16"/>
        <v>0.27040000000000008</v>
      </c>
      <c r="AK12" s="35">
        <v>0.70481175076332536</v>
      </c>
      <c r="AL12">
        <v>86</v>
      </c>
      <c r="AM12">
        <f t="shared" si="17"/>
        <v>86</v>
      </c>
    </row>
    <row r="13" spans="1:39" x14ac:dyDescent="0.35">
      <c r="A13" t="s">
        <v>806</v>
      </c>
      <c r="B13" s="58" t="s">
        <v>799</v>
      </c>
      <c r="C13" s="58" t="s">
        <v>816</v>
      </c>
      <c r="D13" s="58" t="s">
        <v>783</v>
      </c>
      <c r="F13" s="46">
        <v>10</v>
      </c>
      <c r="G13" s="46">
        <v>3</v>
      </c>
      <c r="H13" s="46"/>
      <c r="I13" s="46">
        <v>7</v>
      </c>
      <c r="J13" s="46">
        <v>2</v>
      </c>
      <c r="K13" s="46"/>
      <c r="L13" s="46">
        <f>218+9</f>
        <v>227</v>
      </c>
      <c r="M13" s="46">
        <f>154+12</f>
        <v>166</v>
      </c>
      <c r="N13" s="73">
        <f t="shared" si="0"/>
        <v>17.46153846153846</v>
      </c>
      <c r="O13" s="73">
        <f t="shared" si="1"/>
        <v>12.76923076923077</v>
      </c>
      <c r="P13" s="54">
        <f t="shared" si="2"/>
        <v>61</v>
      </c>
      <c r="Q13" s="73">
        <f t="shared" si="3"/>
        <v>4.6923076923076925</v>
      </c>
      <c r="R13">
        <f>112+6</f>
        <v>118</v>
      </c>
      <c r="S13" s="54">
        <f t="shared" si="4"/>
        <v>1.923728813559322</v>
      </c>
      <c r="T13" s="9">
        <f>578+21</f>
        <v>599</v>
      </c>
      <c r="U13">
        <f>406+86</f>
        <v>492</v>
      </c>
      <c r="V13" s="54">
        <f t="shared" si="5"/>
        <v>46.07692307692308</v>
      </c>
      <c r="W13" s="54">
        <f t="shared" si="6"/>
        <v>49.2</v>
      </c>
      <c r="X13" s="47">
        <v>4</v>
      </c>
      <c r="Y13" s="49">
        <v>12</v>
      </c>
      <c r="Z13" s="48">
        <f t="shared" si="7"/>
        <v>12</v>
      </c>
      <c r="AA13" s="36">
        <f t="shared" si="8"/>
        <v>0.68235183507871655</v>
      </c>
      <c r="AB13" s="34">
        <f t="shared" si="9"/>
        <v>0.76923076923076927</v>
      </c>
      <c r="AC13" s="34">
        <f t="shared" si="10"/>
        <v>0.77777777777777779</v>
      </c>
      <c r="AD13" s="34">
        <f t="shared" si="11"/>
        <v>0.68091168091168075</v>
      </c>
      <c r="AE13" s="34">
        <f t="shared" si="12"/>
        <v>0.81374981754488385</v>
      </c>
      <c r="AF13" s="34">
        <f t="shared" si="13"/>
        <v>0.77708006279434849</v>
      </c>
      <c r="AG13" s="34">
        <f t="shared" si="14"/>
        <v>0.51757052165059581</v>
      </c>
      <c r="AH13" s="34">
        <f t="shared" si="15"/>
        <v>0.50119445771619675</v>
      </c>
      <c r="AI13" s="34">
        <f t="shared" si="16"/>
        <v>0.51679999999999993</v>
      </c>
      <c r="AK13" s="35">
        <v>0.68235183507871655</v>
      </c>
      <c r="AL13">
        <v>85</v>
      </c>
      <c r="AM13">
        <f t="shared" si="17"/>
        <v>89</v>
      </c>
    </row>
    <row r="14" spans="1:39" x14ac:dyDescent="0.35">
      <c r="A14" t="s">
        <v>256</v>
      </c>
      <c r="B14" s="19" t="s">
        <v>172</v>
      </c>
      <c r="C14" s="19" t="s">
        <v>165</v>
      </c>
      <c r="D14" s="19" t="s">
        <v>36</v>
      </c>
      <c r="E14" s="8">
        <v>10</v>
      </c>
      <c r="F14">
        <v>9</v>
      </c>
      <c r="G14">
        <v>6</v>
      </c>
      <c r="H14" s="9"/>
      <c r="I14">
        <v>7</v>
      </c>
      <c r="J14">
        <v>2</v>
      </c>
      <c r="K14" s="9"/>
      <c r="L14">
        <f>249+6</f>
        <v>255</v>
      </c>
      <c r="M14">
        <f>229+17</f>
        <v>246</v>
      </c>
      <c r="N14" s="73">
        <f t="shared" si="0"/>
        <v>17</v>
      </c>
      <c r="O14" s="73">
        <f t="shared" si="1"/>
        <v>16.399999999999999</v>
      </c>
      <c r="P14" s="54">
        <f t="shared" si="2"/>
        <v>9</v>
      </c>
      <c r="Q14" s="73">
        <f t="shared" si="3"/>
        <v>0.6</v>
      </c>
      <c r="R14">
        <v>131</v>
      </c>
      <c r="S14" s="54">
        <f t="shared" si="4"/>
        <v>1.9465648854961832</v>
      </c>
      <c r="T14" s="9">
        <f>448+12</f>
        <v>460</v>
      </c>
      <c r="U14" s="9">
        <f>269+21</f>
        <v>290</v>
      </c>
      <c r="V14" s="54">
        <f t="shared" si="5"/>
        <v>30.666666666666668</v>
      </c>
      <c r="W14" s="54">
        <f t="shared" si="6"/>
        <v>32.222222222222221</v>
      </c>
      <c r="X14" s="47">
        <v>4</v>
      </c>
      <c r="Y14" s="49">
        <v>13</v>
      </c>
      <c r="Z14" s="48">
        <f t="shared" si="7"/>
        <v>13</v>
      </c>
      <c r="AA14" s="36">
        <f t="shared" si="8"/>
        <v>0.66082389937505448</v>
      </c>
      <c r="AB14" s="34">
        <f t="shared" si="9"/>
        <v>0.6</v>
      </c>
      <c r="AC14" s="34">
        <f t="shared" si="10"/>
        <v>0.77777777777777779</v>
      </c>
      <c r="AD14" s="34">
        <f t="shared" si="11"/>
        <v>0.62962962962962965</v>
      </c>
      <c r="AE14" s="34">
        <f t="shared" si="12"/>
        <v>0.40037950664136646</v>
      </c>
      <c r="AF14" s="34">
        <f t="shared" si="13"/>
        <v>0.52653061224489783</v>
      </c>
      <c r="AG14" s="34">
        <f t="shared" si="14"/>
        <v>0.54510695115043284</v>
      </c>
      <c r="AH14" s="34">
        <f t="shared" si="15"/>
        <v>0.88405797101449268</v>
      </c>
      <c r="AI14" s="34">
        <f t="shared" si="16"/>
        <v>0.7884444444444445</v>
      </c>
      <c r="AK14" s="35">
        <v>0.66082389937505448</v>
      </c>
      <c r="AL14">
        <v>84</v>
      </c>
      <c r="AM14">
        <f t="shared" si="17"/>
        <v>88</v>
      </c>
    </row>
    <row r="15" spans="1:39" x14ac:dyDescent="0.35">
      <c r="A15" t="s">
        <v>224</v>
      </c>
      <c r="B15" s="16" t="s">
        <v>144</v>
      </c>
      <c r="C15" s="16" t="s">
        <v>160</v>
      </c>
      <c r="D15" s="16" t="s">
        <v>70</v>
      </c>
      <c r="F15">
        <v>8</v>
      </c>
      <c r="G15">
        <v>4</v>
      </c>
      <c r="I15">
        <v>7</v>
      </c>
      <c r="J15">
        <v>2</v>
      </c>
      <c r="L15">
        <f>222+17</f>
        <v>239</v>
      </c>
      <c r="M15">
        <f>167+9</f>
        <v>176</v>
      </c>
      <c r="N15" s="73">
        <f t="shared" si="0"/>
        <v>19.916666666666668</v>
      </c>
      <c r="O15" s="73">
        <f t="shared" si="1"/>
        <v>14.666666666666666</v>
      </c>
      <c r="P15" s="54">
        <f t="shared" si="2"/>
        <v>63</v>
      </c>
      <c r="Q15" s="73">
        <f t="shared" si="3"/>
        <v>5.25</v>
      </c>
      <c r="R15">
        <v>118</v>
      </c>
      <c r="S15" s="54">
        <f t="shared" si="4"/>
        <v>2.0254237288135593</v>
      </c>
      <c r="T15" s="9">
        <f>473+82</f>
        <v>555</v>
      </c>
      <c r="U15" s="9">
        <f>374+82</f>
        <v>456</v>
      </c>
      <c r="V15" s="54">
        <f t="shared" si="5"/>
        <v>46.25</v>
      </c>
      <c r="W15" s="54">
        <f t="shared" si="6"/>
        <v>57</v>
      </c>
      <c r="Y15" s="49">
        <v>14</v>
      </c>
      <c r="Z15" s="48">
        <f t="shared" si="7"/>
        <v>14</v>
      </c>
      <c r="AA15" s="36">
        <f t="shared" si="8"/>
        <v>0.65459046390610109</v>
      </c>
      <c r="AB15" s="34">
        <f t="shared" si="9"/>
        <v>0.66666666666666663</v>
      </c>
      <c r="AC15" s="34">
        <f t="shared" si="10"/>
        <v>0.77777777777777779</v>
      </c>
      <c r="AD15" s="34">
        <f t="shared" si="11"/>
        <v>0.95370370370370394</v>
      </c>
      <c r="AE15" s="34">
        <f t="shared" si="12"/>
        <v>0.59772296015180282</v>
      </c>
      <c r="AF15" s="34">
        <f t="shared" si="13"/>
        <v>0.81122448979591821</v>
      </c>
      <c r="AG15" s="34">
        <f t="shared" si="14"/>
        <v>0.64019734083967161</v>
      </c>
      <c r="AH15" s="34">
        <f t="shared" si="15"/>
        <v>0.49689440993788825</v>
      </c>
      <c r="AI15" s="34">
        <f t="shared" si="16"/>
        <v>0.39200000000000002</v>
      </c>
      <c r="AK15" s="35">
        <v>0.65459046390610109</v>
      </c>
      <c r="AL15">
        <v>83</v>
      </c>
      <c r="AM15">
        <f t="shared" si="17"/>
        <v>83</v>
      </c>
    </row>
    <row r="16" spans="1:39" x14ac:dyDescent="0.35">
      <c r="A16" t="s">
        <v>240</v>
      </c>
      <c r="B16" s="17" t="s">
        <v>171</v>
      </c>
      <c r="C16" s="17" t="s">
        <v>163</v>
      </c>
      <c r="D16" s="17" t="s">
        <v>58</v>
      </c>
      <c r="F16">
        <v>8</v>
      </c>
      <c r="G16">
        <v>4</v>
      </c>
      <c r="I16">
        <v>6</v>
      </c>
      <c r="J16">
        <v>3</v>
      </c>
      <c r="L16">
        <f>187+18</f>
        <v>205</v>
      </c>
      <c r="M16">
        <f>135+21</f>
        <v>156</v>
      </c>
      <c r="N16" s="73">
        <f t="shared" si="0"/>
        <v>17.083333333333332</v>
      </c>
      <c r="O16" s="73">
        <f t="shared" si="1"/>
        <v>13</v>
      </c>
      <c r="P16" s="54">
        <f t="shared" si="2"/>
        <v>49</v>
      </c>
      <c r="Q16" s="73">
        <f t="shared" si="3"/>
        <v>4.083333333333333</v>
      </c>
      <c r="R16">
        <v>108</v>
      </c>
      <c r="S16" s="54">
        <f t="shared" si="4"/>
        <v>1.8981481481481481</v>
      </c>
      <c r="T16" s="9">
        <f>427+91</f>
        <v>518</v>
      </c>
      <c r="U16" s="9">
        <f>341+38</f>
        <v>379</v>
      </c>
      <c r="V16" s="54">
        <f t="shared" si="5"/>
        <v>43.166666666666664</v>
      </c>
      <c r="W16" s="54">
        <f t="shared" si="6"/>
        <v>47.375</v>
      </c>
      <c r="Y16" s="49">
        <v>15</v>
      </c>
      <c r="Z16" s="48">
        <f t="shared" si="7"/>
        <v>15</v>
      </c>
      <c r="AA16" s="36">
        <f t="shared" si="8"/>
        <v>0.63962635543431801</v>
      </c>
      <c r="AB16" s="34">
        <f t="shared" si="9"/>
        <v>0.66666666666666663</v>
      </c>
      <c r="AC16" s="34">
        <f t="shared" si="10"/>
        <v>0.66666666666666663</v>
      </c>
      <c r="AD16" s="34">
        <f t="shared" si="11"/>
        <v>0.63888888888888884</v>
      </c>
      <c r="AE16" s="34">
        <f t="shared" si="12"/>
        <v>0.78747628083491461</v>
      </c>
      <c r="AF16" s="34">
        <f t="shared" si="13"/>
        <v>0.73979591836734671</v>
      </c>
      <c r="AG16" s="34">
        <f t="shared" si="14"/>
        <v>0.48672457793482515</v>
      </c>
      <c r="AH16" s="34">
        <f t="shared" si="15"/>
        <v>0.57349896480331264</v>
      </c>
      <c r="AI16" s="34">
        <f t="shared" si="16"/>
        <v>0.54600000000000004</v>
      </c>
      <c r="AK16" s="35">
        <v>0.63962635543431801</v>
      </c>
      <c r="AL16">
        <v>82</v>
      </c>
      <c r="AM16">
        <f t="shared" si="17"/>
        <v>82</v>
      </c>
    </row>
    <row r="17" spans="1:39" x14ac:dyDescent="0.35">
      <c r="A17" t="s">
        <v>238</v>
      </c>
      <c r="B17" s="17" t="s">
        <v>171</v>
      </c>
      <c r="C17" s="17" t="s">
        <v>163</v>
      </c>
      <c r="D17" s="17" t="s">
        <v>57</v>
      </c>
      <c r="F17">
        <v>8</v>
      </c>
      <c r="G17">
        <v>4</v>
      </c>
      <c r="I17">
        <v>7</v>
      </c>
      <c r="J17">
        <v>2</v>
      </c>
      <c r="L17">
        <f>207+16</f>
        <v>223</v>
      </c>
      <c r="M17">
        <f>144+22</f>
        <v>166</v>
      </c>
      <c r="N17" s="73">
        <f t="shared" si="0"/>
        <v>18.583333333333332</v>
      </c>
      <c r="O17" s="73">
        <f t="shared" si="1"/>
        <v>13.833333333333334</v>
      </c>
      <c r="P17" s="54">
        <f t="shared" si="2"/>
        <v>57</v>
      </c>
      <c r="Q17" s="73">
        <f t="shared" si="3"/>
        <v>4.75</v>
      </c>
      <c r="R17">
        <v>104</v>
      </c>
      <c r="S17" s="54">
        <f t="shared" si="4"/>
        <v>2.1442307692307692</v>
      </c>
      <c r="T17" s="9">
        <f>565+79</f>
        <v>644</v>
      </c>
      <c r="U17" s="9">
        <f>437+16</f>
        <v>453</v>
      </c>
      <c r="V17" s="54">
        <f t="shared" si="5"/>
        <v>53.666666666666664</v>
      </c>
      <c r="W17" s="54">
        <f t="shared" si="6"/>
        <v>56.625</v>
      </c>
      <c r="Y17" s="49">
        <v>16</v>
      </c>
      <c r="Z17" s="48">
        <f t="shared" si="7"/>
        <v>16</v>
      </c>
      <c r="AA17" s="36">
        <f t="shared" si="8"/>
        <v>0.63510077536590548</v>
      </c>
      <c r="AB17" s="34">
        <f t="shared" si="9"/>
        <v>0.66666666666666663</v>
      </c>
      <c r="AC17" s="34">
        <f t="shared" si="10"/>
        <v>0.77777777777777779</v>
      </c>
      <c r="AD17" s="34">
        <f t="shared" si="11"/>
        <v>0.80555555555555547</v>
      </c>
      <c r="AE17" s="34">
        <f t="shared" si="12"/>
        <v>0.69259962049335855</v>
      </c>
      <c r="AF17" s="34">
        <f t="shared" si="13"/>
        <v>0.78061224489795911</v>
      </c>
      <c r="AG17" s="34">
        <f t="shared" si="14"/>
        <v>0.78345848056537082</v>
      </c>
      <c r="AH17" s="34">
        <f t="shared" si="15"/>
        <v>0.3126293995859214</v>
      </c>
      <c r="AI17" s="34">
        <f t="shared" si="16"/>
        <v>0.39800000000000002</v>
      </c>
      <c r="AK17" s="35">
        <v>0.63510077536590548</v>
      </c>
      <c r="AL17">
        <v>81</v>
      </c>
      <c r="AM17">
        <f t="shared" si="17"/>
        <v>81</v>
      </c>
    </row>
    <row r="18" spans="1:39" x14ac:dyDescent="0.35">
      <c r="A18" t="s">
        <v>812</v>
      </c>
      <c r="B18" s="58" t="s">
        <v>799</v>
      </c>
      <c r="C18" s="58" t="s">
        <v>817</v>
      </c>
      <c r="D18" s="58" t="s">
        <v>788</v>
      </c>
      <c r="E18" s="8">
        <v>8</v>
      </c>
      <c r="F18" s="46">
        <v>9</v>
      </c>
      <c r="G18" s="46">
        <v>8</v>
      </c>
      <c r="H18" s="46"/>
      <c r="I18" s="46">
        <v>7</v>
      </c>
      <c r="J18" s="46">
        <v>2</v>
      </c>
      <c r="K18" s="46"/>
      <c r="L18" s="46">
        <f>257+14</f>
        <v>271</v>
      </c>
      <c r="M18" s="46">
        <f>251+19</f>
        <v>270</v>
      </c>
      <c r="N18" s="73">
        <f t="shared" si="0"/>
        <v>15.941176470588236</v>
      </c>
      <c r="O18" s="73">
        <f t="shared" si="1"/>
        <v>15.882352941176471</v>
      </c>
      <c r="P18" s="54">
        <f t="shared" si="2"/>
        <v>1</v>
      </c>
      <c r="Q18" s="73">
        <f t="shared" si="3"/>
        <v>5.8823529411764705E-2</v>
      </c>
      <c r="R18" s="46">
        <v>147</v>
      </c>
      <c r="S18" s="54">
        <f t="shared" si="4"/>
        <v>1.8435374149659864</v>
      </c>
      <c r="T18" s="9">
        <f>553+1</f>
        <v>554</v>
      </c>
      <c r="U18">
        <f>316+7</f>
        <v>323</v>
      </c>
      <c r="V18" s="54">
        <f t="shared" si="5"/>
        <v>32.588235294117645</v>
      </c>
      <c r="W18" s="54">
        <f t="shared" si="6"/>
        <v>35.888888888888886</v>
      </c>
      <c r="X18" s="47">
        <v>22</v>
      </c>
      <c r="Y18" s="49">
        <v>17</v>
      </c>
      <c r="Z18" s="48">
        <f t="shared" si="7"/>
        <v>17</v>
      </c>
      <c r="AA18" s="36">
        <f t="shared" si="8"/>
        <v>0.62688332164238081</v>
      </c>
      <c r="AB18" s="34">
        <f t="shared" si="9"/>
        <v>0.52941176470588236</v>
      </c>
      <c r="AC18" s="34">
        <f t="shared" si="10"/>
        <v>0.77777777777777779</v>
      </c>
      <c r="AD18" s="34">
        <f t="shared" si="11"/>
        <v>0.51198257080610032</v>
      </c>
      <c r="AE18" s="34">
        <f t="shared" si="12"/>
        <v>0.4593146556535328</v>
      </c>
      <c r="AF18" s="34">
        <f t="shared" si="13"/>
        <v>0.49339735894357734</v>
      </c>
      <c r="AG18" s="34">
        <f t="shared" si="14"/>
        <v>0.42087329631499237</v>
      </c>
      <c r="AH18" s="34">
        <f t="shared" si="15"/>
        <v>0.83631713554987219</v>
      </c>
      <c r="AI18" s="34">
        <f t="shared" si="16"/>
        <v>0.72977777777777786</v>
      </c>
      <c r="AK18" s="35">
        <v>0.62688332164238081</v>
      </c>
      <c r="AL18">
        <v>80</v>
      </c>
      <c r="AM18">
        <f t="shared" si="17"/>
        <v>102</v>
      </c>
    </row>
    <row r="19" spans="1:39" x14ac:dyDescent="0.35">
      <c r="A19" t="s">
        <v>258</v>
      </c>
      <c r="B19" s="19" t="s">
        <v>172</v>
      </c>
      <c r="C19" s="19" t="s">
        <v>164</v>
      </c>
      <c r="D19" s="19" t="s">
        <v>46</v>
      </c>
      <c r="F19">
        <v>8</v>
      </c>
      <c r="G19">
        <v>4</v>
      </c>
      <c r="I19">
        <v>5</v>
      </c>
      <c r="J19">
        <v>4</v>
      </c>
      <c r="L19">
        <f>179+14</f>
        <v>193</v>
      </c>
      <c r="M19">
        <f>138+18</f>
        <v>156</v>
      </c>
      <c r="N19" s="73">
        <f t="shared" si="0"/>
        <v>16.083333333333332</v>
      </c>
      <c r="O19" s="73">
        <f t="shared" si="1"/>
        <v>13</v>
      </c>
      <c r="P19" s="54">
        <f t="shared" si="2"/>
        <v>37</v>
      </c>
      <c r="Q19" s="73">
        <f t="shared" si="3"/>
        <v>3.0833333333333335</v>
      </c>
      <c r="R19">
        <v>107</v>
      </c>
      <c r="S19" s="54">
        <f t="shared" si="4"/>
        <v>1.8037383177570094</v>
      </c>
      <c r="T19" s="9">
        <f>476+1</f>
        <v>477</v>
      </c>
      <c r="U19" s="9">
        <f>352+16</f>
        <v>368</v>
      </c>
      <c r="V19" s="54">
        <f t="shared" si="5"/>
        <v>39.75</v>
      </c>
      <c r="W19" s="54">
        <f t="shared" si="6"/>
        <v>46</v>
      </c>
      <c r="Y19" s="49">
        <v>18</v>
      </c>
      <c r="Z19" s="48">
        <f t="shared" si="7"/>
        <v>18</v>
      </c>
      <c r="AA19" s="36">
        <f t="shared" si="8"/>
        <v>0.61396065798430388</v>
      </c>
      <c r="AB19" s="34">
        <f t="shared" si="9"/>
        <v>0.66666666666666663</v>
      </c>
      <c r="AC19" s="34">
        <f t="shared" si="10"/>
        <v>0.55555555555555558</v>
      </c>
      <c r="AD19" s="34">
        <f t="shared" si="11"/>
        <v>0.52777777777777768</v>
      </c>
      <c r="AE19" s="34">
        <f t="shared" si="12"/>
        <v>0.78747628083491461</v>
      </c>
      <c r="AF19" s="34">
        <f t="shared" si="13"/>
        <v>0.67857142857142849</v>
      </c>
      <c r="AG19" s="34">
        <f t="shared" si="14"/>
        <v>0.37288233545787791</v>
      </c>
      <c r="AH19" s="34">
        <f t="shared" si="15"/>
        <v>0.65838509316770188</v>
      </c>
      <c r="AI19" s="34">
        <f t="shared" si="16"/>
        <v>0.56800000000000006</v>
      </c>
      <c r="AK19" s="35">
        <v>0.61396065798430388</v>
      </c>
      <c r="AL19">
        <v>79</v>
      </c>
      <c r="AM19">
        <f t="shared" si="17"/>
        <v>79</v>
      </c>
    </row>
    <row r="20" spans="1:39" x14ac:dyDescent="0.35">
      <c r="A20" t="s">
        <v>206</v>
      </c>
      <c r="B20" s="15" t="s">
        <v>143</v>
      </c>
      <c r="C20" s="15" t="s">
        <v>142</v>
      </c>
      <c r="D20" s="15" t="s">
        <v>75</v>
      </c>
      <c r="F20">
        <v>8</v>
      </c>
      <c r="G20">
        <v>5</v>
      </c>
      <c r="H20" s="9"/>
      <c r="I20">
        <v>6</v>
      </c>
      <c r="J20">
        <v>3</v>
      </c>
      <c r="K20" s="9"/>
      <c r="L20">
        <f>205+12</f>
        <v>217</v>
      </c>
      <c r="M20">
        <f>187+13</f>
        <v>200</v>
      </c>
      <c r="N20" s="73">
        <f t="shared" si="0"/>
        <v>16.692307692307693</v>
      </c>
      <c r="O20" s="73">
        <f t="shared" si="1"/>
        <v>15.384615384615385</v>
      </c>
      <c r="P20" s="54">
        <f t="shared" si="2"/>
        <v>17</v>
      </c>
      <c r="Q20" s="73">
        <f t="shared" si="3"/>
        <v>1.3076923076923077</v>
      </c>
      <c r="R20">
        <v>119</v>
      </c>
      <c r="S20" s="54">
        <f t="shared" si="4"/>
        <v>1.8235294117647058</v>
      </c>
      <c r="T20" s="9">
        <f>485+14</f>
        <v>499</v>
      </c>
      <c r="U20" s="9">
        <f>336+27</f>
        <v>363</v>
      </c>
      <c r="V20" s="54">
        <f t="shared" si="5"/>
        <v>38.384615384615387</v>
      </c>
      <c r="W20" s="54">
        <f t="shared" si="6"/>
        <v>45.375</v>
      </c>
      <c r="X20" s="47">
        <v>4</v>
      </c>
      <c r="Y20" s="49">
        <v>19</v>
      </c>
      <c r="Z20" s="48">
        <f t="shared" si="7"/>
        <v>19</v>
      </c>
      <c r="AA20" s="36">
        <f t="shared" si="8"/>
        <v>0.59767930248935364</v>
      </c>
      <c r="AB20" s="34">
        <f t="shared" si="9"/>
        <v>0.61538461538461542</v>
      </c>
      <c r="AC20" s="34">
        <f t="shared" si="10"/>
        <v>0.66666666666666663</v>
      </c>
      <c r="AD20" s="34">
        <f t="shared" si="11"/>
        <v>0.59544159544159558</v>
      </c>
      <c r="AE20" s="34">
        <f t="shared" si="12"/>
        <v>0.51598306816523132</v>
      </c>
      <c r="AF20" s="34">
        <f t="shared" si="13"/>
        <v>0.56985871271585553</v>
      </c>
      <c r="AG20" s="34">
        <f t="shared" si="14"/>
        <v>0.39674703803782985</v>
      </c>
      <c r="AH20" s="34">
        <f t="shared" si="15"/>
        <v>0.69230769230769229</v>
      </c>
      <c r="AI20" s="34">
        <f t="shared" si="16"/>
        <v>0.57800000000000007</v>
      </c>
      <c r="AK20" s="35">
        <v>0.59767930248935364</v>
      </c>
      <c r="AL20">
        <v>78</v>
      </c>
      <c r="AM20">
        <f t="shared" si="17"/>
        <v>82</v>
      </c>
    </row>
    <row r="21" spans="1:39" x14ac:dyDescent="0.35">
      <c r="A21" t="s">
        <v>225</v>
      </c>
      <c r="B21" s="16" t="s">
        <v>144</v>
      </c>
      <c r="C21" s="16" t="s">
        <v>161</v>
      </c>
      <c r="D21" s="16" t="s">
        <v>59</v>
      </c>
      <c r="F21">
        <v>8</v>
      </c>
      <c r="G21">
        <v>4</v>
      </c>
      <c r="I21">
        <v>5</v>
      </c>
      <c r="J21">
        <v>4</v>
      </c>
      <c r="L21">
        <f>179+18</f>
        <v>197</v>
      </c>
      <c r="M21">
        <f>129+17</f>
        <v>146</v>
      </c>
      <c r="N21" s="73">
        <f t="shared" si="0"/>
        <v>16.416666666666668</v>
      </c>
      <c r="O21" s="73">
        <f t="shared" si="1"/>
        <v>12.166666666666666</v>
      </c>
      <c r="P21" s="54">
        <f t="shared" si="2"/>
        <v>51</v>
      </c>
      <c r="Q21" s="73">
        <f t="shared" si="3"/>
        <v>4.25</v>
      </c>
      <c r="R21">
        <v>95</v>
      </c>
      <c r="S21" s="54">
        <f t="shared" si="4"/>
        <v>2.0736842105263156</v>
      </c>
      <c r="T21" s="9">
        <f>678+23</f>
        <v>701</v>
      </c>
      <c r="U21" s="9">
        <f>405+23</f>
        <v>428</v>
      </c>
      <c r="V21" s="54">
        <f t="shared" si="5"/>
        <v>58.416666666666664</v>
      </c>
      <c r="W21" s="54">
        <f t="shared" si="6"/>
        <v>53.5</v>
      </c>
      <c r="Y21" s="49">
        <v>20</v>
      </c>
      <c r="Z21" s="48">
        <f t="shared" si="7"/>
        <v>20</v>
      </c>
      <c r="AA21" s="36">
        <f t="shared" si="8"/>
        <v>0.58301717522830332</v>
      </c>
      <c r="AB21" s="34">
        <f t="shared" si="9"/>
        <v>0.66666666666666663</v>
      </c>
      <c r="AC21" s="34">
        <f t="shared" si="10"/>
        <v>0.55555555555555558</v>
      </c>
      <c r="AD21" s="34">
        <f t="shared" si="11"/>
        <v>0.56481481481481499</v>
      </c>
      <c r="AE21" s="34">
        <f t="shared" si="12"/>
        <v>0.88235294117647056</v>
      </c>
      <c r="AF21" s="34">
        <f t="shared" si="13"/>
        <v>0.74999999999999989</v>
      </c>
      <c r="AG21" s="34">
        <f t="shared" si="14"/>
        <v>0.69839129626185559</v>
      </c>
      <c r="AH21" s="34">
        <f t="shared" si="15"/>
        <v>0.19461697722567295</v>
      </c>
      <c r="AI21" s="34">
        <f t="shared" si="16"/>
        <v>0.44799999999999995</v>
      </c>
      <c r="AK21" s="35">
        <v>0.58301717522830332</v>
      </c>
      <c r="AL21">
        <v>77</v>
      </c>
      <c r="AM21">
        <f t="shared" si="17"/>
        <v>77</v>
      </c>
    </row>
    <row r="22" spans="1:39" x14ac:dyDescent="0.35">
      <c r="A22" t="s">
        <v>263</v>
      </c>
      <c r="B22" s="19" t="s">
        <v>172</v>
      </c>
      <c r="C22" s="19" t="s">
        <v>164</v>
      </c>
      <c r="D22" s="19" t="s">
        <v>43</v>
      </c>
      <c r="F22">
        <v>7</v>
      </c>
      <c r="G22">
        <v>5</v>
      </c>
      <c r="I22">
        <v>5</v>
      </c>
      <c r="J22">
        <v>4</v>
      </c>
      <c r="L22">
        <v>178</v>
      </c>
      <c r="M22">
        <v>159</v>
      </c>
      <c r="N22" s="73">
        <f t="shared" si="0"/>
        <v>14.833333333333334</v>
      </c>
      <c r="O22" s="73">
        <f t="shared" si="1"/>
        <v>13.25</v>
      </c>
      <c r="P22" s="54">
        <f t="shared" si="2"/>
        <v>19</v>
      </c>
      <c r="Q22" s="73">
        <f t="shared" si="3"/>
        <v>1.5833333333333333</v>
      </c>
      <c r="R22">
        <v>105</v>
      </c>
      <c r="S22" s="54">
        <f t="shared" si="4"/>
        <v>1.6952380952380952</v>
      </c>
      <c r="T22" s="9">
        <f>488+6</f>
        <v>494</v>
      </c>
      <c r="U22" s="9">
        <f>248+6</f>
        <v>254</v>
      </c>
      <c r="V22" s="54">
        <f t="shared" si="5"/>
        <v>41.166666666666664</v>
      </c>
      <c r="W22" s="54">
        <f t="shared" si="6"/>
        <v>36.285714285714285</v>
      </c>
      <c r="Y22" s="49">
        <v>21</v>
      </c>
      <c r="Z22" s="48">
        <f t="shared" si="7"/>
        <v>21</v>
      </c>
      <c r="AA22" s="36">
        <f t="shared" si="8"/>
        <v>0.57420871286440389</v>
      </c>
      <c r="AB22" s="34">
        <f t="shared" si="9"/>
        <v>0.58333333333333337</v>
      </c>
      <c r="AC22" s="34">
        <f t="shared" si="10"/>
        <v>0.55555555555555558</v>
      </c>
      <c r="AD22" s="34">
        <f t="shared" si="11"/>
        <v>0.38888888888888895</v>
      </c>
      <c r="AE22" s="34">
        <f t="shared" si="12"/>
        <v>0.75901328273244784</v>
      </c>
      <c r="AF22" s="34">
        <f t="shared" si="13"/>
        <v>0.58673469387755095</v>
      </c>
      <c r="AG22" s="34">
        <f t="shared" si="14"/>
        <v>0.2420494699646642</v>
      </c>
      <c r="AH22" s="34">
        <f t="shared" si="15"/>
        <v>0.62318840579710155</v>
      </c>
      <c r="AI22" s="34">
        <f t="shared" si="16"/>
        <v>0.72342857142857142</v>
      </c>
      <c r="AK22" s="35">
        <v>0.57420871286440389</v>
      </c>
      <c r="AL22">
        <v>76</v>
      </c>
      <c r="AM22">
        <f t="shared" si="17"/>
        <v>76</v>
      </c>
    </row>
    <row r="23" spans="1:39" x14ac:dyDescent="0.35">
      <c r="A23" t="s">
        <v>813</v>
      </c>
      <c r="B23" s="58" t="s">
        <v>799</v>
      </c>
      <c r="C23" s="58" t="s">
        <v>817</v>
      </c>
      <c r="D23" s="58" t="s">
        <v>792</v>
      </c>
      <c r="F23" s="46">
        <v>8</v>
      </c>
      <c r="G23" s="46">
        <v>4</v>
      </c>
      <c r="H23" s="46"/>
      <c r="I23" s="46">
        <v>6</v>
      </c>
      <c r="J23" s="46">
        <v>3</v>
      </c>
      <c r="K23" s="46"/>
      <c r="L23" s="46">
        <v>177</v>
      </c>
      <c r="M23" s="46">
        <v>151</v>
      </c>
      <c r="N23" s="73">
        <f t="shared" si="0"/>
        <v>14.75</v>
      </c>
      <c r="O23" s="73">
        <f t="shared" si="1"/>
        <v>12.583333333333334</v>
      </c>
      <c r="P23" s="54">
        <f t="shared" si="2"/>
        <v>26</v>
      </c>
      <c r="Q23" s="73">
        <f t="shared" si="3"/>
        <v>2.1666666666666665</v>
      </c>
      <c r="R23" s="46">
        <v>100</v>
      </c>
      <c r="S23" s="54">
        <f t="shared" si="4"/>
        <v>1.77</v>
      </c>
      <c r="T23" s="9">
        <f>610+32</f>
        <v>642</v>
      </c>
      <c r="U23">
        <f>363+14</f>
        <v>377</v>
      </c>
      <c r="V23" s="54">
        <f t="shared" si="5"/>
        <v>53.5</v>
      </c>
      <c r="W23" s="54">
        <f t="shared" si="6"/>
        <v>47.125</v>
      </c>
      <c r="Y23" s="49">
        <v>22</v>
      </c>
      <c r="Z23" s="48">
        <f t="shared" si="7"/>
        <v>22</v>
      </c>
      <c r="AA23" s="36">
        <f t="shared" si="8"/>
        <v>0.56383977171926369</v>
      </c>
      <c r="AB23" s="34">
        <f t="shared" si="9"/>
        <v>0.66666666666666663</v>
      </c>
      <c r="AC23" s="34">
        <f t="shared" si="10"/>
        <v>0.66666666666666663</v>
      </c>
      <c r="AD23" s="34">
        <f t="shared" si="11"/>
        <v>0.37962962962962965</v>
      </c>
      <c r="AE23" s="34">
        <f t="shared" si="12"/>
        <v>0.83491461100569253</v>
      </c>
      <c r="AF23" s="34">
        <f t="shared" si="13"/>
        <v>0.62244897959183665</v>
      </c>
      <c r="AG23" s="34">
        <f t="shared" si="14"/>
        <v>0.33219964664310947</v>
      </c>
      <c r="AH23" s="34">
        <f t="shared" si="15"/>
        <v>0.31677018633540377</v>
      </c>
      <c r="AI23" s="34">
        <f t="shared" si="16"/>
        <v>0.55000000000000004</v>
      </c>
      <c r="AK23" s="35">
        <v>0.56383977171926369</v>
      </c>
      <c r="AL23">
        <v>75</v>
      </c>
      <c r="AM23">
        <f t="shared" si="17"/>
        <v>75</v>
      </c>
    </row>
    <row r="24" spans="1:39" x14ac:dyDescent="0.35">
      <c r="A24" t="s">
        <v>803</v>
      </c>
      <c r="B24" s="58" t="s">
        <v>799</v>
      </c>
      <c r="C24" s="58" t="s">
        <v>816</v>
      </c>
      <c r="D24" s="58" t="s">
        <v>795</v>
      </c>
      <c r="F24" s="46">
        <v>9</v>
      </c>
      <c r="G24" s="46">
        <v>3</v>
      </c>
      <c r="H24" s="46"/>
      <c r="I24" s="46">
        <v>6</v>
      </c>
      <c r="J24" s="46">
        <v>3</v>
      </c>
      <c r="K24" s="46"/>
      <c r="L24" s="46">
        <f>166+20</f>
        <v>186</v>
      </c>
      <c r="M24" s="46">
        <f>142+21</f>
        <v>163</v>
      </c>
      <c r="N24" s="73">
        <f t="shared" si="0"/>
        <v>15.5</v>
      </c>
      <c r="O24" s="73">
        <f t="shared" si="1"/>
        <v>13.583333333333334</v>
      </c>
      <c r="P24" s="54">
        <f t="shared" si="2"/>
        <v>23</v>
      </c>
      <c r="Q24" s="73">
        <f t="shared" si="3"/>
        <v>1.9166666666666667</v>
      </c>
      <c r="R24" s="46">
        <v>93</v>
      </c>
      <c r="S24" s="54">
        <f t="shared" si="4"/>
        <v>2</v>
      </c>
      <c r="T24" s="9">
        <f>616+76</f>
        <v>692</v>
      </c>
      <c r="U24">
        <f>449+94</f>
        <v>543</v>
      </c>
      <c r="V24" s="54">
        <f t="shared" si="5"/>
        <v>57.666666666666664</v>
      </c>
      <c r="W24" s="54">
        <f t="shared" si="6"/>
        <v>60.333333333333336</v>
      </c>
      <c r="Y24" s="49">
        <v>23</v>
      </c>
      <c r="Z24" s="48">
        <f t="shared" si="7"/>
        <v>23</v>
      </c>
      <c r="AA24" s="36">
        <f t="shared" si="8"/>
        <v>0.56165313823181773</v>
      </c>
      <c r="AB24" s="34">
        <f t="shared" si="9"/>
        <v>0.75</v>
      </c>
      <c r="AC24" s="34">
        <f t="shared" si="10"/>
        <v>0.66666666666666663</v>
      </c>
      <c r="AD24" s="34">
        <f t="shared" si="11"/>
        <v>0.46296296296296297</v>
      </c>
      <c r="AE24" s="34">
        <f t="shared" si="12"/>
        <v>0.72106261859582532</v>
      </c>
      <c r="AF24" s="34">
        <f t="shared" si="13"/>
        <v>0.60714285714285698</v>
      </c>
      <c r="AG24" s="34">
        <f t="shared" si="14"/>
        <v>0.60954063604240272</v>
      </c>
      <c r="AH24" s="34">
        <f t="shared" si="15"/>
        <v>0.21325051759834379</v>
      </c>
      <c r="AI24" s="34">
        <f t="shared" si="16"/>
        <v>0.33866666666666667</v>
      </c>
      <c r="AK24" s="35">
        <v>0.56165313823181773</v>
      </c>
      <c r="AL24">
        <v>74</v>
      </c>
      <c r="AM24">
        <f t="shared" si="17"/>
        <v>74</v>
      </c>
    </row>
    <row r="25" spans="1:39" x14ac:dyDescent="0.35">
      <c r="A25" t="s">
        <v>207</v>
      </c>
      <c r="B25" s="15" t="s">
        <v>143</v>
      </c>
      <c r="C25" s="15" t="s">
        <v>142</v>
      </c>
      <c r="D25" s="15" t="s">
        <v>79</v>
      </c>
      <c r="F25">
        <v>7</v>
      </c>
      <c r="G25">
        <v>5</v>
      </c>
      <c r="H25" s="9"/>
      <c r="I25">
        <v>5</v>
      </c>
      <c r="J25">
        <v>4</v>
      </c>
      <c r="K25" s="9"/>
      <c r="L25">
        <f>192+14</f>
        <v>206</v>
      </c>
      <c r="M25">
        <f>172+16</f>
        <v>188</v>
      </c>
      <c r="N25" s="73">
        <f t="shared" si="0"/>
        <v>17.166666666666668</v>
      </c>
      <c r="O25" s="73">
        <f t="shared" si="1"/>
        <v>15.666666666666666</v>
      </c>
      <c r="P25" s="54">
        <f t="shared" si="2"/>
        <v>18</v>
      </c>
      <c r="Q25" s="73">
        <f t="shared" si="3"/>
        <v>1.5</v>
      </c>
      <c r="R25">
        <v>100</v>
      </c>
      <c r="S25" s="54">
        <f t="shared" si="4"/>
        <v>2.06</v>
      </c>
      <c r="T25" s="9">
        <f>513+74</f>
        <v>587</v>
      </c>
      <c r="U25" s="9">
        <f>246+81</f>
        <v>327</v>
      </c>
      <c r="V25" s="54">
        <f t="shared" si="5"/>
        <v>48.916666666666664</v>
      </c>
      <c r="W25" s="54">
        <f t="shared" si="6"/>
        <v>46.714285714285715</v>
      </c>
      <c r="Y25" s="49">
        <v>24</v>
      </c>
      <c r="Z25" s="48">
        <f t="shared" si="7"/>
        <v>24</v>
      </c>
      <c r="AA25" s="36">
        <f t="shared" si="8"/>
        <v>0.56067703870586638</v>
      </c>
      <c r="AB25" s="34">
        <f t="shared" si="9"/>
        <v>0.58333333333333337</v>
      </c>
      <c r="AC25" s="34">
        <f t="shared" si="10"/>
        <v>0.55555555555555558</v>
      </c>
      <c r="AD25" s="34">
        <f t="shared" si="11"/>
        <v>0.64814814814814836</v>
      </c>
      <c r="AE25" s="34">
        <f t="shared" si="12"/>
        <v>0.48387096774193561</v>
      </c>
      <c r="AF25" s="34">
        <f t="shared" si="13"/>
        <v>0.58163265306122436</v>
      </c>
      <c r="AG25" s="34">
        <f t="shared" si="14"/>
        <v>0.68189045936395754</v>
      </c>
      <c r="AH25" s="34">
        <f t="shared" si="15"/>
        <v>0.43064182194616984</v>
      </c>
      <c r="AI25" s="34">
        <f t="shared" si="16"/>
        <v>0.55657142857142849</v>
      </c>
      <c r="AK25" s="35">
        <v>0.56067703870586638</v>
      </c>
      <c r="AL25">
        <v>73</v>
      </c>
      <c r="AM25">
        <f t="shared" si="17"/>
        <v>73</v>
      </c>
    </row>
    <row r="26" spans="1:39" x14ac:dyDescent="0.35">
      <c r="A26" t="s">
        <v>241</v>
      </c>
      <c r="B26" s="17" t="s">
        <v>171</v>
      </c>
      <c r="C26" s="17" t="s">
        <v>162</v>
      </c>
      <c r="D26" s="17" t="s">
        <v>53</v>
      </c>
      <c r="F26">
        <v>8</v>
      </c>
      <c r="G26">
        <v>4</v>
      </c>
      <c r="I26">
        <v>5</v>
      </c>
      <c r="J26">
        <v>4</v>
      </c>
      <c r="L26">
        <v>215</v>
      </c>
      <c r="M26">
        <v>190</v>
      </c>
      <c r="N26" s="73">
        <f t="shared" si="0"/>
        <v>17.916666666666668</v>
      </c>
      <c r="O26" s="73">
        <f t="shared" si="1"/>
        <v>15.833333333333334</v>
      </c>
      <c r="P26" s="54">
        <f t="shared" si="2"/>
        <v>25</v>
      </c>
      <c r="Q26" s="73">
        <f t="shared" si="3"/>
        <v>2.0833333333333335</v>
      </c>
      <c r="R26">
        <v>103</v>
      </c>
      <c r="S26" s="54">
        <f t="shared" si="4"/>
        <v>2.087378640776699</v>
      </c>
      <c r="T26" s="9">
        <f>619+43</f>
        <v>662</v>
      </c>
      <c r="U26" s="9">
        <f>416+26</f>
        <v>442</v>
      </c>
      <c r="V26" s="54">
        <f t="shared" si="5"/>
        <v>55.166666666666664</v>
      </c>
      <c r="W26" s="54">
        <f t="shared" si="6"/>
        <v>55.25</v>
      </c>
      <c r="Y26" s="49">
        <v>25</v>
      </c>
      <c r="Z26" s="48">
        <f t="shared" si="7"/>
        <v>25</v>
      </c>
      <c r="AA26" s="36">
        <f t="shared" si="8"/>
        <v>0.55550381366880353</v>
      </c>
      <c r="AB26" s="34">
        <f t="shared" si="9"/>
        <v>0.66666666666666663</v>
      </c>
      <c r="AC26" s="34">
        <f t="shared" si="10"/>
        <v>0.55555555555555558</v>
      </c>
      <c r="AD26" s="34">
        <f t="shared" si="11"/>
        <v>0.73148148148148173</v>
      </c>
      <c r="AE26" s="34">
        <f t="shared" si="12"/>
        <v>0.46489563567362424</v>
      </c>
      <c r="AF26" s="34">
        <f t="shared" si="13"/>
        <v>0.61734693877551017</v>
      </c>
      <c r="AG26" s="34">
        <f t="shared" si="14"/>
        <v>0.7149044564135989</v>
      </c>
      <c r="AH26" s="34">
        <f t="shared" si="15"/>
        <v>0.27536231884057982</v>
      </c>
      <c r="AI26" s="34">
        <f t="shared" si="16"/>
        <v>0.42000000000000004</v>
      </c>
      <c r="AK26" s="35">
        <v>0.55550381366880353</v>
      </c>
      <c r="AL26">
        <v>72</v>
      </c>
      <c r="AM26">
        <f t="shared" si="17"/>
        <v>72</v>
      </c>
    </row>
    <row r="27" spans="1:39" x14ac:dyDescent="0.35">
      <c r="A27" t="s">
        <v>255</v>
      </c>
      <c r="B27" s="19" t="s">
        <v>172</v>
      </c>
      <c r="C27" s="19" t="s">
        <v>165</v>
      </c>
      <c r="D27" s="19" t="s">
        <v>37</v>
      </c>
      <c r="F27">
        <v>7</v>
      </c>
      <c r="G27">
        <v>5</v>
      </c>
      <c r="H27" s="9"/>
      <c r="I27">
        <v>6</v>
      </c>
      <c r="J27">
        <v>3</v>
      </c>
      <c r="K27" s="9"/>
      <c r="L27">
        <v>187</v>
      </c>
      <c r="M27">
        <f>179+24</f>
        <v>203</v>
      </c>
      <c r="N27" s="73">
        <f t="shared" si="0"/>
        <v>15.583333333333334</v>
      </c>
      <c r="O27" s="73">
        <f t="shared" si="1"/>
        <v>16.916666666666668</v>
      </c>
      <c r="P27" s="54">
        <f t="shared" si="2"/>
        <v>-16</v>
      </c>
      <c r="Q27" s="73">
        <f t="shared" si="3"/>
        <v>-1.3333333333333333</v>
      </c>
      <c r="R27">
        <v>105</v>
      </c>
      <c r="S27" s="54">
        <f t="shared" si="4"/>
        <v>1.7809523809523808</v>
      </c>
      <c r="T27" s="9">
        <f>422+14</f>
        <v>436</v>
      </c>
      <c r="U27" s="9">
        <f>279+20</f>
        <v>299</v>
      </c>
      <c r="V27" s="54">
        <f t="shared" si="5"/>
        <v>36.333333333333336</v>
      </c>
      <c r="W27" s="54">
        <f t="shared" si="6"/>
        <v>42.714285714285715</v>
      </c>
      <c r="Y27" s="49">
        <v>26</v>
      </c>
      <c r="Z27" s="48">
        <f t="shared" si="7"/>
        <v>26</v>
      </c>
      <c r="AA27" s="36">
        <f t="shared" si="8"/>
        <v>0.55146293451705197</v>
      </c>
      <c r="AB27" s="34">
        <f t="shared" si="9"/>
        <v>0.58333333333333337</v>
      </c>
      <c r="AC27" s="34">
        <f t="shared" si="10"/>
        <v>0.66666666666666663</v>
      </c>
      <c r="AD27" s="34">
        <f t="shared" si="11"/>
        <v>0.47222222222222232</v>
      </c>
      <c r="AE27" s="34">
        <f t="shared" si="12"/>
        <v>0.3415559772296014</v>
      </c>
      <c r="AF27" s="34">
        <f t="shared" si="13"/>
        <v>0.4081632653061224</v>
      </c>
      <c r="AG27" s="34">
        <f t="shared" si="14"/>
        <v>0.34540636042402806</v>
      </c>
      <c r="AH27" s="34">
        <f t="shared" si="15"/>
        <v>0.74327122153209102</v>
      </c>
      <c r="AI27" s="34">
        <f t="shared" si="16"/>
        <v>0.62057142857142855</v>
      </c>
      <c r="AK27" s="35">
        <v>0.55146293451705197</v>
      </c>
      <c r="AL27">
        <v>71</v>
      </c>
      <c r="AM27">
        <f t="shared" si="17"/>
        <v>71</v>
      </c>
    </row>
    <row r="28" spans="1:39" x14ac:dyDescent="0.35">
      <c r="A28" t="s">
        <v>227</v>
      </c>
      <c r="B28" s="16" t="s">
        <v>144</v>
      </c>
      <c r="C28" s="16" t="s">
        <v>161</v>
      </c>
      <c r="D28" s="16" t="s">
        <v>62</v>
      </c>
      <c r="F28">
        <v>7</v>
      </c>
      <c r="G28">
        <v>5</v>
      </c>
      <c r="I28">
        <v>6</v>
      </c>
      <c r="J28">
        <v>3</v>
      </c>
      <c r="L28">
        <f>177+17</f>
        <v>194</v>
      </c>
      <c r="M28">
        <f>172+18</f>
        <v>190</v>
      </c>
      <c r="N28" s="73">
        <f t="shared" si="0"/>
        <v>16.166666666666668</v>
      </c>
      <c r="O28" s="73">
        <f t="shared" si="1"/>
        <v>15.833333333333334</v>
      </c>
      <c r="P28" s="54">
        <f t="shared" si="2"/>
        <v>4</v>
      </c>
      <c r="Q28" s="73">
        <f t="shared" si="3"/>
        <v>0.33333333333333331</v>
      </c>
      <c r="R28">
        <v>92</v>
      </c>
      <c r="S28" s="54">
        <f t="shared" si="4"/>
        <v>2.1086956521739131</v>
      </c>
      <c r="T28" s="9">
        <f>540+28</f>
        <v>568</v>
      </c>
      <c r="U28" s="9">
        <f>364+27</f>
        <v>391</v>
      </c>
      <c r="V28" s="54">
        <f t="shared" si="5"/>
        <v>47.333333333333336</v>
      </c>
      <c r="W28" s="54">
        <f t="shared" si="6"/>
        <v>55.857142857142854</v>
      </c>
      <c r="Y28" s="49">
        <v>27</v>
      </c>
      <c r="Z28" s="48">
        <f t="shared" si="7"/>
        <v>27</v>
      </c>
      <c r="AA28" s="36">
        <f t="shared" si="8"/>
        <v>0.54719277767163144</v>
      </c>
      <c r="AB28" s="34">
        <f t="shared" si="9"/>
        <v>0.58333333333333337</v>
      </c>
      <c r="AC28" s="34">
        <f t="shared" si="10"/>
        <v>0.66666666666666663</v>
      </c>
      <c r="AD28" s="34">
        <f t="shared" si="11"/>
        <v>0.5370370370370372</v>
      </c>
      <c r="AE28" s="34">
        <f t="shared" si="12"/>
        <v>0.46489563567362424</v>
      </c>
      <c r="AF28" s="34">
        <f t="shared" si="13"/>
        <v>0.51020408163265307</v>
      </c>
      <c r="AG28" s="34">
        <f t="shared" si="14"/>
        <v>0.74060915655246573</v>
      </c>
      <c r="AH28" s="34">
        <f t="shared" si="15"/>
        <v>0.46997929606625255</v>
      </c>
      <c r="AI28" s="34">
        <f t="shared" si="16"/>
        <v>0.41028571428571436</v>
      </c>
      <c r="AK28" s="35">
        <v>0.54719277767163144</v>
      </c>
      <c r="AL28">
        <v>70</v>
      </c>
      <c r="AM28">
        <f t="shared" si="17"/>
        <v>70</v>
      </c>
    </row>
    <row r="29" spans="1:39" x14ac:dyDescent="0.35">
      <c r="A29" t="s">
        <v>249</v>
      </c>
      <c r="B29" s="19" t="s">
        <v>172</v>
      </c>
      <c r="C29" s="19" t="s">
        <v>165</v>
      </c>
      <c r="D29" s="19" t="s">
        <v>40</v>
      </c>
      <c r="F29">
        <v>6</v>
      </c>
      <c r="G29">
        <v>6</v>
      </c>
      <c r="H29" s="9"/>
      <c r="I29">
        <v>5</v>
      </c>
      <c r="J29">
        <v>4</v>
      </c>
      <c r="K29" s="9"/>
      <c r="L29">
        <f>178+16</f>
        <v>194</v>
      </c>
      <c r="M29">
        <f>170+14</f>
        <v>184</v>
      </c>
      <c r="N29" s="73">
        <f t="shared" si="0"/>
        <v>16.166666666666668</v>
      </c>
      <c r="O29" s="73">
        <f t="shared" si="1"/>
        <v>15.333333333333334</v>
      </c>
      <c r="P29" s="54">
        <f t="shared" si="2"/>
        <v>10</v>
      </c>
      <c r="Q29" s="73">
        <f t="shared" si="3"/>
        <v>0.83333333333333337</v>
      </c>
      <c r="R29">
        <v>110</v>
      </c>
      <c r="S29" s="54">
        <f t="shared" si="4"/>
        <v>1.7636363636363637</v>
      </c>
      <c r="T29" s="9">
        <f>401+66</f>
        <v>467</v>
      </c>
      <c r="U29" s="9">
        <f>211+66</f>
        <v>277</v>
      </c>
      <c r="V29" s="54">
        <f t="shared" si="5"/>
        <v>38.916666666666664</v>
      </c>
      <c r="W29" s="54">
        <f t="shared" si="6"/>
        <v>46.166666666666664</v>
      </c>
      <c r="Y29" s="49">
        <v>28</v>
      </c>
      <c r="Z29" s="48">
        <f t="shared" si="7"/>
        <v>28</v>
      </c>
      <c r="AA29" s="36">
        <f t="shared" si="8"/>
        <v>0.53411039651118863</v>
      </c>
      <c r="AB29" s="34">
        <f t="shared" si="9"/>
        <v>0.5</v>
      </c>
      <c r="AC29" s="34">
        <f t="shared" si="10"/>
        <v>0.55555555555555558</v>
      </c>
      <c r="AD29" s="34">
        <f t="shared" si="11"/>
        <v>0.5370370370370372</v>
      </c>
      <c r="AE29" s="34">
        <f t="shared" si="12"/>
        <v>0.52182163187855779</v>
      </c>
      <c r="AF29" s="34">
        <f t="shared" si="13"/>
        <v>0.54081632653061218</v>
      </c>
      <c r="AG29" s="34">
        <f t="shared" si="14"/>
        <v>0.32452618053324761</v>
      </c>
      <c r="AH29" s="34">
        <f t="shared" si="15"/>
        <v>0.67908902691511397</v>
      </c>
      <c r="AI29" s="34">
        <f t="shared" si="16"/>
        <v>0.56533333333333335</v>
      </c>
      <c r="AK29" s="35">
        <v>0.53411039651118863</v>
      </c>
      <c r="AL29">
        <v>69</v>
      </c>
      <c r="AM29">
        <f t="shared" si="17"/>
        <v>69</v>
      </c>
    </row>
    <row r="30" spans="1:39" x14ac:dyDescent="0.35">
      <c r="A30" t="s">
        <v>208</v>
      </c>
      <c r="B30" s="15" t="s">
        <v>143</v>
      </c>
      <c r="C30" s="15" t="s">
        <v>142</v>
      </c>
      <c r="D30" s="15" t="s">
        <v>77</v>
      </c>
      <c r="F30">
        <v>7</v>
      </c>
      <c r="G30">
        <v>5</v>
      </c>
      <c r="H30" s="9"/>
      <c r="I30">
        <v>5</v>
      </c>
      <c r="J30">
        <v>4</v>
      </c>
      <c r="K30" s="9"/>
      <c r="L30">
        <f>142+14</f>
        <v>156</v>
      </c>
      <c r="M30">
        <f>130+22</f>
        <v>152</v>
      </c>
      <c r="N30" s="73">
        <f t="shared" si="0"/>
        <v>13</v>
      </c>
      <c r="O30" s="73">
        <f t="shared" si="1"/>
        <v>12.666666666666666</v>
      </c>
      <c r="P30" s="54">
        <f t="shared" si="2"/>
        <v>4</v>
      </c>
      <c r="Q30" s="73">
        <f t="shared" si="3"/>
        <v>0.33333333333333331</v>
      </c>
      <c r="R30">
        <v>90</v>
      </c>
      <c r="S30" s="54">
        <f t="shared" si="4"/>
        <v>1.7333333333333334</v>
      </c>
      <c r="T30" s="9">
        <f>500+26</f>
        <v>526</v>
      </c>
      <c r="U30" s="9">
        <f>295+21</f>
        <v>316</v>
      </c>
      <c r="V30" s="54">
        <f t="shared" si="5"/>
        <v>43.833333333333336</v>
      </c>
      <c r="W30" s="54">
        <f t="shared" si="6"/>
        <v>45.142857142857146</v>
      </c>
      <c r="Y30" s="49">
        <v>29</v>
      </c>
      <c r="Z30" s="48">
        <f t="shared" si="7"/>
        <v>29</v>
      </c>
      <c r="AA30" s="36">
        <f t="shared" si="8"/>
        <v>0.53099647781734749</v>
      </c>
      <c r="AB30" s="34">
        <f t="shared" si="9"/>
        <v>0.58333333333333337</v>
      </c>
      <c r="AC30" s="34">
        <f t="shared" si="10"/>
        <v>0.55555555555555558</v>
      </c>
      <c r="AD30" s="34">
        <f t="shared" si="11"/>
        <v>0.18518518518518515</v>
      </c>
      <c r="AE30" s="34">
        <f t="shared" si="12"/>
        <v>0.82542694497153701</v>
      </c>
      <c r="AF30" s="34">
        <f t="shared" si="13"/>
        <v>0.51020408163265307</v>
      </c>
      <c r="AG30" s="34">
        <f t="shared" si="14"/>
        <v>0.28798586572438162</v>
      </c>
      <c r="AH30" s="34">
        <f t="shared" si="15"/>
        <v>0.55693581780538293</v>
      </c>
      <c r="AI30" s="34">
        <f t="shared" si="16"/>
        <v>0.58171428571428563</v>
      </c>
      <c r="AK30" s="35">
        <v>0.53099647781734749</v>
      </c>
      <c r="AL30">
        <v>68</v>
      </c>
      <c r="AM30">
        <f t="shared" si="17"/>
        <v>68</v>
      </c>
    </row>
    <row r="31" spans="1:39" x14ac:dyDescent="0.35">
      <c r="A31" t="s">
        <v>250</v>
      </c>
      <c r="B31" s="19" t="s">
        <v>172</v>
      </c>
      <c r="C31" s="19" t="s">
        <v>165</v>
      </c>
      <c r="D31" s="19" t="s">
        <v>35</v>
      </c>
      <c r="F31">
        <v>6</v>
      </c>
      <c r="G31">
        <v>6</v>
      </c>
      <c r="H31" s="9"/>
      <c r="I31">
        <v>4</v>
      </c>
      <c r="J31">
        <v>5</v>
      </c>
      <c r="K31" s="9"/>
      <c r="L31">
        <f>183+31</f>
        <v>214</v>
      </c>
      <c r="M31">
        <f>161+7</f>
        <v>168</v>
      </c>
      <c r="N31" s="73">
        <f t="shared" si="0"/>
        <v>17.833333333333332</v>
      </c>
      <c r="O31" s="73">
        <f t="shared" si="1"/>
        <v>14</v>
      </c>
      <c r="P31" s="54">
        <f t="shared" si="2"/>
        <v>46</v>
      </c>
      <c r="Q31" s="73">
        <f t="shared" si="3"/>
        <v>3.8333333333333335</v>
      </c>
      <c r="R31">
        <v>109</v>
      </c>
      <c r="S31" s="54">
        <f t="shared" si="4"/>
        <v>1.963302752293578</v>
      </c>
      <c r="T31" s="9">
        <f>564+53</f>
        <v>617</v>
      </c>
      <c r="U31" s="9">
        <f>280+53</f>
        <v>333</v>
      </c>
      <c r="V31" s="54">
        <f t="shared" si="5"/>
        <v>51.416666666666664</v>
      </c>
      <c r="W31" s="54">
        <f t="shared" si="6"/>
        <v>55.5</v>
      </c>
      <c r="Y31" s="49">
        <v>30</v>
      </c>
      <c r="Z31" s="48">
        <f t="shared" si="7"/>
        <v>30</v>
      </c>
      <c r="AA31" s="36">
        <f t="shared" si="8"/>
        <v>0.52753371357361512</v>
      </c>
      <c r="AB31" s="34">
        <f t="shared" si="9"/>
        <v>0.5</v>
      </c>
      <c r="AC31" s="34">
        <f t="shared" si="10"/>
        <v>0.44444444444444442</v>
      </c>
      <c r="AD31" s="34">
        <f t="shared" si="11"/>
        <v>0.72222222222222221</v>
      </c>
      <c r="AE31" s="34">
        <f t="shared" si="12"/>
        <v>0.6736242884250474</v>
      </c>
      <c r="AF31" s="34">
        <f t="shared" si="13"/>
        <v>0.72448979591836726</v>
      </c>
      <c r="AG31" s="34">
        <f t="shared" si="14"/>
        <v>0.56528997957661997</v>
      </c>
      <c r="AH31" s="34">
        <f t="shared" si="15"/>
        <v>0.36853002070393381</v>
      </c>
      <c r="AI31" s="34">
        <f t="shared" si="16"/>
        <v>0.41600000000000004</v>
      </c>
      <c r="AK31" s="35">
        <v>0.52753371357361512</v>
      </c>
      <c r="AL31">
        <v>67</v>
      </c>
      <c r="AM31">
        <f t="shared" si="17"/>
        <v>67</v>
      </c>
    </row>
    <row r="32" spans="1:39" x14ac:dyDescent="0.35">
      <c r="A32" t="s">
        <v>219</v>
      </c>
      <c r="B32" s="16" t="s">
        <v>144</v>
      </c>
      <c r="C32" s="16" t="s">
        <v>160</v>
      </c>
      <c r="D32" s="16" t="s">
        <v>66</v>
      </c>
      <c r="F32">
        <v>8</v>
      </c>
      <c r="G32">
        <v>4</v>
      </c>
      <c r="I32">
        <v>5</v>
      </c>
      <c r="J32">
        <v>4</v>
      </c>
      <c r="L32">
        <v>180</v>
      </c>
      <c r="M32">
        <v>186</v>
      </c>
      <c r="N32" s="73">
        <f t="shared" si="0"/>
        <v>15</v>
      </c>
      <c r="O32" s="73">
        <f t="shared" si="1"/>
        <v>15.5</v>
      </c>
      <c r="P32" s="54">
        <f t="shared" si="2"/>
        <v>-6</v>
      </c>
      <c r="Q32" s="73">
        <f t="shared" si="3"/>
        <v>-0.5</v>
      </c>
      <c r="R32">
        <v>108</v>
      </c>
      <c r="S32" s="54">
        <f t="shared" si="4"/>
        <v>1.6666666666666667</v>
      </c>
      <c r="T32" s="9">
        <f>508+29</f>
        <v>537</v>
      </c>
      <c r="U32" s="9">
        <f>337+29</f>
        <v>366</v>
      </c>
      <c r="V32" s="54">
        <f t="shared" si="5"/>
        <v>44.75</v>
      </c>
      <c r="W32" s="54">
        <f t="shared" si="6"/>
        <v>45.75</v>
      </c>
      <c r="Y32" s="49">
        <v>31</v>
      </c>
      <c r="Z32" s="48">
        <f t="shared" si="7"/>
        <v>31</v>
      </c>
      <c r="AA32" s="36">
        <f t="shared" si="8"/>
        <v>0.52705772112861526</v>
      </c>
      <c r="AB32" s="34">
        <f t="shared" si="9"/>
        <v>0.66666666666666663</v>
      </c>
      <c r="AC32" s="34">
        <f t="shared" si="10"/>
        <v>0.55555555555555558</v>
      </c>
      <c r="AD32" s="34">
        <f t="shared" si="11"/>
        <v>0.40740740740740744</v>
      </c>
      <c r="AE32" s="34">
        <f t="shared" si="12"/>
        <v>0.50284629981024676</v>
      </c>
      <c r="AF32" s="34">
        <f t="shared" si="13"/>
        <v>0.45918367346938771</v>
      </c>
      <c r="AG32" s="34">
        <f t="shared" si="14"/>
        <v>0.20759717314487636</v>
      </c>
      <c r="AH32" s="34">
        <f t="shared" si="15"/>
        <v>0.53416149068322982</v>
      </c>
      <c r="AI32" s="34">
        <f t="shared" si="16"/>
        <v>0.57200000000000006</v>
      </c>
      <c r="AK32" s="35">
        <v>0.52705772112861526</v>
      </c>
      <c r="AL32">
        <v>66</v>
      </c>
      <c r="AM32">
        <f t="shared" si="17"/>
        <v>66</v>
      </c>
    </row>
    <row r="33" spans="1:39" x14ac:dyDescent="0.35">
      <c r="A33" t="s">
        <v>215</v>
      </c>
      <c r="B33" s="15" t="s">
        <v>143</v>
      </c>
      <c r="C33" s="15" t="s">
        <v>159</v>
      </c>
      <c r="D33" s="15" t="s">
        <v>86</v>
      </c>
      <c r="F33">
        <v>7</v>
      </c>
      <c r="G33">
        <v>5</v>
      </c>
      <c r="H33" s="9"/>
      <c r="I33">
        <v>5</v>
      </c>
      <c r="J33">
        <v>4</v>
      </c>
      <c r="L33">
        <f>176+11</f>
        <v>187</v>
      </c>
      <c r="M33">
        <f>172+18</f>
        <v>190</v>
      </c>
      <c r="N33" s="73">
        <f t="shared" si="0"/>
        <v>15.583333333333334</v>
      </c>
      <c r="O33" s="73">
        <f t="shared" si="1"/>
        <v>15.833333333333334</v>
      </c>
      <c r="P33" s="54">
        <f t="shared" si="2"/>
        <v>-3</v>
      </c>
      <c r="Q33" s="73">
        <f t="shared" si="3"/>
        <v>-0.25</v>
      </c>
      <c r="R33">
        <v>96</v>
      </c>
      <c r="S33" s="54">
        <f t="shared" si="4"/>
        <v>1.9479166666666667</v>
      </c>
      <c r="T33" s="9">
        <f>527+52</f>
        <v>579</v>
      </c>
      <c r="U33" s="9">
        <f>295+24</f>
        <v>319</v>
      </c>
      <c r="V33" s="54">
        <f t="shared" si="5"/>
        <v>48.25</v>
      </c>
      <c r="W33" s="54">
        <f t="shared" si="6"/>
        <v>45.571428571428569</v>
      </c>
      <c r="Y33" s="49">
        <v>32</v>
      </c>
      <c r="Z33" s="48">
        <f t="shared" si="7"/>
        <v>32</v>
      </c>
      <c r="AA33" s="36">
        <f t="shared" si="8"/>
        <v>0.52633355714994434</v>
      </c>
      <c r="AB33" s="34">
        <f t="shared" si="9"/>
        <v>0.58333333333333337</v>
      </c>
      <c r="AC33" s="34">
        <f t="shared" si="10"/>
        <v>0.55555555555555558</v>
      </c>
      <c r="AD33" s="34">
        <f t="shared" si="11"/>
        <v>0.47222222222222232</v>
      </c>
      <c r="AE33" s="34">
        <f t="shared" si="12"/>
        <v>0.46489563567362424</v>
      </c>
      <c r="AF33" s="34">
        <f t="shared" si="13"/>
        <v>0.47448979591836726</v>
      </c>
      <c r="AG33" s="34">
        <f t="shared" si="14"/>
        <v>0.54673696996466425</v>
      </c>
      <c r="AH33" s="34">
        <f t="shared" si="15"/>
        <v>0.44720496894409933</v>
      </c>
      <c r="AI33" s="34">
        <f t="shared" si="16"/>
        <v>0.57485714285714296</v>
      </c>
      <c r="AK33" s="35">
        <v>0.52633355714994434</v>
      </c>
      <c r="AL33">
        <v>65</v>
      </c>
      <c r="AM33">
        <f t="shared" si="17"/>
        <v>65</v>
      </c>
    </row>
    <row r="34" spans="1:39" x14ac:dyDescent="0.35">
      <c r="A34" t="s">
        <v>231</v>
      </c>
      <c r="B34" s="16" t="s">
        <v>144</v>
      </c>
      <c r="C34" s="16" t="s">
        <v>161</v>
      </c>
      <c r="D34" s="16" t="s">
        <v>60</v>
      </c>
      <c r="F34">
        <v>7</v>
      </c>
      <c r="G34">
        <v>6</v>
      </c>
      <c r="I34">
        <v>6</v>
      </c>
      <c r="J34">
        <v>3</v>
      </c>
      <c r="L34">
        <f>184+11</f>
        <v>195</v>
      </c>
      <c r="M34">
        <f>162+21</f>
        <v>183</v>
      </c>
      <c r="N34" s="73">
        <f t="shared" ref="N34:N65" si="18">L34/(F34+G34)</f>
        <v>15</v>
      </c>
      <c r="O34" s="73">
        <f t="shared" ref="O34:O65" si="19">M34/(F34+G34)</f>
        <v>14.076923076923077</v>
      </c>
      <c r="P34" s="54">
        <f t="shared" ref="P34:P65" si="20">L34-M34</f>
        <v>12</v>
      </c>
      <c r="Q34" s="73">
        <f t="shared" ref="Q34:Q65" si="21">P34/(F34+G34)</f>
        <v>0.92307692307692313</v>
      </c>
      <c r="R34">
        <v>107</v>
      </c>
      <c r="S34" s="54">
        <f t="shared" ref="S34:S65" si="22">L34/R34</f>
        <v>1.8224299065420562</v>
      </c>
      <c r="T34" s="9">
        <f>614+6</f>
        <v>620</v>
      </c>
      <c r="U34" s="9">
        <f>300+84</f>
        <v>384</v>
      </c>
      <c r="V34" s="54">
        <f t="shared" ref="V34:V65" si="23">T34/(F34+G34)</f>
        <v>47.692307692307693</v>
      </c>
      <c r="W34" s="54">
        <f t="shared" ref="W34:W65" si="24">IF(F34&gt;0, (U34/F34), 100)</f>
        <v>54.857142857142854</v>
      </c>
      <c r="X34" s="47">
        <v>4</v>
      </c>
      <c r="Y34" s="49">
        <v>33</v>
      </c>
      <c r="Z34" s="48">
        <f t="shared" ref="Z34:Z65" si="25">_xlfn.RANK.EQ(AA34,AA:AA, 0)</f>
        <v>33</v>
      </c>
      <c r="AA34" s="36">
        <f t="shared" ref="AA34:AA65" si="26">((AB34*1.25)+(AC34*0.65)+(AD34*0.5)+(AE34*0.5)+(AF34*0.4)+(AG34*0.4)+(AH34*0.65)+(AI34*0.65)+((X34/LARGE(X:X,1))*0.2))/5</f>
        <v>0.52275858717999013</v>
      </c>
      <c r="AB34" s="34">
        <f t="shared" ref="AB34:AB65" si="27">(F34/(F34+G34))</f>
        <v>0.53846153846153844</v>
      </c>
      <c r="AC34" s="34">
        <f t="shared" ref="AC34:AC65" si="28">(I34/(I34+J34))</f>
        <v>0.66666666666666663</v>
      </c>
      <c r="AD34" s="34">
        <f t="shared" ref="AD34:AD65" si="29">(N34-(SMALL(N:N, 1)))/((LARGE(N:N, 1))-(SMALL(N:N, 1)))</f>
        <v>0.40740740740740744</v>
      </c>
      <c r="AE34" s="34">
        <f t="shared" ref="AE34:AE65" si="30">1-(O34-SMALL(O:O,1))/(LARGE(O:O,1)-SMALL(O:O,1))</f>
        <v>0.66486644285505769</v>
      </c>
      <c r="AF34" s="34">
        <f t="shared" ref="AF34:AF65" si="31">(Q34-SMALL(Q:Q,1))/(LARGE(Q:Q,1)-SMALL(Q:Q,1))</f>
        <v>0.54631083202511765</v>
      </c>
      <c r="AG34" s="34">
        <f t="shared" ref="AG34:AG65" si="32">(S34-SMALL(S:S,1))/(LARGE(S:S,1)-SMALL(S:S,1))</f>
        <v>0.39542122122783263</v>
      </c>
      <c r="AH34" s="34">
        <f t="shared" ref="AH34:AH65" si="33">1-(V34-SMALL(V:V,1))/(LARGE(V:V,1)-SMALL(V:V,1))</f>
        <v>0.46106067845198273</v>
      </c>
      <c r="AI34" s="34">
        <f t="shared" ref="AI34:AI65" si="34">1-(W34-SMALL(W:W,1))/(LARGE(W:W,1)-SMALL(W:W,1))</f>
        <v>0.42628571428571438</v>
      </c>
      <c r="AK34" s="35">
        <v>0.52275858717999013</v>
      </c>
      <c r="AL34">
        <v>64</v>
      </c>
      <c r="AM34">
        <f t="shared" ref="AM34:AM65" si="35">AL34+X34</f>
        <v>68</v>
      </c>
    </row>
    <row r="35" spans="1:39" x14ac:dyDescent="0.35">
      <c r="A35" t="s">
        <v>248</v>
      </c>
      <c r="B35" s="17" t="s">
        <v>171</v>
      </c>
      <c r="C35" s="17" t="s">
        <v>162</v>
      </c>
      <c r="D35" s="17" t="s">
        <v>145</v>
      </c>
      <c r="F35">
        <v>7</v>
      </c>
      <c r="G35">
        <v>5</v>
      </c>
      <c r="I35">
        <v>6</v>
      </c>
      <c r="J35">
        <v>3</v>
      </c>
      <c r="L35">
        <v>196</v>
      </c>
      <c r="M35">
        <v>191</v>
      </c>
      <c r="N35" s="73">
        <f t="shared" si="18"/>
        <v>16.333333333333332</v>
      </c>
      <c r="O35" s="73">
        <f t="shared" si="19"/>
        <v>15.916666666666666</v>
      </c>
      <c r="P35" s="54">
        <f t="shared" si="20"/>
        <v>5</v>
      </c>
      <c r="Q35" s="73">
        <f t="shared" si="21"/>
        <v>0.41666666666666669</v>
      </c>
      <c r="R35">
        <v>112</v>
      </c>
      <c r="S35" s="54">
        <f t="shared" si="22"/>
        <v>1.75</v>
      </c>
      <c r="T35" s="9">
        <f>560+18</f>
        <v>578</v>
      </c>
      <c r="U35" s="9">
        <f>335+18</f>
        <v>353</v>
      </c>
      <c r="V35" s="54">
        <f t="shared" si="23"/>
        <v>48.166666666666664</v>
      </c>
      <c r="W35" s="54">
        <f t="shared" si="24"/>
        <v>50.428571428571431</v>
      </c>
      <c r="Y35" s="49">
        <v>34</v>
      </c>
      <c r="Z35" s="48">
        <f t="shared" si="25"/>
        <v>34</v>
      </c>
      <c r="AA35" s="36">
        <f t="shared" si="26"/>
        <v>0.52250185395498217</v>
      </c>
      <c r="AB35" s="34">
        <f t="shared" si="27"/>
        <v>0.58333333333333337</v>
      </c>
      <c r="AC35" s="34">
        <f t="shared" si="28"/>
        <v>0.66666666666666663</v>
      </c>
      <c r="AD35" s="34">
        <f t="shared" si="29"/>
        <v>0.55555555555555547</v>
      </c>
      <c r="AE35" s="34">
        <f t="shared" si="30"/>
        <v>0.45540796963946883</v>
      </c>
      <c r="AF35" s="34">
        <f t="shared" si="31"/>
        <v>0.51530612244897944</v>
      </c>
      <c r="AG35" s="34">
        <f t="shared" si="32"/>
        <v>0.30808303886925786</v>
      </c>
      <c r="AH35" s="34">
        <f t="shared" si="33"/>
        <v>0.44927536231884069</v>
      </c>
      <c r="AI35" s="34">
        <f t="shared" si="34"/>
        <v>0.49714285714285711</v>
      </c>
      <c r="AK35" s="35">
        <v>0.52250185395498217</v>
      </c>
      <c r="AL35">
        <v>63</v>
      </c>
      <c r="AM35">
        <f t="shared" si="35"/>
        <v>63</v>
      </c>
    </row>
    <row r="36" spans="1:39" x14ac:dyDescent="0.35">
      <c r="A36" t="s">
        <v>235</v>
      </c>
      <c r="B36" s="17" t="s">
        <v>171</v>
      </c>
      <c r="C36" s="17" t="s">
        <v>163</v>
      </c>
      <c r="D36" s="17" t="s">
        <v>50</v>
      </c>
      <c r="F36">
        <v>7</v>
      </c>
      <c r="G36">
        <v>5</v>
      </c>
      <c r="I36">
        <v>5</v>
      </c>
      <c r="J36">
        <v>4</v>
      </c>
      <c r="L36">
        <v>176</v>
      </c>
      <c r="M36">
        <v>176</v>
      </c>
      <c r="N36" s="73">
        <f t="shared" si="18"/>
        <v>14.666666666666666</v>
      </c>
      <c r="O36" s="73">
        <f t="shared" si="19"/>
        <v>14.666666666666666</v>
      </c>
      <c r="P36" s="54">
        <f t="shared" si="20"/>
        <v>0</v>
      </c>
      <c r="Q36" s="73">
        <f t="shared" si="21"/>
        <v>0</v>
      </c>
      <c r="R36">
        <v>97</v>
      </c>
      <c r="S36" s="54">
        <f t="shared" si="22"/>
        <v>1.8144329896907216</v>
      </c>
      <c r="T36" s="9">
        <f>467+73</f>
        <v>540</v>
      </c>
      <c r="U36" s="9">
        <f>281+73</f>
        <v>354</v>
      </c>
      <c r="V36" s="54">
        <f t="shared" si="23"/>
        <v>45</v>
      </c>
      <c r="W36" s="54">
        <f t="shared" si="24"/>
        <v>50.571428571428569</v>
      </c>
      <c r="Y36" s="49">
        <v>35</v>
      </c>
      <c r="Z36" s="48">
        <f t="shared" si="25"/>
        <v>35</v>
      </c>
      <c r="AA36" s="36">
        <f t="shared" si="26"/>
        <v>0.51787579469107159</v>
      </c>
      <c r="AB36" s="34">
        <f t="shared" si="27"/>
        <v>0.58333333333333337</v>
      </c>
      <c r="AC36" s="34">
        <f t="shared" si="28"/>
        <v>0.55555555555555558</v>
      </c>
      <c r="AD36" s="34">
        <f t="shared" si="29"/>
        <v>0.37037037037037029</v>
      </c>
      <c r="AE36" s="34">
        <f t="shared" si="30"/>
        <v>0.59772296015180282</v>
      </c>
      <c r="AF36" s="34">
        <f t="shared" si="31"/>
        <v>0.48979591836734687</v>
      </c>
      <c r="AG36" s="34">
        <f t="shared" si="32"/>
        <v>0.38577829587264567</v>
      </c>
      <c r="AH36" s="34">
        <f t="shared" si="33"/>
        <v>0.52795031055900621</v>
      </c>
      <c r="AI36" s="34">
        <f t="shared" si="34"/>
        <v>0.49485714285714288</v>
      </c>
      <c r="AK36" s="35">
        <v>0.51787579469107159</v>
      </c>
      <c r="AL36">
        <v>62</v>
      </c>
      <c r="AM36">
        <f t="shared" si="35"/>
        <v>62</v>
      </c>
    </row>
    <row r="37" spans="1:39" x14ac:dyDescent="0.35">
      <c r="A37" t="s">
        <v>277</v>
      </c>
      <c r="B37" s="21" t="s">
        <v>173</v>
      </c>
      <c r="C37" s="21" t="s">
        <v>167</v>
      </c>
      <c r="D37" s="21" t="s">
        <v>292</v>
      </c>
      <c r="F37">
        <v>6</v>
      </c>
      <c r="G37">
        <v>6</v>
      </c>
      <c r="I37">
        <v>3</v>
      </c>
      <c r="J37">
        <v>6</v>
      </c>
      <c r="L37">
        <v>196</v>
      </c>
      <c r="M37">
        <f>165+21</f>
        <v>186</v>
      </c>
      <c r="N37" s="73">
        <f t="shared" si="18"/>
        <v>16.333333333333332</v>
      </c>
      <c r="O37" s="73">
        <f t="shared" si="19"/>
        <v>15.5</v>
      </c>
      <c r="P37" s="54">
        <f t="shared" si="20"/>
        <v>10</v>
      </c>
      <c r="Q37" s="73">
        <f t="shared" si="21"/>
        <v>0.83333333333333337</v>
      </c>
      <c r="R37">
        <v>109</v>
      </c>
      <c r="S37" s="54">
        <f t="shared" si="22"/>
        <v>1.798165137614679</v>
      </c>
      <c r="T37" s="9">
        <f>451+5</f>
        <v>456</v>
      </c>
      <c r="U37" s="9">
        <f>189+77</f>
        <v>266</v>
      </c>
      <c r="V37" s="54">
        <f t="shared" si="23"/>
        <v>38</v>
      </c>
      <c r="W37" s="54">
        <f t="shared" si="24"/>
        <v>44.333333333333336</v>
      </c>
      <c r="Y37" s="49">
        <v>36</v>
      </c>
      <c r="Z37" s="48">
        <f t="shared" si="25"/>
        <v>36</v>
      </c>
      <c r="AA37" s="36">
        <f t="shared" si="26"/>
        <v>0.51528068972232177</v>
      </c>
      <c r="AB37" s="34">
        <f t="shared" si="27"/>
        <v>0.5</v>
      </c>
      <c r="AC37" s="34">
        <f t="shared" si="28"/>
        <v>0.33333333333333331</v>
      </c>
      <c r="AD37" s="34">
        <f t="shared" si="29"/>
        <v>0.55555555555555547</v>
      </c>
      <c r="AE37" s="34">
        <f t="shared" si="30"/>
        <v>0.50284629981024676</v>
      </c>
      <c r="AF37" s="34">
        <f t="shared" si="31"/>
        <v>0.54081632653061218</v>
      </c>
      <c r="AG37" s="34">
        <f t="shared" si="32"/>
        <v>0.36616202548059784</v>
      </c>
      <c r="AH37" s="34">
        <f t="shared" si="33"/>
        <v>0.70186335403726707</v>
      </c>
      <c r="AI37" s="34">
        <f t="shared" si="34"/>
        <v>0.59466666666666668</v>
      </c>
      <c r="AK37" s="35">
        <v>0.51528068972232177</v>
      </c>
      <c r="AL37">
        <v>61</v>
      </c>
      <c r="AM37">
        <f t="shared" si="35"/>
        <v>61</v>
      </c>
    </row>
    <row r="38" spans="1:39" x14ac:dyDescent="0.35">
      <c r="A38" t="s">
        <v>222</v>
      </c>
      <c r="B38" s="16" t="s">
        <v>144</v>
      </c>
      <c r="C38" s="16" t="s">
        <v>160</v>
      </c>
      <c r="D38" s="16" t="s">
        <v>114</v>
      </c>
      <c r="F38">
        <v>5</v>
      </c>
      <c r="G38">
        <v>7</v>
      </c>
      <c r="I38">
        <v>4</v>
      </c>
      <c r="J38">
        <v>5</v>
      </c>
      <c r="L38">
        <v>201</v>
      </c>
      <c r="M38">
        <f>157+14</f>
        <v>171</v>
      </c>
      <c r="N38" s="73">
        <f t="shared" si="18"/>
        <v>16.75</v>
      </c>
      <c r="O38" s="73">
        <f t="shared" si="19"/>
        <v>14.25</v>
      </c>
      <c r="P38" s="54">
        <f t="shared" si="20"/>
        <v>30</v>
      </c>
      <c r="Q38" s="73">
        <f t="shared" si="21"/>
        <v>2.5</v>
      </c>
      <c r="R38">
        <v>110</v>
      </c>
      <c r="S38" s="54">
        <f t="shared" si="22"/>
        <v>1.8272727272727274</v>
      </c>
      <c r="T38" s="9">
        <f>430+37</f>
        <v>467</v>
      </c>
      <c r="U38" s="9">
        <f>186+89</f>
        <v>275</v>
      </c>
      <c r="V38" s="54">
        <f t="shared" si="23"/>
        <v>38.916666666666664</v>
      </c>
      <c r="W38" s="54">
        <f t="shared" si="24"/>
        <v>55</v>
      </c>
      <c r="Y38" s="49">
        <v>37</v>
      </c>
      <c r="Z38" s="48">
        <f t="shared" si="25"/>
        <v>37</v>
      </c>
      <c r="AA38" s="36">
        <f t="shared" si="26"/>
        <v>0.51357677091997334</v>
      </c>
      <c r="AB38" s="34">
        <f t="shared" si="27"/>
        <v>0.41666666666666669</v>
      </c>
      <c r="AC38" s="34">
        <f t="shared" si="28"/>
        <v>0.44444444444444442</v>
      </c>
      <c r="AD38" s="34">
        <f t="shared" si="29"/>
        <v>0.60185185185185186</v>
      </c>
      <c r="AE38" s="34">
        <f t="shared" si="30"/>
        <v>0.64516129032258074</v>
      </c>
      <c r="AF38" s="34">
        <f t="shared" si="31"/>
        <v>0.64285714285714279</v>
      </c>
      <c r="AG38" s="34">
        <f t="shared" si="32"/>
        <v>0.40126084163186637</v>
      </c>
      <c r="AH38" s="34">
        <f t="shared" si="33"/>
        <v>0.67908902691511397</v>
      </c>
      <c r="AI38" s="34">
        <f t="shared" si="34"/>
        <v>0.42400000000000004</v>
      </c>
      <c r="AK38" s="35">
        <v>0.51357677091997334</v>
      </c>
      <c r="AL38">
        <v>60</v>
      </c>
      <c r="AM38">
        <f t="shared" si="35"/>
        <v>60</v>
      </c>
    </row>
    <row r="39" spans="1:39" x14ac:dyDescent="0.35">
      <c r="A39" t="s">
        <v>245</v>
      </c>
      <c r="B39" s="17" t="s">
        <v>171</v>
      </c>
      <c r="C39" s="17" t="s">
        <v>162</v>
      </c>
      <c r="D39" s="17" t="s">
        <v>118</v>
      </c>
      <c r="F39">
        <v>7</v>
      </c>
      <c r="G39">
        <v>5</v>
      </c>
      <c r="I39">
        <v>5</v>
      </c>
      <c r="J39">
        <v>4</v>
      </c>
      <c r="L39">
        <f>153+22</f>
        <v>175</v>
      </c>
      <c r="M39">
        <f>170+10</f>
        <v>180</v>
      </c>
      <c r="N39" s="73">
        <f t="shared" si="18"/>
        <v>14.583333333333334</v>
      </c>
      <c r="O39" s="73">
        <f t="shared" si="19"/>
        <v>15</v>
      </c>
      <c r="P39" s="54">
        <f t="shared" si="20"/>
        <v>-5</v>
      </c>
      <c r="Q39" s="73">
        <f t="shared" si="21"/>
        <v>-0.41666666666666669</v>
      </c>
      <c r="R39">
        <f>88+11</f>
        <v>99</v>
      </c>
      <c r="S39" s="54">
        <f t="shared" si="22"/>
        <v>1.7676767676767677</v>
      </c>
      <c r="T39" s="9">
        <f>473+75</f>
        <v>548</v>
      </c>
      <c r="U39" s="9">
        <f>279+75</f>
        <v>354</v>
      </c>
      <c r="V39" s="54">
        <f t="shared" si="23"/>
        <v>45.666666666666664</v>
      </c>
      <c r="W39" s="54">
        <f t="shared" si="24"/>
        <v>50.571428571428569</v>
      </c>
      <c r="Y39" s="49">
        <v>38</v>
      </c>
      <c r="Z39" s="48">
        <f t="shared" si="25"/>
        <v>38</v>
      </c>
      <c r="AA39" s="36">
        <f t="shared" si="26"/>
        <v>0.50445037104603152</v>
      </c>
      <c r="AB39" s="34">
        <f t="shared" si="27"/>
        <v>0.58333333333333337</v>
      </c>
      <c r="AC39" s="34">
        <f t="shared" si="28"/>
        <v>0.55555555555555558</v>
      </c>
      <c r="AD39" s="34">
        <f t="shared" si="29"/>
        <v>0.36111111111111116</v>
      </c>
      <c r="AE39" s="34">
        <f t="shared" si="30"/>
        <v>0.5597722960151803</v>
      </c>
      <c r="AF39" s="34">
        <f t="shared" si="31"/>
        <v>0.46428571428571419</v>
      </c>
      <c r="AG39" s="34">
        <f t="shared" si="32"/>
        <v>0.32939822250776313</v>
      </c>
      <c r="AH39" s="34">
        <f t="shared" si="33"/>
        <v>0.51138716356107672</v>
      </c>
      <c r="AI39" s="34">
        <f t="shared" si="34"/>
        <v>0.49485714285714288</v>
      </c>
      <c r="AK39" s="35">
        <v>0.50445037104603152</v>
      </c>
      <c r="AL39">
        <v>59</v>
      </c>
      <c r="AM39">
        <f t="shared" si="35"/>
        <v>59</v>
      </c>
    </row>
    <row r="40" spans="1:39" x14ac:dyDescent="0.35">
      <c r="A40" t="s">
        <v>272</v>
      </c>
      <c r="B40" s="21" t="s">
        <v>173</v>
      </c>
      <c r="C40" s="21" t="s">
        <v>166</v>
      </c>
      <c r="D40" s="21" t="s">
        <v>33</v>
      </c>
      <c r="F40">
        <v>6</v>
      </c>
      <c r="G40">
        <v>6</v>
      </c>
      <c r="I40">
        <v>4</v>
      </c>
      <c r="J40">
        <v>5</v>
      </c>
      <c r="L40">
        <v>186</v>
      </c>
      <c r="M40">
        <f>194+21</f>
        <v>215</v>
      </c>
      <c r="N40" s="73">
        <f t="shared" si="18"/>
        <v>15.5</v>
      </c>
      <c r="O40" s="73">
        <f t="shared" si="19"/>
        <v>17.916666666666668</v>
      </c>
      <c r="P40" s="54">
        <f t="shared" si="20"/>
        <v>-29</v>
      </c>
      <c r="Q40" s="73">
        <f t="shared" si="21"/>
        <v>-2.4166666666666665</v>
      </c>
      <c r="R40">
        <v>100</v>
      </c>
      <c r="S40" s="54">
        <f t="shared" si="22"/>
        <v>1.86</v>
      </c>
      <c r="T40" s="9">
        <f>484+7</f>
        <v>491</v>
      </c>
      <c r="U40" s="9">
        <f>180+3</f>
        <v>183</v>
      </c>
      <c r="V40" s="54">
        <f t="shared" si="23"/>
        <v>40.916666666666664</v>
      </c>
      <c r="W40" s="54">
        <f t="shared" si="24"/>
        <v>30.5</v>
      </c>
      <c r="Y40" s="49">
        <v>39</v>
      </c>
      <c r="Z40" s="48">
        <f t="shared" si="25"/>
        <v>39</v>
      </c>
      <c r="AA40" s="36">
        <f t="shared" si="26"/>
        <v>0.50235130803136541</v>
      </c>
      <c r="AB40" s="34">
        <f t="shared" si="27"/>
        <v>0.5</v>
      </c>
      <c r="AC40" s="34">
        <f t="shared" si="28"/>
        <v>0.44444444444444442</v>
      </c>
      <c r="AD40" s="34">
        <f t="shared" si="29"/>
        <v>0.46296296296296297</v>
      </c>
      <c r="AE40" s="34">
        <f t="shared" si="30"/>
        <v>0.22770398481973431</v>
      </c>
      <c r="AF40" s="34">
        <f t="shared" si="31"/>
        <v>0.34183673469387754</v>
      </c>
      <c r="AG40" s="34">
        <f t="shared" si="32"/>
        <v>0.4407243816254417</v>
      </c>
      <c r="AH40" s="34">
        <f t="shared" si="33"/>
        <v>0.62939958592132506</v>
      </c>
      <c r="AI40" s="34">
        <f t="shared" si="34"/>
        <v>0.81600000000000006</v>
      </c>
      <c r="AK40" s="35">
        <v>0.50235130803136541</v>
      </c>
      <c r="AL40">
        <v>58</v>
      </c>
      <c r="AM40">
        <f t="shared" si="35"/>
        <v>58</v>
      </c>
    </row>
    <row r="41" spans="1:39" x14ac:dyDescent="0.35">
      <c r="A41" t="s">
        <v>811</v>
      </c>
      <c r="B41" s="58" t="s">
        <v>799</v>
      </c>
      <c r="C41" s="58" t="s">
        <v>817</v>
      </c>
      <c r="D41" s="58" t="s">
        <v>794</v>
      </c>
      <c r="F41" s="46">
        <v>9</v>
      </c>
      <c r="G41" s="46">
        <v>3</v>
      </c>
      <c r="H41" s="46"/>
      <c r="I41" s="46">
        <v>6</v>
      </c>
      <c r="J41" s="46">
        <v>3</v>
      </c>
      <c r="K41" s="46"/>
      <c r="L41" s="46">
        <f>185+9</f>
        <v>194</v>
      </c>
      <c r="M41" s="46">
        <f>163+8</f>
        <v>171</v>
      </c>
      <c r="N41" s="73">
        <f t="shared" si="18"/>
        <v>16.166666666666668</v>
      </c>
      <c r="O41" s="73">
        <f t="shared" si="19"/>
        <v>14.25</v>
      </c>
      <c r="P41" s="54">
        <f t="shared" si="20"/>
        <v>23</v>
      </c>
      <c r="Q41" s="73">
        <f t="shared" si="21"/>
        <v>1.9166666666666667</v>
      </c>
      <c r="R41" s="46">
        <v>104</v>
      </c>
      <c r="S41" s="54">
        <f t="shared" si="22"/>
        <v>1.8653846153846154</v>
      </c>
      <c r="T41" s="9">
        <f>750+45</f>
        <v>795</v>
      </c>
      <c r="U41">
        <f>583+45</f>
        <v>628</v>
      </c>
      <c r="V41" s="54">
        <f t="shared" si="23"/>
        <v>66.25</v>
      </c>
      <c r="W41" s="54">
        <f t="shared" si="24"/>
        <v>69.777777777777771</v>
      </c>
      <c r="Y41" s="49">
        <v>40</v>
      </c>
      <c r="Z41" s="48">
        <f t="shared" si="25"/>
        <v>40</v>
      </c>
      <c r="AA41" s="36">
        <f t="shared" si="26"/>
        <v>0.50111753535528991</v>
      </c>
      <c r="AB41" s="34">
        <f t="shared" si="27"/>
        <v>0.75</v>
      </c>
      <c r="AC41" s="34">
        <f t="shared" si="28"/>
        <v>0.66666666666666663</v>
      </c>
      <c r="AD41" s="34">
        <f t="shared" si="29"/>
        <v>0.5370370370370372</v>
      </c>
      <c r="AE41" s="34">
        <f t="shared" si="30"/>
        <v>0.64516129032258074</v>
      </c>
      <c r="AF41" s="34">
        <f t="shared" si="31"/>
        <v>0.60714285714285698</v>
      </c>
      <c r="AG41" s="34">
        <f t="shared" si="32"/>
        <v>0.44721731448763241</v>
      </c>
      <c r="AH41" s="34">
        <f t="shared" si="33"/>
        <v>0</v>
      </c>
      <c r="AI41" s="34">
        <f t="shared" si="34"/>
        <v>0.1875555555555557</v>
      </c>
      <c r="AK41" s="35">
        <v>0.50111753535528991</v>
      </c>
      <c r="AL41">
        <v>57</v>
      </c>
      <c r="AM41">
        <f t="shared" si="35"/>
        <v>57</v>
      </c>
    </row>
    <row r="42" spans="1:39" x14ac:dyDescent="0.35">
      <c r="A42" t="s">
        <v>211</v>
      </c>
      <c r="B42" s="15" t="s">
        <v>143</v>
      </c>
      <c r="C42" s="15" t="s">
        <v>159</v>
      </c>
      <c r="D42" s="15" t="s">
        <v>82</v>
      </c>
      <c r="F42">
        <v>7</v>
      </c>
      <c r="G42">
        <v>5</v>
      </c>
      <c r="I42">
        <v>4</v>
      </c>
      <c r="J42">
        <v>5</v>
      </c>
      <c r="L42">
        <f>171+18</f>
        <v>189</v>
      </c>
      <c r="M42">
        <f>172+11</f>
        <v>183</v>
      </c>
      <c r="N42" s="73">
        <f t="shared" si="18"/>
        <v>15.75</v>
      </c>
      <c r="O42" s="73">
        <f t="shared" si="19"/>
        <v>15.25</v>
      </c>
      <c r="P42" s="54">
        <f t="shared" si="20"/>
        <v>6</v>
      </c>
      <c r="Q42" s="73">
        <f t="shared" si="21"/>
        <v>0.5</v>
      </c>
      <c r="R42">
        <v>100</v>
      </c>
      <c r="S42" s="54">
        <f t="shared" si="22"/>
        <v>1.89</v>
      </c>
      <c r="T42" s="9">
        <f>604+25</f>
        <v>629</v>
      </c>
      <c r="U42" s="9">
        <f>322+25</f>
        <v>347</v>
      </c>
      <c r="V42" s="54">
        <f t="shared" si="23"/>
        <v>52.416666666666664</v>
      </c>
      <c r="W42" s="54">
        <f t="shared" si="24"/>
        <v>49.571428571428569</v>
      </c>
      <c r="Y42" s="49">
        <v>41</v>
      </c>
      <c r="Z42" s="48">
        <f t="shared" si="25"/>
        <v>41</v>
      </c>
      <c r="AA42" s="36">
        <f t="shared" si="26"/>
        <v>0.49669122909892227</v>
      </c>
      <c r="AB42" s="34">
        <f t="shared" si="27"/>
        <v>0.58333333333333337</v>
      </c>
      <c r="AC42" s="34">
        <f t="shared" si="28"/>
        <v>0.44444444444444442</v>
      </c>
      <c r="AD42" s="34">
        <f t="shared" si="29"/>
        <v>0.49074074074074076</v>
      </c>
      <c r="AE42" s="34">
        <f t="shared" si="30"/>
        <v>0.53130929791271353</v>
      </c>
      <c r="AF42" s="34">
        <f t="shared" si="31"/>
        <v>0.52040816326530603</v>
      </c>
      <c r="AG42" s="34">
        <f t="shared" si="32"/>
        <v>0.47689929328621883</v>
      </c>
      <c r="AH42" s="34">
        <f t="shared" si="33"/>
        <v>0.34368530020703936</v>
      </c>
      <c r="AI42" s="34">
        <f t="shared" si="34"/>
        <v>0.5108571428571429</v>
      </c>
      <c r="AK42" s="35">
        <v>0.49669122909892227</v>
      </c>
      <c r="AL42">
        <v>56</v>
      </c>
      <c r="AM42">
        <f t="shared" si="35"/>
        <v>56</v>
      </c>
    </row>
    <row r="43" spans="1:39" x14ac:dyDescent="0.35">
      <c r="A43" t="s">
        <v>218</v>
      </c>
      <c r="B43" s="16" t="s">
        <v>144</v>
      </c>
      <c r="C43" s="16" t="s">
        <v>160</v>
      </c>
      <c r="D43" s="16" t="s">
        <v>67</v>
      </c>
      <c r="F43">
        <v>6</v>
      </c>
      <c r="G43">
        <v>6</v>
      </c>
      <c r="I43">
        <v>5</v>
      </c>
      <c r="J43">
        <v>4</v>
      </c>
      <c r="L43">
        <f>177+18</f>
        <v>195</v>
      </c>
      <c r="M43">
        <f>181+15</f>
        <v>196</v>
      </c>
      <c r="N43" s="73">
        <f t="shared" si="18"/>
        <v>16.25</v>
      </c>
      <c r="O43" s="73">
        <f t="shared" si="19"/>
        <v>16.333333333333332</v>
      </c>
      <c r="P43" s="54">
        <f t="shared" si="20"/>
        <v>-1</v>
      </c>
      <c r="Q43" s="73">
        <f t="shared" si="21"/>
        <v>-8.3333333333333329E-2</v>
      </c>
      <c r="R43">
        <v>103</v>
      </c>
      <c r="S43" s="54">
        <f t="shared" si="22"/>
        <v>1.8932038834951457</v>
      </c>
      <c r="T43" s="9">
        <f>586+3</f>
        <v>589</v>
      </c>
      <c r="U43" s="9">
        <f>290+3</f>
        <v>293</v>
      </c>
      <c r="V43" s="54">
        <f t="shared" si="23"/>
        <v>49.083333333333336</v>
      </c>
      <c r="W43" s="54">
        <f t="shared" si="24"/>
        <v>48.833333333333336</v>
      </c>
      <c r="Y43" s="49">
        <v>42</v>
      </c>
      <c r="Z43" s="48">
        <f t="shared" si="25"/>
        <v>42</v>
      </c>
      <c r="AA43" s="36">
        <f t="shared" si="26"/>
        <v>0.49327713791435829</v>
      </c>
      <c r="AB43" s="34">
        <f t="shared" si="27"/>
        <v>0.5</v>
      </c>
      <c r="AC43" s="34">
        <f t="shared" si="28"/>
        <v>0.55555555555555558</v>
      </c>
      <c r="AD43" s="34">
        <f t="shared" si="29"/>
        <v>0.54629629629629639</v>
      </c>
      <c r="AE43" s="34">
        <f t="shared" si="30"/>
        <v>0.40796963946869091</v>
      </c>
      <c r="AF43" s="34">
        <f t="shared" si="31"/>
        <v>0.48469387755102034</v>
      </c>
      <c r="AG43" s="34">
        <f t="shared" si="32"/>
        <v>0.48076263336649622</v>
      </c>
      <c r="AH43" s="34">
        <f t="shared" si="33"/>
        <v>0.42650103519668736</v>
      </c>
      <c r="AI43" s="34">
        <f t="shared" si="34"/>
        <v>0.52266666666666661</v>
      </c>
      <c r="AK43" s="35">
        <v>0.49327713791435829</v>
      </c>
      <c r="AL43">
        <v>55</v>
      </c>
      <c r="AM43">
        <f t="shared" si="35"/>
        <v>55</v>
      </c>
    </row>
    <row r="44" spans="1:39" x14ac:dyDescent="0.35">
      <c r="A44" t="s">
        <v>268</v>
      </c>
      <c r="B44" s="21" t="s">
        <v>173</v>
      </c>
      <c r="C44" s="21" t="s">
        <v>166</v>
      </c>
      <c r="D44" s="21" t="s">
        <v>24</v>
      </c>
      <c r="F44">
        <v>7</v>
      </c>
      <c r="G44">
        <v>5</v>
      </c>
      <c r="I44">
        <v>4</v>
      </c>
      <c r="J44">
        <v>5</v>
      </c>
      <c r="L44">
        <f>175+16</f>
        <v>191</v>
      </c>
      <c r="M44">
        <f>184+14</f>
        <v>198</v>
      </c>
      <c r="N44" s="73">
        <f t="shared" si="18"/>
        <v>15.916666666666666</v>
      </c>
      <c r="O44" s="73">
        <f t="shared" si="19"/>
        <v>16.5</v>
      </c>
      <c r="P44" s="54">
        <f t="shared" si="20"/>
        <v>-7</v>
      </c>
      <c r="Q44" s="73">
        <f t="shared" si="21"/>
        <v>-0.58333333333333337</v>
      </c>
      <c r="R44">
        <v>99</v>
      </c>
      <c r="S44" s="54">
        <f t="shared" si="22"/>
        <v>1.9292929292929293</v>
      </c>
      <c r="T44" s="9">
        <f>529+78</f>
        <v>607</v>
      </c>
      <c r="U44" s="9">
        <f>272+78</f>
        <v>350</v>
      </c>
      <c r="V44" s="54">
        <f t="shared" si="23"/>
        <v>50.583333333333336</v>
      </c>
      <c r="W44" s="54">
        <f t="shared" si="24"/>
        <v>50</v>
      </c>
      <c r="Y44" s="49">
        <v>43</v>
      </c>
      <c r="Z44" s="48">
        <f t="shared" si="25"/>
        <v>43</v>
      </c>
      <c r="AA44" s="36">
        <f t="shared" si="26"/>
        <v>0.48782580458706537</v>
      </c>
      <c r="AB44" s="34">
        <f t="shared" si="27"/>
        <v>0.58333333333333337</v>
      </c>
      <c r="AC44" s="34">
        <f t="shared" si="28"/>
        <v>0.44444444444444442</v>
      </c>
      <c r="AD44" s="34">
        <f t="shared" si="29"/>
        <v>0.50925925925925919</v>
      </c>
      <c r="AE44" s="34">
        <f t="shared" si="30"/>
        <v>0.38899430740037955</v>
      </c>
      <c r="AF44" s="34">
        <f t="shared" si="31"/>
        <v>0.45408163265306117</v>
      </c>
      <c r="AG44" s="34">
        <f t="shared" si="32"/>
        <v>0.52427990148838188</v>
      </c>
      <c r="AH44" s="34">
        <f t="shared" si="33"/>
        <v>0.38923395445134568</v>
      </c>
      <c r="AI44" s="34">
        <f t="shared" si="34"/>
        <v>0.504</v>
      </c>
      <c r="AK44" s="35">
        <v>0.48782580458706537</v>
      </c>
      <c r="AL44">
        <v>54</v>
      </c>
      <c r="AM44">
        <f t="shared" si="35"/>
        <v>54</v>
      </c>
    </row>
    <row r="45" spans="1:39" x14ac:dyDescent="0.35">
      <c r="A45" t="s">
        <v>202</v>
      </c>
      <c r="B45" s="15" t="s">
        <v>143</v>
      </c>
      <c r="C45" s="15" t="s">
        <v>142</v>
      </c>
      <c r="D45" s="15" t="s">
        <v>74</v>
      </c>
      <c r="F45">
        <v>7</v>
      </c>
      <c r="G45">
        <v>5</v>
      </c>
      <c r="H45" s="9"/>
      <c r="I45">
        <v>5</v>
      </c>
      <c r="J45">
        <v>4</v>
      </c>
      <c r="K45" s="9"/>
      <c r="L45">
        <f>183+13</f>
        <v>196</v>
      </c>
      <c r="M45">
        <f>155+16</f>
        <v>171</v>
      </c>
      <c r="N45" s="73">
        <f t="shared" si="18"/>
        <v>16.333333333333332</v>
      </c>
      <c r="O45" s="73">
        <f t="shared" si="19"/>
        <v>14.25</v>
      </c>
      <c r="P45" s="54">
        <f t="shared" si="20"/>
        <v>25</v>
      </c>
      <c r="Q45" s="73">
        <f t="shared" si="21"/>
        <v>2.0833333333333335</v>
      </c>
      <c r="R45">
        <v>104</v>
      </c>
      <c r="S45" s="54">
        <f t="shared" si="22"/>
        <v>1.8846153846153846</v>
      </c>
      <c r="T45" s="9">
        <f>643+54</f>
        <v>697</v>
      </c>
      <c r="U45" s="9">
        <f>411+56</f>
        <v>467</v>
      </c>
      <c r="V45" s="54">
        <f t="shared" si="23"/>
        <v>58.083333333333336</v>
      </c>
      <c r="W45" s="54">
        <f t="shared" si="24"/>
        <v>66.714285714285708</v>
      </c>
      <c r="Y45" s="49">
        <v>44</v>
      </c>
      <c r="Z45" s="48">
        <f t="shared" si="25"/>
        <v>44</v>
      </c>
      <c r="AA45" s="36">
        <f t="shared" si="26"/>
        <v>0.48227860138782086</v>
      </c>
      <c r="AB45" s="34">
        <f t="shared" si="27"/>
        <v>0.58333333333333337</v>
      </c>
      <c r="AC45" s="34">
        <f t="shared" si="28"/>
        <v>0.55555555555555558</v>
      </c>
      <c r="AD45" s="34">
        <f t="shared" si="29"/>
        <v>0.55555555555555547</v>
      </c>
      <c r="AE45" s="34">
        <f t="shared" si="30"/>
        <v>0.64516129032258074</v>
      </c>
      <c r="AF45" s="34">
        <f t="shared" si="31"/>
        <v>0.61734693877551017</v>
      </c>
      <c r="AG45" s="34">
        <f t="shared" si="32"/>
        <v>0.47040636042402811</v>
      </c>
      <c r="AH45" s="34">
        <f t="shared" si="33"/>
        <v>0.20289855072463758</v>
      </c>
      <c r="AI45" s="34">
        <f t="shared" si="34"/>
        <v>0.23657142857142865</v>
      </c>
      <c r="AK45" s="35">
        <v>0.48227860138782086</v>
      </c>
      <c r="AL45">
        <v>53</v>
      </c>
      <c r="AM45">
        <f t="shared" si="35"/>
        <v>53</v>
      </c>
    </row>
    <row r="46" spans="1:39" x14ac:dyDescent="0.35">
      <c r="A46" t="s">
        <v>204</v>
      </c>
      <c r="B46" s="15" t="s">
        <v>143</v>
      </c>
      <c r="C46" s="15" t="s">
        <v>142</v>
      </c>
      <c r="D46" s="15" t="s">
        <v>78</v>
      </c>
      <c r="F46">
        <v>6</v>
      </c>
      <c r="G46">
        <v>6</v>
      </c>
      <c r="H46" s="9"/>
      <c r="I46">
        <v>6</v>
      </c>
      <c r="J46">
        <v>3</v>
      </c>
      <c r="K46" s="9"/>
      <c r="L46">
        <f>156+16</f>
        <v>172</v>
      </c>
      <c r="M46">
        <f>164+13</f>
        <v>177</v>
      </c>
      <c r="N46" s="73">
        <f t="shared" si="18"/>
        <v>14.333333333333334</v>
      </c>
      <c r="O46" s="73">
        <f t="shared" si="19"/>
        <v>14.75</v>
      </c>
      <c r="P46" s="54">
        <f t="shared" si="20"/>
        <v>-5</v>
      </c>
      <c r="Q46" s="73">
        <f t="shared" si="21"/>
        <v>-0.41666666666666669</v>
      </c>
      <c r="R46">
        <v>101</v>
      </c>
      <c r="S46" s="54">
        <f t="shared" si="22"/>
        <v>1.7029702970297029</v>
      </c>
      <c r="T46" s="9">
        <f>533+35</f>
        <v>568</v>
      </c>
      <c r="U46" s="9">
        <f>301+35</f>
        <v>336</v>
      </c>
      <c r="V46" s="54">
        <f t="shared" si="23"/>
        <v>47.333333333333336</v>
      </c>
      <c r="W46" s="54">
        <f t="shared" si="24"/>
        <v>56</v>
      </c>
      <c r="Y46" s="49">
        <v>45</v>
      </c>
      <c r="Z46" s="48">
        <f t="shared" si="25"/>
        <v>45</v>
      </c>
      <c r="AA46" s="36">
        <f t="shared" si="26"/>
        <v>0.47521355055175379</v>
      </c>
      <c r="AB46" s="34">
        <f t="shared" si="27"/>
        <v>0.5</v>
      </c>
      <c r="AC46" s="34">
        <f t="shared" si="28"/>
        <v>0.66666666666666663</v>
      </c>
      <c r="AD46" s="34">
        <f t="shared" si="29"/>
        <v>0.33333333333333343</v>
      </c>
      <c r="AE46" s="34">
        <f t="shared" si="30"/>
        <v>0.58823529411764708</v>
      </c>
      <c r="AF46" s="34">
        <f t="shared" si="31"/>
        <v>0.46428571428571419</v>
      </c>
      <c r="AG46" s="34">
        <f t="shared" si="32"/>
        <v>0.25137319385648799</v>
      </c>
      <c r="AH46" s="34">
        <f t="shared" si="33"/>
        <v>0.46997929606625255</v>
      </c>
      <c r="AI46" s="34">
        <f t="shared" si="34"/>
        <v>0.40800000000000003</v>
      </c>
      <c r="AK46" s="35">
        <v>0.47521355055175379</v>
      </c>
      <c r="AL46">
        <v>52</v>
      </c>
      <c r="AM46">
        <f t="shared" si="35"/>
        <v>52</v>
      </c>
    </row>
    <row r="47" spans="1:39" x14ac:dyDescent="0.35">
      <c r="A47" t="s">
        <v>261</v>
      </c>
      <c r="B47" s="19" t="s">
        <v>172</v>
      </c>
      <c r="C47" s="19" t="s">
        <v>164</v>
      </c>
      <c r="D47" s="19" t="s">
        <v>45</v>
      </c>
      <c r="F47">
        <v>6</v>
      </c>
      <c r="G47">
        <v>6</v>
      </c>
      <c r="I47">
        <v>5</v>
      </c>
      <c r="J47">
        <v>4</v>
      </c>
      <c r="L47">
        <f>144+15</f>
        <v>159</v>
      </c>
      <c r="M47">
        <v>170</v>
      </c>
      <c r="N47" s="73">
        <f t="shared" si="18"/>
        <v>13.25</v>
      </c>
      <c r="O47" s="73">
        <f t="shared" si="19"/>
        <v>14.166666666666666</v>
      </c>
      <c r="P47" s="54">
        <f t="shared" si="20"/>
        <v>-11</v>
      </c>
      <c r="Q47" s="73">
        <f t="shared" si="21"/>
        <v>-0.91666666666666663</v>
      </c>
      <c r="R47">
        <v>80</v>
      </c>
      <c r="S47" s="54">
        <f t="shared" si="22"/>
        <v>1.9875</v>
      </c>
      <c r="T47" s="9">
        <f>497+85</f>
        <v>582</v>
      </c>
      <c r="U47" s="9">
        <f>276+85</f>
        <v>361</v>
      </c>
      <c r="V47" s="54">
        <f t="shared" si="23"/>
        <v>48.5</v>
      </c>
      <c r="W47" s="54">
        <f t="shared" si="24"/>
        <v>60.166666666666664</v>
      </c>
      <c r="Y47" s="49">
        <v>46</v>
      </c>
      <c r="Z47" s="48">
        <f t="shared" si="25"/>
        <v>46</v>
      </c>
      <c r="AA47" s="36">
        <f t="shared" si="26"/>
        <v>0.46793723807982934</v>
      </c>
      <c r="AB47" s="34">
        <f t="shared" si="27"/>
        <v>0.5</v>
      </c>
      <c r="AC47" s="34">
        <f t="shared" si="28"/>
        <v>0.55555555555555558</v>
      </c>
      <c r="AD47" s="34">
        <f t="shared" si="29"/>
        <v>0.21296296296296294</v>
      </c>
      <c r="AE47" s="34">
        <f t="shared" si="30"/>
        <v>0.65464895635673637</v>
      </c>
      <c r="AF47" s="34">
        <f t="shared" si="31"/>
        <v>0.43367346938775503</v>
      </c>
      <c r="AG47" s="34">
        <f t="shared" si="32"/>
        <v>0.59446775618374548</v>
      </c>
      <c r="AH47" s="34">
        <f t="shared" si="33"/>
        <v>0.44099378881987583</v>
      </c>
      <c r="AI47" s="34">
        <f t="shared" si="34"/>
        <v>0.34133333333333338</v>
      </c>
      <c r="AK47" s="35">
        <v>0.46793723807982934</v>
      </c>
      <c r="AL47">
        <v>51</v>
      </c>
      <c r="AM47">
        <f t="shared" si="35"/>
        <v>51</v>
      </c>
    </row>
    <row r="48" spans="1:39" x14ac:dyDescent="0.35">
      <c r="A48" t="s">
        <v>801</v>
      </c>
      <c r="B48" s="58" t="s">
        <v>799</v>
      </c>
      <c r="C48" s="58" t="s">
        <v>816</v>
      </c>
      <c r="D48" s="58" t="s">
        <v>786</v>
      </c>
      <c r="F48">
        <v>8</v>
      </c>
      <c r="G48">
        <v>4</v>
      </c>
      <c r="I48">
        <v>5</v>
      </c>
      <c r="J48">
        <v>4</v>
      </c>
      <c r="L48">
        <v>180</v>
      </c>
      <c r="M48">
        <v>151</v>
      </c>
      <c r="N48" s="73">
        <f t="shared" si="18"/>
        <v>15</v>
      </c>
      <c r="O48" s="73">
        <f t="shared" si="19"/>
        <v>12.583333333333334</v>
      </c>
      <c r="P48" s="54">
        <f t="shared" si="20"/>
        <v>29</v>
      </c>
      <c r="Q48" s="73">
        <f t="shared" si="21"/>
        <v>2.4166666666666665</v>
      </c>
      <c r="R48">
        <v>116</v>
      </c>
      <c r="S48" s="54">
        <f t="shared" si="22"/>
        <v>1.5517241379310345</v>
      </c>
      <c r="T48" s="9">
        <f>681+51</f>
        <v>732</v>
      </c>
      <c r="U48">
        <f>491+51</f>
        <v>542</v>
      </c>
      <c r="V48" s="54">
        <f t="shared" si="23"/>
        <v>61</v>
      </c>
      <c r="W48" s="54">
        <f t="shared" si="24"/>
        <v>67.75</v>
      </c>
      <c r="Y48" s="49">
        <v>47</v>
      </c>
      <c r="Z48" s="48">
        <f t="shared" si="25"/>
        <v>47</v>
      </c>
      <c r="AA48" s="36">
        <f t="shared" si="26"/>
        <v>0.46521769895597709</v>
      </c>
      <c r="AB48" s="34">
        <f t="shared" si="27"/>
        <v>0.66666666666666663</v>
      </c>
      <c r="AC48" s="34">
        <f t="shared" si="28"/>
        <v>0.55555555555555558</v>
      </c>
      <c r="AD48" s="34">
        <f t="shared" si="29"/>
        <v>0.40740740740740744</v>
      </c>
      <c r="AE48" s="34">
        <f t="shared" si="30"/>
        <v>0.83491461100569253</v>
      </c>
      <c r="AF48" s="34">
        <f t="shared" si="31"/>
        <v>0.6377551020408162</v>
      </c>
      <c r="AG48" s="34">
        <f t="shared" si="32"/>
        <v>6.8995979042280928E-2</v>
      </c>
      <c r="AH48" s="34">
        <f t="shared" si="33"/>
        <v>0.13043478260869568</v>
      </c>
      <c r="AI48" s="34">
        <f t="shared" si="34"/>
        <v>0.21999999999999997</v>
      </c>
      <c r="AK48" s="35">
        <v>0.46521769895597709</v>
      </c>
      <c r="AL48">
        <v>50</v>
      </c>
      <c r="AM48">
        <f t="shared" si="35"/>
        <v>50</v>
      </c>
    </row>
    <row r="49" spans="1:39" x14ac:dyDescent="0.35">
      <c r="A49" t="s">
        <v>243</v>
      </c>
      <c r="B49" s="17" t="s">
        <v>171</v>
      </c>
      <c r="C49" s="17" t="s">
        <v>162</v>
      </c>
      <c r="D49" s="17" t="s">
        <v>54</v>
      </c>
      <c r="F49">
        <v>6</v>
      </c>
      <c r="G49">
        <v>6</v>
      </c>
      <c r="I49">
        <v>4</v>
      </c>
      <c r="J49">
        <v>5</v>
      </c>
      <c r="L49">
        <v>188</v>
      </c>
      <c r="M49">
        <v>196</v>
      </c>
      <c r="N49" s="73">
        <f t="shared" si="18"/>
        <v>15.666666666666666</v>
      </c>
      <c r="O49" s="73">
        <f t="shared" si="19"/>
        <v>16.333333333333332</v>
      </c>
      <c r="P49" s="54">
        <f t="shared" si="20"/>
        <v>-8</v>
      </c>
      <c r="Q49" s="73">
        <f t="shared" si="21"/>
        <v>-0.66666666666666663</v>
      </c>
      <c r="R49">
        <v>105</v>
      </c>
      <c r="S49" s="54">
        <f t="shared" si="22"/>
        <v>1.7904761904761906</v>
      </c>
      <c r="T49" s="9">
        <f>530+8</f>
        <v>538</v>
      </c>
      <c r="U49" s="9">
        <f>271+72</f>
        <v>343</v>
      </c>
      <c r="V49" s="54">
        <f t="shared" si="23"/>
        <v>44.833333333333336</v>
      </c>
      <c r="W49" s="54">
        <f t="shared" si="24"/>
        <v>57.166666666666664</v>
      </c>
      <c r="Y49" s="49">
        <v>48</v>
      </c>
      <c r="Z49" s="48">
        <f t="shared" si="25"/>
        <v>48</v>
      </c>
      <c r="AA49" s="36">
        <f t="shared" si="26"/>
        <v>0.45597766995228728</v>
      </c>
      <c r="AB49" s="34">
        <f t="shared" si="27"/>
        <v>0.5</v>
      </c>
      <c r="AC49" s="34">
        <f t="shared" si="28"/>
        <v>0.44444444444444442</v>
      </c>
      <c r="AD49" s="34">
        <f t="shared" si="29"/>
        <v>0.48148148148148145</v>
      </c>
      <c r="AE49" s="34">
        <f t="shared" si="30"/>
        <v>0.40796963946869091</v>
      </c>
      <c r="AF49" s="34">
        <f t="shared" si="31"/>
        <v>0.44897959183673464</v>
      </c>
      <c r="AG49" s="34">
        <f t="shared" si="32"/>
        <v>0.35689045936395758</v>
      </c>
      <c r="AH49" s="34">
        <f t="shared" si="33"/>
        <v>0.53209109730848858</v>
      </c>
      <c r="AI49" s="34">
        <f t="shared" si="34"/>
        <v>0.38933333333333342</v>
      </c>
      <c r="AK49" s="35">
        <v>0.45597766995228728</v>
      </c>
      <c r="AL49">
        <v>49</v>
      </c>
      <c r="AM49">
        <f t="shared" si="35"/>
        <v>49</v>
      </c>
    </row>
    <row r="50" spans="1:39" x14ac:dyDescent="0.35">
      <c r="A50" t="s">
        <v>260</v>
      </c>
      <c r="B50" s="19" t="s">
        <v>172</v>
      </c>
      <c r="C50" s="19" t="s">
        <v>164</v>
      </c>
      <c r="D50" s="19" t="s">
        <v>1859</v>
      </c>
      <c r="F50">
        <v>4</v>
      </c>
      <c r="G50">
        <v>8</v>
      </c>
      <c r="I50">
        <v>3</v>
      </c>
      <c r="J50">
        <v>6</v>
      </c>
      <c r="L50">
        <f>161+17</f>
        <v>178</v>
      </c>
      <c r="M50">
        <f>181+19</f>
        <v>200</v>
      </c>
      <c r="N50" s="73">
        <f t="shared" si="18"/>
        <v>14.833333333333334</v>
      </c>
      <c r="O50" s="73">
        <f t="shared" si="19"/>
        <v>16.666666666666668</v>
      </c>
      <c r="P50" s="54">
        <f t="shared" si="20"/>
        <v>-22</v>
      </c>
      <c r="Q50" s="73">
        <f t="shared" si="21"/>
        <v>-1.8333333333333333</v>
      </c>
      <c r="R50">
        <v>98</v>
      </c>
      <c r="S50" s="54">
        <f t="shared" si="22"/>
        <v>1.8163265306122449</v>
      </c>
      <c r="T50" s="9">
        <f>362+84</f>
        <v>446</v>
      </c>
      <c r="U50" s="9">
        <f>84+57</f>
        <v>141</v>
      </c>
      <c r="V50" s="54">
        <f t="shared" si="23"/>
        <v>37.166666666666664</v>
      </c>
      <c r="W50" s="54">
        <f t="shared" si="24"/>
        <v>35.25</v>
      </c>
      <c r="Y50" s="49">
        <v>49</v>
      </c>
      <c r="Z50" s="48">
        <f t="shared" si="25"/>
        <v>49</v>
      </c>
      <c r="AA50" s="36">
        <f t="shared" si="26"/>
        <v>0.45394020893806786</v>
      </c>
      <c r="AB50" s="34">
        <f t="shared" si="27"/>
        <v>0.33333333333333331</v>
      </c>
      <c r="AC50" s="34">
        <f t="shared" si="28"/>
        <v>0.33333333333333331</v>
      </c>
      <c r="AD50" s="34">
        <f t="shared" si="29"/>
        <v>0.38888888888888895</v>
      </c>
      <c r="AE50" s="34">
        <f t="shared" si="30"/>
        <v>0.37001897533206829</v>
      </c>
      <c r="AF50" s="34">
        <f t="shared" si="31"/>
        <v>0.37755102040816324</v>
      </c>
      <c r="AG50" s="34">
        <f t="shared" si="32"/>
        <v>0.38806158505805144</v>
      </c>
      <c r="AH50" s="34">
        <f t="shared" si="33"/>
        <v>0.72256728778467916</v>
      </c>
      <c r="AI50" s="34">
        <f t="shared" si="34"/>
        <v>0.74</v>
      </c>
      <c r="AK50" s="35">
        <v>0.45394020893806786</v>
      </c>
      <c r="AL50">
        <v>48</v>
      </c>
      <c r="AM50">
        <f t="shared" si="35"/>
        <v>48</v>
      </c>
    </row>
    <row r="51" spans="1:39" x14ac:dyDescent="0.35">
      <c r="A51" t="s">
        <v>810</v>
      </c>
      <c r="B51" s="58" t="s">
        <v>799</v>
      </c>
      <c r="C51" s="58" t="s">
        <v>817</v>
      </c>
      <c r="D51" s="58" t="s">
        <v>790</v>
      </c>
      <c r="F51" s="46">
        <v>6</v>
      </c>
      <c r="G51" s="46">
        <v>6</v>
      </c>
      <c r="H51" s="46"/>
      <c r="I51" s="46">
        <v>5</v>
      </c>
      <c r="J51" s="46">
        <v>4</v>
      </c>
      <c r="K51" s="46"/>
      <c r="L51" s="46">
        <f>187+8</f>
        <v>195</v>
      </c>
      <c r="M51" s="46">
        <f>177+9</f>
        <v>186</v>
      </c>
      <c r="N51" s="73">
        <f t="shared" si="18"/>
        <v>16.25</v>
      </c>
      <c r="O51" s="73">
        <f t="shared" si="19"/>
        <v>15.5</v>
      </c>
      <c r="P51" s="54">
        <f t="shared" si="20"/>
        <v>9</v>
      </c>
      <c r="Q51" s="73">
        <f t="shared" si="21"/>
        <v>0.75</v>
      </c>
      <c r="R51" s="46">
        <v>110</v>
      </c>
      <c r="S51" s="54">
        <f t="shared" si="22"/>
        <v>1.7727272727272727</v>
      </c>
      <c r="T51" s="9">
        <f>592+44</f>
        <v>636</v>
      </c>
      <c r="U51">
        <f>285+92</f>
        <v>377</v>
      </c>
      <c r="V51" s="54">
        <f t="shared" si="23"/>
        <v>53</v>
      </c>
      <c r="W51" s="54">
        <f t="shared" si="24"/>
        <v>62.833333333333336</v>
      </c>
      <c r="Y51" s="49">
        <v>50</v>
      </c>
      <c r="Z51" s="48">
        <f t="shared" si="25"/>
        <v>50</v>
      </c>
      <c r="AA51" s="36">
        <f t="shared" si="26"/>
        <v>0.45345438441065927</v>
      </c>
      <c r="AB51" s="34">
        <f t="shared" si="27"/>
        <v>0.5</v>
      </c>
      <c r="AC51" s="34">
        <f t="shared" si="28"/>
        <v>0.55555555555555558</v>
      </c>
      <c r="AD51" s="34">
        <f t="shared" si="29"/>
        <v>0.54629629629629639</v>
      </c>
      <c r="AE51" s="34">
        <f t="shared" si="30"/>
        <v>0.50284629981024676</v>
      </c>
      <c r="AF51" s="34">
        <f t="shared" si="31"/>
        <v>0.53571428571428559</v>
      </c>
      <c r="AG51" s="34">
        <f t="shared" si="32"/>
        <v>0.33548827497590739</v>
      </c>
      <c r="AH51" s="34">
        <f t="shared" si="33"/>
        <v>0.32919254658385089</v>
      </c>
      <c r="AI51" s="34">
        <f t="shared" si="34"/>
        <v>0.29866666666666664</v>
      </c>
      <c r="AK51" s="35">
        <v>0.45345438441065927</v>
      </c>
      <c r="AL51">
        <v>47</v>
      </c>
      <c r="AM51">
        <f t="shared" si="35"/>
        <v>47</v>
      </c>
    </row>
    <row r="52" spans="1:39" x14ac:dyDescent="0.35">
      <c r="A52" t="s">
        <v>244</v>
      </c>
      <c r="B52" s="17" t="s">
        <v>171</v>
      </c>
      <c r="C52" s="17" t="s">
        <v>162</v>
      </c>
      <c r="D52" s="17" t="s">
        <v>55</v>
      </c>
      <c r="F52">
        <v>7</v>
      </c>
      <c r="G52">
        <v>5</v>
      </c>
      <c r="I52">
        <v>5</v>
      </c>
      <c r="J52">
        <v>4</v>
      </c>
      <c r="L52">
        <f>179+15</f>
        <v>194</v>
      </c>
      <c r="M52">
        <f>159+14</f>
        <v>173</v>
      </c>
      <c r="N52" s="73">
        <f t="shared" si="18"/>
        <v>16.166666666666668</v>
      </c>
      <c r="O52" s="73">
        <f t="shared" si="19"/>
        <v>14.416666666666666</v>
      </c>
      <c r="P52" s="54">
        <f t="shared" si="20"/>
        <v>21</v>
      </c>
      <c r="Q52" s="73">
        <f t="shared" si="21"/>
        <v>1.75</v>
      </c>
      <c r="R52">
        <v>112</v>
      </c>
      <c r="S52" s="54">
        <f t="shared" si="22"/>
        <v>1.7321428571428572</v>
      </c>
      <c r="T52" s="9">
        <f>646+81</f>
        <v>727</v>
      </c>
      <c r="U52" s="9">
        <f>396+81</f>
        <v>477</v>
      </c>
      <c r="V52" s="54">
        <f t="shared" si="23"/>
        <v>60.583333333333336</v>
      </c>
      <c r="W52" s="54">
        <f t="shared" si="24"/>
        <v>68.142857142857139</v>
      </c>
      <c r="Y52" s="49">
        <v>51</v>
      </c>
      <c r="Z52" s="48">
        <f t="shared" si="25"/>
        <v>51</v>
      </c>
      <c r="AA52" s="36">
        <f t="shared" si="26"/>
        <v>0.45114211996962317</v>
      </c>
      <c r="AB52" s="34">
        <f t="shared" si="27"/>
        <v>0.58333333333333337</v>
      </c>
      <c r="AC52" s="34">
        <f t="shared" si="28"/>
        <v>0.55555555555555558</v>
      </c>
      <c r="AD52" s="34">
        <f t="shared" si="29"/>
        <v>0.5370370370370372</v>
      </c>
      <c r="AE52" s="34">
        <f t="shared" si="30"/>
        <v>0.62618595825426948</v>
      </c>
      <c r="AF52" s="34">
        <f t="shared" si="31"/>
        <v>0.59693877551020402</v>
      </c>
      <c r="AG52" s="34">
        <f t="shared" si="32"/>
        <v>0.28655035335689044</v>
      </c>
      <c r="AH52" s="34">
        <f t="shared" si="33"/>
        <v>0.14078674948240155</v>
      </c>
      <c r="AI52" s="34">
        <f t="shared" si="34"/>
        <v>0.21371428571428575</v>
      </c>
      <c r="AK52" s="35">
        <v>0.45114211996962317</v>
      </c>
      <c r="AL52">
        <v>46</v>
      </c>
      <c r="AM52">
        <f t="shared" si="35"/>
        <v>46</v>
      </c>
    </row>
    <row r="53" spans="1:39" x14ac:dyDescent="0.35">
      <c r="A53" t="s">
        <v>210</v>
      </c>
      <c r="B53" s="15" t="s">
        <v>143</v>
      </c>
      <c r="C53" s="15" t="s">
        <v>159</v>
      </c>
      <c r="D53" s="15" t="s">
        <v>84</v>
      </c>
      <c r="F53">
        <v>6</v>
      </c>
      <c r="G53">
        <v>6</v>
      </c>
      <c r="I53">
        <v>4</v>
      </c>
      <c r="J53">
        <v>5</v>
      </c>
      <c r="L53">
        <v>175</v>
      </c>
      <c r="M53">
        <v>186</v>
      </c>
      <c r="N53" s="73">
        <f t="shared" si="18"/>
        <v>14.583333333333334</v>
      </c>
      <c r="O53" s="73">
        <f t="shared" si="19"/>
        <v>15.5</v>
      </c>
      <c r="P53" s="54">
        <f t="shared" si="20"/>
        <v>-11</v>
      </c>
      <c r="Q53" s="73">
        <f t="shared" si="21"/>
        <v>-0.91666666666666663</v>
      </c>
      <c r="R53">
        <v>103</v>
      </c>
      <c r="S53" s="54">
        <f t="shared" si="22"/>
        <v>1.6990291262135921</v>
      </c>
      <c r="T53" s="9">
        <f>529+9</f>
        <v>538</v>
      </c>
      <c r="U53" s="9">
        <f>258+64</f>
        <v>322</v>
      </c>
      <c r="V53" s="54">
        <f t="shared" si="23"/>
        <v>44.833333333333336</v>
      </c>
      <c r="W53" s="54">
        <f t="shared" si="24"/>
        <v>53.666666666666664</v>
      </c>
      <c r="Y53" s="49">
        <v>52</v>
      </c>
      <c r="Z53" s="48">
        <f t="shared" si="25"/>
        <v>52</v>
      </c>
      <c r="AA53" s="36">
        <f t="shared" si="26"/>
        <v>0.45066223722992238</v>
      </c>
      <c r="AB53" s="34">
        <f t="shared" si="27"/>
        <v>0.5</v>
      </c>
      <c r="AC53" s="34">
        <f t="shared" si="28"/>
        <v>0.44444444444444442</v>
      </c>
      <c r="AD53" s="34">
        <f t="shared" si="29"/>
        <v>0.36111111111111116</v>
      </c>
      <c r="AE53" s="34">
        <f t="shared" si="30"/>
        <v>0.50284629981024676</v>
      </c>
      <c r="AF53" s="34">
        <f t="shared" si="31"/>
        <v>0.43367346938775503</v>
      </c>
      <c r="AG53" s="34">
        <f t="shared" si="32"/>
        <v>0.24662081031939329</v>
      </c>
      <c r="AH53" s="34">
        <f t="shared" si="33"/>
        <v>0.53209109730848858</v>
      </c>
      <c r="AI53" s="34">
        <f t="shared" si="34"/>
        <v>0.44533333333333336</v>
      </c>
      <c r="AK53" s="35">
        <v>0.45066223722992238</v>
      </c>
      <c r="AL53">
        <v>45</v>
      </c>
      <c r="AM53">
        <f t="shared" si="35"/>
        <v>45</v>
      </c>
    </row>
    <row r="54" spans="1:39" x14ac:dyDescent="0.35">
      <c r="A54" t="s">
        <v>805</v>
      </c>
      <c r="B54" s="58" t="s">
        <v>799</v>
      </c>
      <c r="C54" s="58" t="s">
        <v>816</v>
      </c>
      <c r="D54" s="58" t="s">
        <v>793</v>
      </c>
      <c r="F54" s="46">
        <v>6</v>
      </c>
      <c r="G54" s="46">
        <v>6</v>
      </c>
      <c r="H54" s="46"/>
      <c r="I54" s="46">
        <v>3</v>
      </c>
      <c r="J54" s="46">
        <v>6</v>
      </c>
      <c r="K54" s="46"/>
      <c r="L54" s="46">
        <f>162+14</f>
        <v>176</v>
      </c>
      <c r="M54" s="46">
        <f>146+16</f>
        <v>162</v>
      </c>
      <c r="N54" s="73">
        <f t="shared" si="18"/>
        <v>14.666666666666666</v>
      </c>
      <c r="O54" s="73">
        <f t="shared" si="19"/>
        <v>13.5</v>
      </c>
      <c r="P54" s="54">
        <f t="shared" si="20"/>
        <v>14</v>
      </c>
      <c r="Q54" s="73">
        <f t="shared" si="21"/>
        <v>1.1666666666666667</v>
      </c>
      <c r="R54">
        <v>94</v>
      </c>
      <c r="S54" s="54">
        <f t="shared" si="22"/>
        <v>1.8723404255319149</v>
      </c>
      <c r="T54" s="9">
        <f>551+92</f>
        <v>643</v>
      </c>
      <c r="U54">
        <f>315+35</f>
        <v>350</v>
      </c>
      <c r="V54" s="54">
        <f t="shared" si="23"/>
        <v>53.583333333333336</v>
      </c>
      <c r="W54" s="54">
        <f t="shared" si="24"/>
        <v>58.333333333333336</v>
      </c>
      <c r="Y54" s="49">
        <v>53</v>
      </c>
      <c r="Z54" s="48">
        <f t="shared" si="25"/>
        <v>53</v>
      </c>
      <c r="AA54" s="36">
        <f t="shared" si="26"/>
        <v>0.44886938510789254</v>
      </c>
      <c r="AB54" s="34">
        <f t="shared" si="27"/>
        <v>0.5</v>
      </c>
      <c r="AC54" s="34">
        <f t="shared" si="28"/>
        <v>0.33333333333333331</v>
      </c>
      <c r="AD54" s="34">
        <f t="shared" si="29"/>
        <v>0.37037037037037029</v>
      </c>
      <c r="AE54" s="34">
        <f t="shared" si="30"/>
        <v>0.73055028462998095</v>
      </c>
      <c r="AF54" s="34">
        <f t="shared" si="31"/>
        <v>0.56122448979591821</v>
      </c>
      <c r="AG54" s="34">
        <f t="shared" si="32"/>
        <v>0.4556048417412224</v>
      </c>
      <c r="AH54" s="34">
        <f t="shared" si="33"/>
        <v>0.31469979296066242</v>
      </c>
      <c r="AI54" s="34">
        <f t="shared" si="34"/>
        <v>0.37066666666666659</v>
      </c>
      <c r="AK54" s="35">
        <v>0.44886938510789254</v>
      </c>
      <c r="AL54">
        <v>44</v>
      </c>
      <c r="AM54">
        <f t="shared" si="35"/>
        <v>44</v>
      </c>
    </row>
    <row r="55" spans="1:39" x14ac:dyDescent="0.35">
      <c r="A55" t="s">
        <v>808</v>
      </c>
      <c r="B55" s="58" t="s">
        <v>799</v>
      </c>
      <c r="C55" s="58" t="s">
        <v>817</v>
      </c>
      <c r="D55" s="58" t="s">
        <v>787</v>
      </c>
      <c r="F55" s="46">
        <v>4</v>
      </c>
      <c r="G55" s="46">
        <v>8</v>
      </c>
      <c r="H55" s="46"/>
      <c r="I55" s="46">
        <v>3</v>
      </c>
      <c r="J55" s="46">
        <v>6</v>
      </c>
      <c r="K55" s="46"/>
      <c r="L55" s="46">
        <f>154+11</f>
        <v>165</v>
      </c>
      <c r="M55" s="46">
        <f>176+20</f>
        <v>196</v>
      </c>
      <c r="N55" s="73">
        <f t="shared" si="18"/>
        <v>13.75</v>
      </c>
      <c r="O55" s="73">
        <f t="shared" si="19"/>
        <v>16.333333333333332</v>
      </c>
      <c r="P55" s="54">
        <f t="shared" si="20"/>
        <v>-31</v>
      </c>
      <c r="Q55" s="73">
        <f t="shared" si="21"/>
        <v>-2.5833333333333335</v>
      </c>
      <c r="R55" s="46">
        <f>87+8</f>
        <v>95</v>
      </c>
      <c r="S55" s="54">
        <f t="shared" si="22"/>
        <v>1.736842105263158</v>
      </c>
      <c r="T55" s="9">
        <f>445+83</f>
        <v>528</v>
      </c>
      <c r="U55">
        <f>69+7</f>
        <v>76</v>
      </c>
      <c r="V55" s="54">
        <f t="shared" si="23"/>
        <v>44</v>
      </c>
      <c r="W55" s="54">
        <f t="shared" si="24"/>
        <v>19</v>
      </c>
      <c r="Y55" s="49">
        <v>54</v>
      </c>
      <c r="Z55" s="48">
        <f t="shared" si="25"/>
        <v>54</v>
      </c>
      <c r="AA55" s="36">
        <f t="shared" si="26"/>
        <v>0.44608679671110113</v>
      </c>
      <c r="AB55" s="34">
        <f t="shared" si="27"/>
        <v>0.33333333333333331</v>
      </c>
      <c r="AC55" s="34">
        <f t="shared" si="28"/>
        <v>0.33333333333333331</v>
      </c>
      <c r="AD55" s="34">
        <f t="shared" si="29"/>
        <v>0.26851851851851849</v>
      </c>
      <c r="AE55" s="34">
        <f t="shared" si="30"/>
        <v>0.40796963946869091</v>
      </c>
      <c r="AF55" s="34">
        <f t="shared" si="31"/>
        <v>0.33163265306122441</v>
      </c>
      <c r="AG55" s="34">
        <f t="shared" si="32"/>
        <v>0.29221684954435562</v>
      </c>
      <c r="AH55" s="34">
        <f t="shared" si="33"/>
        <v>0.55279503105590067</v>
      </c>
      <c r="AI55" s="34">
        <f t="shared" si="34"/>
        <v>1</v>
      </c>
      <c r="AK55" s="35">
        <v>0.44608679671110113</v>
      </c>
      <c r="AL55">
        <v>43</v>
      </c>
      <c r="AM55">
        <f t="shared" si="35"/>
        <v>43</v>
      </c>
    </row>
    <row r="56" spans="1:39" x14ac:dyDescent="0.35">
      <c r="A56" t="s">
        <v>203</v>
      </c>
      <c r="B56" s="15" t="s">
        <v>143</v>
      </c>
      <c r="C56" s="15" t="s">
        <v>142</v>
      </c>
      <c r="D56" s="15" t="s">
        <v>80</v>
      </c>
      <c r="F56">
        <v>4</v>
      </c>
      <c r="G56">
        <v>8</v>
      </c>
      <c r="H56" s="9"/>
      <c r="I56">
        <v>3</v>
      </c>
      <c r="J56">
        <v>6</v>
      </c>
      <c r="K56" s="9"/>
      <c r="L56">
        <f>155+8</f>
        <v>163</v>
      </c>
      <c r="M56">
        <f>176+13</f>
        <v>189</v>
      </c>
      <c r="N56" s="73">
        <f t="shared" si="18"/>
        <v>13.583333333333334</v>
      </c>
      <c r="O56" s="73">
        <f t="shared" si="19"/>
        <v>15.75</v>
      </c>
      <c r="P56" s="54">
        <f t="shared" si="20"/>
        <v>-26</v>
      </c>
      <c r="Q56" s="73">
        <f t="shared" si="21"/>
        <v>-2.1666666666666665</v>
      </c>
      <c r="R56">
        <v>94</v>
      </c>
      <c r="S56" s="54">
        <f t="shared" si="22"/>
        <v>1.7340425531914894</v>
      </c>
      <c r="T56" s="9">
        <f>386+89</f>
        <v>475</v>
      </c>
      <c r="U56" s="9">
        <f>104+13</f>
        <v>117</v>
      </c>
      <c r="V56" s="54">
        <f t="shared" si="23"/>
        <v>39.583333333333336</v>
      </c>
      <c r="W56" s="54">
        <f t="shared" si="24"/>
        <v>29.25</v>
      </c>
      <c r="Y56" s="49">
        <v>55</v>
      </c>
      <c r="Z56" s="48">
        <f t="shared" si="25"/>
        <v>55</v>
      </c>
      <c r="AA56" s="36">
        <f t="shared" si="26"/>
        <v>0.44559207496463599</v>
      </c>
      <c r="AB56" s="34">
        <f t="shared" si="27"/>
        <v>0.33333333333333331</v>
      </c>
      <c r="AC56" s="34">
        <f t="shared" si="28"/>
        <v>0.33333333333333331</v>
      </c>
      <c r="AD56" s="34">
        <f t="shared" si="29"/>
        <v>0.25000000000000006</v>
      </c>
      <c r="AE56" s="34">
        <f t="shared" si="30"/>
        <v>0.47438330170777998</v>
      </c>
      <c r="AF56" s="34">
        <f t="shared" si="31"/>
        <v>0.35714285714285715</v>
      </c>
      <c r="AG56" s="34">
        <f t="shared" si="32"/>
        <v>0.28884106458161035</v>
      </c>
      <c r="AH56" s="34">
        <f t="shared" si="33"/>
        <v>0.66252587991718426</v>
      </c>
      <c r="AI56" s="34">
        <f t="shared" si="34"/>
        <v>0.83599999999999997</v>
      </c>
      <c r="AK56" s="35">
        <v>0.44559207496463599</v>
      </c>
      <c r="AL56">
        <v>42</v>
      </c>
      <c r="AM56">
        <f t="shared" si="35"/>
        <v>42</v>
      </c>
    </row>
    <row r="57" spans="1:39" x14ac:dyDescent="0.35">
      <c r="A57" t="s">
        <v>216</v>
      </c>
      <c r="B57" s="15" t="s">
        <v>143</v>
      </c>
      <c r="C57" s="15" t="s">
        <v>159</v>
      </c>
      <c r="D57" s="15" t="s">
        <v>83</v>
      </c>
      <c r="F57">
        <v>5</v>
      </c>
      <c r="G57">
        <v>7</v>
      </c>
      <c r="I57">
        <v>4</v>
      </c>
      <c r="J57">
        <v>5</v>
      </c>
      <c r="L57">
        <f>163+13</f>
        <v>176</v>
      </c>
      <c r="M57">
        <f>158+9</f>
        <v>167</v>
      </c>
      <c r="N57" s="73">
        <f t="shared" si="18"/>
        <v>14.666666666666666</v>
      </c>
      <c r="O57" s="73">
        <f t="shared" si="19"/>
        <v>13.916666666666666</v>
      </c>
      <c r="P57" s="54">
        <f t="shared" si="20"/>
        <v>9</v>
      </c>
      <c r="Q57" s="73">
        <f t="shared" si="21"/>
        <v>0.75</v>
      </c>
      <c r="R57">
        <v>104</v>
      </c>
      <c r="S57" s="54">
        <f t="shared" si="22"/>
        <v>1.6923076923076923</v>
      </c>
      <c r="T57" s="9">
        <f>441+57</f>
        <v>498</v>
      </c>
      <c r="U57" s="9">
        <f>268+57</f>
        <v>325</v>
      </c>
      <c r="V57" s="54">
        <f t="shared" si="23"/>
        <v>41.5</v>
      </c>
      <c r="W57" s="54">
        <f t="shared" si="24"/>
        <v>65</v>
      </c>
      <c r="Y57" s="49">
        <v>56</v>
      </c>
      <c r="Z57" s="48">
        <f t="shared" si="25"/>
        <v>56</v>
      </c>
      <c r="AA57" s="36">
        <f t="shared" si="26"/>
        <v>0.44348898006810805</v>
      </c>
      <c r="AB57" s="34">
        <f t="shared" si="27"/>
        <v>0.41666666666666669</v>
      </c>
      <c r="AC57" s="34">
        <f t="shared" si="28"/>
        <v>0.44444444444444442</v>
      </c>
      <c r="AD57" s="34">
        <f t="shared" si="29"/>
        <v>0.37037037037037029</v>
      </c>
      <c r="AE57" s="34">
        <f t="shared" si="30"/>
        <v>0.68311195445920303</v>
      </c>
      <c r="AF57" s="34">
        <f t="shared" si="31"/>
        <v>0.53571428571428559</v>
      </c>
      <c r="AG57" s="34">
        <f t="shared" si="32"/>
        <v>0.23851590106007059</v>
      </c>
      <c r="AH57" s="34">
        <f t="shared" si="33"/>
        <v>0.61490683229813659</v>
      </c>
      <c r="AI57" s="34">
        <f t="shared" si="34"/>
        <v>0.26400000000000001</v>
      </c>
      <c r="AK57" s="35">
        <v>0.44348898006810805</v>
      </c>
      <c r="AL57">
        <v>41</v>
      </c>
      <c r="AM57">
        <f t="shared" si="35"/>
        <v>41</v>
      </c>
    </row>
    <row r="58" spans="1:39" x14ac:dyDescent="0.35">
      <c r="A58" t="s">
        <v>273</v>
      </c>
      <c r="B58" s="21" t="s">
        <v>173</v>
      </c>
      <c r="C58" s="21" t="s">
        <v>167</v>
      </c>
      <c r="D58" s="21" t="s">
        <v>28</v>
      </c>
      <c r="F58">
        <v>5</v>
      </c>
      <c r="G58">
        <v>7</v>
      </c>
      <c r="I58">
        <v>5</v>
      </c>
      <c r="J58">
        <v>4</v>
      </c>
      <c r="L58">
        <v>167</v>
      </c>
      <c r="M58">
        <v>193</v>
      </c>
      <c r="N58" s="73">
        <f t="shared" si="18"/>
        <v>13.916666666666666</v>
      </c>
      <c r="O58" s="73">
        <f t="shared" si="19"/>
        <v>16.083333333333332</v>
      </c>
      <c r="P58" s="54">
        <f t="shared" si="20"/>
        <v>-26</v>
      </c>
      <c r="Q58" s="73">
        <f t="shared" si="21"/>
        <v>-2.1666666666666665</v>
      </c>
      <c r="R58">
        <v>91</v>
      </c>
      <c r="S58" s="54">
        <f t="shared" si="22"/>
        <v>1.8351648351648351</v>
      </c>
      <c r="T58" s="9">
        <f>463+62</f>
        <v>525</v>
      </c>
      <c r="U58" s="9">
        <f>206+62</f>
        <v>268</v>
      </c>
      <c r="V58" s="54">
        <f t="shared" si="23"/>
        <v>43.75</v>
      </c>
      <c r="W58" s="54">
        <f t="shared" si="24"/>
        <v>53.6</v>
      </c>
      <c r="Y58" s="49">
        <v>57</v>
      </c>
      <c r="Z58" s="48">
        <f t="shared" si="25"/>
        <v>57</v>
      </c>
      <c r="AA58" s="36">
        <f t="shared" si="26"/>
        <v>0.44087228318727395</v>
      </c>
      <c r="AB58" s="34">
        <f t="shared" si="27"/>
        <v>0.41666666666666669</v>
      </c>
      <c r="AC58" s="34">
        <f t="shared" si="28"/>
        <v>0.55555555555555558</v>
      </c>
      <c r="AD58" s="34">
        <f t="shared" si="29"/>
        <v>0.28703703703703698</v>
      </c>
      <c r="AE58" s="34">
        <f t="shared" si="30"/>
        <v>0.43643263757115769</v>
      </c>
      <c r="AF58" s="34">
        <f t="shared" si="31"/>
        <v>0.35714285714285715</v>
      </c>
      <c r="AG58" s="34">
        <f t="shared" si="32"/>
        <v>0.41077738515901041</v>
      </c>
      <c r="AH58" s="34">
        <f t="shared" si="33"/>
        <v>0.55900621118012417</v>
      </c>
      <c r="AI58" s="34">
        <f t="shared" si="34"/>
        <v>0.44640000000000002</v>
      </c>
      <c r="AK58" s="35">
        <v>0.44087228318727395</v>
      </c>
      <c r="AL58">
        <v>40</v>
      </c>
      <c r="AM58">
        <f t="shared" si="35"/>
        <v>40</v>
      </c>
    </row>
    <row r="59" spans="1:39" x14ac:dyDescent="0.35">
      <c r="A59" t="s">
        <v>800</v>
      </c>
      <c r="B59" s="58" t="s">
        <v>799</v>
      </c>
      <c r="C59" s="58" t="s">
        <v>816</v>
      </c>
      <c r="D59" s="58" t="s">
        <v>784</v>
      </c>
      <c r="F59">
        <v>6</v>
      </c>
      <c r="G59">
        <v>6</v>
      </c>
      <c r="I59">
        <v>5</v>
      </c>
      <c r="J59">
        <v>4</v>
      </c>
      <c r="L59">
        <v>165</v>
      </c>
      <c r="M59">
        <v>189</v>
      </c>
      <c r="N59" s="73">
        <f t="shared" si="18"/>
        <v>13.75</v>
      </c>
      <c r="O59" s="73">
        <f t="shared" si="19"/>
        <v>15.75</v>
      </c>
      <c r="P59" s="54">
        <f t="shared" si="20"/>
        <v>-24</v>
      </c>
      <c r="Q59" s="73">
        <f t="shared" si="21"/>
        <v>-2</v>
      </c>
      <c r="R59">
        <v>98</v>
      </c>
      <c r="S59" s="54">
        <f t="shared" si="22"/>
        <v>1.6836734693877551</v>
      </c>
      <c r="T59" s="9">
        <f>499+59</f>
        <v>558</v>
      </c>
      <c r="U59">
        <f>261+63</f>
        <v>324</v>
      </c>
      <c r="V59" s="54">
        <f t="shared" si="23"/>
        <v>46.5</v>
      </c>
      <c r="W59" s="54">
        <f t="shared" si="24"/>
        <v>54</v>
      </c>
      <c r="Y59" s="49">
        <v>58</v>
      </c>
      <c r="Z59" s="48">
        <f t="shared" si="25"/>
        <v>58</v>
      </c>
      <c r="AA59" s="36">
        <f t="shared" si="26"/>
        <v>0.44013733863710647</v>
      </c>
      <c r="AB59" s="34">
        <f t="shared" si="27"/>
        <v>0.5</v>
      </c>
      <c r="AC59" s="34">
        <f t="shared" si="28"/>
        <v>0.55555555555555558</v>
      </c>
      <c r="AD59" s="34">
        <f t="shared" si="29"/>
        <v>0.26851851851851849</v>
      </c>
      <c r="AE59" s="34">
        <f t="shared" si="30"/>
        <v>0.47438330170777998</v>
      </c>
      <c r="AF59" s="34">
        <f t="shared" si="31"/>
        <v>0.36734693877551017</v>
      </c>
      <c r="AG59" s="34">
        <f t="shared" si="32"/>
        <v>0.22810449268046432</v>
      </c>
      <c r="AH59" s="34">
        <f t="shared" si="33"/>
        <v>0.49068322981366463</v>
      </c>
      <c r="AI59" s="34">
        <f t="shared" si="34"/>
        <v>0.43999999999999995</v>
      </c>
      <c r="AK59" s="35">
        <v>0.44013733863710647</v>
      </c>
      <c r="AL59">
        <v>39</v>
      </c>
      <c r="AM59">
        <f t="shared" si="35"/>
        <v>39</v>
      </c>
    </row>
    <row r="60" spans="1:39" x14ac:dyDescent="0.35">
      <c r="A60" t="s">
        <v>815</v>
      </c>
      <c r="B60" s="58" t="s">
        <v>799</v>
      </c>
      <c r="C60" s="58" t="s">
        <v>817</v>
      </c>
      <c r="D60" s="58" t="s">
        <v>909</v>
      </c>
      <c r="F60" s="46">
        <v>5</v>
      </c>
      <c r="G60" s="46">
        <v>7</v>
      </c>
      <c r="H60" s="46"/>
      <c r="I60" s="46">
        <v>5</v>
      </c>
      <c r="J60" s="46">
        <v>4</v>
      </c>
      <c r="K60" s="46"/>
      <c r="L60" s="46">
        <v>190</v>
      </c>
      <c r="M60" s="46">
        <v>190</v>
      </c>
      <c r="N60" s="73">
        <f t="shared" si="18"/>
        <v>15.833333333333334</v>
      </c>
      <c r="O60" s="73">
        <f t="shared" si="19"/>
        <v>15.833333333333334</v>
      </c>
      <c r="P60" s="54">
        <f t="shared" si="20"/>
        <v>0</v>
      </c>
      <c r="Q60" s="73">
        <f t="shared" si="21"/>
        <v>0</v>
      </c>
      <c r="R60" s="46">
        <v>115</v>
      </c>
      <c r="S60" s="54">
        <f t="shared" si="22"/>
        <v>1.6521739130434783</v>
      </c>
      <c r="T60" s="9">
        <f>538+69</f>
        <v>607</v>
      </c>
      <c r="U60">
        <f>195+69</f>
        <v>264</v>
      </c>
      <c r="V60" s="54">
        <f t="shared" si="23"/>
        <v>50.583333333333336</v>
      </c>
      <c r="W60" s="54">
        <f t="shared" si="24"/>
        <v>52.8</v>
      </c>
      <c r="Y60" s="49">
        <v>59</v>
      </c>
      <c r="Z60" s="48">
        <f t="shared" si="25"/>
        <v>59</v>
      </c>
      <c r="AA60" s="36">
        <f t="shared" si="26"/>
        <v>0.43756824963713009</v>
      </c>
      <c r="AB60" s="34">
        <f t="shared" si="27"/>
        <v>0.41666666666666669</v>
      </c>
      <c r="AC60" s="34">
        <f t="shared" si="28"/>
        <v>0.55555555555555558</v>
      </c>
      <c r="AD60" s="34">
        <f t="shared" si="29"/>
        <v>0.50000000000000011</v>
      </c>
      <c r="AE60" s="34">
        <f t="shared" si="30"/>
        <v>0.46489563567362424</v>
      </c>
      <c r="AF60" s="34">
        <f t="shared" si="31"/>
        <v>0.48979591836734687</v>
      </c>
      <c r="AG60" s="34">
        <f t="shared" si="32"/>
        <v>0.19012137041020122</v>
      </c>
      <c r="AH60" s="34">
        <f t="shared" si="33"/>
        <v>0.38923395445134568</v>
      </c>
      <c r="AI60" s="34">
        <f t="shared" si="34"/>
        <v>0.45920000000000005</v>
      </c>
      <c r="AK60" s="35">
        <v>0.43756824963713009</v>
      </c>
      <c r="AL60">
        <v>38</v>
      </c>
      <c r="AM60">
        <f t="shared" si="35"/>
        <v>38</v>
      </c>
    </row>
    <row r="61" spans="1:39" x14ac:dyDescent="0.35">
      <c r="A61" t="s">
        <v>214</v>
      </c>
      <c r="B61" s="15" t="s">
        <v>143</v>
      </c>
      <c r="C61" s="15" t="s">
        <v>159</v>
      </c>
      <c r="D61" s="15" t="s">
        <v>81</v>
      </c>
      <c r="F61">
        <v>4</v>
      </c>
      <c r="G61">
        <v>8</v>
      </c>
      <c r="I61">
        <v>2</v>
      </c>
      <c r="J61">
        <v>7</v>
      </c>
      <c r="L61">
        <f>192+9</f>
        <v>201</v>
      </c>
      <c r="M61">
        <f>194+13</f>
        <v>207</v>
      </c>
      <c r="N61" s="73">
        <f t="shared" si="18"/>
        <v>16.75</v>
      </c>
      <c r="O61" s="73">
        <f t="shared" si="19"/>
        <v>17.25</v>
      </c>
      <c r="P61" s="54">
        <f t="shared" si="20"/>
        <v>-6</v>
      </c>
      <c r="Q61" s="73">
        <f t="shared" si="21"/>
        <v>-0.5</v>
      </c>
      <c r="R61">
        <v>115</v>
      </c>
      <c r="S61" s="54">
        <f t="shared" si="22"/>
        <v>1.7478260869565216</v>
      </c>
      <c r="T61" s="9">
        <f>494+63</f>
        <v>557</v>
      </c>
      <c r="U61" s="9">
        <f>99+32</f>
        <v>131</v>
      </c>
      <c r="V61" s="54">
        <f t="shared" si="23"/>
        <v>46.416666666666664</v>
      </c>
      <c r="W61" s="54">
        <f t="shared" si="24"/>
        <v>32.75</v>
      </c>
      <c r="Y61" s="49">
        <v>60</v>
      </c>
      <c r="Z61" s="48">
        <f t="shared" si="25"/>
        <v>60</v>
      </c>
      <c r="AA61" s="36">
        <f t="shared" si="26"/>
        <v>0.42939753708547357</v>
      </c>
      <c r="AB61" s="34">
        <f t="shared" si="27"/>
        <v>0.33333333333333331</v>
      </c>
      <c r="AC61" s="34">
        <f t="shared" si="28"/>
        <v>0.22222222222222221</v>
      </c>
      <c r="AD61" s="34">
        <f t="shared" si="29"/>
        <v>0.60185185185185186</v>
      </c>
      <c r="AE61" s="34">
        <f t="shared" si="30"/>
        <v>0.30360531309297922</v>
      </c>
      <c r="AF61" s="34">
        <f t="shared" si="31"/>
        <v>0.45918367346938771</v>
      </c>
      <c r="AG61" s="34">
        <f t="shared" si="32"/>
        <v>0.30546166845905648</v>
      </c>
      <c r="AH61" s="34">
        <f t="shared" si="33"/>
        <v>0.49275362318840588</v>
      </c>
      <c r="AI61" s="34">
        <f t="shared" si="34"/>
        <v>0.78</v>
      </c>
      <c r="AK61" s="35">
        <v>0.42939753708547357</v>
      </c>
      <c r="AL61">
        <v>37</v>
      </c>
      <c r="AM61">
        <f t="shared" si="35"/>
        <v>37</v>
      </c>
    </row>
    <row r="62" spans="1:39" x14ac:dyDescent="0.35">
      <c r="A62" t="s">
        <v>236</v>
      </c>
      <c r="B62" s="17" t="s">
        <v>171</v>
      </c>
      <c r="C62" s="17" t="s">
        <v>163</v>
      </c>
      <c r="D62" s="17" t="s">
        <v>47</v>
      </c>
      <c r="F62">
        <v>4</v>
      </c>
      <c r="G62">
        <v>8</v>
      </c>
      <c r="I62">
        <v>4</v>
      </c>
      <c r="J62">
        <v>5</v>
      </c>
      <c r="L62">
        <f>172+22</f>
        <v>194</v>
      </c>
      <c r="M62">
        <f>200+16</f>
        <v>216</v>
      </c>
      <c r="N62" s="73">
        <f t="shared" si="18"/>
        <v>16.166666666666668</v>
      </c>
      <c r="O62" s="73">
        <f t="shared" si="19"/>
        <v>18</v>
      </c>
      <c r="P62" s="54">
        <f t="shared" si="20"/>
        <v>-22</v>
      </c>
      <c r="Q62" s="73">
        <f t="shared" si="21"/>
        <v>-1.8333333333333333</v>
      </c>
      <c r="R62">
        <v>106</v>
      </c>
      <c r="S62" s="54">
        <f t="shared" si="22"/>
        <v>1.8301886792452831</v>
      </c>
      <c r="T62" s="9">
        <f>509+12</f>
        <v>521</v>
      </c>
      <c r="U62" s="9">
        <f>174+12</f>
        <v>186</v>
      </c>
      <c r="V62" s="54">
        <f t="shared" si="23"/>
        <v>43.416666666666664</v>
      </c>
      <c r="W62" s="54">
        <f t="shared" si="24"/>
        <v>46.5</v>
      </c>
      <c r="Y62" s="49">
        <v>61</v>
      </c>
      <c r="Z62" s="48">
        <f t="shared" si="25"/>
        <v>61</v>
      </c>
      <c r="AA62" s="36">
        <f t="shared" si="26"/>
        <v>0.42577009914489478</v>
      </c>
      <c r="AB62" s="34">
        <f t="shared" si="27"/>
        <v>0.33333333333333331</v>
      </c>
      <c r="AC62" s="34">
        <f t="shared" si="28"/>
        <v>0.44444444444444442</v>
      </c>
      <c r="AD62" s="34">
        <f t="shared" si="29"/>
        <v>0.5370370370370372</v>
      </c>
      <c r="AE62" s="34">
        <f t="shared" si="30"/>
        <v>0.21821631878557879</v>
      </c>
      <c r="AF62" s="34">
        <f t="shared" si="31"/>
        <v>0.37755102040816324</v>
      </c>
      <c r="AG62" s="34">
        <f t="shared" si="32"/>
        <v>0.40477698513234212</v>
      </c>
      <c r="AH62" s="34">
        <f t="shared" si="33"/>
        <v>0.56728778467908914</v>
      </c>
      <c r="AI62" s="34">
        <f t="shared" si="34"/>
        <v>0.56000000000000005</v>
      </c>
      <c r="AK62" s="35">
        <v>0.42577009914489478</v>
      </c>
      <c r="AL62">
        <v>36</v>
      </c>
      <c r="AM62">
        <f t="shared" si="35"/>
        <v>36</v>
      </c>
    </row>
    <row r="63" spans="1:39" x14ac:dyDescent="0.35">
      <c r="A63" t="s">
        <v>802</v>
      </c>
      <c r="B63" s="58" t="s">
        <v>799</v>
      </c>
      <c r="C63" s="58" t="s">
        <v>816</v>
      </c>
      <c r="D63" s="58" t="s">
        <v>785</v>
      </c>
      <c r="F63" s="46">
        <v>5</v>
      </c>
      <c r="G63" s="46">
        <v>7</v>
      </c>
      <c r="H63" s="46"/>
      <c r="I63" s="46">
        <v>4</v>
      </c>
      <c r="J63" s="46">
        <v>5</v>
      </c>
      <c r="K63" s="46"/>
      <c r="L63" s="46">
        <f>155+21</f>
        <v>176</v>
      </c>
      <c r="M63" s="46">
        <f>162+21</f>
        <v>183</v>
      </c>
      <c r="N63" s="73">
        <f t="shared" si="18"/>
        <v>14.666666666666666</v>
      </c>
      <c r="O63" s="73">
        <f t="shared" si="19"/>
        <v>15.25</v>
      </c>
      <c r="P63" s="54">
        <f t="shared" si="20"/>
        <v>-7</v>
      </c>
      <c r="Q63" s="73">
        <f t="shared" si="21"/>
        <v>-0.58333333333333337</v>
      </c>
      <c r="R63">
        <f>88+13</f>
        <v>101</v>
      </c>
      <c r="S63" s="54">
        <f t="shared" si="22"/>
        <v>1.7425742574257426</v>
      </c>
      <c r="T63" s="9">
        <f>596+20</f>
        <v>616</v>
      </c>
      <c r="U63">
        <f>233+20</f>
        <v>253</v>
      </c>
      <c r="V63" s="54">
        <f t="shared" si="23"/>
        <v>51.333333333333336</v>
      </c>
      <c r="W63" s="54">
        <f t="shared" si="24"/>
        <v>50.6</v>
      </c>
      <c r="Y63" s="49">
        <v>62</v>
      </c>
      <c r="Z63" s="48">
        <f t="shared" si="25"/>
        <v>62</v>
      </c>
      <c r="AA63" s="36">
        <f t="shared" si="26"/>
        <v>0.4248193039403943</v>
      </c>
      <c r="AB63" s="34">
        <f t="shared" si="27"/>
        <v>0.41666666666666669</v>
      </c>
      <c r="AC63" s="34">
        <f t="shared" si="28"/>
        <v>0.44444444444444442</v>
      </c>
      <c r="AD63" s="34">
        <f t="shared" si="29"/>
        <v>0.37037037037037029</v>
      </c>
      <c r="AE63" s="34">
        <f t="shared" si="30"/>
        <v>0.53130929791271353</v>
      </c>
      <c r="AF63" s="34">
        <f t="shared" si="31"/>
        <v>0.45408163265306117</v>
      </c>
      <c r="AG63" s="34">
        <f t="shared" si="32"/>
        <v>0.29912885281460999</v>
      </c>
      <c r="AH63" s="34">
        <f t="shared" si="33"/>
        <v>0.37060041407867494</v>
      </c>
      <c r="AI63" s="34">
        <f t="shared" si="34"/>
        <v>0.49439999999999995</v>
      </c>
      <c r="AK63" s="35">
        <v>0.4248193039403943</v>
      </c>
      <c r="AL63">
        <v>35</v>
      </c>
      <c r="AM63">
        <f t="shared" si="35"/>
        <v>35</v>
      </c>
    </row>
    <row r="64" spans="1:39" x14ac:dyDescent="0.35">
      <c r="A64" t="s">
        <v>209</v>
      </c>
      <c r="B64" s="15" t="s">
        <v>143</v>
      </c>
      <c r="C64" s="15" t="s">
        <v>142</v>
      </c>
      <c r="D64" s="15" t="s">
        <v>73</v>
      </c>
      <c r="F64">
        <v>5</v>
      </c>
      <c r="G64">
        <v>7</v>
      </c>
      <c r="H64" s="9"/>
      <c r="I64">
        <v>5</v>
      </c>
      <c r="J64">
        <v>4</v>
      </c>
      <c r="K64" s="9"/>
      <c r="L64">
        <f>147+16</f>
        <v>163</v>
      </c>
      <c r="M64">
        <f>167+14</f>
        <v>181</v>
      </c>
      <c r="N64" s="73">
        <f t="shared" si="18"/>
        <v>13.583333333333334</v>
      </c>
      <c r="O64" s="73">
        <f t="shared" si="19"/>
        <v>15.083333333333334</v>
      </c>
      <c r="P64" s="54">
        <f t="shared" si="20"/>
        <v>-18</v>
      </c>
      <c r="Q64" s="73">
        <f t="shared" si="21"/>
        <v>-1.5</v>
      </c>
      <c r="R64">
        <v>97</v>
      </c>
      <c r="S64" s="54">
        <f t="shared" si="22"/>
        <v>1.6804123711340206</v>
      </c>
      <c r="T64" s="9">
        <f>572+19</f>
        <v>591</v>
      </c>
      <c r="U64" s="9">
        <f>244+19</f>
        <v>263</v>
      </c>
      <c r="V64" s="54">
        <f t="shared" si="23"/>
        <v>49.25</v>
      </c>
      <c r="W64" s="54">
        <f t="shared" si="24"/>
        <v>52.6</v>
      </c>
      <c r="Y64" s="49">
        <v>63</v>
      </c>
      <c r="Z64" s="48">
        <f t="shared" si="25"/>
        <v>63</v>
      </c>
      <c r="AA64" s="36">
        <f t="shared" si="26"/>
        <v>0.42120669178345355</v>
      </c>
      <c r="AB64" s="34">
        <f t="shared" si="27"/>
        <v>0.41666666666666669</v>
      </c>
      <c r="AC64" s="34">
        <f t="shared" si="28"/>
        <v>0.55555555555555558</v>
      </c>
      <c r="AD64" s="34">
        <f t="shared" si="29"/>
        <v>0.25000000000000006</v>
      </c>
      <c r="AE64" s="34">
        <f t="shared" si="30"/>
        <v>0.55028462998102468</v>
      </c>
      <c r="AF64" s="34">
        <f t="shared" si="31"/>
        <v>0.39795918367346933</v>
      </c>
      <c r="AG64" s="34">
        <f t="shared" si="32"/>
        <v>0.22417216130559903</v>
      </c>
      <c r="AH64" s="34">
        <f t="shared" si="33"/>
        <v>0.42236024844720499</v>
      </c>
      <c r="AI64" s="34">
        <f t="shared" si="34"/>
        <v>0.46239999999999992</v>
      </c>
      <c r="AK64" s="35">
        <v>0.42120669178345355</v>
      </c>
      <c r="AL64">
        <v>34</v>
      </c>
      <c r="AM64">
        <f t="shared" si="35"/>
        <v>34</v>
      </c>
    </row>
    <row r="65" spans="1:39" x14ac:dyDescent="0.35">
      <c r="A65" t="s">
        <v>271</v>
      </c>
      <c r="B65" s="21" t="s">
        <v>173</v>
      </c>
      <c r="C65" s="21" t="s">
        <v>166</v>
      </c>
      <c r="D65" s="21" t="s">
        <v>25</v>
      </c>
      <c r="F65">
        <v>5</v>
      </c>
      <c r="G65">
        <v>7</v>
      </c>
      <c r="I65">
        <v>4</v>
      </c>
      <c r="J65">
        <v>5</v>
      </c>
      <c r="L65">
        <v>160</v>
      </c>
      <c r="M65">
        <f>156+15</f>
        <v>171</v>
      </c>
      <c r="N65" s="73">
        <f t="shared" si="18"/>
        <v>13.333333333333334</v>
      </c>
      <c r="O65" s="73">
        <f t="shared" si="19"/>
        <v>14.25</v>
      </c>
      <c r="P65" s="54">
        <f t="shared" si="20"/>
        <v>-11</v>
      </c>
      <c r="Q65" s="73">
        <f t="shared" si="21"/>
        <v>-0.91666666666666663</v>
      </c>
      <c r="R65">
        <v>97</v>
      </c>
      <c r="S65" s="54">
        <f t="shared" si="22"/>
        <v>1.6494845360824741</v>
      </c>
      <c r="T65" s="9">
        <f>604+4</f>
        <v>608</v>
      </c>
      <c r="U65" s="9">
        <f>205+51</f>
        <v>256</v>
      </c>
      <c r="V65" s="54">
        <f t="shared" si="23"/>
        <v>50.666666666666664</v>
      </c>
      <c r="W65" s="54">
        <f t="shared" si="24"/>
        <v>51.2</v>
      </c>
      <c r="Y65" s="49">
        <v>64</v>
      </c>
      <c r="Z65" s="48">
        <f t="shared" si="25"/>
        <v>64</v>
      </c>
      <c r="AA65" s="36">
        <f t="shared" si="26"/>
        <v>0.41168221122542159</v>
      </c>
      <c r="AB65" s="34">
        <f t="shared" si="27"/>
        <v>0.41666666666666669</v>
      </c>
      <c r="AC65" s="34">
        <f t="shared" si="28"/>
        <v>0.44444444444444442</v>
      </c>
      <c r="AD65" s="34">
        <f t="shared" si="29"/>
        <v>0.22222222222222227</v>
      </c>
      <c r="AE65" s="34">
        <f t="shared" si="30"/>
        <v>0.64516129032258074</v>
      </c>
      <c r="AF65" s="34">
        <f t="shared" si="31"/>
        <v>0.43367346938775503</v>
      </c>
      <c r="AG65" s="34">
        <f t="shared" si="32"/>
        <v>0.18687843794397274</v>
      </c>
      <c r="AH65" s="34">
        <f t="shared" si="33"/>
        <v>0.38716356107660466</v>
      </c>
      <c r="AI65" s="34">
        <f t="shared" si="34"/>
        <v>0.48480000000000001</v>
      </c>
      <c r="AK65" s="35">
        <v>0.41168221122542159</v>
      </c>
      <c r="AL65">
        <v>33</v>
      </c>
      <c r="AM65">
        <f t="shared" si="35"/>
        <v>33</v>
      </c>
    </row>
    <row r="66" spans="1:39" x14ac:dyDescent="0.35">
      <c r="A66" t="s">
        <v>254</v>
      </c>
      <c r="B66" s="19" t="s">
        <v>172</v>
      </c>
      <c r="C66" s="19" t="s">
        <v>165</v>
      </c>
      <c r="D66" s="19" t="s">
        <v>900</v>
      </c>
      <c r="F66">
        <v>4</v>
      </c>
      <c r="G66">
        <v>8</v>
      </c>
      <c r="H66" s="9"/>
      <c r="I66">
        <v>4</v>
      </c>
      <c r="J66">
        <v>5</v>
      </c>
      <c r="K66" s="9"/>
      <c r="L66">
        <f>166+22</f>
        <v>188</v>
      </c>
      <c r="M66">
        <f>191+12</f>
        <v>203</v>
      </c>
      <c r="N66" s="73">
        <f t="shared" ref="N66:N97" si="36">L66/(F66+G66)</f>
        <v>15.666666666666666</v>
      </c>
      <c r="O66" s="73">
        <f t="shared" ref="O66:O97" si="37">M66/(F66+G66)</f>
        <v>16.916666666666668</v>
      </c>
      <c r="P66" s="54">
        <f t="shared" ref="P66:P97" si="38">L66-M66</f>
        <v>-15</v>
      </c>
      <c r="Q66" s="73">
        <f t="shared" ref="Q66:Q97" si="39">P66/(F66+G66)</f>
        <v>-1.25</v>
      </c>
      <c r="R66">
        <v>104</v>
      </c>
      <c r="S66" s="54">
        <f t="shared" ref="S66:S97" si="40">L66/R66</f>
        <v>1.8076923076923077</v>
      </c>
      <c r="T66" s="9">
        <f>522+93</f>
        <v>615</v>
      </c>
      <c r="U66" s="9">
        <f>87+93</f>
        <v>180</v>
      </c>
      <c r="V66" s="54">
        <f t="shared" ref="V66:V97" si="41">T66/(F66+G66)</f>
        <v>51.25</v>
      </c>
      <c r="W66" s="54">
        <f t="shared" ref="W66:W97" si="42">IF(F66&gt;0, (U66/F66), 100)</f>
        <v>45</v>
      </c>
      <c r="Y66" s="49">
        <v>65</v>
      </c>
      <c r="Z66" s="48">
        <f t="shared" ref="Z66:Z97" si="43">_xlfn.RANK.EQ(AA66,AA:AA, 0)</f>
        <v>65</v>
      </c>
      <c r="AA66" s="36">
        <f t="shared" ref="AA66:AA97" si="44">((AB66*1.25)+(AC66*0.65)+(AD66*0.5)+(AE66*0.5)+(AF66*0.4)+(AG66*0.4)+(AH66*0.65)+(AI66*0.65)+((X66/LARGE(X:X,1))*0.2))/5</f>
        <v>0.41105530057523498</v>
      </c>
      <c r="AB66" s="34">
        <f t="shared" ref="AB66:AB97" si="45">(F66/(F66+G66))</f>
        <v>0.33333333333333331</v>
      </c>
      <c r="AC66" s="34">
        <f t="shared" ref="AC66:AC97" si="46">(I66/(I66+J66))</f>
        <v>0.44444444444444442</v>
      </c>
      <c r="AD66" s="34">
        <f t="shared" ref="AD66:AD97" si="47">(N66-(SMALL(N:N, 1)))/((LARGE(N:N, 1))-(SMALL(N:N, 1)))</f>
        <v>0.48148148148148145</v>
      </c>
      <c r="AE66" s="34">
        <f t="shared" ref="AE66:AE97" si="48">1-(O66-SMALL(O:O,1))/(LARGE(O:O,1)-SMALL(O:O,1))</f>
        <v>0.3415559772296014</v>
      </c>
      <c r="AF66" s="34">
        <f t="shared" ref="AF66:AF97" si="49">(Q66-SMALL(Q:Q,1))/(LARGE(Q:Q,1)-SMALL(Q:Q,1))</f>
        <v>0.41326530612244894</v>
      </c>
      <c r="AG66" s="34">
        <f t="shared" ref="AG66:AG97" si="50">(S66-SMALL(S:S,1))/(LARGE(S:S,1)-SMALL(S:S,1))</f>
        <v>0.37765017667844514</v>
      </c>
      <c r="AH66" s="34">
        <f t="shared" ref="AH66:AH97" si="51">1-(V66-SMALL(V:V,1))/(LARGE(V:V,1)-SMALL(V:V,1))</f>
        <v>0.37267080745341619</v>
      </c>
      <c r="AI66" s="34">
        <f t="shared" ref="AI66:AI97" si="52">1-(W66-SMALL(W:W,1))/(LARGE(W:W,1)-SMALL(W:W,1))</f>
        <v>0.58400000000000007</v>
      </c>
      <c r="AK66" s="35">
        <v>0.41105530057523498</v>
      </c>
      <c r="AL66">
        <v>32</v>
      </c>
      <c r="AM66">
        <f t="shared" ref="AM66:AM97" si="53">AL66+X66</f>
        <v>32</v>
      </c>
    </row>
    <row r="67" spans="1:39" x14ac:dyDescent="0.35">
      <c r="A67" t="s">
        <v>279</v>
      </c>
      <c r="B67" s="21" t="s">
        <v>173</v>
      </c>
      <c r="C67" s="21" t="s">
        <v>167</v>
      </c>
      <c r="D67" s="21" t="s">
        <v>30</v>
      </c>
      <c r="F67">
        <v>5</v>
      </c>
      <c r="G67">
        <v>7</v>
      </c>
      <c r="I67">
        <v>4</v>
      </c>
      <c r="J67">
        <v>5</v>
      </c>
      <c r="L67">
        <f>168+15</f>
        <v>183</v>
      </c>
      <c r="M67">
        <f>182+11</f>
        <v>193</v>
      </c>
      <c r="N67" s="73">
        <f t="shared" si="36"/>
        <v>15.25</v>
      </c>
      <c r="O67" s="73">
        <f t="shared" si="37"/>
        <v>16.083333333333332</v>
      </c>
      <c r="P67" s="54">
        <f t="shared" si="38"/>
        <v>-10</v>
      </c>
      <c r="Q67" s="73">
        <f t="shared" si="39"/>
        <v>-0.83333333333333337</v>
      </c>
      <c r="R67">
        <v>104</v>
      </c>
      <c r="S67" s="54">
        <f t="shared" si="40"/>
        <v>1.7596153846153846</v>
      </c>
      <c r="T67" s="9">
        <f>482+95</f>
        <v>577</v>
      </c>
      <c r="U67" s="9">
        <f>212+95</f>
        <v>307</v>
      </c>
      <c r="V67" s="54">
        <f t="shared" si="41"/>
        <v>48.083333333333336</v>
      </c>
      <c r="W67" s="54">
        <f t="shared" si="42"/>
        <v>61.4</v>
      </c>
      <c r="Y67" s="49">
        <v>66</v>
      </c>
      <c r="Z67" s="48">
        <f t="shared" si="43"/>
        <v>66</v>
      </c>
      <c r="AA67" s="36">
        <f t="shared" si="44"/>
        <v>0.41026542072356731</v>
      </c>
      <c r="AB67" s="34">
        <f t="shared" si="45"/>
        <v>0.41666666666666669</v>
      </c>
      <c r="AC67" s="34">
        <f t="shared" si="46"/>
        <v>0.44444444444444442</v>
      </c>
      <c r="AD67" s="34">
        <f t="shared" si="47"/>
        <v>0.43518518518518523</v>
      </c>
      <c r="AE67" s="34">
        <f t="shared" si="48"/>
        <v>0.43643263757115769</v>
      </c>
      <c r="AF67" s="34">
        <f t="shared" si="49"/>
        <v>0.43877551020408156</v>
      </c>
      <c r="AG67" s="34">
        <f t="shared" si="50"/>
        <v>0.31967756183745571</v>
      </c>
      <c r="AH67" s="34">
        <f t="shared" si="51"/>
        <v>0.45134575569358171</v>
      </c>
      <c r="AI67" s="34">
        <f t="shared" si="52"/>
        <v>0.3216</v>
      </c>
      <c r="AK67" s="35">
        <v>0.41026542072356731</v>
      </c>
      <c r="AL67">
        <v>31</v>
      </c>
      <c r="AM67">
        <f t="shared" si="53"/>
        <v>31</v>
      </c>
    </row>
    <row r="68" spans="1:39" x14ac:dyDescent="0.35">
      <c r="A68" t="s">
        <v>275</v>
      </c>
      <c r="B68" s="21" t="s">
        <v>173</v>
      </c>
      <c r="C68" s="21" t="s">
        <v>167</v>
      </c>
      <c r="D68" s="21" t="s">
        <v>29</v>
      </c>
      <c r="F68">
        <v>4</v>
      </c>
      <c r="G68">
        <v>8</v>
      </c>
      <c r="I68">
        <v>4</v>
      </c>
      <c r="J68">
        <v>5</v>
      </c>
      <c r="L68">
        <f>167+11</f>
        <v>178</v>
      </c>
      <c r="M68">
        <f>180+13</f>
        <v>193</v>
      </c>
      <c r="N68" s="73">
        <f t="shared" si="36"/>
        <v>14.833333333333334</v>
      </c>
      <c r="O68" s="73">
        <f t="shared" si="37"/>
        <v>16.083333333333332</v>
      </c>
      <c r="P68" s="54">
        <f t="shared" si="38"/>
        <v>-15</v>
      </c>
      <c r="Q68" s="73">
        <f t="shared" si="39"/>
        <v>-1.25</v>
      </c>
      <c r="R68">
        <v>101</v>
      </c>
      <c r="S68" s="54">
        <f t="shared" si="40"/>
        <v>1.7623762376237624</v>
      </c>
      <c r="T68" s="9">
        <f>526+61</f>
        <v>587</v>
      </c>
      <c r="U68" s="9">
        <f>104+92</f>
        <v>196</v>
      </c>
      <c r="V68" s="54">
        <f t="shared" si="41"/>
        <v>48.916666666666664</v>
      </c>
      <c r="W68" s="54">
        <f t="shared" si="42"/>
        <v>49</v>
      </c>
      <c r="Y68" s="49">
        <v>67</v>
      </c>
      <c r="Z68" s="48">
        <f t="shared" si="43"/>
        <v>67</v>
      </c>
      <c r="AA68" s="36">
        <f t="shared" si="44"/>
        <v>0.40612845968340744</v>
      </c>
      <c r="AB68" s="34">
        <f t="shared" si="45"/>
        <v>0.33333333333333331</v>
      </c>
      <c r="AC68" s="34">
        <f t="shared" si="46"/>
        <v>0.44444444444444442</v>
      </c>
      <c r="AD68" s="34">
        <f t="shared" si="47"/>
        <v>0.38888888888888895</v>
      </c>
      <c r="AE68" s="34">
        <f t="shared" si="48"/>
        <v>0.43643263757115769</v>
      </c>
      <c r="AF68" s="34">
        <f t="shared" si="49"/>
        <v>0.41326530612244894</v>
      </c>
      <c r="AG68" s="34">
        <f t="shared" si="50"/>
        <v>0.32300668229367097</v>
      </c>
      <c r="AH68" s="34">
        <f t="shared" si="51"/>
        <v>0.43064182194616984</v>
      </c>
      <c r="AI68" s="34">
        <f t="shared" si="52"/>
        <v>0.52</v>
      </c>
      <c r="AK68" s="35">
        <v>0.40612845968340744</v>
      </c>
      <c r="AL68">
        <v>30</v>
      </c>
      <c r="AM68">
        <f t="shared" si="53"/>
        <v>30</v>
      </c>
    </row>
    <row r="69" spans="1:39" x14ac:dyDescent="0.35">
      <c r="A69" t="s">
        <v>221</v>
      </c>
      <c r="B69" s="16" t="s">
        <v>144</v>
      </c>
      <c r="C69" s="16" t="s">
        <v>160</v>
      </c>
      <c r="D69" s="16" t="s">
        <v>71</v>
      </c>
      <c r="F69">
        <v>5</v>
      </c>
      <c r="G69">
        <v>7</v>
      </c>
      <c r="I69">
        <v>4</v>
      </c>
      <c r="J69">
        <v>5</v>
      </c>
      <c r="L69">
        <f>140+13</f>
        <v>153</v>
      </c>
      <c r="M69">
        <f>177+18</f>
        <v>195</v>
      </c>
      <c r="N69" s="73">
        <f t="shared" si="36"/>
        <v>12.75</v>
      </c>
      <c r="O69" s="73">
        <f t="shared" si="37"/>
        <v>16.25</v>
      </c>
      <c r="P69" s="54">
        <f t="shared" si="38"/>
        <v>-42</v>
      </c>
      <c r="Q69" s="73">
        <f t="shared" si="39"/>
        <v>-3.5</v>
      </c>
      <c r="R69">
        <v>92</v>
      </c>
      <c r="S69" s="54">
        <f t="shared" si="40"/>
        <v>1.6630434782608696</v>
      </c>
      <c r="T69" s="9">
        <f>454+96</f>
        <v>550</v>
      </c>
      <c r="U69" s="9">
        <f>160+52</f>
        <v>212</v>
      </c>
      <c r="V69" s="54">
        <f t="shared" si="41"/>
        <v>45.833333333333336</v>
      </c>
      <c r="W69" s="54">
        <f t="shared" si="42"/>
        <v>42.4</v>
      </c>
      <c r="Y69" s="49">
        <v>68</v>
      </c>
      <c r="Z69" s="48">
        <f t="shared" si="43"/>
        <v>68</v>
      </c>
      <c r="AA69" s="36">
        <f t="shared" si="44"/>
        <v>0.40500001884440423</v>
      </c>
      <c r="AB69" s="34">
        <f t="shared" si="45"/>
        <v>0.41666666666666669</v>
      </c>
      <c r="AC69" s="34">
        <f t="shared" si="46"/>
        <v>0.44444444444444442</v>
      </c>
      <c r="AD69" s="34">
        <f t="shared" si="47"/>
        <v>0.15740740740740738</v>
      </c>
      <c r="AE69" s="34">
        <f t="shared" si="48"/>
        <v>0.41745730550284632</v>
      </c>
      <c r="AF69" s="34">
        <f t="shared" si="49"/>
        <v>0.27551020408163263</v>
      </c>
      <c r="AG69" s="34">
        <f t="shared" si="50"/>
        <v>0.20322822246120756</v>
      </c>
      <c r="AH69" s="34">
        <f t="shared" si="51"/>
        <v>0.50724637681159412</v>
      </c>
      <c r="AI69" s="34">
        <f t="shared" si="52"/>
        <v>0.62560000000000004</v>
      </c>
      <c r="AK69" s="35">
        <v>0.40500001884440423</v>
      </c>
      <c r="AL69">
        <v>29</v>
      </c>
      <c r="AM69">
        <f t="shared" si="53"/>
        <v>29</v>
      </c>
    </row>
    <row r="70" spans="1:39" x14ac:dyDescent="0.35">
      <c r="A70" t="s">
        <v>252</v>
      </c>
      <c r="B70" s="19" t="s">
        <v>172</v>
      </c>
      <c r="C70" s="19" t="s">
        <v>165</v>
      </c>
      <c r="D70" s="19" t="s">
        <v>2011</v>
      </c>
      <c r="F70">
        <v>4</v>
      </c>
      <c r="G70">
        <v>8</v>
      </c>
      <c r="H70" s="9"/>
      <c r="I70">
        <v>4</v>
      </c>
      <c r="J70">
        <v>5</v>
      </c>
      <c r="K70" s="9"/>
      <c r="L70">
        <f>177+14</f>
        <v>191</v>
      </c>
      <c r="M70">
        <f>182+16</f>
        <v>198</v>
      </c>
      <c r="N70" s="73">
        <f t="shared" si="36"/>
        <v>15.916666666666666</v>
      </c>
      <c r="O70" s="73">
        <f t="shared" si="37"/>
        <v>16.5</v>
      </c>
      <c r="P70" s="54">
        <f t="shared" si="38"/>
        <v>-7</v>
      </c>
      <c r="Q70" s="73">
        <f t="shared" si="39"/>
        <v>-0.58333333333333337</v>
      </c>
      <c r="R70">
        <v>109</v>
      </c>
      <c r="S70" s="54">
        <f t="shared" si="40"/>
        <v>1.7522935779816513</v>
      </c>
      <c r="T70" s="9">
        <f>523+30</f>
        <v>553</v>
      </c>
      <c r="U70" s="9">
        <f>159+79</f>
        <v>238</v>
      </c>
      <c r="V70" s="54">
        <f t="shared" si="41"/>
        <v>46.083333333333336</v>
      </c>
      <c r="W70" s="54">
        <f t="shared" si="42"/>
        <v>59.5</v>
      </c>
      <c r="Y70" s="49">
        <v>69</v>
      </c>
      <c r="Z70" s="48">
        <f t="shared" si="43"/>
        <v>69</v>
      </c>
      <c r="AA70" s="36">
        <f t="shared" si="44"/>
        <v>0.40302547035054753</v>
      </c>
      <c r="AB70" s="34">
        <f t="shared" si="45"/>
        <v>0.33333333333333331</v>
      </c>
      <c r="AC70" s="34">
        <f t="shared" si="46"/>
        <v>0.44444444444444442</v>
      </c>
      <c r="AD70" s="34">
        <f t="shared" si="47"/>
        <v>0.50925925925925919</v>
      </c>
      <c r="AE70" s="34">
        <f t="shared" si="48"/>
        <v>0.38899430740037955</v>
      </c>
      <c r="AF70" s="34">
        <f t="shared" si="49"/>
        <v>0.45408163265306117</v>
      </c>
      <c r="AG70" s="34">
        <f t="shared" si="50"/>
        <v>0.31084870489836919</v>
      </c>
      <c r="AH70" s="34">
        <f t="shared" si="51"/>
        <v>0.50103519668737051</v>
      </c>
      <c r="AI70" s="34">
        <f t="shared" si="52"/>
        <v>0.35199999999999998</v>
      </c>
      <c r="AK70" s="35">
        <v>0.40302547035054753</v>
      </c>
      <c r="AL70">
        <v>28</v>
      </c>
      <c r="AM70">
        <f t="shared" si="53"/>
        <v>28</v>
      </c>
    </row>
    <row r="71" spans="1:39" x14ac:dyDescent="0.35">
      <c r="A71" t="s">
        <v>266</v>
      </c>
      <c r="B71" s="21" t="s">
        <v>173</v>
      </c>
      <c r="C71" s="21" t="s">
        <v>166</v>
      </c>
      <c r="D71" s="21" t="s">
        <v>22</v>
      </c>
      <c r="F71">
        <v>5</v>
      </c>
      <c r="G71">
        <v>7</v>
      </c>
      <c r="I71">
        <v>3</v>
      </c>
      <c r="J71">
        <v>6</v>
      </c>
      <c r="L71">
        <f>160+16</f>
        <v>176</v>
      </c>
      <c r="M71">
        <f>208+12</f>
        <v>220</v>
      </c>
      <c r="N71" s="73">
        <f t="shared" si="36"/>
        <v>14.666666666666666</v>
      </c>
      <c r="O71" s="73">
        <f t="shared" si="37"/>
        <v>18.333333333333332</v>
      </c>
      <c r="P71" s="54">
        <f t="shared" si="38"/>
        <v>-44</v>
      </c>
      <c r="Q71" s="73">
        <f t="shared" si="39"/>
        <v>-3.6666666666666665</v>
      </c>
      <c r="R71">
        <v>91</v>
      </c>
      <c r="S71" s="54">
        <f t="shared" si="40"/>
        <v>1.9340659340659341</v>
      </c>
      <c r="T71" s="9">
        <f>360+77</f>
        <v>437</v>
      </c>
      <c r="U71" s="9">
        <f>235+77</f>
        <v>312</v>
      </c>
      <c r="V71" s="54">
        <f t="shared" si="41"/>
        <v>36.416666666666664</v>
      </c>
      <c r="W71" s="54">
        <f t="shared" si="42"/>
        <v>62.4</v>
      </c>
      <c r="Y71" s="49">
        <v>70</v>
      </c>
      <c r="Z71" s="48">
        <f t="shared" si="43"/>
        <v>70</v>
      </c>
      <c r="AA71" s="36">
        <f t="shared" si="44"/>
        <v>0.40227502681343025</v>
      </c>
      <c r="AB71" s="34">
        <f t="shared" si="45"/>
        <v>0.41666666666666669</v>
      </c>
      <c r="AC71" s="34">
        <f t="shared" si="46"/>
        <v>0.33333333333333331</v>
      </c>
      <c r="AD71" s="34">
        <f t="shared" si="47"/>
        <v>0.37037037037037029</v>
      </c>
      <c r="AE71" s="34">
        <f t="shared" si="48"/>
        <v>0.18026565464895661</v>
      </c>
      <c r="AF71" s="34">
        <f t="shared" si="49"/>
        <v>0.26530612244897961</v>
      </c>
      <c r="AG71" s="34">
        <f t="shared" si="50"/>
        <v>0.53003533568904582</v>
      </c>
      <c r="AH71" s="34">
        <f t="shared" si="51"/>
        <v>0.74120082815734989</v>
      </c>
      <c r="AI71" s="34">
        <f t="shared" si="52"/>
        <v>0.30559999999999998</v>
      </c>
      <c r="AK71" s="35">
        <v>0.40227502681343025</v>
      </c>
      <c r="AL71">
        <v>27</v>
      </c>
      <c r="AM71">
        <f t="shared" si="53"/>
        <v>27</v>
      </c>
    </row>
    <row r="72" spans="1:39" x14ac:dyDescent="0.35">
      <c r="A72" t="s">
        <v>253</v>
      </c>
      <c r="B72" s="19" t="s">
        <v>172</v>
      </c>
      <c r="C72" s="19" t="s">
        <v>165</v>
      </c>
      <c r="D72" s="19" t="s">
        <v>39</v>
      </c>
      <c r="F72">
        <v>4</v>
      </c>
      <c r="G72">
        <v>8</v>
      </c>
      <c r="H72" s="9"/>
      <c r="I72">
        <v>3</v>
      </c>
      <c r="J72">
        <v>6</v>
      </c>
      <c r="K72" s="9"/>
      <c r="L72">
        <v>170</v>
      </c>
      <c r="M72">
        <f>183+31</f>
        <v>214</v>
      </c>
      <c r="N72" s="73">
        <f t="shared" si="36"/>
        <v>14.166666666666666</v>
      </c>
      <c r="O72" s="73">
        <f t="shared" si="37"/>
        <v>17.833333333333332</v>
      </c>
      <c r="P72" s="54">
        <f t="shared" si="38"/>
        <v>-44</v>
      </c>
      <c r="Q72" s="73">
        <f t="shared" si="39"/>
        <v>-3.6666666666666665</v>
      </c>
      <c r="R72">
        <v>94</v>
      </c>
      <c r="S72" s="54">
        <f t="shared" si="40"/>
        <v>1.8085106382978724</v>
      </c>
      <c r="T72" s="9">
        <f>445+41</f>
        <v>486</v>
      </c>
      <c r="U72" s="9">
        <f>158+4</f>
        <v>162</v>
      </c>
      <c r="V72" s="54">
        <f t="shared" si="41"/>
        <v>40.5</v>
      </c>
      <c r="W72" s="54">
        <f t="shared" si="42"/>
        <v>40.5</v>
      </c>
      <c r="Y72" s="49">
        <v>71</v>
      </c>
      <c r="Z72" s="48">
        <f t="shared" si="43"/>
        <v>71</v>
      </c>
      <c r="AA72" s="36">
        <f t="shared" si="44"/>
        <v>0.4018304604600601</v>
      </c>
      <c r="AB72" s="34">
        <f t="shared" si="45"/>
        <v>0.33333333333333331</v>
      </c>
      <c r="AC72" s="34">
        <f t="shared" si="46"/>
        <v>0.33333333333333331</v>
      </c>
      <c r="AD72" s="34">
        <f t="shared" si="47"/>
        <v>0.31481481481481477</v>
      </c>
      <c r="AE72" s="34">
        <f t="shared" si="48"/>
        <v>0.23719165085389016</v>
      </c>
      <c r="AF72" s="34">
        <f t="shared" si="49"/>
        <v>0.26530612244897961</v>
      </c>
      <c r="AG72" s="34">
        <f t="shared" si="50"/>
        <v>0.37863694459063224</v>
      </c>
      <c r="AH72" s="34">
        <f t="shared" si="51"/>
        <v>0.63975155279503104</v>
      </c>
      <c r="AI72" s="34">
        <f t="shared" si="52"/>
        <v>0.65600000000000003</v>
      </c>
      <c r="AK72" s="35">
        <v>0.4018304604600601</v>
      </c>
      <c r="AL72">
        <v>26</v>
      </c>
      <c r="AM72">
        <f t="shared" si="53"/>
        <v>26</v>
      </c>
    </row>
    <row r="73" spans="1:39" x14ac:dyDescent="0.35">
      <c r="A73" t="s">
        <v>274</v>
      </c>
      <c r="B73" s="21" t="s">
        <v>173</v>
      </c>
      <c r="C73" s="21" t="s">
        <v>167</v>
      </c>
      <c r="D73" s="21" t="s">
        <v>32</v>
      </c>
      <c r="F73">
        <v>5</v>
      </c>
      <c r="G73">
        <v>7</v>
      </c>
      <c r="I73">
        <v>4</v>
      </c>
      <c r="J73">
        <v>5</v>
      </c>
      <c r="L73">
        <v>159</v>
      </c>
      <c r="M73">
        <f>184+24</f>
        <v>208</v>
      </c>
      <c r="N73" s="73">
        <f t="shared" si="36"/>
        <v>13.25</v>
      </c>
      <c r="O73" s="73">
        <f t="shared" si="37"/>
        <v>17.333333333333332</v>
      </c>
      <c r="P73" s="54">
        <f t="shared" si="38"/>
        <v>-49</v>
      </c>
      <c r="Q73" s="73">
        <f t="shared" si="39"/>
        <v>-4.083333333333333</v>
      </c>
      <c r="R73">
        <v>91</v>
      </c>
      <c r="S73" s="54">
        <f t="shared" si="40"/>
        <v>1.7472527472527473</v>
      </c>
      <c r="T73" s="9">
        <f>518+11</f>
        <v>529</v>
      </c>
      <c r="U73" s="9">
        <f>113+58+92</f>
        <v>263</v>
      </c>
      <c r="V73" s="54">
        <f t="shared" si="41"/>
        <v>44.083333333333336</v>
      </c>
      <c r="W73" s="54">
        <f t="shared" si="42"/>
        <v>52.6</v>
      </c>
      <c r="Y73" s="49">
        <v>72</v>
      </c>
      <c r="Z73" s="48">
        <f t="shared" si="43"/>
        <v>72</v>
      </c>
      <c r="AA73" s="36">
        <f t="shared" si="44"/>
        <v>0.3879240072562577</v>
      </c>
      <c r="AB73" s="34">
        <f t="shared" si="45"/>
        <v>0.41666666666666669</v>
      </c>
      <c r="AC73" s="34">
        <f t="shared" si="46"/>
        <v>0.44444444444444442</v>
      </c>
      <c r="AD73" s="34">
        <f t="shared" si="47"/>
        <v>0.21296296296296294</v>
      </c>
      <c r="AE73" s="34">
        <f t="shared" si="48"/>
        <v>0.29411764705882371</v>
      </c>
      <c r="AF73" s="34">
        <f t="shared" si="49"/>
        <v>0.23979591836734693</v>
      </c>
      <c r="AG73" s="34">
        <f t="shared" si="50"/>
        <v>0.30477031802120136</v>
      </c>
      <c r="AH73" s="34">
        <f t="shared" si="51"/>
        <v>0.55072463768115942</v>
      </c>
      <c r="AI73" s="34">
        <f t="shared" si="52"/>
        <v>0.46239999999999992</v>
      </c>
      <c r="AK73" s="35">
        <v>0.3879240072562577</v>
      </c>
      <c r="AL73">
        <v>25</v>
      </c>
      <c r="AM73">
        <f t="shared" si="53"/>
        <v>25</v>
      </c>
    </row>
    <row r="74" spans="1:39" x14ac:dyDescent="0.35">
      <c r="A74" t="s">
        <v>814</v>
      </c>
      <c r="B74" s="58" t="s">
        <v>799</v>
      </c>
      <c r="C74" s="58" t="s">
        <v>817</v>
      </c>
      <c r="D74" s="58" t="s">
        <v>791</v>
      </c>
      <c r="F74" s="46">
        <v>4</v>
      </c>
      <c r="G74" s="46">
        <v>8</v>
      </c>
      <c r="H74" s="46"/>
      <c r="I74" s="46">
        <v>3</v>
      </c>
      <c r="J74" s="46">
        <v>6</v>
      </c>
      <c r="K74" s="46"/>
      <c r="L74" s="46">
        <v>171</v>
      </c>
      <c r="M74" s="46">
        <v>206</v>
      </c>
      <c r="N74" s="73">
        <f t="shared" si="36"/>
        <v>14.25</v>
      </c>
      <c r="O74" s="73">
        <f t="shared" si="37"/>
        <v>17.166666666666668</v>
      </c>
      <c r="P74" s="54">
        <f t="shared" si="38"/>
        <v>-35</v>
      </c>
      <c r="Q74" s="73">
        <f t="shared" si="39"/>
        <v>-2.9166666666666665</v>
      </c>
      <c r="R74" s="46">
        <v>97</v>
      </c>
      <c r="S74" s="54">
        <f t="shared" si="40"/>
        <v>1.7628865979381443</v>
      </c>
      <c r="T74" s="9">
        <f>556+70</f>
        <v>626</v>
      </c>
      <c r="U74">
        <f>102+50</f>
        <v>152</v>
      </c>
      <c r="V74" s="54">
        <f t="shared" si="41"/>
        <v>52.166666666666664</v>
      </c>
      <c r="W74" s="54">
        <f t="shared" si="42"/>
        <v>38</v>
      </c>
      <c r="Y74" s="49">
        <v>73</v>
      </c>
      <c r="Z74" s="48">
        <f t="shared" si="43"/>
        <v>73</v>
      </c>
      <c r="AA74" s="36">
        <f t="shared" si="44"/>
        <v>0.37713764083512002</v>
      </c>
      <c r="AB74" s="34">
        <f t="shared" si="45"/>
        <v>0.33333333333333331</v>
      </c>
      <c r="AC74" s="34">
        <f t="shared" si="46"/>
        <v>0.33333333333333331</v>
      </c>
      <c r="AD74" s="34">
        <f t="shared" si="47"/>
        <v>0.32407407407407407</v>
      </c>
      <c r="AE74" s="34">
        <f t="shared" si="48"/>
        <v>0.31309297912713463</v>
      </c>
      <c r="AF74" s="34">
        <f t="shared" si="49"/>
        <v>0.31122448979591838</v>
      </c>
      <c r="AG74" s="34">
        <f t="shared" si="50"/>
        <v>0.32362209026993538</v>
      </c>
      <c r="AH74" s="34">
        <f t="shared" si="51"/>
        <v>0.34989648033126297</v>
      </c>
      <c r="AI74" s="34">
        <f t="shared" si="52"/>
        <v>0.69599999999999995</v>
      </c>
      <c r="AK74" s="35">
        <v>0.37713764083512002</v>
      </c>
      <c r="AL74">
        <v>24</v>
      </c>
      <c r="AM74">
        <f t="shared" si="53"/>
        <v>24</v>
      </c>
    </row>
    <row r="75" spans="1:39" x14ac:dyDescent="0.35">
      <c r="A75" t="s">
        <v>213</v>
      </c>
      <c r="B75" s="15" t="s">
        <v>143</v>
      </c>
      <c r="C75" s="15" t="s">
        <v>159</v>
      </c>
      <c r="D75" s="15" t="s">
        <v>85</v>
      </c>
      <c r="F75">
        <v>4</v>
      </c>
      <c r="G75">
        <v>8</v>
      </c>
      <c r="I75">
        <v>3</v>
      </c>
      <c r="J75">
        <v>6</v>
      </c>
      <c r="L75">
        <v>136</v>
      </c>
      <c r="M75">
        <v>180</v>
      </c>
      <c r="N75" s="73">
        <f t="shared" si="36"/>
        <v>11.333333333333334</v>
      </c>
      <c r="O75" s="73">
        <f t="shared" si="37"/>
        <v>15</v>
      </c>
      <c r="P75" s="54">
        <f t="shared" si="38"/>
        <v>-44</v>
      </c>
      <c r="Q75" s="73">
        <f t="shared" si="39"/>
        <v>-3.6666666666666665</v>
      </c>
      <c r="R75">
        <v>91</v>
      </c>
      <c r="S75" s="54">
        <f t="shared" si="40"/>
        <v>1.4945054945054945</v>
      </c>
      <c r="T75" s="9">
        <f>547+17</f>
        <v>564</v>
      </c>
      <c r="U75" s="9">
        <f>99+17</f>
        <v>116</v>
      </c>
      <c r="V75" s="54">
        <f t="shared" si="41"/>
        <v>47</v>
      </c>
      <c r="W75" s="54">
        <f t="shared" si="42"/>
        <v>29</v>
      </c>
      <c r="Y75" s="49">
        <v>74</v>
      </c>
      <c r="Z75" s="48">
        <f t="shared" si="43"/>
        <v>74</v>
      </c>
      <c r="AA75" s="36">
        <f t="shared" si="44"/>
        <v>0.37524229910758133</v>
      </c>
      <c r="AB75" s="34">
        <f t="shared" si="45"/>
        <v>0.33333333333333331</v>
      </c>
      <c r="AC75" s="34">
        <f t="shared" si="46"/>
        <v>0.33333333333333331</v>
      </c>
      <c r="AD75" s="34">
        <f t="shared" si="47"/>
        <v>0</v>
      </c>
      <c r="AE75" s="34">
        <f t="shared" si="48"/>
        <v>0.5597722960151803</v>
      </c>
      <c r="AF75" s="34">
        <f t="shared" si="49"/>
        <v>0.26530612244897961</v>
      </c>
      <c r="AG75" s="34">
        <f t="shared" si="50"/>
        <v>0</v>
      </c>
      <c r="AH75" s="34">
        <f t="shared" si="51"/>
        <v>0.47826086956521741</v>
      </c>
      <c r="AI75" s="34">
        <f t="shared" si="52"/>
        <v>0.84</v>
      </c>
      <c r="AK75" s="35">
        <v>0.37524229910758133</v>
      </c>
      <c r="AL75">
        <v>23</v>
      </c>
      <c r="AM75">
        <f t="shared" si="53"/>
        <v>23</v>
      </c>
    </row>
    <row r="76" spans="1:39" x14ac:dyDescent="0.35">
      <c r="A76" t="s">
        <v>809</v>
      </c>
      <c r="B76" s="58" t="s">
        <v>799</v>
      </c>
      <c r="C76" s="58" t="s">
        <v>817</v>
      </c>
      <c r="D76" s="58" t="s">
        <v>789</v>
      </c>
      <c r="F76" s="46">
        <v>4</v>
      </c>
      <c r="G76" s="46">
        <v>8</v>
      </c>
      <c r="H76" s="46"/>
      <c r="I76" s="46">
        <v>3</v>
      </c>
      <c r="J76" s="46">
        <v>6</v>
      </c>
      <c r="K76" s="46"/>
      <c r="L76" s="46">
        <f>151+20</f>
        <v>171</v>
      </c>
      <c r="M76" s="46">
        <f>186+11</f>
        <v>197</v>
      </c>
      <c r="N76" s="73">
        <f t="shared" si="36"/>
        <v>14.25</v>
      </c>
      <c r="O76" s="73">
        <f t="shared" si="37"/>
        <v>16.416666666666668</v>
      </c>
      <c r="P76" s="54">
        <f t="shared" si="38"/>
        <v>-26</v>
      </c>
      <c r="Q76" s="73">
        <f t="shared" si="39"/>
        <v>-2.1666666666666665</v>
      </c>
      <c r="R76" s="46">
        <v>101</v>
      </c>
      <c r="S76" s="54">
        <f t="shared" si="40"/>
        <v>1.693069306930693</v>
      </c>
      <c r="T76" s="9">
        <f>498+49</f>
        <v>547</v>
      </c>
      <c r="U76">
        <f>160+48</f>
        <v>208</v>
      </c>
      <c r="V76" s="54">
        <f t="shared" si="41"/>
        <v>45.583333333333336</v>
      </c>
      <c r="W76" s="54">
        <f t="shared" si="42"/>
        <v>52</v>
      </c>
      <c r="Y76" s="49">
        <v>75</v>
      </c>
      <c r="Z76" s="48">
        <f t="shared" si="43"/>
        <v>75</v>
      </c>
      <c r="AA76" s="36">
        <f t="shared" si="44"/>
        <v>0.37475792471996899</v>
      </c>
      <c r="AB76" s="34">
        <f t="shared" si="45"/>
        <v>0.33333333333333331</v>
      </c>
      <c r="AC76" s="34">
        <f t="shared" si="46"/>
        <v>0.33333333333333331</v>
      </c>
      <c r="AD76" s="34">
        <f t="shared" si="47"/>
        <v>0.32407407407407407</v>
      </c>
      <c r="AE76" s="34">
        <f t="shared" si="48"/>
        <v>0.39848197343453506</v>
      </c>
      <c r="AF76" s="34">
        <f t="shared" si="49"/>
        <v>0.35714285714285715</v>
      </c>
      <c r="AG76" s="34">
        <f t="shared" si="50"/>
        <v>0.2394342791169575</v>
      </c>
      <c r="AH76" s="34">
        <f t="shared" si="51"/>
        <v>0.51345755693581774</v>
      </c>
      <c r="AI76" s="34">
        <f t="shared" si="52"/>
        <v>0.47199999999999998</v>
      </c>
      <c r="AK76" s="35">
        <v>0.37475792471996899</v>
      </c>
      <c r="AL76">
        <v>22</v>
      </c>
      <c r="AM76">
        <f t="shared" si="53"/>
        <v>22</v>
      </c>
    </row>
    <row r="77" spans="1:39" x14ac:dyDescent="0.35">
      <c r="A77" t="s">
        <v>229</v>
      </c>
      <c r="B77" s="16" t="s">
        <v>144</v>
      </c>
      <c r="C77" s="16" t="s">
        <v>161</v>
      </c>
      <c r="D77" s="16" t="s">
        <v>65</v>
      </c>
      <c r="F77">
        <v>5</v>
      </c>
      <c r="G77">
        <v>7</v>
      </c>
      <c r="I77">
        <v>3</v>
      </c>
      <c r="J77">
        <v>6</v>
      </c>
      <c r="L77">
        <f>157+11</f>
        <v>168</v>
      </c>
      <c r="M77">
        <f>200+16</f>
        <v>216</v>
      </c>
      <c r="N77" s="73">
        <f t="shared" si="36"/>
        <v>14</v>
      </c>
      <c r="O77" s="73">
        <f t="shared" si="37"/>
        <v>18</v>
      </c>
      <c r="P77" s="54">
        <f t="shared" si="38"/>
        <v>-48</v>
      </c>
      <c r="Q77" s="73">
        <f t="shared" si="39"/>
        <v>-4</v>
      </c>
      <c r="R77">
        <v>95</v>
      </c>
      <c r="S77" s="54">
        <f t="shared" si="40"/>
        <v>1.7684210526315789</v>
      </c>
      <c r="T77" s="9">
        <f>416+90</f>
        <v>506</v>
      </c>
      <c r="U77" s="9">
        <f>288+1</f>
        <v>289</v>
      </c>
      <c r="V77" s="54">
        <f t="shared" si="41"/>
        <v>42.166666666666664</v>
      </c>
      <c r="W77" s="54">
        <f t="shared" si="42"/>
        <v>57.8</v>
      </c>
      <c r="Y77" s="49">
        <v>76</v>
      </c>
      <c r="Z77" s="48">
        <f t="shared" si="43"/>
        <v>76</v>
      </c>
      <c r="AA77" s="36">
        <f t="shared" si="44"/>
        <v>0.37204743364583803</v>
      </c>
      <c r="AB77" s="34">
        <f t="shared" si="45"/>
        <v>0.41666666666666669</v>
      </c>
      <c r="AC77" s="34">
        <f t="shared" si="46"/>
        <v>0.33333333333333331</v>
      </c>
      <c r="AD77" s="34">
        <f t="shared" si="47"/>
        <v>0.29629629629629628</v>
      </c>
      <c r="AE77" s="34">
        <f t="shared" si="48"/>
        <v>0.21821631878557879</v>
      </c>
      <c r="AF77" s="34">
        <f t="shared" si="49"/>
        <v>0.24489795918367344</v>
      </c>
      <c r="AG77" s="34">
        <f t="shared" si="50"/>
        <v>0.33029570392412111</v>
      </c>
      <c r="AH77" s="34">
        <f t="shared" si="51"/>
        <v>0.5983436853002071</v>
      </c>
      <c r="AI77" s="34">
        <f t="shared" si="52"/>
        <v>0.37920000000000009</v>
      </c>
      <c r="AK77" s="35">
        <v>0.37204743364583803</v>
      </c>
      <c r="AL77">
        <v>21</v>
      </c>
      <c r="AM77">
        <f t="shared" si="53"/>
        <v>21</v>
      </c>
    </row>
    <row r="78" spans="1:39" x14ac:dyDescent="0.35">
      <c r="A78" t="s">
        <v>262</v>
      </c>
      <c r="B78" s="19" t="s">
        <v>172</v>
      </c>
      <c r="C78" s="19" t="s">
        <v>164</v>
      </c>
      <c r="D78" s="19" t="s">
        <v>1858</v>
      </c>
      <c r="F78">
        <v>4</v>
      </c>
      <c r="G78">
        <v>8</v>
      </c>
      <c r="I78">
        <v>4</v>
      </c>
      <c r="J78">
        <v>5</v>
      </c>
      <c r="L78">
        <f>143+19</f>
        <v>162</v>
      </c>
      <c r="M78">
        <f>176+17</f>
        <v>193</v>
      </c>
      <c r="N78" s="73">
        <f t="shared" si="36"/>
        <v>13.5</v>
      </c>
      <c r="O78" s="73">
        <f t="shared" si="37"/>
        <v>16.083333333333332</v>
      </c>
      <c r="P78" s="54">
        <f t="shared" si="38"/>
        <v>-31</v>
      </c>
      <c r="Q78" s="73">
        <f t="shared" si="39"/>
        <v>-2.5833333333333335</v>
      </c>
      <c r="R78">
        <f>87+9</f>
        <v>96</v>
      </c>
      <c r="S78" s="54">
        <f t="shared" si="40"/>
        <v>1.6875</v>
      </c>
      <c r="T78" s="9">
        <f>500+42</f>
        <v>542</v>
      </c>
      <c r="U78" s="9">
        <f>192+42</f>
        <v>234</v>
      </c>
      <c r="V78" s="54">
        <f t="shared" si="41"/>
        <v>45.166666666666664</v>
      </c>
      <c r="W78" s="54">
        <f t="shared" si="42"/>
        <v>58.5</v>
      </c>
      <c r="Y78" s="49">
        <v>77</v>
      </c>
      <c r="Z78" s="48">
        <f t="shared" si="43"/>
        <v>77</v>
      </c>
      <c r="AA78" s="36">
        <f t="shared" si="44"/>
        <v>0.3699117904485148</v>
      </c>
      <c r="AB78" s="34">
        <f t="shared" si="45"/>
        <v>0.33333333333333331</v>
      </c>
      <c r="AC78" s="34">
        <f t="shared" si="46"/>
        <v>0.44444444444444442</v>
      </c>
      <c r="AD78" s="34">
        <f t="shared" si="47"/>
        <v>0.24074074074074073</v>
      </c>
      <c r="AE78" s="34">
        <f t="shared" si="48"/>
        <v>0.43643263757115769</v>
      </c>
      <c r="AF78" s="34">
        <f t="shared" si="49"/>
        <v>0.33163265306122441</v>
      </c>
      <c r="AG78" s="34">
        <f t="shared" si="50"/>
        <v>0.23271863957597166</v>
      </c>
      <c r="AH78" s="34">
        <f t="shared" si="51"/>
        <v>0.52380952380952395</v>
      </c>
      <c r="AI78" s="34">
        <f t="shared" si="52"/>
        <v>0.36799999999999999</v>
      </c>
      <c r="AK78" s="35">
        <v>0.3699117904485148</v>
      </c>
      <c r="AL78">
        <v>20</v>
      </c>
      <c r="AM78">
        <f t="shared" si="53"/>
        <v>20</v>
      </c>
    </row>
    <row r="79" spans="1:39" x14ac:dyDescent="0.35">
      <c r="A79" t="s">
        <v>233</v>
      </c>
      <c r="B79" s="17" t="s">
        <v>171</v>
      </c>
      <c r="C79" s="17" t="s">
        <v>163</v>
      </c>
      <c r="D79" s="17" t="s">
        <v>48</v>
      </c>
      <c r="F79">
        <v>4</v>
      </c>
      <c r="G79">
        <v>8</v>
      </c>
      <c r="I79">
        <v>2</v>
      </c>
      <c r="J79">
        <v>7</v>
      </c>
      <c r="L79">
        <v>168</v>
      </c>
      <c r="M79">
        <f>177+16</f>
        <v>193</v>
      </c>
      <c r="N79" s="73">
        <f t="shared" si="36"/>
        <v>14</v>
      </c>
      <c r="O79" s="73">
        <f t="shared" si="37"/>
        <v>16.083333333333332</v>
      </c>
      <c r="P79" s="54">
        <f t="shared" si="38"/>
        <v>-25</v>
      </c>
      <c r="Q79" s="73">
        <f t="shared" si="39"/>
        <v>-2.0833333333333335</v>
      </c>
      <c r="R79">
        <v>99</v>
      </c>
      <c r="S79" s="54">
        <f t="shared" si="40"/>
        <v>1.696969696969697</v>
      </c>
      <c r="T79" s="9">
        <f>469+36</f>
        <v>505</v>
      </c>
      <c r="U79" s="9">
        <f>158+79</f>
        <v>237</v>
      </c>
      <c r="V79" s="54">
        <f t="shared" si="41"/>
        <v>42.083333333333336</v>
      </c>
      <c r="W79" s="54">
        <f t="shared" si="42"/>
        <v>59.25</v>
      </c>
      <c r="Y79" s="49">
        <v>78</v>
      </c>
      <c r="Z79" s="48">
        <f t="shared" si="43"/>
        <v>78</v>
      </c>
      <c r="AA79" s="36">
        <f t="shared" si="44"/>
        <v>0.35833953670974494</v>
      </c>
      <c r="AB79" s="34">
        <f t="shared" si="45"/>
        <v>0.33333333333333331</v>
      </c>
      <c r="AC79" s="34">
        <f t="shared" si="46"/>
        <v>0.22222222222222221</v>
      </c>
      <c r="AD79" s="34">
        <f t="shared" si="47"/>
        <v>0.29629629629629628</v>
      </c>
      <c r="AE79" s="34">
        <f t="shared" si="48"/>
        <v>0.43643263757115769</v>
      </c>
      <c r="AF79" s="34">
        <f t="shared" si="49"/>
        <v>0.36224489795918358</v>
      </c>
      <c r="AG79" s="34">
        <f t="shared" si="50"/>
        <v>0.24413748795374235</v>
      </c>
      <c r="AH79" s="34">
        <f t="shared" si="51"/>
        <v>0.60041407867494812</v>
      </c>
      <c r="AI79" s="34">
        <f t="shared" si="52"/>
        <v>0.35599999999999998</v>
      </c>
      <c r="AK79" s="35">
        <v>0.35833953670974494</v>
      </c>
      <c r="AL79">
        <v>19</v>
      </c>
      <c r="AM79">
        <f t="shared" si="53"/>
        <v>19</v>
      </c>
    </row>
    <row r="80" spans="1:39" x14ac:dyDescent="0.35">
      <c r="A80" t="s">
        <v>230</v>
      </c>
      <c r="B80" s="16" t="s">
        <v>144</v>
      </c>
      <c r="C80" s="16" t="s">
        <v>161</v>
      </c>
      <c r="D80" s="16" t="s">
        <v>61</v>
      </c>
      <c r="F80">
        <v>5</v>
      </c>
      <c r="G80">
        <v>7</v>
      </c>
      <c r="I80">
        <v>4</v>
      </c>
      <c r="J80">
        <v>5</v>
      </c>
      <c r="L80">
        <f>150+12</f>
        <v>162</v>
      </c>
      <c r="M80">
        <f>183+9</f>
        <v>192</v>
      </c>
      <c r="N80" s="73">
        <f t="shared" si="36"/>
        <v>13.5</v>
      </c>
      <c r="O80" s="73">
        <f t="shared" si="37"/>
        <v>16</v>
      </c>
      <c r="P80" s="54">
        <f t="shared" si="38"/>
        <v>-30</v>
      </c>
      <c r="Q80" s="73">
        <f t="shared" si="39"/>
        <v>-2.5</v>
      </c>
      <c r="R80">
        <v>95</v>
      </c>
      <c r="S80" s="54">
        <f t="shared" si="40"/>
        <v>1.7052631578947368</v>
      </c>
      <c r="T80" s="9">
        <f>540+87</f>
        <v>627</v>
      </c>
      <c r="U80" s="9">
        <f>236+87</f>
        <v>323</v>
      </c>
      <c r="V80" s="54">
        <f t="shared" si="41"/>
        <v>52.25</v>
      </c>
      <c r="W80" s="54">
        <f t="shared" si="42"/>
        <v>64.599999999999994</v>
      </c>
      <c r="Y80" s="49">
        <v>79</v>
      </c>
      <c r="Z80" s="48">
        <f t="shared" si="43"/>
        <v>79</v>
      </c>
      <c r="AA80" s="36">
        <f t="shared" si="44"/>
        <v>0.358249755306769</v>
      </c>
      <c r="AB80" s="34">
        <f t="shared" si="45"/>
        <v>0.41666666666666669</v>
      </c>
      <c r="AC80" s="34">
        <f t="shared" si="46"/>
        <v>0.44444444444444442</v>
      </c>
      <c r="AD80" s="34">
        <f t="shared" si="47"/>
        <v>0.24074074074074073</v>
      </c>
      <c r="AE80" s="34">
        <f t="shared" si="48"/>
        <v>0.4459203036053131</v>
      </c>
      <c r="AF80" s="34">
        <f t="shared" si="49"/>
        <v>0.33673469387755095</v>
      </c>
      <c r="AG80" s="34">
        <f t="shared" si="50"/>
        <v>0.25413799516458979</v>
      </c>
      <c r="AH80" s="34">
        <f t="shared" si="51"/>
        <v>0.34782608695652173</v>
      </c>
      <c r="AI80" s="34">
        <f t="shared" si="52"/>
        <v>0.27040000000000008</v>
      </c>
      <c r="AK80" s="35">
        <v>0.358249755306769</v>
      </c>
      <c r="AL80">
        <v>18</v>
      </c>
      <c r="AM80">
        <f t="shared" si="53"/>
        <v>18</v>
      </c>
    </row>
    <row r="81" spans="1:39" x14ac:dyDescent="0.35">
      <c r="A81" t="s">
        <v>267</v>
      </c>
      <c r="B81" s="21" t="s">
        <v>173</v>
      </c>
      <c r="C81" s="21" t="s">
        <v>166</v>
      </c>
      <c r="D81" s="21" t="s">
        <v>1860</v>
      </c>
      <c r="F81">
        <v>4</v>
      </c>
      <c r="G81">
        <v>8</v>
      </c>
      <c r="I81">
        <v>3</v>
      </c>
      <c r="J81">
        <v>6</v>
      </c>
      <c r="L81">
        <f>165+14</f>
        <v>179</v>
      </c>
      <c r="M81">
        <f>169+16</f>
        <v>185</v>
      </c>
      <c r="N81" s="73">
        <f t="shared" si="36"/>
        <v>14.916666666666666</v>
      </c>
      <c r="O81" s="73">
        <f t="shared" si="37"/>
        <v>15.416666666666666</v>
      </c>
      <c r="P81" s="54">
        <f t="shared" si="38"/>
        <v>-6</v>
      </c>
      <c r="Q81" s="73">
        <f t="shared" si="39"/>
        <v>-0.5</v>
      </c>
      <c r="R81">
        <v>103</v>
      </c>
      <c r="S81" s="54">
        <f t="shared" si="40"/>
        <v>1.7378640776699028</v>
      </c>
      <c r="T81" s="9">
        <f>607+38</f>
        <v>645</v>
      </c>
      <c r="U81" s="9">
        <f>174+95</f>
        <v>269</v>
      </c>
      <c r="V81" s="54">
        <f t="shared" si="41"/>
        <v>53.75</v>
      </c>
      <c r="W81" s="54">
        <f t="shared" si="42"/>
        <v>67.25</v>
      </c>
      <c r="Y81" s="49">
        <v>80</v>
      </c>
      <c r="Z81" s="48">
        <f t="shared" si="43"/>
        <v>80</v>
      </c>
      <c r="AA81" s="36">
        <f t="shared" si="44"/>
        <v>0.34793817674523125</v>
      </c>
      <c r="AB81" s="34">
        <f t="shared" si="45"/>
        <v>0.33333333333333331</v>
      </c>
      <c r="AC81" s="34">
        <f t="shared" si="46"/>
        <v>0.33333333333333331</v>
      </c>
      <c r="AD81" s="34">
        <f t="shared" si="47"/>
        <v>0.39814814814814808</v>
      </c>
      <c r="AE81" s="34">
        <f t="shared" si="48"/>
        <v>0.51233396584440238</v>
      </c>
      <c r="AF81" s="34">
        <f t="shared" si="49"/>
        <v>0.45918367346938771</v>
      </c>
      <c r="AG81" s="34">
        <f t="shared" si="50"/>
        <v>0.29344917492881384</v>
      </c>
      <c r="AH81" s="34">
        <f t="shared" si="51"/>
        <v>0.31055900621118016</v>
      </c>
      <c r="AI81" s="34">
        <f t="shared" si="52"/>
        <v>0.22799999999999998</v>
      </c>
      <c r="AK81" s="35">
        <v>0.34793817674523125</v>
      </c>
      <c r="AL81">
        <v>17</v>
      </c>
      <c r="AM81">
        <f t="shared" si="53"/>
        <v>17</v>
      </c>
    </row>
    <row r="82" spans="1:39" x14ac:dyDescent="0.35">
      <c r="A82" t="s">
        <v>242</v>
      </c>
      <c r="B82" s="17" t="s">
        <v>171</v>
      </c>
      <c r="C82" s="17" t="s">
        <v>162</v>
      </c>
      <c r="D82" s="17" t="s">
        <v>117</v>
      </c>
      <c r="F82">
        <v>4</v>
      </c>
      <c r="G82">
        <v>8</v>
      </c>
      <c r="I82">
        <v>1</v>
      </c>
      <c r="J82">
        <v>8</v>
      </c>
      <c r="L82">
        <f>144+14</f>
        <v>158</v>
      </c>
      <c r="M82">
        <f>163+15</f>
        <v>178</v>
      </c>
      <c r="N82" s="73">
        <f t="shared" si="36"/>
        <v>13.166666666666666</v>
      </c>
      <c r="O82" s="73">
        <f t="shared" si="37"/>
        <v>14.833333333333334</v>
      </c>
      <c r="P82" s="54">
        <f t="shared" si="38"/>
        <v>-20</v>
      </c>
      <c r="Q82" s="73">
        <f t="shared" si="39"/>
        <v>-1.6666666666666667</v>
      </c>
      <c r="R82">
        <v>91</v>
      </c>
      <c r="S82" s="54">
        <f t="shared" si="40"/>
        <v>1.7362637362637363</v>
      </c>
      <c r="T82" s="9">
        <f>560+55</f>
        <v>615</v>
      </c>
      <c r="U82" s="9">
        <f>134+67</f>
        <v>201</v>
      </c>
      <c r="V82" s="54">
        <f t="shared" si="41"/>
        <v>51.25</v>
      </c>
      <c r="W82" s="54">
        <f t="shared" si="42"/>
        <v>50.25</v>
      </c>
      <c r="Y82" s="49">
        <v>81</v>
      </c>
      <c r="Z82" s="48">
        <f t="shared" si="43"/>
        <v>81</v>
      </c>
      <c r="AA82" s="36">
        <f t="shared" si="44"/>
        <v>0.34381207885902465</v>
      </c>
      <c r="AB82" s="34">
        <f t="shared" si="45"/>
        <v>0.33333333333333331</v>
      </c>
      <c r="AC82" s="34">
        <f t="shared" si="46"/>
        <v>0.1111111111111111</v>
      </c>
      <c r="AD82" s="34">
        <f t="shared" si="47"/>
        <v>0.20370370370370361</v>
      </c>
      <c r="AE82" s="34">
        <f t="shared" si="48"/>
        <v>0.57874762808349134</v>
      </c>
      <c r="AF82" s="34">
        <f t="shared" si="49"/>
        <v>0.38775510204081626</v>
      </c>
      <c r="AG82" s="34">
        <f t="shared" si="50"/>
        <v>0.29151943462897523</v>
      </c>
      <c r="AH82" s="34">
        <f t="shared" si="51"/>
        <v>0.37267080745341619</v>
      </c>
      <c r="AI82" s="34">
        <f t="shared" si="52"/>
        <v>0.5</v>
      </c>
      <c r="AK82" s="35">
        <v>0.34381207885902465</v>
      </c>
      <c r="AL82">
        <v>16</v>
      </c>
      <c r="AM82">
        <f t="shared" si="53"/>
        <v>16</v>
      </c>
    </row>
    <row r="83" spans="1:39" x14ac:dyDescent="0.35">
      <c r="A83" t="s">
        <v>247</v>
      </c>
      <c r="B83" s="17" t="s">
        <v>171</v>
      </c>
      <c r="C83" s="17" t="s">
        <v>162</v>
      </c>
      <c r="D83" s="17" t="s">
        <v>56</v>
      </c>
      <c r="F83">
        <v>3</v>
      </c>
      <c r="G83">
        <v>9</v>
      </c>
      <c r="I83">
        <v>2</v>
      </c>
      <c r="J83">
        <v>7</v>
      </c>
      <c r="L83">
        <v>178</v>
      </c>
      <c r="M83">
        <f>208+22</f>
        <v>230</v>
      </c>
      <c r="N83" s="73">
        <f t="shared" si="36"/>
        <v>14.833333333333334</v>
      </c>
      <c r="O83" s="73">
        <f t="shared" si="37"/>
        <v>19.166666666666668</v>
      </c>
      <c r="P83" s="54">
        <f t="shared" si="38"/>
        <v>-52</v>
      </c>
      <c r="Q83" s="73">
        <f t="shared" si="39"/>
        <v>-4.333333333333333</v>
      </c>
      <c r="R83">
        <v>100</v>
      </c>
      <c r="S83" s="54">
        <f t="shared" si="40"/>
        <v>1.78</v>
      </c>
      <c r="T83" s="9">
        <f>351+40</f>
        <v>391</v>
      </c>
      <c r="U83" s="9">
        <f>172+1</f>
        <v>173</v>
      </c>
      <c r="V83" s="54">
        <f t="shared" si="41"/>
        <v>32.583333333333336</v>
      </c>
      <c r="W83" s="54">
        <f t="shared" si="42"/>
        <v>57.666666666666664</v>
      </c>
      <c r="Y83" s="49">
        <v>82</v>
      </c>
      <c r="Z83" s="48">
        <f t="shared" si="43"/>
        <v>82</v>
      </c>
      <c r="AA83" s="36">
        <f t="shared" si="44"/>
        <v>0.34262689029913118</v>
      </c>
      <c r="AB83" s="34">
        <f t="shared" si="45"/>
        <v>0.25</v>
      </c>
      <c r="AC83" s="34">
        <f t="shared" si="46"/>
        <v>0.22222222222222221</v>
      </c>
      <c r="AD83" s="34">
        <f t="shared" si="47"/>
        <v>0.38888888888888895</v>
      </c>
      <c r="AE83" s="34">
        <f t="shared" si="48"/>
        <v>8.5388994307400323E-2</v>
      </c>
      <c r="AF83" s="34">
        <f t="shared" si="49"/>
        <v>0.22448979591836735</v>
      </c>
      <c r="AG83" s="34">
        <f t="shared" si="50"/>
        <v>0.34425795053003527</v>
      </c>
      <c r="AH83" s="34">
        <f t="shared" si="51"/>
        <v>0.83643892339544501</v>
      </c>
      <c r="AI83" s="34">
        <f t="shared" si="52"/>
        <v>0.38133333333333341</v>
      </c>
      <c r="AK83" s="35">
        <v>0.34262689029913118</v>
      </c>
      <c r="AL83">
        <v>15</v>
      </c>
      <c r="AM83">
        <f t="shared" si="53"/>
        <v>15</v>
      </c>
    </row>
    <row r="84" spans="1:39" x14ac:dyDescent="0.35">
      <c r="A84" t="s">
        <v>265</v>
      </c>
      <c r="B84" s="21" t="s">
        <v>173</v>
      </c>
      <c r="C84" s="21" t="s">
        <v>166</v>
      </c>
      <c r="D84" s="21" t="s">
        <v>23</v>
      </c>
      <c r="F84">
        <v>3</v>
      </c>
      <c r="G84">
        <v>9</v>
      </c>
      <c r="I84">
        <v>3</v>
      </c>
      <c r="J84">
        <v>7</v>
      </c>
      <c r="L84">
        <f>160+12</f>
        <v>172</v>
      </c>
      <c r="M84">
        <f>183+16</f>
        <v>199</v>
      </c>
      <c r="N84" s="73">
        <f t="shared" si="36"/>
        <v>14.333333333333334</v>
      </c>
      <c r="O84" s="73">
        <f t="shared" si="37"/>
        <v>16.583333333333332</v>
      </c>
      <c r="P84" s="54">
        <f t="shared" si="38"/>
        <v>-27</v>
      </c>
      <c r="Q84" s="73">
        <f t="shared" si="39"/>
        <v>-2.25</v>
      </c>
      <c r="R84">
        <v>103</v>
      </c>
      <c r="S84" s="54">
        <f t="shared" si="40"/>
        <v>1.6699029126213591</v>
      </c>
      <c r="T84" s="9">
        <f>466+71</f>
        <v>537</v>
      </c>
      <c r="U84" s="9">
        <f>122+43</f>
        <v>165</v>
      </c>
      <c r="V84" s="54">
        <f t="shared" si="41"/>
        <v>44.75</v>
      </c>
      <c r="W84" s="54">
        <f t="shared" si="42"/>
        <v>55</v>
      </c>
      <c r="Y84" s="49">
        <v>83</v>
      </c>
      <c r="Z84" s="48">
        <f t="shared" si="43"/>
        <v>83</v>
      </c>
      <c r="AA84" s="36">
        <f t="shared" si="44"/>
        <v>0.34242821951388436</v>
      </c>
      <c r="AB84" s="34">
        <f t="shared" si="45"/>
        <v>0.25</v>
      </c>
      <c r="AC84" s="34">
        <f t="shared" si="46"/>
        <v>0.3</v>
      </c>
      <c r="AD84" s="34">
        <f t="shared" si="47"/>
        <v>0.33333333333333343</v>
      </c>
      <c r="AE84" s="34">
        <f t="shared" si="48"/>
        <v>0.37950664136622414</v>
      </c>
      <c r="AF84" s="34">
        <f t="shared" si="49"/>
        <v>0.35204081632653056</v>
      </c>
      <c r="AG84" s="34">
        <f t="shared" si="50"/>
        <v>0.21149953686232789</v>
      </c>
      <c r="AH84" s="34">
        <f t="shared" si="51"/>
        <v>0.53416149068322982</v>
      </c>
      <c r="AI84" s="34">
        <f t="shared" si="52"/>
        <v>0.42400000000000004</v>
      </c>
      <c r="AK84" s="35">
        <v>0.34242821951388436</v>
      </c>
      <c r="AL84">
        <v>14</v>
      </c>
      <c r="AM84">
        <f t="shared" si="53"/>
        <v>14</v>
      </c>
    </row>
    <row r="85" spans="1:39" x14ac:dyDescent="0.35">
      <c r="A85" t="s">
        <v>374</v>
      </c>
      <c r="B85" s="16" t="s">
        <v>144</v>
      </c>
      <c r="C85" s="16" t="s">
        <v>160</v>
      </c>
      <c r="D85" s="16" t="s">
        <v>68</v>
      </c>
      <c r="F85">
        <v>5</v>
      </c>
      <c r="G85">
        <v>7</v>
      </c>
      <c r="I85">
        <v>4</v>
      </c>
      <c r="J85">
        <v>5</v>
      </c>
      <c r="L85">
        <f>146+9</f>
        <v>155</v>
      </c>
      <c r="M85">
        <f>184+17</f>
        <v>201</v>
      </c>
      <c r="N85" s="73">
        <f t="shared" si="36"/>
        <v>12.916666666666666</v>
      </c>
      <c r="O85" s="73">
        <f t="shared" si="37"/>
        <v>16.75</v>
      </c>
      <c r="P85" s="54">
        <f t="shared" si="38"/>
        <v>-46</v>
      </c>
      <c r="Q85" s="73">
        <f t="shared" si="39"/>
        <v>-3.8333333333333335</v>
      </c>
      <c r="R85">
        <v>102</v>
      </c>
      <c r="S85" s="54">
        <f t="shared" si="40"/>
        <v>1.5196078431372548</v>
      </c>
      <c r="T85" s="9">
        <f>560+15</f>
        <v>575</v>
      </c>
      <c r="U85" s="9">
        <f>251+93</f>
        <v>344</v>
      </c>
      <c r="V85" s="54">
        <f t="shared" si="41"/>
        <v>47.916666666666664</v>
      </c>
      <c r="W85" s="54">
        <f t="shared" si="42"/>
        <v>68.8</v>
      </c>
      <c r="Y85" s="49">
        <v>84</v>
      </c>
      <c r="Z85" s="48">
        <f t="shared" si="43"/>
        <v>84</v>
      </c>
      <c r="AA85" s="36">
        <f t="shared" si="44"/>
        <v>0.32404911573435136</v>
      </c>
      <c r="AB85" s="34">
        <f t="shared" si="45"/>
        <v>0.41666666666666669</v>
      </c>
      <c r="AC85" s="34">
        <f t="shared" si="46"/>
        <v>0.44444444444444442</v>
      </c>
      <c r="AD85" s="34">
        <f t="shared" si="47"/>
        <v>0.17592592592592582</v>
      </c>
      <c r="AE85" s="34">
        <f t="shared" si="48"/>
        <v>0.36053130929791277</v>
      </c>
      <c r="AF85" s="34">
        <f t="shared" si="49"/>
        <v>0.25510204081632648</v>
      </c>
      <c r="AG85" s="34">
        <f t="shared" si="50"/>
        <v>3.0269174807732165E-2</v>
      </c>
      <c r="AH85" s="34">
        <f t="shared" si="51"/>
        <v>0.45548654244306419</v>
      </c>
      <c r="AI85" s="34">
        <f t="shared" si="52"/>
        <v>0.20320000000000005</v>
      </c>
      <c r="AK85" s="35">
        <v>0.32404911573435136</v>
      </c>
      <c r="AL85">
        <v>13</v>
      </c>
      <c r="AM85">
        <f t="shared" si="53"/>
        <v>13</v>
      </c>
    </row>
    <row r="86" spans="1:39" x14ac:dyDescent="0.35">
      <c r="A86" t="s">
        <v>234</v>
      </c>
      <c r="B86" s="17" t="s">
        <v>171</v>
      </c>
      <c r="C86" s="17" t="s">
        <v>163</v>
      </c>
      <c r="D86" s="17" t="s">
        <v>52</v>
      </c>
      <c r="F86">
        <v>4</v>
      </c>
      <c r="G86">
        <v>8</v>
      </c>
      <c r="I86">
        <v>2</v>
      </c>
      <c r="J86">
        <v>7</v>
      </c>
      <c r="L86">
        <f>121+21</f>
        <v>142</v>
      </c>
      <c r="M86">
        <f>215+18</f>
        <v>233</v>
      </c>
      <c r="N86" s="73">
        <f t="shared" si="36"/>
        <v>11.833333333333334</v>
      </c>
      <c r="O86" s="73">
        <f t="shared" si="37"/>
        <v>19.416666666666668</v>
      </c>
      <c r="P86" s="54">
        <f t="shared" si="38"/>
        <v>-91</v>
      </c>
      <c r="Q86" s="73">
        <f t="shared" si="39"/>
        <v>-7.583333333333333</v>
      </c>
      <c r="R86">
        <v>95</v>
      </c>
      <c r="S86" s="54">
        <f t="shared" si="40"/>
        <v>1.4947368421052631</v>
      </c>
      <c r="T86" s="9">
        <f>468+13</f>
        <v>481</v>
      </c>
      <c r="U86" s="9">
        <f>108+13</f>
        <v>121</v>
      </c>
      <c r="V86" s="54">
        <f t="shared" si="41"/>
        <v>40.083333333333336</v>
      </c>
      <c r="W86" s="54">
        <f t="shared" si="42"/>
        <v>30.25</v>
      </c>
      <c r="Y86" s="49">
        <v>85</v>
      </c>
      <c r="Z86" s="48">
        <f t="shared" si="43"/>
        <v>85</v>
      </c>
      <c r="AA86" s="36">
        <f t="shared" si="44"/>
        <v>0.31664696855902974</v>
      </c>
      <c r="AB86" s="34">
        <f t="shared" si="45"/>
        <v>0.33333333333333331</v>
      </c>
      <c r="AC86" s="34">
        <f t="shared" si="46"/>
        <v>0.22222222222222221</v>
      </c>
      <c r="AD86" s="34">
        <f t="shared" si="47"/>
        <v>5.5555555555555566E-2</v>
      </c>
      <c r="AE86" s="34">
        <f t="shared" si="48"/>
        <v>5.6925996204933549E-2</v>
      </c>
      <c r="AF86" s="34">
        <f t="shared" si="49"/>
        <v>2.5510204081632668E-2</v>
      </c>
      <c r="AG86" s="34">
        <f t="shared" si="50"/>
        <v>2.7896596615208612E-4</v>
      </c>
      <c r="AH86" s="34">
        <f t="shared" si="51"/>
        <v>0.65010351966873703</v>
      </c>
      <c r="AI86" s="34">
        <f t="shared" si="52"/>
        <v>0.82000000000000006</v>
      </c>
      <c r="AK86" s="35">
        <v>0.31664696855902974</v>
      </c>
      <c r="AL86">
        <v>12</v>
      </c>
      <c r="AM86">
        <f t="shared" si="53"/>
        <v>12</v>
      </c>
    </row>
    <row r="87" spans="1:39" x14ac:dyDescent="0.35">
      <c r="A87" t="s">
        <v>807</v>
      </c>
      <c r="B87" s="58" t="s">
        <v>799</v>
      </c>
      <c r="C87" s="58" t="s">
        <v>816</v>
      </c>
      <c r="D87" s="58" t="s">
        <v>796</v>
      </c>
      <c r="F87" s="46">
        <v>2</v>
      </c>
      <c r="G87" s="46">
        <v>10</v>
      </c>
      <c r="H87" s="46"/>
      <c r="I87" s="46">
        <v>2</v>
      </c>
      <c r="J87" s="46">
        <v>7</v>
      </c>
      <c r="K87" s="46"/>
      <c r="L87" s="46">
        <f>164+14</f>
        <v>178</v>
      </c>
      <c r="M87" s="46">
        <f>188+22</f>
        <v>210</v>
      </c>
      <c r="N87" s="73">
        <f t="shared" si="36"/>
        <v>14.833333333333334</v>
      </c>
      <c r="O87" s="73">
        <f t="shared" si="37"/>
        <v>17.5</v>
      </c>
      <c r="P87" s="54">
        <f t="shared" si="38"/>
        <v>-32</v>
      </c>
      <c r="Q87" s="73">
        <f t="shared" si="39"/>
        <v>-2.6666666666666665</v>
      </c>
      <c r="R87">
        <v>98</v>
      </c>
      <c r="S87" s="54">
        <f t="shared" si="40"/>
        <v>1.8163265306122449</v>
      </c>
      <c r="T87" s="9">
        <f>544+10</f>
        <v>554</v>
      </c>
      <c r="U87">
        <f>64+47</f>
        <v>111</v>
      </c>
      <c r="V87" s="54">
        <f t="shared" si="41"/>
        <v>46.166666666666664</v>
      </c>
      <c r="W87" s="54">
        <f t="shared" si="42"/>
        <v>55.5</v>
      </c>
      <c r="Y87" s="49">
        <v>86</v>
      </c>
      <c r="Z87" s="48">
        <f t="shared" si="43"/>
        <v>86</v>
      </c>
      <c r="AA87" s="36">
        <f t="shared" si="44"/>
        <v>0.3130714761583735</v>
      </c>
      <c r="AB87" s="34">
        <f t="shared" si="45"/>
        <v>0.16666666666666666</v>
      </c>
      <c r="AC87" s="34">
        <f t="shared" si="46"/>
        <v>0.22222222222222221</v>
      </c>
      <c r="AD87" s="34">
        <f t="shared" si="47"/>
        <v>0.38888888888888895</v>
      </c>
      <c r="AE87" s="34">
        <f t="shared" si="48"/>
        <v>0.27514231499051245</v>
      </c>
      <c r="AF87" s="34">
        <f t="shared" si="49"/>
        <v>0.32653061224489793</v>
      </c>
      <c r="AG87" s="34">
        <f t="shared" si="50"/>
        <v>0.38806158505805144</v>
      </c>
      <c r="AH87" s="34">
        <f t="shared" si="51"/>
        <v>0.49896480331262949</v>
      </c>
      <c r="AI87" s="34">
        <f t="shared" si="52"/>
        <v>0.41600000000000004</v>
      </c>
      <c r="AK87" s="35">
        <v>0.3130714761583735</v>
      </c>
      <c r="AL87">
        <v>11</v>
      </c>
      <c r="AM87">
        <f t="shared" si="53"/>
        <v>11</v>
      </c>
    </row>
    <row r="88" spans="1:39" x14ac:dyDescent="0.35">
      <c r="A88" t="s">
        <v>226</v>
      </c>
      <c r="B88" s="16" t="s">
        <v>144</v>
      </c>
      <c r="C88" s="16" t="s">
        <v>161</v>
      </c>
      <c r="D88" s="16" t="s">
        <v>115</v>
      </c>
      <c r="F88">
        <v>4</v>
      </c>
      <c r="G88">
        <v>8</v>
      </c>
      <c r="I88">
        <v>3</v>
      </c>
      <c r="J88">
        <v>6</v>
      </c>
      <c r="L88">
        <f>139+16</f>
        <v>155</v>
      </c>
      <c r="M88">
        <f>181+11</f>
        <v>192</v>
      </c>
      <c r="N88" s="73">
        <f t="shared" si="36"/>
        <v>12.916666666666666</v>
      </c>
      <c r="O88" s="73">
        <f t="shared" si="37"/>
        <v>16</v>
      </c>
      <c r="P88" s="54">
        <f t="shared" si="38"/>
        <v>-37</v>
      </c>
      <c r="Q88" s="73">
        <f t="shared" si="39"/>
        <v>-3.0833333333333335</v>
      </c>
      <c r="R88">
        <v>90</v>
      </c>
      <c r="S88" s="54">
        <f t="shared" si="40"/>
        <v>1.7222222222222223</v>
      </c>
      <c r="T88" s="9">
        <f>561+67</f>
        <v>628</v>
      </c>
      <c r="U88" s="9">
        <f>196+67</f>
        <v>263</v>
      </c>
      <c r="V88" s="54">
        <f t="shared" si="41"/>
        <v>52.333333333333336</v>
      </c>
      <c r="W88" s="54">
        <f t="shared" si="42"/>
        <v>65.75</v>
      </c>
      <c r="Y88" s="49">
        <v>87</v>
      </c>
      <c r="Z88" s="48">
        <f t="shared" si="43"/>
        <v>87</v>
      </c>
      <c r="AA88" s="36">
        <f t="shared" si="44"/>
        <v>0.31260818246204036</v>
      </c>
      <c r="AB88" s="34">
        <f t="shared" si="45"/>
        <v>0.33333333333333331</v>
      </c>
      <c r="AC88" s="34">
        <f t="shared" si="46"/>
        <v>0.33333333333333331</v>
      </c>
      <c r="AD88" s="34">
        <f t="shared" si="47"/>
        <v>0.17592592592592582</v>
      </c>
      <c r="AE88" s="34">
        <f t="shared" si="48"/>
        <v>0.4459203036053131</v>
      </c>
      <c r="AF88" s="34">
        <f t="shared" si="49"/>
        <v>0.30102040816326525</v>
      </c>
      <c r="AG88" s="34">
        <f t="shared" si="50"/>
        <v>0.27458775029446414</v>
      </c>
      <c r="AH88" s="34">
        <f t="shared" si="51"/>
        <v>0.34575569358178049</v>
      </c>
      <c r="AI88" s="34">
        <f t="shared" si="52"/>
        <v>0.252</v>
      </c>
      <c r="AK88" s="35">
        <v>0.31260818246204036</v>
      </c>
      <c r="AL88">
        <v>10</v>
      </c>
      <c r="AM88">
        <f t="shared" si="53"/>
        <v>10</v>
      </c>
    </row>
    <row r="89" spans="1:39" x14ac:dyDescent="0.35">
      <c r="A89" t="s">
        <v>804</v>
      </c>
      <c r="B89" s="58" t="s">
        <v>799</v>
      </c>
      <c r="C89" s="58" t="s">
        <v>816</v>
      </c>
      <c r="D89" s="58" t="s">
        <v>908</v>
      </c>
      <c r="F89" s="46">
        <v>3</v>
      </c>
      <c r="G89" s="46">
        <v>9</v>
      </c>
      <c r="H89" s="46"/>
      <c r="I89" s="46">
        <v>2</v>
      </c>
      <c r="J89" s="46">
        <v>7</v>
      </c>
      <c r="K89" s="46"/>
      <c r="L89" s="46">
        <f>175+16</f>
        <v>191</v>
      </c>
      <c r="M89" s="46">
        <f>217+14</f>
        <v>231</v>
      </c>
      <c r="N89" s="73">
        <f t="shared" si="36"/>
        <v>15.916666666666666</v>
      </c>
      <c r="O89" s="73">
        <f t="shared" si="37"/>
        <v>19.25</v>
      </c>
      <c r="P89" s="54">
        <f t="shared" si="38"/>
        <v>-40</v>
      </c>
      <c r="Q89" s="73">
        <f t="shared" si="39"/>
        <v>-3.3333333333333335</v>
      </c>
      <c r="R89" s="46">
        <v>105</v>
      </c>
      <c r="S89" s="54">
        <f t="shared" si="40"/>
        <v>1.819047619047619</v>
      </c>
      <c r="T89" s="9">
        <f>603+47</f>
        <v>650</v>
      </c>
      <c r="U89">
        <f>119+47</f>
        <v>166</v>
      </c>
      <c r="V89" s="54">
        <f t="shared" si="41"/>
        <v>54.166666666666664</v>
      </c>
      <c r="W89" s="54">
        <f t="shared" si="42"/>
        <v>55.333333333333336</v>
      </c>
      <c r="Y89" s="49">
        <v>88</v>
      </c>
      <c r="Z89" s="48">
        <f t="shared" si="43"/>
        <v>88</v>
      </c>
      <c r="AA89" s="36">
        <f t="shared" si="44"/>
        <v>0.2975230927745201</v>
      </c>
      <c r="AB89" s="34">
        <f t="shared" si="45"/>
        <v>0.25</v>
      </c>
      <c r="AC89" s="34">
        <f t="shared" si="46"/>
        <v>0.22222222222222221</v>
      </c>
      <c r="AD89" s="34">
        <f t="shared" si="47"/>
        <v>0.50925925925925919</v>
      </c>
      <c r="AE89" s="34">
        <f t="shared" si="48"/>
        <v>7.5901328273244917E-2</v>
      </c>
      <c r="AF89" s="34">
        <f t="shared" si="49"/>
        <v>0.28571428571428564</v>
      </c>
      <c r="AG89" s="34">
        <f t="shared" si="50"/>
        <v>0.39134275618374548</v>
      </c>
      <c r="AH89" s="34">
        <f t="shared" si="51"/>
        <v>0.30020703933747417</v>
      </c>
      <c r="AI89" s="34">
        <f t="shared" si="52"/>
        <v>0.41866666666666663</v>
      </c>
      <c r="AK89" s="35">
        <v>0.2975230927745201</v>
      </c>
      <c r="AL89">
        <v>9</v>
      </c>
      <c r="AM89">
        <f t="shared" si="53"/>
        <v>9</v>
      </c>
    </row>
    <row r="90" spans="1:39" x14ac:dyDescent="0.35">
      <c r="A90" t="s">
        <v>205</v>
      </c>
      <c r="B90" s="15" t="s">
        <v>143</v>
      </c>
      <c r="C90" s="15" t="s">
        <v>142</v>
      </c>
      <c r="D90" s="15" t="s">
        <v>76</v>
      </c>
      <c r="F90">
        <v>2</v>
      </c>
      <c r="G90">
        <v>10</v>
      </c>
      <c r="H90" s="9"/>
      <c r="I90">
        <v>1</v>
      </c>
      <c r="J90">
        <v>8</v>
      </c>
      <c r="K90" s="9"/>
      <c r="L90">
        <f>141+13</f>
        <v>154</v>
      </c>
      <c r="M90">
        <f>224+8</f>
        <v>232</v>
      </c>
      <c r="N90" s="73">
        <f t="shared" si="36"/>
        <v>12.833333333333334</v>
      </c>
      <c r="O90" s="73">
        <f t="shared" si="37"/>
        <v>19.333333333333332</v>
      </c>
      <c r="P90" s="54">
        <f t="shared" si="38"/>
        <v>-78</v>
      </c>
      <c r="Q90" s="73">
        <f t="shared" si="39"/>
        <v>-6.5</v>
      </c>
      <c r="R90">
        <v>95</v>
      </c>
      <c r="S90" s="54">
        <f t="shared" si="40"/>
        <v>1.6210526315789473</v>
      </c>
      <c r="T90" s="9">
        <f>469+46</f>
        <v>515</v>
      </c>
      <c r="U90" s="9">
        <f>2+46</f>
        <v>48</v>
      </c>
      <c r="V90" s="54">
        <f t="shared" si="41"/>
        <v>42.916666666666664</v>
      </c>
      <c r="W90" s="54">
        <f t="shared" si="42"/>
        <v>24</v>
      </c>
      <c r="Y90" s="49">
        <v>89</v>
      </c>
      <c r="Z90" s="48">
        <f t="shared" si="43"/>
        <v>89</v>
      </c>
      <c r="AA90" s="36">
        <f t="shared" si="44"/>
        <v>0.29393595229659386</v>
      </c>
      <c r="AB90" s="34">
        <f t="shared" si="45"/>
        <v>0.16666666666666666</v>
      </c>
      <c r="AC90" s="34">
        <f t="shared" si="46"/>
        <v>0.1111111111111111</v>
      </c>
      <c r="AD90" s="34">
        <f t="shared" si="47"/>
        <v>0.16666666666666671</v>
      </c>
      <c r="AE90" s="34">
        <f t="shared" si="48"/>
        <v>6.6413662239089399E-2</v>
      </c>
      <c r="AF90" s="34">
        <f t="shared" si="49"/>
        <v>9.1836734693877542E-2</v>
      </c>
      <c r="AG90" s="34">
        <f t="shared" si="50"/>
        <v>0.15259438348521467</v>
      </c>
      <c r="AH90" s="34">
        <f t="shared" si="51"/>
        <v>0.57971014492753636</v>
      </c>
      <c r="AI90" s="34">
        <f t="shared" si="52"/>
        <v>0.92</v>
      </c>
      <c r="AK90" s="35">
        <v>0.29393595229659386</v>
      </c>
      <c r="AL90">
        <v>8</v>
      </c>
      <c r="AM90">
        <f t="shared" si="53"/>
        <v>8</v>
      </c>
    </row>
    <row r="91" spans="1:39" x14ac:dyDescent="0.35">
      <c r="A91" t="s">
        <v>228</v>
      </c>
      <c r="B91" s="16" t="s">
        <v>144</v>
      </c>
      <c r="C91" s="16" t="s">
        <v>161</v>
      </c>
      <c r="D91" s="16" t="s">
        <v>63</v>
      </c>
      <c r="F91">
        <v>4</v>
      </c>
      <c r="G91">
        <v>8</v>
      </c>
      <c r="I91">
        <v>3</v>
      </c>
      <c r="J91">
        <v>6</v>
      </c>
      <c r="L91">
        <f>156+17</f>
        <v>173</v>
      </c>
      <c r="M91">
        <f>196+14</f>
        <v>210</v>
      </c>
      <c r="N91" s="73">
        <f t="shared" si="36"/>
        <v>14.416666666666666</v>
      </c>
      <c r="O91" s="73">
        <f t="shared" si="37"/>
        <v>17.5</v>
      </c>
      <c r="P91" s="54">
        <f t="shared" si="38"/>
        <v>-37</v>
      </c>
      <c r="Q91" s="73">
        <f t="shared" si="39"/>
        <v>-3.0833333333333335</v>
      </c>
      <c r="R91">
        <v>105</v>
      </c>
      <c r="S91" s="54">
        <f t="shared" si="40"/>
        <v>1.6476190476190475</v>
      </c>
      <c r="T91" s="9">
        <f>760+24</f>
        <v>784</v>
      </c>
      <c r="U91" s="9">
        <f>189+24</f>
        <v>213</v>
      </c>
      <c r="V91" s="54">
        <f t="shared" si="41"/>
        <v>65.333333333333329</v>
      </c>
      <c r="W91" s="54">
        <f t="shared" si="42"/>
        <v>53.25</v>
      </c>
      <c r="Y91" s="49">
        <v>90</v>
      </c>
      <c r="Z91" s="48">
        <f t="shared" si="43"/>
        <v>90</v>
      </c>
      <c r="AA91" s="36">
        <f t="shared" si="44"/>
        <v>0.28901277062511971</v>
      </c>
      <c r="AB91" s="34">
        <f t="shared" si="45"/>
        <v>0.33333333333333331</v>
      </c>
      <c r="AC91" s="34">
        <f t="shared" si="46"/>
        <v>0.33333333333333331</v>
      </c>
      <c r="AD91" s="34">
        <f t="shared" si="47"/>
        <v>0.3425925925925925</v>
      </c>
      <c r="AE91" s="34">
        <f t="shared" si="48"/>
        <v>0.27514231499051245</v>
      </c>
      <c r="AF91" s="34">
        <f t="shared" si="49"/>
        <v>0.30102040816326525</v>
      </c>
      <c r="AG91" s="34">
        <f t="shared" si="50"/>
        <v>0.18462897526501751</v>
      </c>
      <c r="AH91" s="34">
        <f t="shared" si="51"/>
        <v>2.2774327122153326E-2</v>
      </c>
      <c r="AI91" s="34">
        <f t="shared" si="52"/>
        <v>0.45199999999999996</v>
      </c>
      <c r="AK91" s="35">
        <v>0.28901277062511971</v>
      </c>
      <c r="AL91">
        <v>7</v>
      </c>
      <c r="AM91">
        <f t="shared" si="53"/>
        <v>7</v>
      </c>
    </row>
    <row r="92" spans="1:39" ht="13.75" customHeight="1" x14ac:dyDescent="0.35">
      <c r="A92" t="s">
        <v>257</v>
      </c>
      <c r="B92" s="19" t="s">
        <v>172</v>
      </c>
      <c r="C92" s="19" t="s">
        <v>164</v>
      </c>
      <c r="D92" s="19" t="s">
        <v>44</v>
      </c>
      <c r="F92">
        <v>4</v>
      </c>
      <c r="G92">
        <v>8</v>
      </c>
      <c r="I92">
        <v>2</v>
      </c>
      <c r="J92">
        <v>7</v>
      </c>
      <c r="L92">
        <f>150+6</f>
        <v>156</v>
      </c>
      <c r="M92">
        <f>195+15</f>
        <v>210</v>
      </c>
      <c r="N92" s="73">
        <f t="shared" si="36"/>
        <v>13</v>
      </c>
      <c r="O92" s="73">
        <f t="shared" si="37"/>
        <v>17.5</v>
      </c>
      <c r="P92" s="54">
        <f t="shared" si="38"/>
        <v>-54</v>
      </c>
      <c r="Q92" s="73">
        <f t="shared" si="39"/>
        <v>-4.5</v>
      </c>
      <c r="R92">
        <v>90</v>
      </c>
      <c r="S92" s="54">
        <f t="shared" si="40"/>
        <v>1.7333333333333334</v>
      </c>
      <c r="T92" s="9">
        <f>556+50</f>
        <v>606</v>
      </c>
      <c r="U92" s="9">
        <f>184+76</f>
        <v>260</v>
      </c>
      <c r="V92" s="54">
        <f t="shared" si="41"/>
        <v>50.5</v>
      </c>
      <c r="W92" s="54">
        <f t="shared" si="42"/>
        <v>65</v>
      </c>
      <c r="Y92" s="49">
        <v>91</v>
      </c>
      <c r="Z92" s="48">
        <f t="shared" si="43"/>
        <v>91</v>
      </c>
      <c r="AA92" s="36">
        <f t="shared" si="44"/>
        <v>0.283626263857991</v>
      </c>
      <c r="AB92" s="34">
        <f t="shared" si="45"/>
        <v>0.33333333333333331</v>
      </c>
      <c r="AC92" s="34">
        <f t="shared" si="46"/>
        <v>0.22222222222222221</v>
      </c>
      <c r="AD92" s="34">
        <f t="shared" si="47"/>
        <v>0.18518518518518515</v>
      </c>
      <c r="AE92" s="34">
        <f t="shared" si="48"/>
        <v>0.27514231499051245</v>
      </c>
      <c r="AF92" s="34">
        <f t="shared" si="49"/>
        <v>0.21428571428571425</v>
      </c>
      <c r="AG92" s="34">
        <f t="shared" si="50"/>
        <v>0.28798586572438162</v>
      </c>
      <c r="AH92" s="34">
        <f t="shared" si="51"/>
        <v>0.39130434782608692</v>
      </c>
      <c r="AI92" s="34">
        <f t="shared" si="52"/>
        <v>0.26400000000000001</v>
      </c>
      <c r="AK92" s="35">
        <v>0.283626263857991</v>
      </c>
      <c r="AL92">
        <v>6</v>
      </c>
      <c r="AM92">
        <f t="shared" si="53"/>
        <v>6</v>
      </c>
    </row>
    <row r="93" spans="1:39" x14ac:dyDescent="0.35">
      <c r="A93" t="s">
        <v>239</v>
      </c>
      <c r="B93" s="17" t="s">
        <v>171</v>
      </c>
      <c r="C93" s="17" t="s">
        <v>163</v>
      </c>
      <c r="D93" s="17" t="s">
        <v>51</v>
      </c>
      <c r="F93">
        <v>3</v>
      </c>
      <c r="G93">
        <v>9</v>
      </c>
      <c r="I93">
        <v>2</v>
      </c>
      <c r="J93">
        <v>7</v>
      </c>
      <c r="L93">
        <f>154+11</f>
        <v>165</v>
      </c>
      <c r="M93">
        <f>171+21</f>
        <v>192</v>
      </c>
      <c r="N93" s="73">
        <f t="shared" si="36"/>
        <v>13.75</v>
      </c>
      <c r="O93" s="73">
        <f t="shared" si="37"/>
        <v>16</v>
      </c>
      <c r="P93" s="54">
        <f t="shared" si="38"/>
        <v>-27</v>
      </c>
      <c r="Q93" s="73">
        <f t="shared" si="39"/>
        <v>-2.25</v>
      </c>
      <c r="R93">
        <v>87</v>
      </c>
      <c r="S93" s="54">
        <f t="shared" si="40"/>
        <v>1.896551724137931</v>
      </c>
      <c r="T93" s="9">
        <f>677+2</f>
        <v>679</v>
      </c>
      <c r="U93" s="9">
        <f>145+85</f>
        <v>230</v>
      </c>
      <c r="V93" s="54">
        <f t="shared" si="41"/>
        <v>56.583333333333336</v>
      </c>
      <c r="W93" s="54">
        <f t="shared" si="42"/>
        <v>76.666666666666671</v>
      </c>
      <c r="Y93" s="49">
        <v>92</v>
      </c>
      <c r="Z93" s="48">
        <f t="shared" si="43"/>
        <v>92</v>
      </c>
      <c r="AA93" s="36">
        <f t="shared" si="44"/>
        <v>0.27105486673983048</v>
      </c>
      <c r="AB93" s="34">
        <f t="shared" si="45"/>
        <v>0.25</v>
      </c>
      <c r="AC93" s="34">
        <f t="shared" si="46"/>
        <v>0.22222222222222221</v>
      </c>
      <c r="AD93" s="34">
        <f t="shared" si="47"/>
        <v>0.26851851851851849</v>
      </c>
      <c r="AE93" s="34">
        <f t="shared" si="48"/>
        <v>0.4459203036053131</v>
      </c>
      <c r="AF93" s="34">
        <f t="shared" si="49"/>
        <v>0.35204081632653056</v>
      </c>
      <c r="AG93" s="34">
        <f t="shared" si="50"/>
        <v>0.48479956135006691</v>
      </c>
      <c r="AH93" s="34">
        <f t="shared" si="51"/>
        <v>0.24016563146997927</v>
      </c>
      <c r="AI93" s="34">
        <f t="shared" si="52"/>
        <v>7.7333333333333254E-2</v>
      </c>
      <c r="AK93" s="35">
        <v>0.27105486673983048</v>
      </c>
      <c r="AL93">
        <v>5</v>
      </c>
      <c r="AM93">
        <f t="shared" si="53"/>
        <v>5</v>
      </c>
    </row>
    <row r="94" spans="1:39" x14ac:dyDescent="0.35">
      <c r="A94" t="s">
        <v>232</v>
      </c>
      <c r="B94" s="16" t="s">
        <v>144</v>
      </c>
      <c r="C94" s="16" t="s">
        <v>161</v>
      </c>
      <c r="D94" s="16" t="s">
        <v>64</v>
      </c>
      <c r="F94">
        <v>4</v>
      </c>
      <c r="G94">
        <v>8</v>
      </c>
      <c r="I94">
        <v>4</v>
      </c>
      <c r="J94">
        <v>5</v>
      </c>
      <c r="L94">
        <f>146+9</f>
        <v>155</v>
      </c>
      <c r="M94">
        <f>170+12</f>
        <v>182</v>
      </c>
      <c r="N94" s="73">
        <f t="shared" si="36"/>
        <v>12.916666666666666</v>
      </c>
      <c r="O94" s="73">
        <f t="shared" si="37"/>
        <v>15.166666666666666</v>
      </c>
      <c r="P94" s="54">
        <f t="shared" si="38"/>
        <v>-27</v>
      </c>
      <c r="Q94" s="73">
        <f t="shared" si="39"/>
        <v>-2.25</v>
      </c>
      <c r="R94">
        <v>95</v>
      </c>
      <c r="S94" s="54">
        <f t="shared" si="40"/>
        <v>1.631578947368421</v>
      </c>
      <c r="T94" s="9">
        <f>665+80</f>
        <v>745</v>
      </c>
      <c r="U94" s="9">
        <f>232+94</f>
        <v>326</v>
      </c>
      <c r="V94" s="54">
        <f t="shared" si="41"/>
        <v>62.083333333333336</v>
      </c>
      <c r="W94" s="54">
        <f t="shared" si="42"/>
        <v>81.5</v>
      </c>
      <c r="Y94" s="49">
        <v>93</v>
      </c>
      <c r="Z94" s="48">
        <f t="shared" si="43"/>
        <v>93</v>
      </c>
      <c r="AA94" s="36">
        <f t="shared" si="44"/>
        <v>0.26762720913594173</v>
      </c>
      <c r="AB94" s="34">
        <f t="shared" si="45"/>
        <v>0.33333333333333331</v>
      </c>
      <c r="AC94" s="34">
        <f t="shared" si="46"/>
        <v>0.44444444444444442</v>
      </c>
      <c r="AD94" s="34">
        <f t="shared" si="47"/>
        <v>0.17592592592592582</v>
      </c>
      <c r="AE94" s="34">
        <f t="shared" si="48"/>
        <v>0.54079696394686916</v>
      </c>
      <c r="AF94" s="34">
        <f t="shared" si="49"/>
        <v>0.35204081632653056</v>
      </c>
      <c r="AG94" s="34">
        <f t="shared" si="50"/>
        <v>0.16528733494513659</v>
      </c>
      <c r="AH94" s="34">
        <f t="shared" si="51"/>
        <v>0.10351966873705998</v>
      </c>
      <c r="AI94" s="34">
        <f t="shared" si="52"/>
        <v>0</v>
      </c>
      <c r="AK94" s="35">
        <v>0.26762720913594173</v>
      </c>
      <c r="AL94">
        <v>4</v>
      </c>
      <c r="AM94">
        <f t="shared" si="53"/>
        <v>4</v>
      </c>
    </row>
    <row r="95" spans="1:39" x14ac:dyDescent="0.35">
      <c r="A95" t="s">
        <v>220</v>
      </c>
      <c r="B95" s="16" t="s">
        <v>144</v>
      </c>
      <c r="C95" s="16" t="s">
        <v>160</v>
      </c>
      <c r="D95" s="16" t="s">
        <v>72</v>
      </c>
      <c r="F95">
        <v>2</v>
      </c>
      <c r="G95">
        <v>10</v>
      </c>
      <c r="I95">
        <v>2</v>
      </c>
      <c r="J95">
        <v>7</v>
      </c>
      <c r="L95">
        <f>136+18</f>
        <v>154</v>
      </c>
      <c r="M95">
        <f>191+11</f>
        <v>202</v>
      </c>
      <c r="N95" s="73">
        <f t="shared" si="36"/>
        <v>12.833333333333334</v>
      </c>
      <c r="O95" s="73">
        <f t="shared" si="37"/>
        <v>16.833333333333332</v>
      </c>
      <c r="P95" s="54">
        <f t="shared" si="38"/>
        <v>-48</v>
      </c>
      <c r="Q95" s="73">
        <f t="shared" si="39"/>
        <v>-4</v>
      </c>
      <c r="R95">
        <f>85+13</f>
        <v>98</v>
      </c>
      <c r="S95" s="54">
        <f t="shared" si="40"/>
        <v>1.5714285714285714</v>
      </c>
      <c r="T95" s="9">
        <f>568+58</f>
        <v>626</v>
      </c>
      <c r="U95" s="9">
        <f>53+58</f>
        <v>111</v>
      </c>
      <c r="V95" s="54">
        <f t="shared" si="41"/>
        <v>52.166666666666664</v>
      </c>
      <c r="W95" s="54">
        <f t="shared" si="42"/>
        <v>55.5</v>
      </c>
      <c r="Y95" s="49">
        <v>94</v>
      </c>
      <c r="Z95" s="48">
        <f t="shared" si="43"/>
        <v>94</v>
      </c>
      <c r="AA95" s="36">
        <f t="shared" si="44"/>
        <v>0.24890546042600264</v>
      </c>
      <c r="AB95" s="34">
        <f t="shared" si="45"/>
        <v>0.16666666666666666</v>
      </c>
      <c r="AC95" s="34">
        <f t="shared" si="46"/>
        <v>0.22222222222222221</v>
      </c>
      <c r="AD95" s="34">
        <f t="shared" si="47"/>
        <v>0.16666666666666671</v>
      </c>
      <c r="AE95" s="34">
        <f t="shared" si="48"/>
        <v>0.35104364326375737</v>
      </c>
      <c r="AF95" s="34">
        <f t="shared" si="49"/>
        <v>0.24489795918367344</v>
      </c>
      <c r="AG95" s="34">
        <f t="shared" si="50"/>
        <v>9.2756183745582962E-2</v>
      </c>
      <c r="AH95" s="34">
        <f t="shared" si="51"/>
        <v>0.34989648033126297</v>
      </c>
      <c r="AI95" s="34">
        <f t="shared" si="52"/>
        <v>0.41600000000000004</v>
      </c>
      <c r="AK95" s="35">
        <v>0.24890546042600264</v>
      </c>
      <c r="AL95">
        <v>3</v>
      </c>
      <c r="AM95">
        <f t="shared" si="53"/>
        <v>3</v>
      </c>
    </row>
    <row r="96" spans="1:39" ht="13.75" customHeight="1" x14ac:dyDescent="0.35">
      <c r="A96" t="s">
        <v>251</v>
      </c>
      <c r="B96" s="19" t="s">
        <v>172</v>
      </c>
      <c r="C96" s="19" t="s">
        <v>165</v>
      </c>
      <c r="D96" s="19" t="s">
        <v>38</v>
      </c>
      <c r="F96">
        <v>1</v>
      </c>
      <c r="G96">
        <v>11</v>
      </c>
      <c r="H96" s="9"/>
      <c r="I96">
        <v>1</v>
      </c>
      <c r="J96">
        <v>8</v>
      </c>
      <c r="K96" s="9"/>
      <c r="L96">
        <f>140+12</f>
        <v>152</v>
      </c>
      <c r="M96">
        <f>217+22</f>
        <v>239</v>
      </c>
      <c r="N96" s="73">
        <f t="shared" si="36"/>
        <v>12.666666666666666</v>
      </c>
      <c r="O96" s="73">
        <f t="shared" si="37"/>
        <v>19.916666666666668</v>
      </c>
      <c r="P96" s="54">
        <f t="shared" si="38"/>
        <v>-87</v>
      </c>
      <c r="Q96" s="73">
        <f t="shared" si="39"/>
        <v>-7.25</v>
      </c>
      <c r="R96">
        <f>81+8</f>
        <v>89</v>
      </c>
      <c r="S96" s="54">
        <f t="shared" si="40"/>
        <v>1.7078651685393258</v>
      </c>
      <c r="T96" s="9">
        <f>514+64</f>
        <v>578</v>
      </c>
      <c r="U96" s="9">
        <v>45</v>
      </c>
      <c r="V96" s="54">
        <f t="shared" si="41"/>
        <v>48.166666666666664</v>
      </c>
      <c r="W96" s="54">
        <f t="shared" si="42"/>
        <v>45</v>
      </c>
      <c r="Y96" s="49">
        <v>95</v>
      </c>
      <c r="Z96" s="48">
        <f t="shared" si="43"/>
        <v>95</v>
      </c>
      <c r="AA96" s="36">
        <f t="shared" si="44"/>
        <v>0.20867390537551991</v>
      </c>
      <c r="AB96" s="34">
        <f t="shared" si="45"/>
        <v>8.3333333333333329E-2</v>
      </c>
      <c r="AC96" s="34">
        <f t="shared" si="46"/>
        <v>0.1111111111111111</v>
      </c>
      <c r="AD96" s="34">
        <f t="shared" si="47"/>
        <v>0.14814814814814806</v>
      </c>
      <c r="AE96" s="34">
        <f t="shared" si="48"/>
        <v>0</v>
      </c>
      <c r="AF96" s="34">
        <f t="shared" si="49"/>
        <v>4.5918367346938771E-2</v>
      </c>
      <c r="AG96" s="34">
        <f t="shared" si="50"/>
        <v>0.25727557867153678</v>
      </c>
      <c r="AH96" s="34">
        <f t="shared" si="51"/>
        <v>0.44927536231884069</v>
      </c>
      <c r="AI96" s="34">
        <f t="shared" si="52"/>
        <v>0.58400000000000007</v>
      </c>
      <c r="AK96" s="35">
        <v>0.20867390537551991</v>
      </c>
      <c r="AL96">
        <v>2</v>
      </c>
      <c r="AM96">
        <f t="shared" si="53"/>
        <v>2</v>
      </c>
    </row>
    <row r="97" spans="1:39" x14ac:dyDescent="0.35">
      <c r="A97" t="s">
        <v>276</v>
      </c>
      <c r="B97" s="21" t="s">
        <v>173</v>
      </c>
      <c r="C97" s="21" t="s">
        <v>167</v>
      </c>
      <c r="D97" s="21" t="s">
        <v>27</v>
      </c>
      <c r="F97">
        <v>1</v>
      </c>
      <c r="G97">
        <v>11</v>
      </c>
      <c r="I97">
        <v>0</v>
      </c>
      <c r="J97">
        <v>9</v>
      </c>
      <c r="L97">
        <f>129+11</f>
        <v>140</v>
      </c>
      <c r="M97">
        <f>221+15</f>
        <v>236</v>
      </c>
      <c r="N97" s="73">
        <f t="shared" si="36"/>
        <v>11.666666666666666</v>
      </c>
      <c r="O97" s="73">
        <f t="shared" si="37"/>
        <v>19.666666666666668</v>
      </c>
      <c r="P97" s="54">
        <f t="shared" si="38"/>
        <v>-96</v>
      </c>
      <c r="Q97" s="73">
        <f t="shared" si="39"/>
        <v>-8</v>
      </c>
      <c r="R97">
        <f>75+8</f>
        <v>83</v>
      </c>
      <c r="S97" s="54">
        <f t="shared" si="40"/>
        <v>1.6867469879518073</v>
      </c>
      <c r="T97" s="9">
        <f>340+68</f>
        <v>408</v>
      </c>
      <c r="U97" s="9">
        <v>58</v>
      </c>
      <c r="V97" s="54">
        <f t="shared" si="41"/>
        <v>34</v>
      </c>
      <c r="W97" s="54">
        <f t="shared" si="42"/>
        <v>58</v>
      </c>
      <c r="Y97" s="49">
        <v>96</v>
      </c>
      <c r="Z97" s="48">
        <f t="shared" si="43"/>
        <v>96</v>
      </c>
      <c r="AA97" s="36">
        <f t="shared" si="44"/>
        <v>0.19896967831173024</v>
      </c>
      <c r="AB97" s="34">
        <f t="shared" si="45"/>
        <v>8.3333333333333329E-2</v>
      </c>
      <c r="AC97" s="34">
        <f t="shared" si="46"/>
        <v>0</v>
      </c>
      <c r="AD97" s="34">
        <f t="shared" si="47"/>
        <v>3.703703703703691E-2</v>
      </c>
      <c r="AE97" s="34">
        <f t="shared" si="48"/>
        <v>2.8462998102466774E-2</v>
      </c>
      <c r="AF97" s="34">
        <f t="shared" si="49"/>
        <v>0</v>
      </c>
      <c r="AG97" s="34">
        <f t="shared" si="50"/>
        <v>0.2318106347652093</v>
      </c>
      <c r="AH97" s="34">
        <f t="shared" si="51"/>
        <v>0.80124223602484479</v>
      </c>
      <c r="AI97" s="34">
        <f t="shared" si="52"/>
        <v>0.376</v>
      </c>
      <c r="AK97" s="35">
        <v>0.19896967831173024</v>
      </c>
      <c r="AL97">
        <v>1</v>
      </c>
      <c r="AM97">
        <f t="shared" si="53"/>
        <v>1</v>
      </c>
    </row>
  </sheetData>
  <conditionalFormatting sqref="AB2:AB9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9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9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9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:AH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I97">
    <cfRule type="cellIs" dxfId="2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B1:AM35"/>
  <sheetViews>
    <sheetView zoomScale="85" zoomScaleNormal="85" workbookViewId="0">
      <selection activeCell="O33" sqref="O33"/>
    </sheetView>
  </sheetViews>
  <sheetFormatPr defaultRowHeight="14.5" x14ac:dyDescent="0.35"/>
  <cols>
    <col min="1" max="1" width="3.453125" customWidth="1"/>
    <col min="2" max="2" width="21" bestFit="1" customWidth="1"/>
    <col min="3" max="4" width="3" customWidth="1"/>
    <col min="5" max="5" width="1.36328125" customWidth="1"/>
    <col min="6" max="7" width="3" customWidth="1"/>
    <col min="8" max="8" width="15.6328125" bestFit="1" customWidth="1"/>
    <col min="9" max="10" width="3" customWidth="1"/>
    <col min="11" max="11" width="1" customWidth="1"/>
    <col min="12" max="13" width="3" customWidth="1"/>
    <col min="15" max="15" width="20.81640625" customWidth="1"/>
    <col min="16" max="17" width="3" customWidth="1"/>
    <col min="18" max="18" width="1.36328125" customWidth="1"/>
    <col min="19" max="20" width="3" customWidth="1"/>
    <col min="21" max="21" width="17.54296875" bestFit="1" customWidth="1"/>
    <col min="22" max="23" width="3" customWidth="1"/>
    <col min="24" max="24" width="1.08984375" customWidth="1"/>
    <col min="25" max="26" width="3" customWidth="1"/>
    <col min="28" max="28" width="18.36328125" customWidth="1"/>
    <col min="29" max="30" width="3" customWidth="1"/>
    <col min="31" max="31" width="1.36328125" customWidth="1"/>
    <col min="32" max="33" width="3" customWidth="1"/>
    <col min="34" max="34" width="17.54296875" bestFit="1" customWidth="1"/>
    <col min="35" max="36" width="3" customWidth="1"/>
    <col min="37" max="37" width="1.36328125" customWidth="1"/>
    <col min="38" max="39" width="3" customWidth="1"/>
  </cols>
  <sheetData>
    <row r="1" spans="2:39" x14ac:dyDescent="0.35">
      <c r="B1" s="15" t="s">
        <v>8</v>
      </c>
      <c r="C1" s="1">
        <f>(SUM(C3:C10))+(SUM(I4:I10))</f>
        <v>89</v>
      </c>
      <c r="D1" s="1">
        <f>(SUM(D3:D10))+(SUM(J4:J10))</f>
        <v>91</v>
      </c>
      <c r="F1" s="1">
        <f>(SUM(C3:C10)+SUM(I4:I10))-(SUM(F3:F10)+(SUM(L4:L10)))</f>
        <v>24</v>
      </c>
      <c r="G1" s="1">
        <f>(SUM(D3:D10)+SUM(J4:J10))-(SUM(G3:G10)+(SUM(M4:M10)))</f>
        <v>21</v>
      </c>
      <c r="H1" s="1"/>
      <c r="N1" s="1"/>
      <c r="O1" s="17" t="s">
        <v>13</v>
      </c>
      <c r="P1" s="51">
        <f>(SUM(P3:P10))+(SUM(V3:V10))</f>
        <v>101</v>
      </c>
      <c r="Q1" s="1">
        <f>(SUM(Q3:Q10))+(SUM(W3:W10))</f>
        <v>91</v>
      </c>
      <c r="S1" s="1">
        <f>(SUM(P3:P10)+SUM(V3:V10))-(SUM(S3:S10)+(SUM(Y3:Y10)))</f>
        <v>29</v>
      </c>
      <c r="T1" s="1">
        <f>(SUM(Q3:Q10)+SUM(W3:W10))-(SUM(T3:T10)+(SUM(Z3:Z10)))</f>
        <v>19</v>
      </c>
      <c r="AB1" s="18" t="s">
        <v>15</v>
      </c>
      <c r="AC1" s="1">
        <f>(SUM(AC3:AC10))+(SUM(AI3:AI10))</f>
        <v>97</v>
      </c>
      <c r="AD1" s="1">
        <f>(SUM(AD3:AD10))+(SUM(AJ3:AJ10))</f>
        <v>95</v>
      </c>
      <c r="AF1" s="1">
        <f>(SUM(AC3:AC10)+SUM(AI3:AI10))-(SUM(AF3:AF10)+(SUM(AL3:AL10)))</f>
        <v>25</v>
      </c>
      <c r="AG1" s="1">
        <f>(SUM(AD3:AD10)+SUM(AJ3:AJ10))-(SUM(AG3:AG10)+(SUM(AM3:AM10)))</f>
        <v>23</v>
      </c>
      <c r="AH1" s="1"/>
    </row>
    <row r="2" spans="2:39" x14ac:dyDescent="0.35">
      <c r="B2" s="1" t="s">
        <v>9</v>
      </c>
      <c r="C2" t="s">
        <v>5</v>
      </c>
      <c r="D2" t="s">
        <v>6</v>
      </c>
      <c r="F2" t="s">
        <v>5</v>
      </c>
      <c r="G2" t="s">
        <v>6</v>
      </c>
      <c r="H2" s="1" t="s">
        <v>10</v>
      </c>
      <c r="I2" t="s">
        <v>5</v>
      </c>
      <c r="J2" t="s">
        <v>6</v>
      </c>
      <c r="L2" t="s">
        <v>5</v>
      </c>
      <c r="M2" t="s">
        <v>6</v>
      </c>
      <c r="N2" s="1"/>
      <c r="O2" s="1" t="s">
        <v>16</v>
      </c>
      <c r="P2" t="s">
        <v>5</v>
      </c>
      <c r="Q2" t="s">
        <v>6</v>
      </c>
      <c r="S2" t="s">
        <v>5</v>
      </c>
      <c r="T2" t="s">
        <v>6</v>
      </c>
      <c r="U2" s="1" t="s">
        <v>17</v>
      </c>
      <c r="V2" t="s">
        <v>5</v>
      </c>
      <c r="W2" t="s">
        <v>6</v>
      </c>
      <c r="Y2" t="s">
        <v>5</v>
      </c>
      <c r="Z2" t="s">
        <v>6</v>
      </c>
      <c r="AB2" s="1" t="s">
        <v>20</v>
      </c>
      <c r="AC2" t="s">
        <v>5</v>
      </c>
      <c r="AD2" t="s">
        <v>6</v>
      </c>
      <c r="AF2" t="s">
        <v>5</v>
      </c>
      <c r="AG2" t="s">
        <v>6</v>
      </c>
      <c r="AH2" s="1" t="s">
        <v>21</v>
      </c>
      <c r="AI2" t="s">
        <v>5</v>
      </c>
      <c r="AJ2" t="s">
        <v>6</v>
      </c>
      <c r="AL2" t="s">
        <v>5</v>
      </c>
      <c r="AM2" t="s">
        <v>6</v>
      </c>
    </row>
    <row r="3" spans="2:39" x14ac:dyDescent="0.35">
      <c r="B3" s="6" t="s">
        <v>75</v>
      </c>
      <c r="C3" s="6">
        <v>8</v>
      </c>
      <c r="D3" s="6">
        <v>4</v>
      </c>
      <c r="E3" s="6"/>
      <c r="F3" s="6">
        <v>6</v>
      </c>
      <c r="G3" s="6">
        <v>3</v>
      </c>
      <c r="H3" s="6" t="s">
        <v>88</v>
      </c>
      <c r="I3" s="6">
        <v>8</v>
      </c>
      <c r="J3" s="6">
        <v>4</v>
      </c>
      <c r="K3" s="6"/>
      <c r="L3" s="6">
        <v>7</v>
      </c>
      <c r="M3" s="6">
        <v>2</v>
      </c>
      <c r="N3" s="6"/>
      <c r="O3" s="6" t="s">
        <v>49</v>
      </c>
      <c r="P3" s="6">
        <v>11</v>
      </c>
      <c r="Q3" s="6">
        <v>1</v>
      </c>
      <c r="R3" s="6"/>
      <c r="S3" s="6">
        <v>8</v>
      </c>
      <c r="T3" s="6">
        <v>1</v>
      </c>
      <c r="U3" s="6" t="s">
        <v>300</v>
      </c>
      <c r="V3" s="6">
        <v>10</v>
      </c>
      <c r="W3" s="6">
        <v>2</v>
      </c>
      <c r="X3" s="6"/>
      <c r="Y3" s="6">
        <v>8</v>
      </c>
      <c r="Z3" s="6">
        <v>1</v>
      </c>
      <c r="AA3" s="6"/>
      <c r="AB3" s="6" t="s">
        <v>34</v>
      </c>
      <c r="AC3" s="6">
        <v>11</v>
      </c>
      <c r="AD3" s="6">
        <v>1</v>
      </c>
      <c r="AE3" s="6"/>
      <c r="AF3" s="6">
        <v>9</v>
      </c>
      <c r="AG3" s="6">
        <v>0</v>
      </c>
      <c r="AH3" s="6" t="s">
        <v>31</v>
      </c>
      <c r="AI3" s="6">
        <v>10</v>
      </c>
      <c r="AJ3" s="6">
        <v>2</v>
      </c>
      <c r="AK3" s="6"/>
      <c r="AL3" s="6">
        <v>8</v>
      </c>
      <c r="AM3" s="6">
        <v>1</v>
      </c>
    </row>
    <row r="4" spans="2:39" x14ac:dyDescent="0.35">
      <c r="B4" s="6" t="s">
        <v>78</v>
      </c>
      <c r="C4" s="6">
        <v>6</v>
      </c>
      <c r="D4" s="6">
        <v>6</v>
      </c>
      <c r="E4" s="6"/>
      <c r="F4" s="6">
        <v>6</v>
      </c>
      <c r="G4" s="6">
        <v>3</v>
      </c>
      <c r="H4" s="6" t="s">
        <v>87</v>
      </c>
      <c r="I4" s="6">
        <v>10</v>
      </c>
      <c r="J4" s="6">
        <v>2</v>
      </c>
      <c r="K4" s="6"/>
      <c r="L4" s="6">
        <v>7</v>
      </c>
      <c r="M4" s="6">
        <v>2</v>
      </c>
      <c r="N4" s="6"/>
      <c r="O4" s="6" t="s">
        <v>57</v>
      </c>
      <c r="P4" s="6">
        <v>8</v>
      </c>
      <c r="Q4" s="6">
        <v>4</v>
      </c>
      <c r="R4" s="6"/>
      <c r="S4" s="6">
        <v>7</v>
      </c>
      <c r="T4" s="6">
        <v>2</v>
      </c>
      <c r="U4" s="6" t="s">
        <v>145</v>
      </c>
      <c r="V4" s="6">
        <v>7</v>
      </c>
      <c r="W4" s="6">
        <v>5</v>
      </c>
      <c r="X4" s="6"/>
      <c r="Y4" s="6">
        <v>6</v>
      </c>
      <c r="Z4" s="6">
        <v>3</v>
      </c>
      <c r="AA4" s="6"/>
      <c r="AB4" s="6" t="s">
        <v>26</v>
      </c>
      <c r="AC4" s="6">
        <v>10</v>
      </c>
      <c r="AD4" s="6">
        <v>2</v>
      </c>
      <c r="AE4" s="6"/>
      <c r="AF4" s="6">
        <v>7</v>
      </c>
      <c r="AG4" s="6">
        <v>2</v>
      </c>
      <c r="AH4" s="6" t="s">
        <v>119</v>
      </c>
      <c r="AI4" s="6">
        <v>10</v>
      </c>
      <c r="AJ4" s="6">
        <v>2</v>
      </c>
      <c r="AK4" s="6"/>
      <c r="AL4" s="6">
        <v>7</v>
      </c>
      <c r="AM4" s="6">
        <v>2</v>
      </c>
    </row>
    <row r="5" spans="2:39" x14ac:dyDescent="0.35">
      <c r="B5" s="6" t="s">
        <v>77</v>
      </c>
      <c r="C5" s="6">
        <v>7</v>
      </c>
      <c r="D5" s="6">
        <v>5</v>
      </c>
      <c r="E5" s="6"/>
      <c r="F5" s="6">
        <v>5</v>
      </c>
      <c r="G5" s="6">
        <v>4</v>
      </c>
      <c r="H5" s="6" t="s">
        <v>86</v>
      </c>
      <c r="I5" s="6">
        <v>7</v>
      </c>
      <c r="J5" s="6">
        <v>5</v>
      </c>
      <c r="K5" s="6"/>
      <c r="L5" s="6">
        <v>5</v>
      </c>
      <c r="M5" s="6">
        <v>4</v>
      </c>
      <c r="N5" s="6"/>
      <c r="O5" s="6" t="s">
        <v>58</v>
      </c>
      <c r="P5" s="6">
        <v>8</v>
      </c>
      <c r="Q5" s="6">
        <v>4</v>
      </c>
      <c r="R5" s="6"/>
      <c r="S5" s="6">
        <v>6</v>
      </c>
      <c r="T5" s="6">
        <v>3</v>
      </c>
      <c r="U5" s="6" t="s">
        <v>53</v>
      </c>
      <c r="V5" s="6">
        <v>8</v>
      </c>
      <c r="W5" s="6">
        <v>4</v>
      </c>
      <c r="X5" s="6"/>
      <c r="Y5" s="6">
        <v>5</v>
      </c>
      <c r="Z5" s="6">
        <v>4</v>
      </c>
      <c r="AA5" s="6"/>
      <c r="AB5" s="6" t="s">
        <v>24</v>
      </c>
      <c r="AC5" s="6">
        <v>7</v>
      </c>
      <c r="AD5" s="6">
        <v>5</v>
      </c>
      <c r="AE5" s="6"/>
      <c r="AF5" s="6">
        <v>4</v>
      </c>
      <c r="AG5" s="6">
        <v>5</v>
      </c>
      <c r="AH5" s="6" t="s">
        <v>28</v>
      </c>
      <c r="AI5" s="6">
        <v>5</v>
      </c>
      <c r="AJ5" s="6">
        <v>7</v>
      </c>
      <c r="AK5" s="6"/>
      <c r="AL5" s="6">
        <v>5</v>
      </c>
      <c r="AM5" s="6">
        <v>4</v>
      </c>
    </row>
    <row r="6" spans="2:39" x14ac:dyDescent="0.35">
      <c r="B6" s="6" t="s">
        <v>79</v>
      </c>
      <c r="C6" s="6">
        <v>7</v>
      </c>
      <c r="D6" s="6">
        <v>5</v>
      </c>
      <c r="E6" s="6"/>
      <c r="F6" s="6">
        <v>5</v>
      </c>
      <c r="G6" s="6">
        <v>4</v>
      </c>
      <c r="H6" s="6" t="s">
        <v>82</v>
      </c>
      <c r="I6" s="6">
        <v>7</v>
      </c>
      <c r="J6" s="6">
        <v>5</v>
      </c>
      <c r="K6" s="6"/>
      <c r="L6" s="6">
        <v>4</v>
      </c>
      <c r="M6" s="6">
        <v>5</v>
      </c>
      <c r="N6" s="6"/>
      <c r="O6" s="6" t="s">
        <v>50</v>
      </c>
      <c r="P6" s="6">
        <v>7</v>
      </c>
      <c r="Q6" s="6">
        <v>5</v>
      </c>
      <c r="R6" s="6"/>
      <c r="S6" s="6">
        <v>5</v>
      </c>
      <c r="T6" s="6">
        <v>4</v>
      </c>
      <c r="U6" s="6" t="s">
        <v>55</v>
      </c>
      <c r="V6" s="6">
        <v>7</v>
      </c>
      <c r="W6" s="6">
        <v>5</v>
      </c>
      <c r="X6" s="6"/>
      <c r="Y6" s="6">
        <v>5</v>
      </c>
      <c r="Z6" s="6">
        <v>4</v>
      </c>
      <c r="AA6" s="6"/>
      <c r="AB6" s="6" t="s">
        <v>33</v>
      </c>
      <c r="AC6" s="6">
        <v>6</v>
      </c>
      <c r="AD6" s="6">
        <v>6</v>
      </c>
      <c r="AE6" s="6"/>
      <c r="AF6" s="6">
        <v>4</v>
      </c>
      <c r="AG6" s="6">
        <v>5</v>
      </c>
      <c r="AH6" s="6" t="s">
        <v>32</v>
      </c>
      <c r="AI6" s="6">
        <v>5</v>
      </c>
      <c r="AJ6" s="6">
        <v>7</v>
      </c>
      <c r="AK6" s="6"/>
      <c r="AL6" s="6">
        <v>4</v>
      </c>
      <c r="AM6" s="6">
        <v>5</v>
      </c>
    </row>
    <row r="7" spans="2:39" x14ac:dyDescent="0.35">
      <c r="B7" s="6" t="s">
        <v>74</v>
      </c>
      <c r="C7" s="6">
        <v>7</v>
      </c>
      <c r="D7" s="6">
        <v>5</v>
      </c>
      <c r="E7" s="6"/>
      <c r="F7" s="6">
        <v>5</v>
      </c>
      <c r="G7" s="6">
        <v>4</v>
      </c>
      <c r="H7" s="6" t="s">
        <v>84</v>
      </c>
      <c r="I7" s="6">
        <v>6</v>
      </c>
      <c r="J7" s="6">
        <v>6</v>
      </c>
      <c r="K7" s="6"/>
      <c r="L7" s="6">
        <v>4</v>
      </c>
      <c r="M7" s="6">
        <v>5</v>
      </c>
      <c r="N7" s="6"/>
      <c r="O7" s="6" t="s">
        <v>47</v>
      </c>
      <c r="P7" s="6">
        <v>4</v>
      </c>
      <c r="Q7" s="6">
        <v>8</v>
      </c>
      <c r="R7" s="6"/>
      <c r="S7" s="6">
        <v>4</v>
      </c>
      <c r="T7" s="6">
        <v>5</v>
      </c>
      <c r="U7" s="6" t="s">
        <v>118</v>
      </c>
      <c r="V7" s="6">
        <v>7</v>
      </c>
      <c r="W7" s="6">
        <v>5</v>
      </c>
      <c r="X7" s="6"/>
      <c r="Y7" s="6">
        <v>5</v>
      </c>
      <c r="Z7" s="6">
        <v>4</v>
      </c>
      <c r="AA7" s="6"/>
      <c r="AB7" s="6" t="s">
        <v>25</v>
      </c>
      <c r="AC7" s="6">
        <v>5</v>
      </c>
      <c r="AD7" s="6">
        <v>7</v>
      </c>
      <c r="AE7" s="6"/>
      <c r="AF7" s="6">
        <v>4</v>
      </c>
      <c r="AG7" s="6">
        <v>5</v>
      </c>
      <c r="AH7" s="6" t="s">
        <v>30</v>
      </c>
      <c r="AI7" s="6">
        <v>5</v>
      </c>
      <c r="AJ7" s="6">
        <v>7</v>
      </c>
      <c r="AK7" s="6"/>
      <c r="AL7" s="6">
        <v>4</v>
      </c>
      <c r="AM7" s="6">
        <v>5</v>
      </c>
    </row>
    <row r="8" spans="2:39" x14ac:dyDescent="0.35">
      <c r="B8" s="6" t="s">
        <v>73</v>
      </c>
      <c r="C8" s="6">
        <v>5</v>
      </c>
      <c r="D8" s="6">
        <v>7</v>
      </c>
      <c r="E8" s="6"/>
      <c r="F8" s="6">
        <v>5</v>
      </c>
      <c r="G8" s="6">
        <v>4</v>
      </c>
      <c r="H8" s="6" t="s">
        <v>83</v>
      </c>
      <c r="I8" s="6">
        <v>5</v>
      </c>
      <c r="J8" s="6">
        <v>7</v>
      </c>
      <c r="K8" s="6"/>
      <c r="L8" s="6">
        <v>4</v>
      </c>
      <c r="M8" s="6">
        <v>5</v>
      </c>
      <c r="N8" s="6"/>
      <c r="O8" s="6" t="s">
        <v>48</v>
      </c>
      <c r="P8" s="6">
        <v>4</v>
      </c>
      <c r="Q8" s="6">
        <v>8</v>
      </c>
      <c r="R8" s="6"/>
      <c r="S8" s="6">
        <v>2</v>
      </c>
      <c r="T8" s="6">
        <v>7</v>
      </c>
      <c r="U8" s="6" t="s">
        <v>54</v>
      </c>
      <c r="V8" s="6">
        <v>6</v>
      </c>
      <c r="W8" s="6">
        <v>6</v>
      </c>
      <c r="X8" s="6"/>
      <c r="Y8" s="6">
        <v>4</v>
      </c>
      <c r="Z8" s="6">
        <v>5</v>
      </c>
      <c r="AA8" s="6"/>
      <c r="AB8" s="6" t="s">
        <v>22</v>
      </c>
      <c r="AC8" s="6">
        <v>5</v>
      </c>
      <c r="AD8" s="6">
        <v>7</v>
      </c>
      <c r="AE8" s="6"/>
      <c r="AF8" s="6">
        <v>3</v>
      </c>
      <c r="AG8" s="6">
        <v>6</v>
      </c>
      <c r="AH8" s="6" t="s">
        <v>29</v>
      </c>
      <c r="AI8" s="6">
        <v>4</v>
      </c>
      <c r="AJ8" s="6">
        <v>8</v>
      </c>
      <c r="AK8" s="6"/>
      <c r="AL8" s="6">
        <v>4</v>
      </c>
      <c r="AM8" s="6">
        <v>5</v>
      </c>
    </row>
    <row r="9" spans="2:39" x14ac:dyDescent="0.35">
      <c r="B9" s="6" t="s">
        <v>80</v>
      </c>
      <c r="C9" s="6">
        <v>4</v>
      </c>
      <c r="D9" s="6">
        <v>8</v>
      </c>
      <c r="E9" s="6"/>
      <c r="F9" s="6">
        <v>3</v>
      </c>
      <c r="G9" s="6">
        <v>6</v>
      </c>
      <c r="H9" s="6" t="s">
        <v>85</v>
      </c>
      <c r="I9" s="6">
        <v>4</v>
      </c>
      <c r="J9" s="6">
        <v>8</v>
      </c>
      <c r="K9" s="6"/>
      <c r="L9" s="6">
        <v>3</v>
      </c>
      <c r="M9" s="6">
        <v>6</v>
      </c>
      <c r="N9" s="6"/>
      <c r="O9" s="6" t="s">
        <v>52</v>
      </c>
      <c r="P9" s="6">
        <v>4</v>
      </c>
      <c r="Q9" s="6">
        <v>8</v>
      </c>
      <c r="R9" s="6"/>
      <c r="S9" s="6">
        <v>2</v>
      </c>
      <c r="T9" s="6">
        <v>7</v>
      </c>
      <c r="U9" s="6" t="s">
        <v>56</v>
      </c>
      <c r="V9" s="6">
        <v>3</v>
      </c>
      <c r="W9" s="6">
        <v>9</v>
      </c>
      <c r="X9" s="6"/>
      <c r="Y9" s="6">
        <v>2</v>
      </c>
      <c r="Z9" s="6">
        <v>7</v>
      </c>
      <c r="AA9" s="6"/>
      <c r="AB9" s="6" t="s">
        <v>1860</v>
      </c>
      <c r="AC9" s="6">
        <v>4</v>
      </c>
      <c r="AD9" s="6">
        <v>8</v>
      </c>
      <c r="AE9" s="6"/>
      <c r="AF9" s="6">
        <v>3</v>
      </c>
      <c r="AG9" s="6">
        <v>6</v>
      </c>
      <c r="AH9" s="6" t="s">
        <v>292</v>
      </c>
      <c r="AI9" s="6">
        <v>6</v>
      </c>
      <c r="AJ9" s="6">
        <v>6</v>
      </c>
      <c r="AK9" s="6"/>
      <c r="AL9" s="6">
        <v>3</v>
      </c>
      <c r="AM9" s="6">
        <v>6</v>
      </c>
    </row>
    <row r="10" spans="2:39" x14ac:dyDescent="0.35">
      <c r="B10" s="6" t="s">
        <v>76</v>
      </c>
      <c r="C10" s="6">
        <v>2</v>
      </c>
      <c r="D10" s="6">
        <v>10</v>
      </c>
      <c r="E10" s="6"/>
      <c r="F10" s="6">
        <v>1</v>
      </c>
      <c r="G10" s="6">
        <v>8</v>
      </c>
      <c r="H10" s="6" t="s">
        <v>81</v>
      </c>
      <c r="I10" s="6">
        <v>4</v>
      </c>
      <c r="J10" s="6">
        <v>8</v>
      </c>
      <c r="K10" s="6"/>
      <c r="L10" s="6">
        <v>2</v>
      </c>
      <c r="M10" s="6">
        <v>7</v>
      </c>
      <c r="N10" s="6"/>
      <c r="O10" s="6" t="s">
        <v>51</v>
      </c>
      <c r="P10" s="6">
        <v>3</v>
      </c>
      <c r="Q10" s="6">
        <v>9</v>
      </c>
      <c r="R10" s="6"/>
      <c r="S10" s="6">
        <v>2</v>
      </c>
      <c r="T10" s="6">
        <v>7</v>
      </c>
      <c r="U10" s="6" t="s">
        <v>117</v>
      </c>
      <c r="V10" s="6">
        <v>4</v>
      </c>
      <c r="W10" s="6">
        <v>8</v>
      </c>
      <c r="X10" s="6"/>
      <c r="Y10" s="6">
        <v>1</v>
      </c>
      <c r="Z10" s="6">
        <v>8</v>
      </c>
      <c r="AA10" s="6"/>
      <c r="AB10" s="6" t="s">
        <v>23</v>
      </c>
      <c r="AC10" s="6">
        <v>3</v>
      </c>
      <c r="AD10" s="6">
        <v>9</v>
      </c>
      <c r="AE10" s="6"/>
      <c r="AF10" s="6">
        <v>3</v>
      </c>
      <c r="AG10" s="6">
        <v>6</v>
      </c>
      <c r="AH10" s="6" t="s">
        <v>27</v>
      </c>
      <c r="AI10" s="6">
        <v>1</v>
      </c>
      <c r="AJ10" s="6">
        <v>11</v>
      </c>
      <c r="AK10" s="6"/>
      <c r="AL10" s="6">
        <v>0</v>
      </c>
      <c r="AM10" s="6">
        <v>9</v>
      </c>
    </row>
    <row r="11" spans="2:39" x14ac:dyDescent="0.35">
      <c r="O11" s="9"/>
      <c r="U11" s="9"/>
      <c r="AB11" s="9"/>
      <c r="AH11" s="9"/>
    </row>
    <row r="12" spans="2:39" x14ac:dyDescent="0.35">
      <c r="B12" s="16" t="s">
        <v>116</v>
      </c>
      <c r="C12" s="1">
        <f>(SUM(C14:C21))+(SUM(I14:I21))</f>
        <v>92</v>
      </c>
      <c r="D12" s="471">
        <f>(SUM(D14:D21))+(SUM(J14:J21))</f>
        <v>100</v>
      </c>
      <c r="E12" s="471"/>
      <c r="F12" s="1">
        <f>(SUM(C14:C21)+SUM(I14:I21))-(SUM(F14:F21)+(SUM(L14:L21)))</f>
        <v>20</v>
      </c>
      <c r="G12" s="1">
        <f>(SUM(D14:D21)+SUM(J14:J21))-(SUM(G14:G21)+(SUM(M14:M21)))</f>
        <v>28</v>
      </c>
      <c r="O12" s="19" t="s">
        <v>14</v>
      </c>
      <c r="P12" s="1">
        <f>(SUM(P14:P21))+(SUM(V14:V21))</f>
        <v>93</v>
      </c>
      <c r="Q12" s="1">
        <f>(SUM(Q14:Q21))+(SUM(W14:W21))</f>
        <v>99</v>
      </c>
      <c r="S12" s="1">
        <f>(SUM(P14:P21)+SUM(V14:V21))-(SUM(S14:S21)+(SUM(Y14:Y21)))</f>
        <v>21</v>
      </c>
      <c r="T12" s="1">
        <f>(SUM(Q14:Q21)+SUM(W14:W21))-(SUM(T14:T21)+(SUM(Z14:Z21)))</f>
        <v>27</v>
      </c>
      <c r="AB12" s="58" t="s">
        <v>782</v>
      </c>
      <c r="AC12" s="1">
        <f>(SUM(AC14:AC21))+(SUM(AI14:AI21))</f>
        <v>96</v>
      </c>
      <c r="AD12" s="1">
        <f>(SUM(AD14:AD21))+(SUM(AJ14:AJ21))</f>
        <v>96</v>
      </c>
      <c r="AF12" s="1">
        <f>(SUM(AC14:AC21)+SUM(AI14:AI21))-(SUM(AF14:AF21)+(SUM(AL14:AL21)))</f>
        <v>24</v>
      </c>
      <c r="AG12" s="1">
        <f>(SUM(AD14:AD21)+SUM(AJ14:AJ21))-(SUM(AG14:AG21)+(SUM(AM14:AM21)))</f>
        <v>24</v>
      </c>
    </row>
    <row r="13" spans="2:39" x14ac:dyDescent="0.35">
      <c r="B13" s="1" t="s">
        <v>11</v>
      </c>
      <c r="C13" t="s">
        <v>5</v>
      </c>
      <c r="D13" t="s">
        <v>6</v>
      </c>
      <c r="F13" t="s">
        <v>5</v>
      </c>
      <c r="G13" t="s">
        <v>6</v>
      </c>
      <c r="H13" s="1" t="s">
        <v>12</v>
      </c>
      <c r="I13" t="s">
        <v>5</v>
      </c>
      <c r="J13" t="s">
        <v>6</v>
      </c>
      <c r="L13" t="s">
        <v>5</v>
      </c>
      <c r="M13" t="s">
        <v>6</v>
      </c>
      <c r="O13" s="1" t="s">
        <v>18</v>
      </c>
      <c r="P13" t="s">
        <v>5</v>
      </c>
      <c r="Q13" t="s">
        <v>6</v>
      </c>
      <c r="S13" t="s">
        <v>5</v>
      </c>
      <c r="T13" t="s">
        <v>6</v>
      </c>
      <c r="U13" s="1" t="s">
        <v>19</v>
      </c>
      <c r="V13" t="s">
        <v>5</v>
      </c>
      <c r="W13" t="s">
        <v>6</v>
      </c>
      <c r="Y13" t="s">
        <v>5</v>
      </c>
      <c r="Z13" t="s">
        <v>6</v>
      </c>
      <c r="AB13" s="1" t="s">
        <v>797</v>
      </c>
      <c r="AC13" t="s">
        <v>5</v>
      </c>
      <c r="AD13" t="s">
        <v>6</v>
      </c>
      <c r="AF13" t="s">
        <v>5</v>
      </c>
      <c r="AG13" t="s">
        <v>6</v>
      </c>
      <c r="AH13" s="1" t="s">
        <v>798</v>
      </c>
      <c r="AI13" t="s">
        <v>5</v>
      </c>
      <c r="AJ13" t="s">
        <v>6</v>
      </c>
      <c r="AL13" t="s">
        <v>5</v>
      </c>
      <c r="AM13" t="s">
        <v>6</v>
      </c>
    </row>
    <row r="14" spans="2:39" x14ac:dyDescent="0.35">
      <c r="B14" s="6" t="s">
        <v>69</v>
      </c>
      <c r="C14" s="6">
        <v>9</v>
      </c>
      <c r="D14" s="6">
        <v>3</v>
      </c>
      <c r="E14" s="6"/>
      <c r="F14" s="6">
        <v>7</v>
      </c>
      <c r="G14" s="6">
        <v>2</v>
      </c>
      <c r="H14" s="6" t="s">
        <v>60</v>
      </c>
      <c r="I14" s="6">
        <v>7</v>
      </c>
      <c r="J14" s="6">
        <v>5</v>
      </c>
      <c r="K14" s="6"/>
      <c r="L14" s="6">
        <v>6</v>
      </c>
      <c r="M14" s="6">
        <v>3</v>
      </c>
      <c r="N14" s="6"/>
      <c r="O14" s="6" t="s">
        <v>36</v>
      </c>
      <c r="P14" s="6">
        <v>9</v>
      </c>
      <c r="Q14" s="6">
        <v>3</v>
      </c>
      <c r="R14" s="6"/>
      <c r="S14" s="6">
        <v>7</v>
      </c>
      <c r="T14" s="6">
        <v>2</v>
      </c>
      <c r="U14" s="6" t="s">
        <v>41</v>
      </c>
      <c r="V14" s="6">
        <v>10</v>
      </c>
      <c r="W14" s="6">
        <v>2</v>
      </c>
      <c r="X14" s="6"/>
      <c r="Y14" s="6">
        <v>8</v>
      </c>
      <c r="Z14" s="6">
        <v>1</v>
      </c>
      <c r="AB14" t="s">
        <v>783</v>
      </c>
      <c r="AC14">
        <v>10</v>
      </c>
      <c r="AD14">
        <v>2</v>
      </c>
      <c r="AF14">
        <v>7</v>
      </c>
      <c r="AG14">
        <v>2</v>
      </c>
      <c r="AH14" t="s">
        <v>788</v>
      </c>
      <c r="AI14">
        <v>7</v>
      </c>
      <c r="AJ14">
        <v>5</v>
      </c>
      <c r="AL14">
        <v>7</v>
      </c>
      <c r="AM14">
        <v>2</v>
      </c>
    </row>
    <row r="15" spans="2:39" x14ac:dyDescent="0.35">
      <c r="B15" s="6" t="s">
        <v>70</v>
      </c>
      <c r="C15" s="6">
        <v>8</v>
      </c>
      <c r="D15" s="6">
        <v>4</v>
      </c>
      <c r="E15" s="6"/>
      <c r="F15" s="6">
        <v>7</v>
      </c>
      <c r="G15" s="6">
        <v>2</v>
      </c>
      <c r="H15" s="6" t="s">
        <v>62</v>
      </c>
      <c r="I15" s="6">
        <v>7</v>
      </c>
      <c r="J15" s="6">
        <v>5</v>
      </c>
      <c r="K15" s="6"/>
      <c r="L15" s="6">
        <v>6</v>
      </c>
      <c r="M15" s="6">
        <v>3</v>
      </c>
      <c r="N15" s="6"/>
      <c r="O15" s="6" t="s">
        <v>37</v>
      </c>
      <c r="P15" s="6">
        <v>7</v>
      </c>
      <c r="Q15" s="6">
        <v>5</v>
      </c>
      <c r="R15" s="6"/>
      <c r="S15" s="6">
        <v>6</v>
      </c>
      <c r="T15" s="6">
        <v>3</v>
      </c>
      <c r="U15" s="6" t="s">
        <v>42</v>
      </c>
      <c r="V15" s="6">
        <v>9</v>
      </c>
      <c r="W15" s="6">
        <v>3</v>
      </c>
      <c r="X15" s="6"/>
      <c r="Y15" s="6">
        <v>6</v>
      </c>
      <c r="Z15" s="6">
        <v>3</v>
      </c>
      <c r="AB15" t="s">
        <v>795</v>
      </c>
      <c r="AC15">
        <v>9</v>
      </c>
      <c r="AD15">
        <v>3</v>
      </c>
      <c r="AF15">
        <v>6</v>
      </c>
      <c r="AG15">
        <v>3</v>
      </c>
      <c r="AH15" t="s">
        <v>794</v>
      </c>
      <c r="AI15">
        <v>9</v>
      </c>
      <c r="AJ15">
        <v>3</v>
      </c>
      <c r="AL15">
        <v>6</v>
      </c>
      <c r="AM15">
        <v>3</v>
      </c>
    </row>
    <row r="16" spans="2:39" x14ac:dyDescent="0.35">
      <c r="B16" s="6" t="s">
        <v>66</v>
      </c>
      <c r="C16" s="6">
        <v>8</v>
      </c>
      <c r="D16" s="6">
        <v>4</v>
      </c>
      <c r="E16" s="6"/>
      <c r="F16" s="6">
        <v>5</v>
      </c>
      <c r="G16" s="6">
        <v>4</v>
      </c>
      <c r="H16" s="6" t="s">
        <v>59</v>
      </c>
      <c r="I16" s="6">
        <v>8</v>
      </c>
      <c r="J16" s="6">
        <v>4</v>
      </c>
      <c r="K16" s="6"/>
      <c r="L16" s="6">
        <v>5</v>
      </c>
      <c r="M16" s="6">
        <v>4</v>
      </c>
      <c r="N16" s="6"/>
      <c r="O16" s="6" t="s">
        <v>40</v>
      </c>
      <c r="P16" s="6">
        <v>6</v>
      </c>
      <c r="Q16" s="6">
        <v>6</v>
      </c>
      <c r="R16" s="6"/>
      <c r="S16" s="6">
        <v>5</v>
      </c>
      <c r="T16" s="6">
        <v>4</v>
      </c>
      <c r="U16" s="6" t="s">
        <v>46</v>
      </c>
      <c r="V16" s="6">
        <v>8</v>
      </c>
      <c r="W16" s="6">
        <v>4</v>
      </c>
      <c r="X16" s="6"/>
      <c r="Y16" s="6">
        <v>5</v>
      </c>
      <c r="Z16" s="6">
        <v>4</v>
      </c>
      <c r="AB16" t="s">
        <v>786</v>
      </c>
      <c r="AC16">
        <v>8</v>
      </c>
      <c r="AD16">
        <v>4</v>
      </c>
      <c r="AF16">
        <v>5</v>
      </c>
      <c r="AG16">
        <v>4</v>
      </c>
      <c r="AH16" t="s">
        <v>792</v>
      </c>
      <c r="AI16">
        <v>8</v>
      </c>
      <c r="AJ16">
        <v>4</v>
      </c>
      <c r="AL16">
        <v>6</v>
      </c>
      <c r="AM16">
        <v>3</v>
      </c>
    </row>
    <row r="17" spans="2:39" x14ac:dyDescent="0.35">
      <c r="B17" s="6" t="s">
        <v>114</v>
      </c>
      <c r="C17" s="6">
        <v>5</v>
      </c>
      <c r="D17" s="6">
        <v>7</v>
      </c>
      <c r="E17" s="6"/>
      <c r="F17" s="6">
        <v>4</v>
      </c>
      <c r="G17" s="6">
        <v>5</v>
      </c>
      <c r="H17" s="6" t="s">
        <v>61</v>
      </c>
      <c r="I17" s="6">
        <v>5</v>
      </c>
      <c r="J17" s="6">
        <v>7</v>
      </c>
      <c r="K17" s="6"/>
      <c r="L17" s="6">
        <v>4</v>
      </c>
      <c r="M17" s="6">
        <v>5</v>
      </c>
      <c r="N17" s="6"/>
      <c r="O17" s="6" t="s">
        <v>35</v>
      </c>
      <c r="P17" s="6">
        <v>6</v>
      </c>
      <c r="Q17" s="6">
        <v>6</v>
      </c>
      <c r="R17" s="6"/>
      <c r="S17" s="6">
        <v>4</v>
      </c>
      <c r="T17" s="6">
        <v>5</v>
      </c>
      <c r="U17" s="6" t="s">
        <v>43</v>
      </c>
      <c r="V17" s="6">
        <v>7</v>
      </c>
      <c r="W17" s="6">
        <v>5</v>
      </c>
      <c r="X17" s="6"/>
      <c r="Y17" s="6">
        <v>5</v>
      </c>
      <c r="Z17" s="6">
        <v>4</v>
      </c>
      <c r="AA17" s="6"/>
      <c r="AB17" t="s">
        <v>784</v>
      </c>
      <c r="AC17">
        <v>6</v>
      </c>
      <c r="AD17">
        <v>6</v>
      </c>
      <c r="AF17">
        <v>5</v>
      </c>
      <c r="AG17">
        <v>4</v>
      </c>
      <c r="AH17" t="s">
        <v>790</v>
      </c>
      <c r="AI17">
        <v>6</v>
      </c>
      <c r="AJ17">
        <v>6</v>
      </c>
      <c r="AL17">
        <v>5</v>
      </c>
      <c r="AM17">
        <v>4</v>
      </c>
    </row>
    <row r="18" spans="2:39" x14ac:dyDescent="0.35">
      <c r="B18" s="6" t="s">
        <v>71</v>
      </c>
      <c r="C18" s="6">
        <v>5</v>
      </c>
      <c r="D18" s="6">
        <v>7</v>
      </c>
      <c r="E18" s="6"/>
      <c r="F18" s="6">
        <v>4</v>
      </c>
      <c r="G18" s="6">
        <v>5</v>
      </c>
      <c r="H18" s="6" t="s">
        <v>64</v>
      </c>
      <c r="I18" s="6">
        <v>4</v>
      </c>
      <c r="J18" s="6">
        <v>8</v>
      </c>
      <c r="K18" s="6"/>
      <c r="L18" s="6">
        <v>4</v>
      </c>
      <c r="M18" s="6">
        <v>5</v>
      </c>
      <c r="N18" s="6"/>
      <c r="O18" s="6" t="s">
        <v>2011</v>
      </c>
      <c r="P18" s="6">
        <v>4</v>
      </c>
      <c r="Q18" s="6">
        <v>8</v>
      </c>
      <c r="R18" s="6"/>
      <c r="S18" s="6">
        <v>4</v>
      </c>
      <c r="T18" s="6">
        <v>5</v>
      </c>
      <c r="U18" s="6" t="s">
        <v>45</v>
      </c>
      <c r="V18" s="6">
        <v>6</v>
      </c>
      <c r="W18" s="6">
        <v>6</v>
      </c>
      <c r="X18" s="6"/>
      <c r="Y18" s="6">
        <v>5</v>
      </c>
      <c r="Z18" s="6">
        <v>4</v>
      </c>
      <c r="AB18" t="s">
        <v>785</v>
      </c>
      <c r="AC18">
        <v>5</v>
      </c>
      <c r="AD18">
        <v>7</v>
      </c>
      <c r="AF18">
        <v>4</v>
      </c>
      <c r="AG18">
        <v>5</v>
      </c>
      <c r="AH18" t="s">
        <v>909</v>
      </c>
      <c r="AI18">
        <v>5</v>
      </c>
      <c r="AJ18">
        <v>7</v>
      </c>
      <c r="AL18">
        <v>5</v>
      </c>
      <c r="AM18">
        <v>4</v>
      </c>
    </row>
    <row r="19" spans="2:39" x14ac:dyDescent="0.35">
      <c r="B19" s="6" t="s">
        <v>68</v>
      </c>
      <c r="C19" s="6">
        <v>5</v>
      </c>
      <c r="D19" s="6">
        <v>7</v>
      </c>
      <c r="E19" s="6"/>
      <c r="F19" s="6">
        <v>4</v>
      </c>
      <c r="G19" s="6">
        <v>5</v>
      </c>
      <c r="H19" s="6" t="s">
        <v>65</v>
      </c>
      <c r="I19" s="6">
        <v>5</v>
      </c>
      <c r="J19" s="6">
        <v>7</v>
      </c>
      <c r="K19" s="6"/>
      <c r="L19" s="6">
        <v>3</v>
      </c>
      <c r="M19" s="6">
        <v>6</v>
      </c>
      <c r="N19" s="6"/>
      <c r="O19" s="6" t="s">
        <v>900</v>
      </c>
      <c r="P19" s="6">
        <v>4</v>
      </c>
      <c r="Q19" s="6">
        <v>8</v>
      </c>
      <c r="R19" s="6"/>
      <c r="S19" s="6">
        <v>4</v>
      </c>
      <c r="T19" s="6">
        <v>5</v>
      </c>
      <c r="U19" s="6" t="s">
        <v>1859</v>
      </c>
      <c r="V19" s="6">
        <v>4</v>
      </c>
      <c r="W19" s="6">
        <v>8</v>
      </c>
      <c r="X19" s="6"/>
      <c r="Y19" s="6">
        <v>3</v>
      </c>
      <c r="Z19" s="6">
        <v>6</v>
      </c>
      <c r="AB19" t="s">
        <v>793</v>
      </c>
      <c r="AC19">
        <v>6</v>
      </c>
      <c r="AD19">
        <v>6</v>
      </c>
      <c r="AF19">
        <v>3</v>
      </c>
      <c r="AG19">
        <v>6</v>
      </c>
      <c r="AH19" t="s">
        <v>791</v>
      </c>
      <c r="AI19">
        <v>4</v>
      </c>
      <c r="AJ19">
        <v>8</v>
      </c>
      <c r="AL19">
        <v>3</v>
      </c>
      <c r="AM19">
        <v>6</v>
      </c>
    </row>
    <row r="20" spans="2:39" x14ac:dyDescent="0.35">
      <c r="B20" s="6" t="s">
        <v>67</v>
      </c>
      <c r="C20" s="6">
        <v>6</v>
      </c>
      <c r="D20" s="6">
        <v>6</v>
      </c>
      <c r="E20" s="6"/>
      <c r="F20" s="6">
        <v>5</v>
      </c>
      <c r="G20" s="6">
        <v>4</v>
      </c>
      <c r="H20" s="6" t="s">
        <v>115</v>
      </c>
      <c r="I20" s="6">
        <v>4</v>
      </c>
      <c r="J20" s="6">
        <v>8</v>
      </c>
      <c r="K20" s="6"/>
      <c r="L20" s="6">
        <v>3</v>
      </c>
      <c r="M20" s="6">
        <v>6</v>
      </c>
      <c r="N20" s="6"/>
      <c r="O20" s="6" t="s">
        <v>39</v>
      </c>
      <c r="P20" s="6">
        <v>4</v>
      </c>
      <c r="Q20" s="6">
        <v>8</v>
      </c>
      <c r="R20" s="6"/>
      <c r="S20" s="6">
        <v>3</v>
      </c>
      <c r="T20" s="6">
        <v>6</v>
      </c>
      <c r="U20" s="6" t="s">
        <v>1858</v>
      </c>
      <c r="V20" s="6">
        <v>4</v>
      </c>
      <c r="W20" s="6">
        <v>8</v>
      </c>
      <c r="X20" s="6"/>
      <c r="Y20" s="6">
        <v>4</v>
      </c>
      <c r="Z20" s="6">
        <v>5</v>
      </c>
      <c r="AB20" t="s">
        <v>908</v>
      </c>
      <c r="AC20">
        <v>3</v>
      </c>
      <c r="AD20">
        <v>9</v>
      </c>
      <c r="AF20">
        <v>2</v>
      </c>
      <c r="AG20">
        <v>7</v>
      </c>
      <c r="AH20" t="s">
        <v>787</v>
      </c>
      <c r="AI20">
        <v>4</v>
      </c>
      <c r="AJ20">
        <v>8</v>
      </c>
      <c r="AL20">
        <v>3</v>
      </c>
      <c r="AM20">
        <v>6</v>
      </c>
    </row>
    <row r="21" spans="2:39" x14ac:dyDescent="0.35">
      <c r="B21" s="6" t="s">
        <v>72</v>
      </c>
      <c r="C21" s="6">
        <v>2</v>
      </c>
      <c r="D21" s="6">
        <v>10</v>
      </c>
      <c r="E21" s="6"/>
      <c r="F21" s="6">
        <v>2</v>
      </c>
      <c r="G21" s="6">
        <v>7</v>
      </c>
      <c r="H21" s="6" t="s">
        <v>63</v>
      </c>
      <c r="I21" s="6">
        <v>4</v>
      </c>
      <c r="J21" s="6">
        <v>8</v>
      </c>
      <c r="K21" s="6"/>
      <c r="L21" s="6">
        <v>3</v>
      </c>
      <c r="M21" s="6">
        <v>6</v>
      </c>
      <c r="N21" s="6"/>
      <c r="O21" s="6" t="s">
        <v>38</v>
      </c>
      <c r="P21" s="6">
        <v>1</v>
      </c>
      <c r="Q21" s="6">
        <v>11</v>
      </c>
      <c r="R21" s="6"/>
      <c r="S21" s="6">
        <v>1</v>
      </c>
      <c r="T21" s="6">
        <v>8</v>
      </c>
      <c r="U21" s="6" t="s">
        <v>44</v>
      </c>
      <c r="V21" s="6">
        <v>4</v>
      </c>
      <c r="W21" s="6">
        <v>8</v>
      </c>
      <c r="X21" s="6"/>
      <c r="Y21" s="6">
        <v>2</v>
      </c>
      <c r="Z21" s="6">
        <v>7</v>
      </c>
      <c r="AB21" t="s">
        <v>796</v>
      </c>
      <c r="AC21">
        <v>2</v>
      </c>
      <c r="AD21">
        <v>10</v>
      </c>
      <c r="AF21">
        <v>2</v>
      </c>
      <c r="AG21">
        <v>7</v>
      </c>
      <c r="AH21" t="s">
        <v>789</v>
      </c>
      <c r="AI21">
        <v>4</v>
      </c>
      <c r="AJ21">
        <v>8</v>
      </c>
      <c r="AL21">
        <v>3</v>
      </c>
      <c r="AM21">
        <v>6</v>
      </c>
    </row>
    <row r="23" spans="2:39" x14ac:dyDescent="0.35">
      <c r="B23" s="6">
        <v>1</v>
      </c>
      <c r="C23" s="9" t="s">
        <v>862</v>
      </c>
      <c r="H23" s="9"/>
      <c r="N23" t="s">
        <v>143</v>
      </c>
      <c r="O23" s="20" t="s">
        <v>1167</v>
      </c>
      <c r="P23" s="6"/>
      <c r="Q23" s="6"/>
      <c r="R23" s="6"/>
      <c r="S23" s="6"/>
      <c r="T23" s="6"/>
      <c r="U23" s="74" t="s">
        <v>1163</v>
      </c>
    </row>
    <row r="24" spans="2:39" ht="14.4" customHeight="1" x14ac:dyDescent="0.35">
      <c r="B24" s="6">
        <v>2</v>
      </c>
      <c r="C24" s="9" t="s">
        <v>863</v>
      </c>
      <c r="N24" t="s">
        <v>144</v>
      </c>
      <c r="O24" s="15" t="s">
        <v>1165</v>
      </c>
      <c r="P24" s="6"/>
      <c r="Q24" s="6"/>
      <c r="R24" s="6"/>
      <c r="S24" s="6"/>
      <c r="T24" s="6"/>
      <c r="U24" s="1" t="s">
        <v>1152</v>
      </c>
      <c r="AA24" s="489">
        <f>ScoreboardNCAA!F6</f>
        <v>0</v>
      </c>
      <c r="AB24" s="491" t="str">
        <f>ScoreboardNCAA!B2</f>
        <v>Goldenrod City</v>
      </c>
      <c r="AC24" s="492"/>
      <c r="AD24" s="492"/>
      <c r="AE24" s="492"/>
    </row>
    <row r="25" spans="2:39" ht="15" customHeight="1" thickBot="1" x14ac:dyDescent="0.4">
      <c r="B25" s="6">
        <v>3</v>
      </c>
      <c r="C25" s="9" t="s">
        <v>864</v>
      </c>
      <c r="N25" t="s">
        <v>503</v>
      </c>
      <c r="O25" s="20" t="s">
        <v>49</v>
      </c>
      <c r="P25" s="6"/>
      <c r="Q25" s="6"/>
      <c r="R25" s="6"/>
      <c r="S25" s="6"/>
      <c r="U25" s="15" t="s">
        <v>300</v>
      </c>
      <c r="AA25" s="490"/>
      <c r="AB25" s="491"/>
      <c r="AC25" s="492"/>
      <c r="AD25" s="492"/>
      <c r="AE25" s="492"/>
    </row>
    <row r="26" spans="2:39" ht="14.4" customHeight="1" x14ac:dyDescent="0.35">
      <c r="B26" s="6">
        <v>4</v>
      </c>
      <c r="C26" s="9" t="s">
        <v>865</v>
      </c>
      <c r="N26" t="s">
        <v>172</v>
      </c>
      <c r="O26" s="42" t="s">
        <v>36</v>
      </c>
      <c r="P26" s="6"/>
      <c r="Q26" s="6"/>
      <c r="R26" s="6"/>
      <c r="S26" s="6"/>
      <c r="U26" s="15" t="s">
        <v>41</v>
      </c>
      <c r="AA26" s="493">
        <f>ScoreboardNCAA!N6</f>
        <v>4</v>
      </c>
      <c r="AB26" s="491" t="str">
        <f>ScoreboardNCAA!N2</f>
        <v>Cianwood City</v>
      </c>
      <c r="AC26" s="492"/>
      <c r="AD26" s="492"/>
      <c r="AE26" s="492"/>
    </row>
    <row r="27" spans="2:39" ht="14.4" customHeight="1" x14ac:dyDescent="0.35">
      <c r="B27" s="6">
        <v>5</v>
      </c>
      <c r="C27" s="9" t="s">
        <v>856</v>
      </c>
      <c r="N27" s="6" t="s">
        <v>173</v>
      </c>
      <c r="O27" s="15" t="s">
        <v>34</v>
      </c>
      <c r="P27" s="6"/>
      <c r="Q27" s="6"/>
      <c r="R27" s="6"/>
      <c r="S27" s="6"/>
      <c r="U27" s="20" t="s">
        <v>31</v>
      </c>
      <c r="AA27" s="493"/>
      <c r="AB27" s="491"/>
      <c r="AC27" s="492"/>
      <c r="AD27" s="492"/>
      <c r="AE27" s="492"/>
    </row>
    <row r="28" spans="2:39" x14ac:dyDescent="0.35">
      <c r="B28" s="6">
        <v>6</v>
      </c>
      <c r="C28" s="9" t="s">
        <v>856</v>
      </c>
      <c r="N28" t="s">
        <v>799</v>
      </c>
      <c r="O28" s="20" t="s">
        <v>783</v>
      </c>
      <c r="U28" s="15" t="s">
        <v>788</v>
      </c>
    </row>
    <row r="29" spans="2:39" x14ac:dyDescent="0.35">
      <c r="B29" s="6">
        <v>7</v>
      </c>
      <c r="C29" s="9" t="s">
        <v>857</v>
      </c>
    </row>
    <row r="30" spans="2:39" x14ac:dyDescent="0.35">
      <c r="B30" s="6">
        <v>8</v>
      </c>
      <c r="C30" s="9" t="s">
        <v>857</v>
      </c>
      <c r="L30">
        <v>1</v>
      </c>
      <c r="M30">
        <v>2</v>
      </c>
      <c r="S30">
        <v>3</v>
      </c>
      <c r="T30">
        <v>3</v>
      </c>
      <c r="U30" t="s">
        <v>143</v>
      </c>
      <c r="V30">
        <v>3</v>
      </c>
      <c r="W30">
        <v>5</v>
      </c>
      <c r="Y30">
        <v>5</v>
      </c>
      <c r="Z30">
        <v>4</v>
      </c>
      <c r="AA30" t="s">
        <v>143</v>
      </c>
      <c r="AC30">
        <v>4</v>
      </c>
      <c r="AD30">
        <v>3</v>
      </c>
      <c r="AF30">
        <v>4</v>
      </c>
      <c r="AG30">
        <v>4</v>
      </c>
      <c r="AH30" t="s">
        <v>143</v>
      </c>
      <c r="AI30">
        <v>4</v>
      </c>
    </row>
    <row r="31" spans="2:39" x14ac:dyDescent="0.35">
      <c r="B31" s="6">
        <v>9</v>
      </c>
      <c r="C31" s="9" t="s">
        <v>856</v>
      </c>
      <c r="L31">
        <v>4</v>
      </c>
      <c r="M31">
        <v>3</v>
      </c>
      <c r="S31">
        <v>6</v>
      </c>
      <c r="T31">
        <v>4</v>
      </c>
      <c r="U31" t="s">
        <v>144</v>
      </c>
      <c r="V31">
        <v>4</v>
      </c>
      <c r="W31">
        <v>5</v>
      </c>
      <c r="Y31">
        <v>5</v>
      </c>
      <c r="Z31">
        <v>5</v>
      </c>
      <c r="AA31" t="s">
        <v>144</v>
      </c>
      <c r="AC31">
        <v>5</v>
      </c>
      <c r="AD31">
        <v>5</v>
      </c>
      <c r="AF31">
        <v>4</v>
      </c>
      <c r="AG31">
        <v>4</v>
      </c>
      <c r="AH31" t="s">
        <v>144</v>
      </c>
      <c r="AI31">
        <v>4</v>
      </c>
    </row>
    <row r="32" spans="2:39" x14ac:dyDescent="0.35">
      <c r="B32" s="6">
        <v>10</v>
      </c>
      <c r="C32" s="9" t="s">
        <v>856</v>
      </c>
      <c r="L32">
        <v>5</v>
      </c>
      <c r="M32">
        <v>6</v>
      </c>
      <c r="S32">
        <v>4</v>
      </c>
      <c r="T32">
        <v>4</v>
      </c>
      <c r="U32" t="s">
        <v>503</v>
      </c>
      <c r="V32">
        <v>4</v>
      </c>
      <c r="W32">
        <v>3</v>
      </c>
      <c r="Y32">
        <v>3</v>
      </c>
      <c r="Z32">
        <v>4</v>
      </c>
      <c r="AA32" t="s">
        <v>503</v>
      </c>
      <c r="AC32">
        <v>4</v>
      </c>
      <c r="AD32">
        <v>5</v>
      </c>
      <c r="AF32">
        <v>5</v>
      </c>
      <c r="AG32">
        <v>5</v>
      </c>
      <c r="AH32" t="s">
        <v>503</v>
      </c>
      <c r="AI32">
        <v>5</v>
      </c>
    </row>
    <row r="33" spans="4:35" x14ac:dyDescent="0.35">
      <c r="D33">
        <v>10</v>
      </c>
      <c r="E33" t="s">
        <v>860</v>
      </c>
      <c r="F33">
        <v>7</v>
      </c>
      <c r="G33" t="s">
        <v>861</v>
      </c>
      <c r="L33" t="s">
        <v>859</v>
      </c>
      <c r="M33" t="s">
        <v>858</v>
      </c>
      <c r="S33">
        <v>6</v>
      </c>
      <c r="T33">
        <v>6</v>
      </c>
      <c r="U33" t="s">
        <v>172</v>
      </c>
      <c r="V33">
        <v>6</v>
      </c>
      <c r="W33">
        <v>4</v>
      </c>
      <c r="Y33">
        <v>4</v>
      </c>
      <c r="Z33">
        <v>5</v>
      </c>
      <c r="AA33" t="s">
        <v>172</v>
      </c>
      <c r="AC33">
        <v>5</v>
      </c>
      <c r="AD33">
        <v>5</v>
      </c>
      <c r="AF33">
        <v>6</v>
      </c>
      <c r="AG33">
        <v>6</v>
      </c>
      <c r="AH33" t="s">
        <v>172</v>
      </c>
      <c r="AI33">
        <v>5</v>
      </c>
    </row>
    <row r="34" spans="4:35" x14ac:dyDescent="0.35">
      <c r="D34">
        <v>9</v>
      </c>
      <c r="E34" t="s">
        <v>860</v>
      </c>
      <c r="F34">
        <v>8</v>
      </c>
      <c r="G34" t="s">
        <v>861</v>
      </c>
      <c r="S34">
        <v>6</v>
      </c>
      <c r="T34">
        <v>6</v>
      </c>
      <c r="U34" t="s">
        <v>173</v>
      </c>
      <c r="V34">
        <v>5</v>
      </c>
      <c r="W34">
        <v>6</v>
      </c>
      <c r="Y34">
        <v>6</v>
      </c>
      <c r="Z34">
        <v>5</v>
      </c>
      <c r="AA34" t="s">
        <v>173</v>
      </c>
      <c r="AC34">
        <v>5</v>
      </c>
      <c r="AD34">
        <v>4</v>
      </c>
      <c r="AF34">
        <v>4</v>
      </c>
      <c r="AG34">
        <v>4</v>
      </c>
      <c r="AH34" t="s">
        <v>173</v>
      </c>
      <c r="AI34">
        <v>4</v>
      </c>
    </row>
    <row r="35" spans="4:35" x14ac:dyDescent="0.35">
      <c r="S35" s="46" t="s">
        <v>850</v>
      </c>
      <c r="T35" s="46">
        <v>2</v>
      </c>
      <c r="U35" t="s">
        <v>799</v>
      </c>
      <c r="V35">
        <v>3</v>
      </c>
      <c r="W35">
        <v>2</v>
      </c>
      <c r="Y35">
        <v>2</v>
      </c>
      <c r="Z35">
        <v>2</v>
      </c>
      <c r="AA35" t="s">
        <v>799</v>
      </c>
      <c r="AC35" s="46">
        <v>2</v>
      </c>
      <c r="AD35" s="46">
        <v>3</v>
      </c>
      <c r="AF35">
        <v>2</v>
      </c>
      <c r="AG35">
        <v>2</v>
      </c>
      <c r="AH35" t="s">
        <v>799</v>
      </c>
      <c r="AI35">
        <v>3</v>
      </c>
    </row>
  </sheetData>
  <mergeCells count="5">
    <mergeCell ref="D12:E12"/>
    <mergeCell ref="AA24:AA25"/>
    <mergeCell ref="AB24:AE25"/>
    <mergeCell ref="AA26:AA27"/>
    <mergeCell ref="AB26:AE27"/>
  </mergeCells>
  <conditionalFormatting sqref="AA24:AA27">
    <cfRule type="top10" dxfId="1" priority="1" rank="1"/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R53"/>
  <sheetViews>
    <sheetView zoomScale="90" zoomScaleNormal="90" workbookViewId="0">
      <selection activeCell="B25" sqref="B25:C25"/>
    </sheetView>
  </sheetViews>
  <sheetFormatPr defaultRowHeight="14.5" x14ac:dyDescent="0.35"/>
  <cols>
    <col min="1" max="1" width="9.1796875" customWidth="1"/>
    <col min="2" max="2" width="15.54296875" bestFit="1" customWidth="1"/>
    <col min="3" max="3" width="14.6328125" bestFit="1" customWidth="1"/>
    <col min="4" max="4" width="3.36328125" customWidth="1"/>
    <col min="5" max="5" width="16.08984375" bestFit="1" customWidth="1"/>
    <col min="6" max="6" width="15.08984375" bestFit="1" customWidth="1"/>
    <col min="7" max="7" width="4.36328125" customWidth="1"/>
    <col min="8" max="8" width="16.6328125" bestFit="1" customWidth="1"/>
    <col min="9" max="9" width="15" bestFit="1" customWidth="1"/>
    <col min="10" max="10" width="5.36328125" customWidth="1"/>
    <col min="11" max="11" width="13.90625" bestFit="1" customWidth="1"/>
    <col min="12" max="12" width="15" customWidth="1"/>
    <col min="13" max="13" width="5.453125" customWidth="1"/>
    <col min="14" max="14" width="15.6328125" bestFit="1" customWidth="1"/>
    <col min="15" max="15" width="17.54296875" bestFit="1" customWidth="1"/>
    <col min="16" max="16" width="5.453125" customWidth="1"/>
    <col min="17" max="17" width="17.453125" customWidth="1"/>
    <col min="18" max="18" width="15.453125" customWidth="1"/>
  </cols>
  <sheetData>
    <row r="1" spans="1:18" s="1" customFormat="1" x14ac:dyDescent="0.35">
      <c r="B1" s="15" t="s">
        <v>8</v>
      </c>
      <c r="E1" s="16" t="s">
        <v>116</v>
      </c>
      <c r="H1" s="17" t="s">
        <v>13</v>
      </c>
      <c r="K1" s="19" t="s">
        <v>14</v>
      </c>
      <c r="N1" s="18" t="s">
        <v>15</v>
      </c>
      <c r="Q1" s="58" t="s">
        <v>782</v>
      </c>
    </row>
    <row r="2" spans="1:18" s="1" customFormat="1" x14ac:dyDescent="0.35">
      <c r="B2" s="1" t="s">
        <v>9</v>
      </c>
      <c r="C2" s="1" t="s">
        <v>10</v>
      </c>
      <c r="E2" s="1" t="s">
        <v>11</v>
      </c>
      <c r="F2" s="1" t="s">
        <v>12</v>
      </c>
      <c r="H2" s="1" t="s">
        <v>16</v>
      </c>
      <c r="I2" s="1" t="s">
        <v>17</v>
      </c>
      <c r="K2" s="1" t="s">
        <v>18</v>
      </c>
      <c r="L2" s="1" t="s">
        <v>19</v>
      </c>
      <c r="N2" s="1" t="s">
        <v>20</v>
      </c>
      <c r="O2" s="1" t="s">
        <v>21</v>
      </c>
      <c r="Q2" s="1" t="s">
        <v>797</v>
      </c>
      <c r="R2" s="1" t="s">
        <v>798</v>
      </c>
    </row>
    <row r="3" spans="1:18" x14ac:dyDescent="0.35">
      <c r="B3" s="9" t="s">
        <v>74</v>
      </c>
      <c r="C3" s="9" t="s">
        <v>86</v>
      </c>
      <c r="D3" s="9"/>
      <c r="E3" s="9" t="s">
        <v>69</v>
      </c>
      <c r="F3" s="9" t="s">
        <v>61</v>
      </c>
      <c r="G3" s="9"/>
      <c r="H3" s="9" t="s">
        <v>57</v>
      </c>
      <c r="I3" s="9" t="s">
        <v>53</v>
      </c>
      <c r="J3" s="9"/>
      <c r="K3" s="9" t="s">
        <v>900</v>
      </c>
      <c r="L3" s="9" t="s">
        <v>41</v>
      </c>
      <c r="M3" s="9"/>
      <c r="N3" s="9" t="s">
        <v>24</v>
      </c>
      <c r="O3" s="9" t="s">
        <v>119</v>
      </c>
      <c r="P3" s="9"/>
      <c r="Q3" s="9" t="s">
        <v>784</v>
      </c>
      <c r="R3" s="9" t="s">
        <v>787</v>
      </c>
    </row>
    <row r="4" spans="1:18" x14ac:dyDescent="0.35">
      <c r="B4" s="9" t="s">
        <v>78</v>
      </c>
      <c r="C4" s="9" t="s">
        <v>82</v>
      </c>
      <c r="D4" s="9"/>
      <c r="E4" s="9" t="s">
        <v>67</v>
      </c>
      <c r="F4" s="9" t="s">
        <v>64</v>
      </c>
      <c r="G4" s="9"/>
      <c r="H4" s="9" t="s">
        <v>47</v>
      </c>
      <c r="I4" s="9" t="s">
        <v>145</v>
      </c>
      <c r="J4" s="9"/>
      <c r="K4" s="9" t="s">
        <v>38</v>
      </c>
      <c r="L4" s="9" t="s">
        <v>46</v>
      </c>
      <c r="M4" s="9"/>
      <c r="N4" s="9" t="s">
        <v>1860</v>
      </c>
      <c r="O4" s="9" t="s">
        <v>32</v>
      </c>
      <c r="P4" s="9"/>
      <c r="Q4" s="9" t="s">
        <v>786</v>
      </c>
      <c r="R4" s="9" t="s">
        <v>789</v>
      </c>
    </row>
    <row r="5" spans="1:18" x14ac:dyDescent="0.35">
      <c r="B5" s="9" t="s">
        <v>73</v>
      </c>
      <c r="C5" s="9" t="s">
        <v>85</v>
      </c>
      <c r="D5" s="9"/>
      <c r="E5" s="9" t="s">
        <v>70</v>
      </c>
      <c r="F5" s="9" t="s">
        <v>62</v>
      </c>
      <c r="G5" s="9"/>
      <c r="H5" s="9" t="s">
        <v>49</v>
      </c>
      <c r="I5" s="9" t="s">
        <v>117</v>
      </c>
      <c r="J5" s="9"/>
      <c r="K5" s="9" t="s">
        <v>39</v>
      </c>
      <c r="L5" s="9" t="s">
        <v>45</v>
      </c>
      <c r="M5" s="9"/>
      <c r="N5" s="9" t="s">
        <v>25</v>
      </c>
      <c r="O5" s="9" t="s">
        <v>31</v>
      </c>
      <c r="P5" s="9"/>
      <c r="Q5" s="9" t="s">
        <v>785</v>
      </c>
      <c r="R5" s="9" t="s">
        <v>790</v>
      </c>
    </row>
    <row r="6" spans="1:18" x14ac:dyDescent="0.35">
      <c r="B6" s="9" t="s">
        <v>79</v>
      </c>
      <c r="C6" s="9" t="s">
        <v>88</v>
      </c>
      <c r="D6" s="9"/>
      <c r="E6" s="9" t="s">
        <v>68</v>
      </c>
      <c r="F6" s="9" t="s">
        <v>59</v>
      </c>
      <c r="G6" s="9"/>
      <c r="H6" s="9" t="s">
        <v>51</v>
      </c>
      <c r="I6" s="9" t="s">
        <v>55</v>
      </c>
      <c r="J6" s="9"/>
      <c r="K6" s="9" t="s">
        <v>35</v>
      </c>
      <c r="L6" s="9" t="s">
        <v>44</v>
      </c>
      <c r="M6" s="9"/>
      <c r="N6" s="9" t="s">
        <v>34</v>
      </c>
      <c r="O6" s="9" t="s">
        <v>292</v>
      </c>
      <c r="P6" s="9"/>
      <c r="Q6" s="9" t="s">
        <v>795</v>
      </c>
      <c r="R6" s="9" t="s">
        <v>794</v>
      </c>
    </row>
    <row r="7" spans="1:18" x14ac:dyDescent="0.35">
      <c r="B7" s="9" t="s">
        <v>76</v>
      </c>
      <c r="C7" s="9" t="s">
        <v>84</v>
      </c>
      <c r="D7" s="9"/>
      <c r="E7" s="9" t="s">
        <v>114</v>
      </c>
      <c r="F7" s="9" t="s">
        <v>60</v>
      </c>
      <c r="G7" s="9"/>
      <c r="H7" s="9" t="s">
        <v>48</v>
      </c>
      <c r="I7" s="9" t="s">
        <v>56</v>
      </c>
      <c r="J7" s="9"/>
      <c r="K7" s="9" t="s">
        <v>40</v>
      </c>
      <c r="L7" s="9" t="s">
        <v>42</v>
      </c>
      <c r="M7" s="9"/>
      <c r="N7" s="9" t="s">
        <v>33</v>
      </c>
      <c r="O7" s="9" t="s">
        <v>29</v>
      </c>
      <c r="P7" s="9"/>
      <c r="Q7" s="9" t="s">
        <v>908</v>
      </c>
      <c r="R7" s="9" t="s">
        <v>788</v>
      </c>
    </row>
    <row r="8" spans="1:18" x14ac:dyDescent="0.35">
      <c r="B8" s="9" t="s">
        <v>80</v>
      </c>
      <c r="C8" s="9" t="s">
        <v>87</v>
      </c>
      <c r="D8" s="9"/>
      <c r="E8" s="9" t="s">
        <v>66</v>
      </c>
      <c r="F8" s="9" t="s">
        <v>63</v>
      </c>
      <c r="G8" s="9"/>
      <c r="H8" s="9" t="s">
        <v>50</v>
      </c>
      <c r="I8" s="9" t="s">
        <v>118</v>
      </c>
      <c r="J8" s="9"/>
      <c r="K8" s="9" t="s">
        <v>2011</v>
      </c>
      <c r="L8" s="9" t="s">
        <v>43</v>
      </c>
      <c r="M8" s="9"/>
      <c r="N8" s="9" t="s">
        <v>26</v>
      </c>
      <c r="O8" s="9" t="s">
        <v>28</v>
      </c>
      <c r="P8" s="9"/>
      <c r="Q8" s="9" t="s">
        <v>793</v>
      </c>
      <c r="R8" s="9" t="s">
        <v>792</v>
      </c>
    </row>
    <row r="9" spans="1:18" x14ac:dyDescent="0.35">
      <c r="B9" s="9" t="s">
        <v>77</v>
      </c>
      <c r="C9" s="9" t="s">
        <v>83</v>
      </c>
      <c r="D9" s="9"/>
      <c r="E9" s="9" t="s">
        <v>71</v>
      </c>
      <c r="F9" s="9" t="s">
        <v>65</v>
      </c>
      <c r="G9" s="9"/>
      <c r="H9" s="9" t="s">
        <v>52</v>
      </c>
      <c r="I9" s="9" t="s">
        <v>300</v>
      </c>
      <c r="J9" s="9"/>
      <c r="K9" s="9" t="s">
        <v>36</v>
      </c>
      <c r="L9" s="9" t="s">
        <v>1859</v>
      </c>
      <c r="M9" s="9"/>
      <c r="N9" s="9" t="s">
        <v>22</v>
      </c>
      <c r="O9" s="9" t="s">
        <v>30</v>
      </c>
      <c r="P9" s="9"/>
      <c r="Q9" s="9" t="s">
        <v>783</v>
      </c>
      <c r="R9" s="9" t="s">
        <v>791</v>
      </c>
    </row>
    <row r="10" spans="1:18" x14ac:dyDescent="0.35">
      <c r="B10" s="9" t="s">
        <v>75</v>
      </c>
      <c r="C10" s="9" t="s">
        <v>81</v>
      </c>
      <c r="D10" s="9"/>
      <c r="E10" s="9" t="s">
        <v>72</v>
      </c>
      <c r="F10" s="9" t="s">
        <v>115</v>
      </c>
      <c r="G10" s="9"/>
      <c r="H10" s="9" t="s">
        <v>58</v>
      </c>
      <c r="I10" s="9" t="s">
        <v>54</v>
      </c>
      <c r="J10" s="9"/>
      <c r="K10" s="9" t="s">
        <v>37</v>
      </c>
      <c r="L10" s="9" t="s">
        <v>1858</v>
      </c>
      <c r="M10" s="9"/>
      <c r="N10" s="9" t="s">
        <v>23</v>
      </c>
      <c r="O10" s="9" t="s">
        <v>27</v>
      </c>
      <c r="P10" s="9"/>
      <c r="Q10" s="9" t="s">
        <v>796</v>
      </c>
      <c r="R10" s="9" t="s">
        <v>909</v>
      </c>
    </row>
    <row r="11" spans="1:18" s="62" customFormat="1" x14ac:dyDescent="0.35">
      <c r="A11" s="62" t="s">
        <v>883</v>
      </c>
      <c r="B11" s="495"/>
      <c r="C11" s="495"/>
      <c r="E11" s="495"/>
      <c r="F11" s="495"/>
      <c r="H11" s="495"/>
      <c r="I11" s="495"/>
      <c r="K11" s="495"/>
      <c r="L11" s="495"/>
      <c r="N11" s="495"/>
      <c r="O11" s="495"/>
      <c r="Q11" s="495"/>
      <c r="R11" s="495"/>
    </row>
    <row r="13" spans="1:18" x14ac:dyDescent="0.35">
      <c r="A13" s="494">
        <v>0.75</v>
      </c>
      <c r="B13" s="8" t="s">
        <v>90</v>
      </c>
      <c r="C13" s="8" t="s">
        <v>106</v>
      </c>
      <c r="G13" t="s">
        <v>395</v>
      </c>
      <c r="H13" s="9" t="s">
        <v>396</v>
      </c>
      <c r="I13" s="9" t="s">
        <v>395</v>
      </c>
      <c r="J13" t="s">
        <v>396</v>
      </c>
      <c r="K13" s="9" t="s">
        <v>395</v>
      </c>
      <c r="L13" s="9" t="s">
        <v>396</v>
      </c>
      <c r="M13" s="9" t="s">
        <v>395</v>
      </c>
      <c r="P13" s="9"/>
    </row>
    <row r="14" spans="1:18" x14ac:dyDescent="0.35">
      <c r="A14" s="494"/>
      <c r="B14" s="8" t="s">
        <v>89</v>
      </c>
      <c r="C14" s="8" t="s">
        <v>597</v>
      </c>
      <c r="G14" s="9" t="s">
        <v>136</v>
      </c>
      <c r="H14" s="9" t="s">
        <v>137</v>
      </c>
      <c r="I14" s="9" t="s">
        <v>138</v>
      </c>
      <c r="J14" s="9" t="s">
        <v>139</v>
      </c>
      <c r="K14" s="6" t="s">
        <v>140</v>
      </c>
      <c r="L14" s="6" t="s">
        <v>566</v>
      </c>
      <c r="M14" t="s">
        <v>567</v>
      </c>
    </row>
    <row r="15" spans="1:18" x14ac:dyDescent="0.35">
      <c r="A15" s="494">
        <v>0.625</v>
      </c>
      <c r="B15" s="8" t="s">
        <v>91</v>
      </c>
      <c r="C15" s="8" t="s">
        <v>596</v>
      </c>
      <c r="G15" s="9" t="s">
        <v>132</v>
      </c>
      <c r="H15" s="9" t="s">
        <v>762</v>
      </c>
      <c r="I15" s="6" t="s">
        <v>124</v>
      </c>
      <c r="J15" s="9" t="s">
        <v>766</v>
      </c>
      <c r="K15" s="9" t="s">
        <v>128</v>
      </c>
      <c r="L15" s="9" t="s">
        <v>770</v>
      </c>
      <c r="M15" s="9" t="s">
        <v>120</v>
      </c>
      <c r="P15" s="6"/>
    </row>
    <row r="16" spans="1:18" x14ac:dyDescent="0.35">
      <c r="A16" s="494"/>
      <c r="B16" s="8" t="s">
        <v>92</v>
      </c>
      <c r="C16" s="8" t="s">
        <v>107</v>
      </c>
      <c r="G16" s="9" t="s">
        <v>133</v>
      </c>
      <c r="H16" s="9" t="s">
        <v>763</v>
      </c>
      <c r="I16" s="6" t="s">
        <v>125</v>
      </c>
      <c r="J16" s="9" t="s">
        <v>767</v>
      </c>
      <c r="K16" s="9" t="s">
        <v>130</v>
      </c>
      <c r="L16" s="9" t="s">
        <v>771</v>
      </c>
      <c r="M16" s="9" t="s">
        <v>121</v>
      </c>
      <c r="P16" s="6"/>
    </row>
    <row r="17" spans="1:18" x14ac:dyDescent="0.35">
      <c r="A17" s="494">
        <v>0.5</v>
      </c>
      <c r="B17" s="8" t="s">
        <v>93</v>
      </c>
      <c r="C17" s="8" t="s">
        <v>597</v>
      </c>
      <c r="G17" s="9" t="s">
        <v>134</v>
      </c>
      <c r="H17" s="9" t="s">
        <v>764</v>
      </c>
      <c r="I17" s="6" t="s">
        <v>126</v>
      </c>
      <c r="J17" s="9" t="s">
        <v>768</v>
      </c>
      <c r="K17" s="9" t="s">
        <v>129</v>
      </c>
      <c r="L17" s="9" t="s">
        <v>772</v>
      </c>
      <c r="M17" s="9" t="s">
        <v>122</v>
      </c>
      <c r="P17" s="6"/>
    </row>
    <row r="18" spans="1:18" x14ac:dyDescent="0.35">
      <c r="A18" s="494"/>
      <c r="B18" s="8" t="s">
        <v>94</v>
      </c>
      <c r="C18" s="8" t="s">
        <v>108</v>
      </c>
      <c r="G18" s="9" t="s">
        <v>135</v>
      </c>
      <c r="H18" s="9" t="s">
        <v>765</v>
      </c>
      <c r="I18" s="6" t="s">
        <v>127</v>
      </c>
      <c r="J18" s="9" t="s">
        <v>769</v>
      </c>
      <c r="K18" s="9" t="s">
        <v>131</v>
      </c>
      <c r="L18" s="9" t="s">
        <v>773</v>
      </c>
      <c r="M18" s="9" t="s">
        <v>123</v>
      </c>
      <c r="P18" s="6"/>
    </row>
    <row r="19" spans="1:18" x14ac:dyDescent="0.35">
      <c r="A19" s="494">
        <v>0.375</v>
      </c>
      <c r="B19" s="8" t="s">
        <v>95</v>
      </c>
      <c r="C19" s="8" t="s">
        <v>597</v>
      </c>
    </row>
    <row r="20" spans="1:18" x14ac:dyDescent="0.35">
      <c r="A20" s="494"/>
      <c r="B20" s="8" t="s">
        <v>96</v>
      </c>
      <c r="C20" s="8" t="s">
        <v>105</v>
      </c>
      <c r="K20" s="9"/>
      <c r="Q20" s="38" t="s">
        <v>848</v>
      </c>
      <c r="R20" s="38" t="s">
        <v>847</v>
      </c>
    </row>
    <row r="21" spans="1:18" x14ac:dyDescent="0.35">
      <c r="A21" s="494">
        <v>0.25</v>
      </c>
      <c r="B21" s="8" t="s">
        <v>97</v>
      </c>
      <c r="C21" s="8" t="s">
        <v>104</v>
      </c>
      <c r="F21" t="s">
        <v>109</v>
      </c>
      <c r="P21">
        <v>1</v>
      </c>
      <c r="Q21" t="s">
        <v>143</v>
      </c>
      <c r="R21" s="1" t="s">
        <v>143</v>
      </c>
    </row>
    <row r="22" spans="1:18" x14ac:dyDescent="0.35">
      <c r="A22" s="494"/>
      <c r="B22" s="8" t="s">
        <v>98</v>
      </c>
      <c r="C22" s="8" t="s">
        <v>597</v>
      </c>
      <c r="F22" s="8" t="s">
        <v>760</v>
      </c>
      <c r="G22" s="8" t="s">
        <v>738</v>
      </c>
      <c r="H22" s="8" t="s">
        <v>838</v>
      </c>
      <c r="I22" s="8" t="s">
        <v>841</v>
      </c>
      <c r="K22" s="8" t="s">
        <v>831</v>
      </c>
      <c r="L22" s="8" t="s">
        <v>832</v>
      </c>
      <c r="M22" s="8" t="s">
        <v>833</v>
      </c>
      <c r="P22">
        <v>2</v>
      </c>
      <c r="Q22" t="s">
        <v>144</v>
      </c>
      <c r="R22" s="1" t="s">
        <v>173</v>
      </c>
    </row>
    <row r="23" spans="1:18" x14ac:dyDescent="0.35">
      <c r="A23" s="494">
        <v>0.1</v>
      </c>
      <c r="B23" s="8" t="s">
        <v>99</v>
      </c>
      <c r="C23" s="8" t="s">
        <v>599</v>
      </c>
      <c r="F23" s="8" t="s">
        <v>761</v>
      </c>
      <c r="G23" s="8" t="s">
        <v>739</v>
      </c>
      <c r="H23" s="8" t="s">
        <v>839</v>
      </c>
      <c r="I23" s="8" t="s">
        <v>843</v>
      </c>
      <c r="J23" s="8"/>
      <c r="K23" s="8" t="s">
        <v>818</v>
      </c>
      <c r="L23" s="8" t="s">
        <v>828</v>
      </c>
      <c r="M23" s="8" t="s">
        <v>834</v>
      </c>
      <c r="P23">
        <v>3</v>
      </c>
      <c r="Q23" t="s">
        <v>173</v>
      </c>
      <c r="R23" s="1" t="s">
        <v>171</v>
      </c>
    </row>
    <row r="24" spans="1:18" x14ac:dyDescent="0.35">
      <c r="A24" s="494"/>
      <c r="B24" s="8" t="s">
        <v>100</v>
      </c>
      <c r="C24" s="8" t="s">
        <v>103</v>
      </c>
      <c r="F24" s="8" t="s">
        <v>760</v>
      </c>
      <c r="G24" s="8" t="s">
        <v>740</v>
      </c>
      <c r="H24" s="8" t="s">
        <v>840</v>
      </c>
      <c r="I24" s="8" t="s">
        <v>842</v>
      </c>
      <c r="J24" s="8"/>
      <c r="K24" s="8" t="s">
        <v>821</v>
      </c>
      <c r="L24" s="8" t="s">
        <v>825</v>
      </c>
      <c r="M24" s="8" t="s">
        <v>835</v>
      </c>
      <c r="P24">
        <v>4</v>
      </c>
      <c r="Q24" t="s">
        <v>172</v>
      </c>
      <c r="R24" s="1" t="s">
        <v>144</v>
      </c>
    </row>
    <row r="25" spans="1:18" x14ac:dyDescent="0.35">
      <c r="A25" s="494">
        <v>0</v>
      </c>
      <c r="B25" s="8" t="s">
        <v>101</v>
      </c>
      <c r="C25" s="8" t="s">
        <v>754</v>
      </c>
      <c r="F25" s="8" t="s">
        <v>761</v>
      </c>
      <c r="G25" s="8" t="s">
        <v>906</v>
      </c>
      <c r="H25" s="68" t="s">
        <v>836</v>
      </c>
      <c r="I25" s="8" t="s">
        <v>844</v>
      </c>
      <c r="J25" s="8"/>
      <c r="K25" s="8" t="s">
        <v>822</v>
      </c>
      <c r="P25">
        <v>5</v>
      </c>
      <c r="Q25" t="s">
        <v>171</v>
      </c>
      <c r="R25" s="1" t="s">
        <v>172</v>
      </c>
    </row>
    <row r="26" spans="1:18" x14ac:dyDescent="0.35">
      <c r="A26" s="494"/>
      <c r="B26" s="9" t="s">
        <v>102</v>
      </c>
      <c r="C26" s="9" t="s">
        <v>690</v>
      </c>
      <c r="F26" s="8"/>
      <c r="G26" s="8"/>
      <c r="H26" s="8"/>
      <c r="I26" s="8" t="s">
        <v>845</v>
      </c>
      <c r="J26" s="8"/>
      <c r="K26" s="8" t="s">
        <v>823</v>
      </c>
      <c r="P26">
        <v>6</v>
      </c>
      <c r="Q26" t="s">
        <v>799</v>
      </c>
      <c r="R26" s="1" t="s">
        <v>799</v>
      </c>
    </row>
    <row r="27" spans="1:18" x14ac:dyDescent="0.35">
      <c r="B27" s="9" t="s">
        <v>151</v>
      </c>
      <c r="C27" s="9" t="s">
        <v>156</v>
      </c>
      <c r="F27" s="8"/>
      <c r="G27" s="8"/>
      <c r="H27" s="8"/>
      <c r="I27" s="8" t="s">
        <v>846</v>
      </c>
      <c r="J27" s="8"/>
      <c r="K27" s="8" t="s">
        <v>826</v>
      </c>
    </row>
    <row r="28" spans="1:18" x14ac:dyDescent="0.35">
      <c r="A28" t="s">
        <v>755</v>
      </c>
      <c r="B28" s="9" t="s">
        <v>152</v>
      </c>
      <c r="C28" s="9" t="s">
        <v>154</v>
      </c>
      <c r="F28" s="59"/>
      <c r="G28" s="9"/>
      <c r="H28" s="9"/>
      <c r="I28" s="9"/>
      <c r="K28" s="9"/>
      <c r="L28" s="9"/>
      <c r="N28" t="s">
        <v>831</v>
      </c>
      <c r="O28" t="s">
        <v>832</v>
      </c>
      <c r="P28" t="s">
        <v>833</v>
      </c>
    </row>
    <row r="29" spans="1:18" x14ac:dyDescent="0.35">
      <c r="A29" s="1" t="s">
        <v>756</v>
      </c>
      <c r="F29" s="59"/>
      <c r="G29" s="9"/>
      <c r="H29" s="9"/>
      <c r="I29" s="9"/>
      <c r="K29" s="9"/>
      <c r="L29" s="9"/>
      <c r="N29" t="s">
        <v>818</v>
      </c>
      <c r="O29" t="s">
        <v>828</v>
      </c>
      <c r="P29" t="s">
        <v>834</v>
      </c>
    </row>
    <row r="30" spans="1:18" x14ac:dyDescent="0.35">
      <c r="F30" s="59"/>
      <c r="G30" s="9"/>
      <c r="H30" s="9"/>
      <c r="I30" s="9"/>
      <c r="K30" s="9"/>
      <c r="L30" s="9"/>
      <c r="N30" t="s">
        <v>821</v>
      </c>
      <c r="O30" t="s">
        <v>825</v>
      </c>
      <c r="P30" t="s">
        <v>835</v>
      </c>
    </row>
    <row r="31" spans="1:18" x14ac:dyDescent="0.35">
      <c r="F31" s="59"/>
      <c r="G31" s="9"/>
      <c r="H31" s="9"/>
      <c r="I31" s="9"/>
      <c r="K31" s="9"/>
      <c r="L31" s="9"/>
      <c r="N31" t="s">
        <v>396</v>
      </c>
      <c r="O31" t="s">
        <v>836</v>
      </c>
      <c r="P31" t="s">
        <v>837</v>
      </c>
    </row>
    <row r="32" spans="1:18" x14ac:dyDescent="0.35">
      <c r="F32" s="59"/>
      <c r="G32" s="9"/>
      <c r="H32" s="9"/>
      <c r="I32" s="9"/>
      <c r="K32" s="9"/>
      <c r="L32" s="9"/>
      <c r="N32" t="s">
        <v>824</v>
      </c>
      <c r="O32" t="s">
        <v>822</v>
      </c>
      <c r="P32" t="s">
        <v>820</v>
      </c>
    </row>
    <row r="33" spans="2:16" x14ac:dyDescent="0.35">
      <c r="H33" s="9"/>
      <c r="I33" s="9"/>
      <c r="K33" s="9"/>
      <c r="L33" s="9"/>
      <c r="N33" t="s">
        <v>829</v>
      </c>
      <c r="O33" t="s">
        <v>823</v>
      </c>
      <c r="P33" t="s">
        <v>819</v>
      </c>
    </row>
    <row r="34" spans="2:16" x14ac:dyDescent="0.35">
      <c r="N34" t="s">
        <v>830</v>
      </c>
      <c r="O34" t="s">
        <v>826</v>
      </c>
      <c r="P34" t="s">
        <v>827</v>
      </c>
    </row>
    <row r="45" spans="2:16" x14ac:dyDescent="0.35">
      <c r="B45" t="s">
        <v>90</v>
      </c>
      <c r="C45" t="s">
        <v>112</v>
      </c>
      <c r="E45" t="s">
        <v>97</v>
      </c>
      <c r="F45" t="s">
        <v>438</v>
      </c>
    </row>
    <row r="46" spans="2:16" x14ac:dyDescent="0.35">
      <c r="B46" t="s">
        <v>89</v>
      </c>
      <c r="C46" t="s">
        <v>111</v>
      </c>
      <c r="E46" t="s">
        <v>98</v>
      </c>
      <c r="F46" t="s">
        <v>105</v>
      </c>
    </row>
    <row r="47" spans="2:16" x14ac:dyDescent="0.35">
      <c r="B47" t="s">
        <v>91</v>
      </c>
      <c r="C47" t="s">
        <v>106</v>
      </c>
      <c r="E47" t="s">
        <v>99</v>
      </c>
      <c r="F47" t="s">
        <v>113</v>
      </c>
    </row>
    <row r="48" spans="2:16" x14ac:dyDescent="0.35">
      <c r="B48" t="s">
        <v>92</v>
      </c>
      <c r="C48" t="s">
        <v>437</v>
      </c>
      <c r="E48" t="s">
        <v>100</v>
      </c>
      <c r="F48" t="s">
        <v>104</v>
      </c>
    </row>
    <row r="49" spans="2:7" x14ac:dyDescent="0.35">
      <c r="B49" t="s">
        <v>93</v>
      </c>
      <c r="C49" t="s">
        <v>107</v>
      </c>
      <c r="E49" t="s">
        <v>101</v>
      </c>
      <c r="F49" t="s">
        <v>103</v>
      </c>
    </row>
    <row r="50" spans="2:7" x14ac:dyDescent="0.35">
      <c r="B50" t="s">
        <v>94</v>
      </c>
      <c r="C50" t="s">
        <v>108</v>
      </c>
      <c r="E50" t="s">
        <v>102</v>
      </c>
      <c r="F50" t="s">
        <v>153</v>
      </c>
    </row>
    <row r="51" spans="2:7" x14ac:dyDescent="0.35">
      <c r="B51" t="s">
        <v>95</v>
      </c>
      <c r="C51" t="s">
        <v>110</v>
      </c>
      <c r="E51" t="s">
        <v>151</v>
      </c>
      <c r="F51" t="s">
        <v>158</v>
      </c>
      <c r="G51" t="s">
        <v>690</v>
      </c>
    </row>
    <row r="52" spans="2:7" x14ac:dyDescent="0.35">
      <c r="B52" t="s">
        <v>96</v>
      </c>
      <c r="C52" t="s">
        <v>109</v>
      </c>
      <c r="E52" t="s">
        <v>152</v>
      </c>
      <c r="F52" t="s">
        <v>156</v>
      </c>
      <c r="G52" t="s">
        <v>691</v>
      </c>
    </row>
    <row r="53" spans="2:7" x14ac:dyDescent="0.35">
      <c r="E53" t="s">
        <v>155</v>
      </c>
      <c r="F53" t="s">
        <v>154</v>
      </c>
      <c r="G53" t="s">
        <v>157</v>
      </c>
    </row>
  </sheetData>
  <sortState xmlns:xlrd2="http://schemas.microsoft.com/office/spreadsheetml/2017/richdata2" ref="R3:R10">
    <sortCondition ref="R3"/>
  </sortState>
  <mergeCells count="13">
    <mergeCell ref="K11:L11"/>
    <mergeCell ref="N11:O11"/>
    <mergeCell ref="Q11:R11"/>
    <mergeCell ref="B11:C11"/>
    <mergeCell ref="A19:A20"/>
    <mergeCell ref="A15:A16"/>
    <mergeCell ref="E11:F11"/>
    <mergeCell ref="H11:I11"/>
    <mergeCell ref="A25:A26"/>
    <mergeCell ref="A17:A18"/>
    <mergeCell ref="A21:A22"/>
    <mergeCell ref="A23:A24"/>
    <mergeCell ref="A13:A14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B1:R548"/>
  <sheetViews>
    <sheetView workbookViewId="0">
      <pane ySplit="1" topLeftCell="A50" activePane="bottomLeft" state="frozen"/>
      <selection pane="bottomLeft" activeCell="L1" sqref="L1:L1048576"/>
    </sheetView>
  </sheetViews>
  <sheetFormatPr defaultRowHeight="14.5" x14ac:dyDescent="0.35"/>
  <cols>
    <col min="2" max="2" width="7" customWidth="1"/>
    <col min="4" max="4" width="20.36328125" customWidth="1"/>
    <col min="5" max="6" width="5.90625" bestFit="1" customWidth="1"/>
    <col min="7" max="7" width="18.08984375" customWidth="1"/>
    <col min="8" max="8" width="6.6328125" customWidth="1"/>
    <col min="9" max="9" width="36.08984375" customWidth="1"/>
    <col min="11" max="11" width="20" customWidth="1"/>
    <col min="12" max="13" width="4.90625" customWidth="1"/>
    <col min="14" max="14" width="19.6328125" customWidth="1"/>
  </cols>
  <sheetData>
    <row r="1" spans="2:16" s="1" customFormat="1" x14ac:dyDescent="0.35">
      <c r="D1" s="1" t="s">
        <v>174</v>
      </c>
      <c r="E1" s="1" t="s">
        <v>7</v>
      </c>
      <c r="F1" s="1" t="s">
        <v>7</v>
      </c>
      <c r="G1" s="1" t="s">
        <v>175</v>
      </c>
      <c r="H1" s="1" t="s">
        <v>177</v>
      </c>
      <c r="I1" s="1" t="s">
        <v>176</v>
      </c>
      <c r="J1" s="29">
        <f>ScoreboardNCAA!I4</f>
        <v>3</v>
      </c>
      <c r="K1" s="1" t="str">
        <f>ScoreboardNCAA!B2</f>
        <v>Goldenrod City</v>
      </c>
      <c r="L1" s="1">
        <f>ScoreboardNCAA!F6</f>
        <v>0</v>
      </c>
      <c r="M1" s="1">
        <f>ScoreboardNCAA!N6</f>
        <v>4</v>
      </c>
      <c r="N1" s="10" t="str">
        <f>ScoreboardNCAA!N2</f>
        <v>Cianwood City</v>
      </c>
      <c r="O1" s="28">
        <f>ScoreboardNCAA!M4</f>
        <v>1</v>
      </c>
    </row>
    <row r="2" spans="2:16" x14ac:dyDescent="0.35">
      <c r="B2" s="5">
        <v>41916</v>
      </c>
      <c r="D2" t="s">
        <v>74</v>
      </c>
      <c r="E2">
        <v>20</v>
      </c>
      <c r="F2">
        <v>12</v>
      </c>
      <c r="G2" t="s">
        <v>60</v>
      </c>
      <c r="H2" t="s">
        <v>178</v>
      </c>
      <c r="L2">
        <f t="shared" ref="L2" si="0">E2-F2</f>
        <v>8</v>
      </c>
      <c r="M2">
        <f>30*(IF(L2&lt;13,1+((L2-3)/12),1.75+((L2-12)/24)))</f>
        <v>42.5</v>
      </c>
      <c r="O2">
        <f>1600+ROUNDUP((M2*0.5),0)</f>
        <v>1622</v>
      </c>
      <c r="P2">
        <f>1600-ROUNDUP((M2*0.5),0)</f>
        <v>1578</v>
      </c>
    </row>
    <row r="3" spans="2:16" x14ac:dyDescent="0.35">
      <c r="D3" t="s">
        <v>65</v>
      </c>
      <c r="E3">
        <v>18</v>
      </c>
      <c r="F3">
        <v>16</v>
      </c>
      <c r="G3" t="s">
        <v>80</v>
      </c>
      <c r="H3" t="s">
        <v>185</v>
      </c>
      <c r="I3" t="s">
        <v>188</v>
      </c>
      <c r="L3">
        <f t="shared" ref="L3:L41" si="1">E3-F3</f>
        <v>2</v>
      </c>
      <c r="M3">
        <f t="shared" ref="M3:M66" si="2">30*(IF(L3&lt;13,1+((L3-3)/12),1.75+((L3-12)/24)))</f>
        <v>27.5</v>
      </c>
      <c r="O3">
        <f t="shared" ref="O3:O41" si="3">1600+ROUNDUP((M3*0.5),0)</f>
        <v>1614</v>
      </c>
      <c r="P3">
        <f t="shared" ref="P3:P41" si="4">1600-ROUNDUP((M3*0.5),0)</f>
        <v>1586</v>
      </c>
    </row>
    <row r="4" spans="2:16" x14ac:dyDescent="0.35">
      <c r="D4" t="s">
        <v>78</v>
      </c>
      <c r="E4">
        <v>18</v>
      </c>
      <c r="F4">
        <v>14</v>
      </c>
      <c r="G4" t="s">
        <v>118</v>
      </c>
      <c r="H4" t="s">
        <v>179</v>
      </c>
      <c r="L4">
        <f t="shared" si="1"/>
        <v>4</v>
      </c>
      <c r="M4">
        <f t="shared" si="2"/>
        <v>32.5</v>
      </c>
      <c r="O4">
        <f t="shared" si="3"/>
        <v>1617</v>
      </c>
      <c r="P4">
        <f t="shared" si="4"/>
        <v>1583</v>
      </c>
    </row>
    <row r="5" spans="2:16" x14ac:dyDescent="0.35">
      <c r="D5" t="s">
        <v>115</v>
      </c>
      <c r="E5">
        <v>9</v>
      </c>
      <c r="F5">
        <v>8</v>
      </c>
      <c r="G5" t="s">
        <v>76</v>
      </c>
      <c r="H5" t="s">
        <v>181</v>
      </c>
      <c r="I5" t="s">
        <v>192</v>
      </c>
      <c r="L5">
        <f t="shared" si="1"/>
        <v>1</v>
      </c>
      <c r="M5">
        <f t="shared" si="2"/>
        <v>25</v>
      </c>
      <c r="O5">
        <f t="shared" si="3"/>
        <v>1613</v>
      </c>
      <c r="P5">
        <f t="shared" si="4"/>
        <v>1587</v>
      </c>
    </row>
    <row r="6" spans="2:16" x14ac:dyDescent="0.35">
      <c r="D6" t="s">
        <v>54</v>
      </c>
      <c r="E6">
        <v>13</v>
      </c>
      <c r="F6">
        <v>12</v>
      </c>
      <c r="G6" t="s">
        <v>75</v>
      </c>
      <c r="H6" t="s">
        <v>186</v>
      </c>
      <c r="I6" t="s">
        <v>182</v>
      </c>
      <c r="L6">
        <f t="shared" si="1"/>
        <v>1</v>
      </c>
      <c r="M6">
        <f t="shared" si="2"/>
        <v>25</v>
      </c>
      <c r="O6">
        <f t="shared" si="3"/>
        <v>1613</v>
      </c>
      <c r="P6">
        <f t="shared" si="4"/>
        <v>1587</v>
      </c>
    </row>
    <row r="7" spans="2:16" x14ac:dyDescent="0.35">
      <c r="D7" t="s">
        <v>44</v>
      </c>
      <c r="E7">
        <v>11</v>
      </c>
      <c r="F7">
        <v>9</v>
      </c>
      <c r="G7" t="s">
        <v>79</v>
      </c>
      <c r="H7" t="s">
        <v>187</v>
      </c>
      <c r="I7" t="s">
        <v>189</v>
      </c>
      <c r="L7">
        <f t="shared" si="1"/>
        <v>2</v>
      </c>
      <c r="M7">
        <f t="shared" si="2"/>
        <v>27.5</v>
      </c>
      <c r="O7">
        <f t="shared" si="3"/>
        <v>1614</v>
      </c>
      <c r="P7">
        <f t="shared" si="4"/>
        <v>1586</v>
      </c>
    </row>
    <row r="8" spans="2:16" x14ac:dyDescent="0.35">
      <c r="D8" t="s">
        <v>63</v>
      </c>
      <c r="E8">
        <v>15</v>
      </c>
      <c r="F8">
        <v>14</v>
      </c>
      <c r="G8" t="s">
        <v>77</v>
      </c>
      <c r="H8" t="s">
        <v>183</v>
      </c>
      <c r="L8">
        <f t="shared" si="1"/>
        <v>1</v>
      </c>
      <c r="M8">
        <f t="shared" si="2"/>
        <v>25</v>
      </c>
      <c r="O8">
        <f t="shared" si="3"/>
        <v>1613</v>
      </c>
      <c r="P8">
        <f t="shared" si="4"/>
        <v>1587</v>
      </c>
    </row>
    <row r="9" spans="2:16" x14ac:dyDescent="0.35">
      <c r="D9" t="s">
        <v>46</v>
      </c>
      <c r="E9">
        <v>21</v>
      </c>
      <c r="F9">
        <v>12</v>
      </c>
      <c r="G9" t="s">
        <v>73</v>
      </c>
      <c r="H9" t="s">
        <v>184</v>
      </c>
      <c r="L9">
        <f t="shared" si="1"/>
        <v>9</v>
      </c>
      <c r="M9">
        <f t="shared" si="2"/>
        <v>45</v>
      </c>
      <c r="O9">
        <f t="shared" si="3"/>
        <v>1623</v>
      </c>
      <c r="P9">
        <f t="shared" si="4"/>
        <v>1577</v>
      </c>
    </row>
    <row r="10" spans="2:16" x14ac:dyDescent="0.35">
      <c r="D10" t="s">
        <v>31</v>
      </c>
      <c r="E10">
        <v>15</v>
      </c>
      <c r="F10">
        <v>13</v>
      </c>
      <c r="G10" t="s">
        <v>67</v>
      </c>
      <c r="H10" t="s">
        <v>185</v>
      </c>
      <c r="L10">
        <f t="shared" si="1"/>
        <v>2</v>
      </c>
      <c r="M10">
        <f t="shared" si="2"/>
        <v>27.5</v>
      </c>
      <c r="O10">
        <f t="shared" si="3"/>
        <v>1614</v>
      </c>
      <c r="P10">
        <f t="shared" si="4"/>
        <v>1586</v>
      </c>
    </row>
    <row r="11" spans="2:16" x14ac:dyDescent="0.35">
      <c r="D11" t="s">
        <v>53</v>
      </c>
      <c r="E11">
        <v>13</v>
      </c>
      <c r="F11">
        <v>9</v>
      </c>
      <c r="G11" t="s">
        <v>66</v>
      </c>
      <c r="H11" t="s">
        <v>190</v>
      </c>
      <c r="L11">
        <f t="shared" si="1"/>
        <v>4</v>
      </c>
      <c r="M11">
        <f t="shared" si="2"/>
        <v>32.5</v>
      </c>
      <c r="O11">
        <f t="shared" si="3"/>
        <v>1617</v>
      </c>
      <c r="P11">
        <f t="shared" si="4"/>
        <v>1583</v>
      </c>
    </row>
    <row r="12" spans="2:16" x14ac:dyDescent="0.35">
      <c r="D12" t="s">
        <v>68</v>
      </c>
      <c r="E12">
        <v>13</v>
      </c>
      <c r="F12">
        <v>12</v>
      </c>
      <c r="G12" t="s">
        <v>81</v>
      </c>
      <c r="H12" t="s">
        <v>191</v>
      </c>
      <c r="I12" t="s">
        <v>193</v>
      </c>
      <c r="L12">
        <f t="shared" si="1"/>
        <v>1</v>
      </c>
      <c r="M12">
        <f t="shared" si="2"/>
        <v>25</v>
      </c>
      <c r="O12">
        <f t="shared" si="3"/>
        <v>1613</v>
      </c>
      <c r="P12">
        <f t="shared" si="4"/>
        <v>1587</v>
      </c>
    </row>
    <row r="13" spans="2:16" x14ac:dyDescent="0.35">
      <c r="D13" t="s">
        <v>72</v>
      </c>
      <c r="E13">
        <v>14</v>
      </c>
      <c r="F13">
        <v>13</v>
      </c>
      <c r="G13" t="s">
        <v>27</v>
      </c>
      <c r="H13" t="s">
        <v>194</v>
      </c>
      <c r="I13" t="s">
        <v>195</v>
      </c>
      <c r="L13">
        <f t="shared" si="1"/>
        <v>1</v>
      </c>
      <c r="M13">
        <f t="shared" si="2"/>
        <v>25</v>
      </c>
      <c r="O13">
        <f t="shared" si="3"/>
        <v>1613</v>
      </c>
      <c r="P13">
        <f t="shared" si="4"/>
        <v>1587</v>
      </c>
    </row>
    <row r="14" spans="2:16" x14ac:dyDescent="0.35">
      <c r="D14" t="s">
        <v>71</v>
      </c>
      <c r="E14">
        <v>16</v>
      </c>
      <c r="F14">
        <v>15</v>
      </c>
      <c r="G14" t="s">
        <v>30</v>
      </c>
      <c r="H14" t="s">
        <v>186</v>
      </c>
      <c r="L14">
        <f t="shared" si="1"/>
        <v>1</v>
      </c>
      <c r="M14">
        <f t="shared" si="2"/>
        <v>25</v>
      </c>
      <c r="O14">
        <f t="shared" si="3"/>
        <v>1613</v>
      </c>
      <c r="P14">
        <f t="shared" si="4"/>
        <v>1587</v>
      </c>
    </row>
    <row r="15" spans="2:16" x14ac:dyDescent="0.35">
      <c r="D15" t="s">
        <v>114</v>
      </c>
      <c r="E15">
        <v>12</v>
      </c>
      <c r="F15">
        <v>5</v>
      </c>
      <c r="G15" t="s">
        <v>117</v>
      </c>
      <c r="H15" t="s">
        <v>196</v>
      </c>
      <c r="L15">
        <f t="shared" si="1"/>
        <v>7</v>
      </c>
      <c r="M15">
        <f t="shared" si="2"/>
        <v>40</v>
      </c>
      <c r="O15">
        <f t="shared" si="3"/>
        <v>1620</v>
      </c>
      <c r="P15">
        <f t="shared" si="4"/>
        <v>1580</v>
      </c>
    </row>
    <row r="16" spans="2:16" x14ac:dyDescent="0.35">
      <c r="D16" t="s">
        <v>69</v>
      </c>
      <c r="E16">
        <v>25</v>
      </c>
      <c r="F16">
        <v>16</v>
      </c>
      <c r="G16" t="s">
        <v>55</v>
      </c>
      <c r="H16" t="s">
        <v>178</v>
      </c>
      <c r="I16" t="s">
        <v>197</v>
      </c>
      <c r="L16">
        <f t="shared" si="1"/>
        <v>9</v>
      </c>
      <c r="M16">
        <f t="shared" si="2"/>
        <v>45</v>
      </c>
      <c r="O16">
        <f t="shared" si="3"/>
        <v>1623</v>
      </c>
      <c r="P16">
        <f t="shared" si="4"/>
        <v>1577</v>
      </c>
    </row>
    <row r="17" spans="2:16" x14ac:dyDescent="0.35">
      <c r="B17" s="5">
        <v>41917</v>
      </c>
      <c r="D17" t="s">
        <v>70</v>
      </c>
      <c r="E17">
        <v>20</v>
      </c>
      <c r="F17">
        <v>11</v>
      </c>
      <c r="G17" t="s">
        <v>87</v>
      </c>
      <c r="H17" t="s">
        <v>199</v>
      </c>
      <c r="I17" t="s">
        <v>198</v>
      </c>
      <c r="L17">
        <f t="shared" si="1"/>
        <v>9</v>
      </c>
      <c r="M17">
        <f t="shared" si="2"/>
        <v>45</v>
      </c>
      <c r="O17">
        <f t="shared" si="3"/>
        <v>1623</v>
      </c>
      <c r="P17">
        <f t="shared" si="4"/>
        <v>1577</v>
      </c>
    </row>
    <row r="18" spans="2:16" x14ac:dyDescent="0.35">
      <c r="D18" t="s">
        <v>48</v>
      </c>
      <c r="E18">
        <v>13</v>
      </c>
      <c r="F18">
        <v>3</v>
      </c>
      <c r="G18" t="s">
        <v>84</v>
      </c>
      <c r="H18" t="s">
        <v>200</v>
      </c>
      <c r="L18">
        <f t="shared" si="1"/>
        <v>10</v>
      </c>
      <c r="M18">
        <f t="shared" si="2"/>
        <v>47.500000000000007</v>
      </c>
      <c r="O18">
        <f t="shared" si="3"/>
        <v>1624</v>
      </c>
      <c r="P18">
        <f t="shared" si="4"/>
        <v>1576</v>
      </c>
    </row>
    <row r="19" spans="2:16" x14ac:dyDescent="0.35">
      <c r="D19" t="s">
        <v>1859</v>
      </c>
      <c r="E19">
        <v>17</v>
      </c>
      <c r="F19">
        <v>9</v>
      </c>
      <c r="G19" t="s">
        <v>52</v>
      </c>
      <c r="H19" t="s">
        <v>201</v>
      </c>
      <c r="L19">
        <f t="shared" si="1"/>
        <v>8</v>
      </c>
      <c r="M19">
        <f t="shared" si="2"/>
        <v>42.5</v>
      </c>
      <c r="O19">
        <f t="shared" si="3"/>
        <v>1622</v>
      </c>
      <c r="P19">
        <f t="shared" si="4"/>
        <v>1578</v>
      </c>
    </row>
    <row r="20" spans="2:16" x14ac:dyDescent="0.35">
      <c r="D20" t="s">
        <v>50</v>
      </c>
      <c r="E20">
        <v>14</v>
      </c>
      <c r="F20">
        <v>8</v>
      </c>
      <c r="G20" t="s">
        <v>28</v>
      </c>
      <c r="H20" t="s">
        <v>281</v>
      </c>
      <c r="L20">
        <f t="shared" si="1"/>
        <v>6</v>
      </c>
      <c r="M20">
        <f t="shared" si="2"/>
        <v>37.5</v>
      </c>
      <c r="O20">
        <f t="shared" si="3"/>
        <v>1619</v>
      </c>
      <c r="P20">
        <f t="shared" si="4"/>
        <v>1581</v>
      </c>
    </row>
    <row r="21" spans="2:16" x14ac:dyDescent="0.35">
      <c r="D21" t="s">
        <v>64</v>
      </c>
      <c r="E21">
        <v>16</v>
      </c>
      <c r="F21">
        <v>14</v>
      </c>
      <c r="G21" t="s">
        <v>47</v>
      </c>
      <c r="H21" t="s">
        <v>285</v>
      </c>
      <c r="I21" t="s">
        <v>473</v>
      </c>
      <c r="L21">
        <f t="shared" si="1"/>
        <v>2</v>
      </c>
      <c r="M21">
        <f t="shared" si="2"/>
        <v>27.5</v>
      </c>
      <c r="O21">
        <f t="shared" si="3"/>
        <v>1614</v>
      </c>
      <c r="P21">
        <f t="shared" si="4"/>
        <v>1586</v>
      </c>
    </row>
    <row r="22" spans="2:16" x14ac:dyDescent="0.35">
      <c r="B22" s="5">
        <v>41918</v>
      </c>
      <c r="D22" t="s">
        <v>49</v>
      </c>
      <c r="E22">
        <v>14</v>
      </c>
      <c r="F22">
        <v>12</v>
      </c>
      <c r="G22" t="s">
        <v>59</v>
      </c>
      <c r="H22" t="s">
        <v>286</v>
      </c>
      <c r="I22" t="s">
        <v>287</v>
      </c>
      <c r="L22">
        <f t="shared" si="1"/>
        <v>2</v>
      </c>
      <c r="M22">
        <f t="shared" si="2"/>
        <v>27.5</v>
      </c>
      <c r="O22">
        <f t="shared" si="3"/>
        <v>1614</v>
      </c>
      <c r="P22">
        <f t="shared" si="4"/>
        <v>1586</v>
      </c>
    </row>
    <row r="23" spans="2:16" x14ac:dyDescent="0.35">
      <c r="D23" t="s">
        <v>57</v>
      </c>
      <c r="E23">
        <v>19</v>
      </c>
      <c r="F23">
        <v>5</v>
      </c>
      <c r="G23" t="s">
        <v>32</v>
      </c>
      <c r="H23" t="s">
        <v>288</v>
      </c>
      <c r="L23">
        <f t="shared" si="1"/>
        <v>14</v>
      </c>
      <c r="M23">
        <f t="shared" si="2"/>
        <v>55</v>
      </c>
      <c r="O23">
        <f t="shared" si="3"/>
        <v>1628</v>
      </c>
      <c r="P23">
        <f t="shared" si="4"/>
        <v>1572</v>
      </c>
    </row>
    <row r="24" spans="2:16" x14ac:dyDescent="0.35">
      <c r="D24" t="s">
        <v>85</v>
      </c>
      <c r="E24">
        <v>19</v>
      </c>
      <c r="F24">
        <v>13</v>
      </c>
      <c r="G24" t="s">
        <v>51</v>
      </c>
      <c r="H24" t="s">
        <v>289</v>
      </c>
      <c r="L24">
        <f t="shared" si="1"/>
        <v>6</v>
      </c>
      <c r="M24">
        <f t="shared" si="2"/>
        <v>37.5</v>
      </c>
      <c r="O24">
        <f t="shared" si="3"/>
        <v>1619</v>
      </c>
      <c r="P24">
        <f t="shared" si="4"/>
        <v>1581</v>
      </c>
    </row>
    <row r="25" spans="2:16" x14ac:dyDescent="0.35">
      <c r="D25" t="s">
        <v>41</v>
      </c>
      <c r="E25">
        <v>22</v>
      </c>
      <c r="F25">
        <v>14</v>
      </c>
      <c r="G25" t="s">
        <v>58</v>
      </c>
      <c r="H25" t="s">
        <v>289</v>
      </c>
      <c r="L25">
        <f t="shared" si="1"/>
        <v>8</v>
      </c>
      <c r="M25">
        <f t="shared" si="2"/>
        <v>42.5</v>
      </c>
      <c r="O25">
        <f t="shared" si="3"/>
        <v>1622</v>
      </c>
      <c r="P25">
        <f t="shared" si="4"/>
        <v>1578</v>
      </c>
    </row>
    <row r="26" spans="2:16" x14ac:dyDescent="0.35">
      <c r="D26" t="s">
        <v>40</v>
      </c>
      <c r="E26">
        <v>11</v>
      </c>
      <c r="F26">
        <v>7</v>
      </c>
      <c r="G26" t="s">
        <v>29</v>
      </c>
      <c r="H26" t="s">
        <v>187</v>
      </c>
      <c r="L26">
        <f t="shared" si="1"/>
        <v>4</v>
      </c>
      <c r="M26">
        <f t="shared" si="2"/>
        <v>32.5</v>
      </c>
      <c r="O26">
        <f t="shared" si="3"/>
        <v>1617</v>
      </c>
      <c r="P26">
        <f t="shared" si="4"/>
        <v>1583</v>
      </c>
    </row>
    <row r="27" spans="2:16" x14ac:dyDescent="0.35">
      <c r="D27" t="s">
        <v>35</v>
      </c>
      <c r="E27">
        <v>21</v>
      </c>
      <c r="F27">
        <v>11</v>
      </c>
      <c r="G27" t="s">
        <v>83</v>
      </c>
      <c r="H27" t="s">
        <v>290</v>
      </c>
      <c r="L27">
        <f t="shared" si="1"/>
        <v>10</v>
      </c>
      <c r="M27">
        <f t="shared" si="2"/>
        <v>47.500000000000007</v>
      </c>
      <c r="O27">
        <f t="shared" si="3"/>
        <v>1624</v>
      </c>
      <c r="P27">
        <f t="shared" si="4"/>
        <v>1576</v>
      </c>
    </row>
    <row r="28" spans="2:16" x14ac:dyDescent="0.35">
      <c r="D28" t="s">
        <v>38</v>
      </c>
      <c r="E28">
        <v>24</v>
      </c>
      <c r="F28">
        <v>10</v>
      </c>
      <c r="G28" t="s">
        <v>145</v>
      </c>
      <c r="H28" t="s">
        <v>290</v>
      </c>
      <c r="L28">
        <f t="shared" si="1"/>
        <v>14</v>
      </c>
      <c r="M28">
        <f t="shared" si="2"/>
        <v>55</v>
      </c>
      <c r="O28">
        <f t="shared" si="3"/>
        <v>1628</v>
      </c>
      <c r="P28">
        <f t="shared" si="4"/>
        <v>1572</v>
      </c>
    </row>
    <row r="29" spans="2:16" x14ac:dyDescent="0.35">
      <c r="B29" s="5">
        <v>41919</v>
      </c>
      <c r="D29" t="s">
        <v>2011</v>
      </c>
      <c r="E29">
        <v>13</v>
      </c>
      <c r="F29">
        <v>5</v>
      </c>
      <c r="G29" t="s">
        <v>86</v>
      </c>
      <c r="H29" t="s">
        <v>291</v>
      </c>
      <c r="L29">
        <f t="shared" si="1"/>
        <v>8</v>
      </c>
      <c r="M29">
        <f t="shared" si="2"/>
        <v>42.5</v>
      </c>
      <c r="O29">
        <f t="shared" si="3"/>
        <v>1622</v>
      </c>
      <c r="P29">
        <f t="shared" si="4"/>
        <v>1578</v>
      </c>
    </row>
    <row r="30" spans="2:16" x14ac:dyDescent="0.35">
      <c r="D30" t="s">
        <v>39</v>
      </c>
      <c r="E30">
        <v>16</v>
      </c>
      <c r="F30">
        <v>15</v>
      </c>
      <c r="G30" t="s">
        <v>292</v>
      </c>
      <c r="H30" t="s">
        <v>185</v>
      </c>
      <c r="L30">
        <f t="shared" si="1"/>
        <v>1</v>
      </c>
      <c r="M30">
        <f t="shared" si="2"/>
        <v>25</v>
      </c>
      <c r="O30">
        <f t="shared" si="3"/>
        <v>1613</v>
      </c>
      <c r="P30">
        <f t="shared" si="4"/>
        <v>1587</v>
      </c>
    </row>
    <row r="31" spans="2:16" x14ac:dyDescent="0.35">
      <c r="D31" t="s">
        <v>900</v>
      </c>
      <c r="E31">
        <v>15</v>
      </c>
      <c r="F31">
        <v>4</v>
      </c>
      <c r="G31" t="s">
        <v>82</v>
      </c>
      <c r="H31" t="s">
        <v>293</v>
      </c>
      <c r="L31">
        <f t="shared" si="1"/>
        <v>11</v>
      </c>
      <c r="M31">
        <f t="shared" si="2"/>
        <v>49.999999999999993</v>
      </c>
      <c r="O31">
        <f t="shared" si="3"/>
        <v>1625</v>
      </c>
      <c r="P31">
        <f t="shared" si="4"/>
        <v>1575</v>
      </c>
    </row>
    <row r="32" spans="2:16" x14ac:dyDescent="0.35">
      <c r="D32" t="s">
        <v>88</v>
      </c>
      <c r="E32">
        <v>12</v>
      </c>
      <c r="F32">
        <v>11</v>
      </c>
      <c r="G32" t="s">
        <v>37</v>
      </c>
      <c r="H32" t="s">
        <v>294</v>
      </c>
      <c r="L32">
        <f t="shared" si="1"/>
        <v>1</v>
      </c>
      <c r="M32">
        <f t="shared" si="2"/>
        <v>25</v>
      </c>
      <c r="O32">
        <f t="shared" si="3"/>
        <v>1613</v>
      </c>
      <c r="P32">
        <f t="shared" si="4"/>
        <v>1587</v>
      </c>
    </row>
    <row r="33" spans="2:16" x14ac:dyDescent="0.35">
      <c r="D33" t="s">
        <v>119</v>
      </c>
      <c r="E33">
        <v>12</v>
      </c>
      <c r="F33">
        <v>9</v>
      </c>
      <c r="G33" t="s">
        <v>36</v>
      </c>
      <c r="H33" t="s">
        <v>295</v>
      </c>
      <c r="L33">
        <f t="shared" si="1"/>
        <v>3</v>
      </c>
      <c r="M33">
        <f t="shared" si="2"/>
        <v>30</v>
      </c>
      <c r="O33">
        <f t="shared" si="3"/>
        <v>1615</v>
      </c>
      <c r="P33">
        <f t="shared" si="4"/>
        <v>1585</v>
      </c>
    </row>
    <row r="34" spans="2:16" x14ac:dyDescent="0.35">
      <c r="D34" t="s">
        <v>23</v>
      </c>
      <c r="E34">
        <v>16</v>
      </c>
      <c r="F34">
        <v>11</v>
      </c>
      <c r="G34" t="s">
        <v>1858</v>
      </c>
      <c r="H34" t="s">
        <v>296</v>
      </c>
      <c r="L34">
        <f t="shared" si="1"/>
        <v>5</v>
      </c>
      <c r="M34">
        <f t="shared" si="2"/>
        <v>35</v>
      </c>
      <c r="O34">
        <f t="shared" si="3"/>
        <v>1618</v>
      </c>
      <c r="P34">
        <f t="shared" si="4"/>
        <v>1582</v>
      </c>
    </row>
    <row r="35" spans="2:16" x14ac:dyDescent="0.35">
      <c r="B35" s="5">
        <v>41920</v>
      </c>
      <c r="D35" t="s">
        <v>22</v>
      </c>
      <c r="E35">
        <v>15</v>
      </c>
      <c r="F35">
        <v>5</v>
      </c>
      <c r="G35" t="s">
        <v>43</v>
      </c>
      <c r="H35" t="s">
        <v>297</v>
      </c>
      <c r="L35">
        <f t="shared" si="1"/>
        <v>10</v>
      </c>
      <c r="M35">
        <f t="shared" si="2"/>
        <v>47.500000000000007</v>
      </c>
      <c r="O35">
        <f t="shared" si="3"/>
        <v>1624</v>
      </c>
      <c r="P35">
        <f t="shared" si="4"/>
        <v>1576</v>
      </c>
    </row>
    <row r="36" spans="2:16" x14ac:dyDescent="0.35">
      <c r="D36" t="s">
        <v>1860</v>
      </c>
      <c r="E36">
        <v>14</v>
      </c>
      <c r="F36">
        <v>11</v>
      </c>
      <c r="G36" t="s">
        <v>56</v>
      </c>
      <c r="H36" t="s">
        <v>186</v>
      </c>
      <c r="L36">
        <f t="shared" si="1"/>
        <v>3</v>
      </c>
      <c r="M36">
        <f t="shared" si="2"/>
        <v>30</v>
      </c>
      <c r="O36">
        <f t="shared" si="3"/>
        <v>1615</v>
      </c>
      <c r="P36">
        <f t="shared" si="4"/>
        <v>1585</v>
      </c>
    </row>
    <row r="37" spans="2:16" x14ac:dyDescent="0.35">
      <c r="D37" t="s">
        <v>24</v>
      </c>
      <c r="E37">
        <v>18</v>
      </c>
      <c r="F37">
        <v>10</v>
      </c>
      <c r="G37" t="s">
        <v>61</v>
      </c>
      <c r="H37" t="s">
        <v>178</v>
      </c>
      <c r="L37">
        <f t="shared" si="1"/>
        <v>8</v>
      </c>
      <c r="M37">
        <f t="shared" si="2"/>
        <v>42.5</v>
      </c>
      <c r="O37">
        <f t="shared" si="3"/>
        <v>1622</v>
      </c>
      <c r="P37">
        <f t="shared" si="4"/>
        <v>1578</v>
      </c>
    </row>
    <row r="38" spans="2:16" x14ac:dyDescent="0.35">
      <c r="D38" t="s">
        <v>45</v>
      </c>
      <c r="E38">
        <v>15</v>
      </c>
      <c r="F38">
        <v>12</v>
      </c>
      <c r="G38" t="s">
        <v>34</v>
      </c>
      <c r="H38" t="s">
        <v>299</v>
      </c>
      <c r="I38" t="s">
        <v>298</v>
      </c>
      <c r="L38">
        <f t="shared" si="1"/>
        <v>3</v>
      </c>
      <c r="M38">
        <f t="shared" si="2"/>
        <v>30</v>
      </c>
      <c r="O38">
        <f t="shared" si="3"/>
        <v>1615</v>
      </c>
      <c r="P38">
        <f t="shared" si="4"/>
        <v>1585</v>
      </c>
    </row>
    <row r="39" spans="2:16" x14ac:dyDescent="0.35">
      <c r="D39" t="s">
        <v>26</v>
      </c>
      <c r="E39">
        <v>14</v>
      </c>
      <c r="F39">
        <v>10</v>
      </c>
      <c r="G39" t="s">
        <v>62</v>
      </c>
      <c r="H39" t="s">
        <v>299</v>
      </c>
      <c r="L39">
        <f t="shared" si="1"/>
        <v>4</v>
      </c>
      <c r="M39">
        <f t="shared" si="2"/>
        <v>32.5</v>
      </c>
      <c r="O39">
        <f t="shared" si="3"/>
        <v>1617</v>
      </c>
      <c r="P39">
        <f t="shared" si="4"/>
        <v>1583</v>
      </c>
    </row>
    <row r="40" spans="2:16" x14ac:dyDescent="0.35">
      <c r="D40" t="s">
        <v>25</v>
      </c>
      <c r="E40">
        <v>16</v>
      </c>
      <c r="F40">
        <v>11</v>
      </c>
      <c r="G40" t="s">
        <v>42</v>
      </c>
      <c r="H40" t="s">
        <v>296</v>
      </c>
      <c r="L40">
        <f t="shared" si="1"/>
        <v>5</v>
      </c>
      <c r="M40">
        <f t="shared" si="2"/>
        <v>35</v>
      </c>
      <c r="O40">
        <f t="shared" si="3"/>
        <v>1618</v>
      </c>
      <c r="P40">
        <f t="shared" si="4"/>
        <v>1582</v>
      </c>
    </row>
    <row r="41" spans="2:16" ht="15" thickBot="1" x14ac:dyDescent="0.4">
      <c r="C41" s="12"/>
      <c r="D41" s="12" t="s">
        <v>33</v>
      </c>
      <c r="E41" s="12">
        <v>13</v>
      </c>
      <c r="F41" s="12">
        <v>11</v>
      </c>
      <c r="G41" s="12" t="s">
        <v>300</v>
      </c>
      <c r="H41" s="12" t="s">
        <v>301</v>
      </c>
      <c r="I41" s="12"/>
      <c r="L41">
        <f t="shared" si="1"/>
        <v>2</v>
      </c>
      <c r="M41">
        <f t="shared" si="2"/>
        <v>27.5</v>
      </c>
      <c r="O41">
        <f t="shared" si="3"/>
        <v>1614</v>
      </c>
      <c r="P41">
        <f t="shared" si="4"/>
        <v>1586</v>
      </c>
    </row>
    <row r="42" spans="2:16" x14ac:dyDescent="0.35">
      <c r="B42" s="5">
        <v>41921</v>
      </c>
      <c r="C42" t="s">
        <v>329</v>
      </c>
      <c r="D42" s="14" t="s">
        <v>115</v>
      </c>
      <c r="E42" s="14">
        <v>15</v>
      </c>
      <c r="F42" s="14">
        <v>12</v>
      </c>
      <c r="G42" s="14" t="s">
        <v>74</v>
      </c>
      <c r="H42" s="14" t="s">
        <v>190</v>
      </c>
      <c r="J42">
        <v>1613</v>
      </c>
      <c r="K42">
        <v>1622</v>
      </c>
      <c r="L42">
        <f t="shared" ref="L42:L105" si="5">E42-F42</f>
        <v>3</v>
      </c>
      <c r="M42">
        <f>30*(IF(L42&lt;13,1+((L42-3)/12),1.75+((L42-12)/24)))</f>
        <v>30</v>
      </c>
      <c r="N42">
        <f>1/(10^(-(J42-K42)/400)+1)</f>
        <v>0.48705085510713625</v>
      </c>
      <c r="O42">
        <f t="shared" ref="O42:O51" si="6">J42+ROUNDUP((M42*N42),0)</f>
        <v>1628</v>
      </c>
      <c r="P42">
        <f t="shared" ref="P42:P51" si="7">K42-ROUNDUP((M42*(1-N42)),0)</f>
        <v>1606</v>
      </c>
    </row>
    <row r="43" spans="2:16" x14ac:dyDescent="0.35">
      <c r="D43" s="14" t="s">
        <v>80</v>
      </c>
      <c r="E43" s="14">
        <v>16</v>
      </c>
      <c r="F43" s="14">
        <v>7</v>
      </c>
      <c r="G43" s="14" t="s">
        <v>145</v>
      </c>
      <c r="H43" s="14" t="s">
        <v>286</v>
      </c>
      <c r="J43">
        <v>1586</v>
      </c>
      <c r="K43">
        <v>1572</v>
      </c>
      <c r="L43">
        <f t="shared" si="5"/>
        <v>9</v>
      </c>
      <c r="M43">
        <f t="shared" si="2"/>
        <v>45</v>
      </c>
      <c r="N43">
        <f t="shared" ref="N43:N51" si="8">1/(10^(-(J43-K43)/400)+1)</f>
        <v>0.52013672203581651</v>
      </c>
      <c r="O43">
        <f t="shared" si="6"/>
        <v>1610</v>
      </c>
      <c r="P43">
        <f t="shared" si="7"/>
        <v>1550</v>
      </c>
    </row>
    <row r="44" spans="2:16" x14ac:dyDescent="0.35">
      <c r="B44" s="5">
        <v>41922</v>
      </c>
      <c r="C44" t="s">
        <v>330</v>
      </c>
      <c r="D44" s="14" t="s">
        <v>78</v>
      </c>
      <c r="E44" s="14">
        <v>20</v>
      </c>
      <c r="F44" s="14">
        <v>14</v>
      </c>
      <c r="G44" s="14" t="s">
        <v>60</v>
      </c>
      <c r="H44" s="14" t="s">
        <v>331</v>
      </c>
      <c r="J44">
        <v>1617</v>
      </c>
      <c r="K44">
        <v>1578</v>
      </c>
      <c r="L44">
        <f t="shared" si="5"/>
        <v>6</v>
      </c>
      <c r="M44">
        <f t="shared" si="2"/>
        <v>37.5</v>
      </c>
      <c r="N44">
        <f t="shared" si="8"/>
        <v>0.5558909611168531</v>
      </c>
      <c r="O44">
        <f t="shared" si="6"/>
        <v>1638</v>
      </c>
      <c r="P44">
        <f t="shared" si="7"/>
        <v>1561</v>
      </c>
    </row>
    <row r="45" spans="2:16" x14ac:dyDescent="0.35">
      <c r="B45" s="5">
        <v>41923</v>
      </c>
      <c r="D45" s="14" t="s">
        <v>76</v>
      </c>
      <c r="E45" s="14">
        <v>17</v>
      </c>
      <c r="F45" s="14">
        <v>12</v>
      </c>
      <c r="G45" s="14" t="s">
        <v>59</v>
      </c>
      <c r="H45" s="14" t="s">
        <v>332</v>
      </c>
      <c r="J45">
        <v>1587</v>
      </c>
      <c r="K45">
        <v>1586</v>
      </c>
      <c r="L45">
        <f t="shared" si="5"/>
        <v>5</v>
      </c>
      <c r="M45">
        <f t="shared" si="2"/>
        <v>35</v>
      </c>
      <c r="N45">
        <f t="shared" si="8"/>
        <v>0.5014391117091529</v>
      </c>
      <c r="O45">
        <f t="shared" si="6"/>
        <v>1605</v>
      </c>
      <c r="P45">
        <f t="shared" si="7"/>
        <v>1568</v>
      </c>
    </row>
    <row r="46" spans="2:16" x14ac:dyDescent="0.35">
      <c r="C46" t="s">
        <v>333</v>
      </c>
      <c r="D46" s="14" t="s">
        <v>1859</v>
      </c>
      <c r="E46" s="14">
        <v>21</v>
      </c>
      <c r="F46" s="14">
        <v>9</v>
      </c>
      <c r="G46" s="14" t="s">
        <v>75</v>
      </c>
      <c r="H46" s="14" t="s">
        <v>334</v>
      </c>
      <c r="J46">
        <v>1622</v>
      </c>
      <c r="K46">
        <v>1587</v>
      </c>
      <c r="L46">
        <f t="shared" si="5"/>
        <v>12</v>
      </c>
      <c r="M46">
        <f t="shared" si="2"/>
        <v>52.5</v>
      </c>
      <c r="N46">
        <f t="shared" si="8"/>
        <v>0.55019935325353697</v>
      </c>
      <c r="O46">
        <f t="shared" si="6"/>
        <v>1651</v>
      </c>
      <c r="P46">
        <f t="shared" si="7"/>
        <v>1563</v>
      </c>
    </row>
    <row r="47" spans="2:16" x14ac:dyDescent="0.35">
      <c r="D47" s="14" t="s">
        <v>64</v>
      </c>
      <c r="E47" s="14">
        <v>17</v>
      </c>
      <c r="F47" s="14">
        <v>9</v>
      </c>
      <c r="G47" s="14" t="s">
        <v>79</v>
      </c>
      <c r="H47" s="14" t="s">
        <v>178</v>
      </c>
      <c r="J47">
        <v>1614</v>
      </c>
      <c r="K47">
        <v>1586</v>
      </c>
      <c r="L47">
        <f t="shared" si="5"/>
        <v>8</v>
      </c>
      <c r="M47">
        <f t="shared" si="2"/>
        <v>42.5</v>
      </c>
      <c r="N47">
        <f t="shared" si="8"/>
        <v>0.5402082283237456</v>
      </c>
      <c r="O47">
        <f t="shared" si="6"/>
        <v>1637</v>
      </c>
      <c r="P47">
        <f t="shared" si="7"/>
        <v>1566</v>
      </c>
    </row>
    <row r="48" spans="2:16" x14ac:dyDescent="0.35">
      <c r="D48" s="14" t="s">
        <v>77</v>
      </c>
      <c r="E48" s="14">
        <v>17</v>
      </c>
      <c r="F48" s="14">
        <v>12</v>
      </c>
      <c r="G48" s="14" t="s">
        <v>55</v>
      </c>
      <c r="H48" s="14" t="s">
        <v>178</v>
      </c>
      <c r="J48">
        <v>1587</v>
      </c>
      <c r="K48">
        <v>1577</v>
      </c>
      <c r="L48">
        <f t="shared" si="5"/>
        <v>5</v>
      </c>
      <c r="M48">
        <f t="shared" si="2"/>
        <v>35</v>
      </c>
      <c r="N48">
        <f t="shared" si="8"/>
        <v>0.51438718416599871</v>
      </c>
      <c r="O48">
        <f t="shared" si="6"/>
        <v>1606</v>
      </c>
      <c r="P48">
        <f t="shared" si="7"/>
        <v>1560</v>
      </c>
    </row>
    <row r="49" spans="3:16" x14ac:dyDescent="0.35">
      <c r="D49" s="14" t="s">
        <v>292</v>
      </c>
      <c r="E49" s="14">
        <v>11</v>
      </c>
      <c r="F49" s="14">
        <v>8</v>
      </c>
      <c r="G49" s="14" t="s">
        <v>73</v>
      </c>
      <c r="H49" s="14" t="s">
        <v>295</v>
      </c>
      <c r="J49">
        <v>1587</v>
      </c>
      <c r="K49">
        <v>1577</v>
      </c>
      <c r="L49">
        <f t="shared" si="5"/>
        <v>3</v>
      </c>
      <c r="M49">
        <f t="shared" si="2"/>
        <v>30</v>
      </c>
      <c r="N49">
        <f t="shared" si="8"/>
        <v>0.51438718416599871</v>
      </c>
      <c r="O49">
        <f t="shared" si="6"/>
        <v>1603</v>
      </c>
      <c r="P49">
        <f t="shared" si="7"/>
        <v>1562</v>
      </c>
    </row>
    <row r="50" spans="3:16" x14ac:dyDescent="0.35">
      <c r="D50" s="14" t="s">
        <v>67</v>
      </c>
      <c r="E50" s="14">
        <v>23</v>
      </c>
      <c r="F50" s="14">
        <v>9</v>
      </c>
      <c r="G50" s="14" t="s">
        <v>87</v>
      </c>
      <c r="H50" s="14" t="s">
        <v>332</v>
      </c>
      <c r="J50">
        <v>1586</v>
      </c>
      <c r="K50">
        <v>1577</v>
      </c>
      <c r="L50">
        <f t="shared" si="5"/>
        <v>14</v>
      </c>
      <c r="M50">
        <f t="shared" si="2"/>
        <v>55</v>
      </c>
      <c r="N50">
        <f t="shared" si="8"/>
        <v>0.51294914489286381</v>
      </c>
      <c r="O50">
        <f t="shared" si="6"/>
        <v>1615</v>
      </c>
      <c r="P50">
        <f t="shared" si="7"/>
        <v>1550</v>
      </c>
    </row>
    <row r="51" spans="3:16" x14ac:dyDescent="0.35">
      <c r="D51" s="14" t="s">
        <v>29</v>
      </c>
      <c r="E51" s="14">
        <v>27</v>
      </c>
      <c r="F51" s="14">
        <v>5</v>
      </c>
      <c r="G51" s="14" t="s">
        <v>66</v>
      </c>
      <c r="H51" s="14" t="s">
        <v>336</v>
      </c>
      <c r="I51" t="s">
        <v>335</v>
      </c>
      <c r="J51">
        <v>1583</v>
      </c>
      <c r="K51">
        <v>1583</v>
      </c>
      <c r="L51">
        <f t="shared" si="5"/>
        <v>22</v>
      </c>
      <c r="M51">
        <f t="shared" si="2"/>
        <v>65</v>
      </c>
      <c r="N51">
        <f t="shared" si="8"/>
        <v>0.5</v>
      </c>
      <c r="O51">
        <f t="shared" si="6"/>
        <v>1616</v>
      </c>
      <c r="P51">
        <f t="shared" si="7"/>
        <v>1550</v>
      </c>
    </row>
    <row r="52" spans="3:16" x14ac:dyDescent="0.35">
      <c r="D52" s="14" t="s">
        <v>82</v>
      </c>
      <c r="E52" s="14">
        <v>20</v>
      </c>
      <c r="F52" s="14">
        <v>8</v>
      </c>
      <c r="G52" s="14" t="s">
        <v>68</v>
      </c>
      <c r="H52" s="14" t="s">
        <v>201</v>
      </c>
      <c r="L52">
        <f t="shared" si="5"/>
        <v>12</v>
      </c>
      <c r="M52">
        <f t="shared" si="2"/>
        <v>52.5</v>
      </c>
    </row>
    <row r="53" spans="3:16" x14ac:dyDescent="0.35">
      <c r="D53" s="14" t="s">
        <v>53</v>
      </c>
      <c r="E53" s="14">
        <v>19</v>
      </c>
      <c r="F53" s="14">
        <v>16</v>
      </c>
      <c r="G53" s="14" t="s">
        <v>72</v>
      </c>
      <c r="H53" s="14" t="s">
        <v>337</v>
      </c>
      <c r="L53">
        <f t="shared" si="5"/>
        <v>3</v>
      </c>
      <c r="M53">
        <f t="shared" si="2"/>
        <v>30</v>
      </c>
    </row>
    <row r="54" spans="3:16" x14ac:dyDescent="0.35">
      <c r="C54" t="s">
        <v>338</v>
      </c>
      <c r="D54" s="14" t="s">
        <v>71</v>
      </c>
      <c r="E54" s="14">
        <v>11</v>
      </c>
      <c r="F54" s="14">
        <v>9</v>
      </c>
      <c r="G54" s="14" t="s">
        <v>117</v>
      </c>
      <c r="H54" s="14" t="s">
        <v>291</v>
      </c>
      <c r="L54">
        <f t="shared" si="5"/>
        <v>2</v>
      </c>
      <c r="M54">
        <f t="shared" si="2"/>
        <v>27.5</v>
      </c>
    </row>
    <row r="55" spans="3:16" x14ac:dyDescent="0.35">
      <c r="C55" t="s">
        <v>340</v>
      </c>
      <c r="D55" s="14" t="s">
        <v>84</v>
      </c>
      <c r="E55" s="14">
        <v>18</v>
      </c>
      <c r="F55" s="14">
        <v>9</v>
      </c>
      <c r="G55" s="14" t="s">
        <v>114</v>
      </c>
      <c r="H55" s="14" t="s">
        <v>339</v>
      </c>
      <c r="L55">
        <f t="shared" si="5"/>
        <v>9</v>
      </c>
      <c r="M55">
        <f t="shared" si="2"/>
        <v>45</v>
      </c>
    </row>
    <row r="56" spans="3:16" x14ac:dyDescent="0.35">
      <c r="C56" t="s">
        <v>342</v>
      </c>
      <c r="D56" s="14" t="s">
        <v>69</v>
      </c>
      <c r="E56" s="14">
        <v>18</v>
      </c>
      <c r="F56" s="14">
        <v>4</v>
      </c>
      <c r="G56" s="14" t="s">
        <v>86</v>
      </c>
      <c r="H56" s="14" t="s">
        <v>341</v>
      </c>
      <c r="L56">
        <f t="shared" si="5"/>
        <v>14</v>
      </c>
      <c r="M56">
        <f t="shared" si="2"/>
        <v>55</v>
      </c>
    </row>
    <row r="57" spans="3:16" x14ac:dyDescent="0.35">
      <c r="C57" t="s">
        <v>344</v>
      </c>
      <c r="D57" s="14" t="s">
        <v>32</v>
      </c>
      <c r="E57" s="14">
        <v>10</v>
      </c>
      <c r="F57" s="14">
        <v>6</v>
      </c>
      <c r="G57" s="14" t="s">
        <v>70</v>
      </c>
      <c r="H57" s="14" t="s">
        <v>343</v>
      </c>
      <c r="L57">
        <f t="shared" si="5"/>
        <v>4</v>
      </c>
      <c r="M57">
        <f t="shared" si="2"/>
        <v>32.5</v>
      </c>
    </row>
    <row r="58" spans="3:16" x14ac:dyDescent="0.35">
      <c r="C58" t="s">
        <v>345</v>
      </c>
      <c r="D58" s="14" t="s">
        <v>44</v>
      </c>
      <c r="E58" s="14">
        <v>18</v>
      </c>
      <c r="F58" s="14">
        <v>16</v>
      </c>
      <c r="G58" s="14" t="s">
        <v>48</v>
      </c>
      <c r="H58" s="14" t="s">
        <v>296</v>
      </c>
      <c r="L58">
        <f t="shared" si="5"/>
        <v>2</v>
      </c>
      <c r="M58">
        <f t="shared" si="2"/>
        <v>27.5</v>
      </c>
    </row>
    <row r="59" spans="3:16" x14ac:dyDescent="0.35">
      <c r="D59" s="14" t="s">
        <v>28</v>
      </c>
      <c r="E59" s="14">
        <v>18</v>
      </c>
      <c r="F59" s="14">
        <v>11</v>
      </c>
      <c r="G59" s="14" t="s">
        <v>52</v>
      </c>
      <c r="H59" s="14" t="s">
        <v>178</v>
      </c>
      <c r="L59">
        <f t="shared" si="5"/>
        <v>7</v>
      </c>
      <c r="M59">
        <f t="shared" si="2"/>
        <v>40</v>
      </c>
    </row>
    <row r="60" spans="3:16" x14ac:dyDescent="0.35">
      <c r="C60" t="s">
        <v>346</v>
      </c>
      <c r="D60" s="14" t="s">
        <v>45</v>
      </c>
      <c r="E60" s="14">
        <v>20</v>
      </c>
      <c r="F60" s="14">
        <v>16</v>
      </c>
      <c r="G60" s="14" t="s">
        <v>50</v>
      </c>
      <c r="H60" s="14" t="s">
        <v>285</v>
      </c>
      <c r="L60">
        <f t="shared" si="5"/>
        <v>4</v>
      </c>
      <c r="M60">
        <f t="shared" si="2"/>
        <v>32.5</v>
      </c>
    </row>
    <row r="61" spans="3:16" x14ac:dyDescent="0.35">
      <c r="D61" s="14" t="s">
        <v>47</v>
      </c>
      <c r="E61" s="14">
        <v>10</v>
      </c>
      <c r="F61" s="14">
        <v>9</v>
      </c>
      <c r="G61" s="14" t="s">
        <v>30</v>
      </c>
      <c r="H61" s="14" t="s">
        <v>187</v>
      </c>
      <c r="L61">
        <f t="shared" si="5"/>
        <v>1</v>
      </c>
      <c r="M61">
        <f t="shared" si="2"/>
        <v>25</v>
      </c>
    </row>
    <row r="62" spans="3:16" x14ac:dyDescent="0.35">
      <c r="D62" s="14" t="s">
        <v>61</v>
      </c>
      <c r="E62" s="14">
        <v>19</v>
      </c>
      <c r="F62" s="14">
        <v>14</v>
      </c>
      <c r="G62" s="14" t="s">
        <v>49</v>
      </c>
      <c r="H62" s="14" t="s">
        <v>347</v>
      </c>
      <c r="L62">
        <f t="shared" si="5"/>
        <v>5</v>
      </c>
      <c r="M62">
        <f t="shared" si="2"/>
        <v>35</v>
      </c>
    </row>
    <row r="63" spans="3:16" x14ac:dyDescent="0.35">
      <c r="C63" t="s">
        <v>349</v>
      </c>
      <c r="D63" s="14" t="s">
        <v>57</v>
      </c>
      <c r="E63" s="14">
        <v>27</v>
      </c>
      <c r="F63" s="14">
        <v>18</v>
      </c>
      <c r="G63" s="14" t="s">
        <v>1858</v>
      </c>
      <c r="H63" s="14" t="s">
        <v>348</v>
      </c>
      <c r="I63" t="s">
        <v>474</v>
      </c>
      <c r="L63">
        <f t="shared" si="5"/>
        <v>9</v>
      </c>
      <c r="M63">
        <f t="shared" si="2"/>
        <v>45</v>
      </c>
    </row>
    <row r="64" spans="3:16" x14ac:dyDescent="0.35">
      <c r="C64" t="s">
        <v>350</v>
      </c>
      <c r="D64" s="14" t="s">
        <v>51</v>
      </c>
      <c r="E64" s="14">
        <v>15</v>
      </c>
      <c r="F64" s="14">
        <v>13</v>
      </c>
      <c r="G64" s="14" t="s">
        <v>63</v>
      </c>
      <c r="H64" s="14" t="s">
        <v>186</v>
      </c>
      <c r="L64">
        <f t="shared" si="5"/>
        <v>2</v>
      </c>
      <c r="M64">
        <f t="shared" si="2"/>
        <v>27.5</v>
      </c>
    </row>
    <row r="65" spans="2:13" x14ac:dyDescent="0.35">
      <c r="D65" s="14" t="s">
        <v>58</v>
      </c>
      <c r="E65" s="14">
        <v>10</v>
      </c>
      <c r="F65" s="14">
        <v>7</v>
      </c>
      <c r="G65" s="14" t="s">
        <v>83</v>
      </c>
      <c r="H65" s="14" t="s">
        <v>181</v>
      </c>
      <c r="L65">
        <f t="shared" si="5"/>
        <v>3</v>
      </c>
      <c r="M65">
        <f t="shared" si="2"/>
        <v>30</v>
      </c>
    </row>
    <row r="66" spans="2:13" x14ac:dyDescent="0.35">
      <c r="C66" t="s">
        <v>351</v>
      </c>
      <c r="D66" s="14" t="s">
        <v>40</v>
      </c>
      <c r="E66" s="14">
        <v>17</v>
      </c>
      <c r="F66" s="14">
        <v>5</v>
      </c>
      <c r="G66" s="14" t="s">
        <v>65</v>
      </c>
      <c r="H66" s="14" t="s">
        <v>297</v>
      </c>
      <c r="L66">
        <f t="shared" si="5"/>
        <v>12</v>
      </c>
      <c r="M66">
        <f t="shared" si="2"/>
        <v>52.5</v>
      </c>
    </row>
    <row r="67" spans="2:13" x14ac:dyDescent="0.35">
      <c r="C67" t="s">
        <v>352</v>
      </c>
      <c r="D67" s="14" t="s">
        <v>35</v>
      </c>
      <c r="E67" s="14">
        <v>21</v>
      </c>
      <c r="F67" s="14">
        <v>14</v>
      </c>
      <c r="G67" s="14" t="s">
        <v>300</v>
      </c>
      <c r="H67" s="14" t="s">
        <v>299</v>
      </c>
      <c r="L67">
        <f t="shared" si="5"/>
        <v>7</v>
      </c>
      <c r="M67">
        <f t="shared" ref="M67:M130" si="9">30*(IF(L67&lt;13,1+((L67-3)/12),1.75+((L67-12)/24)))</f>
        <v>40</v>
      </c>
    </row>
    <row r="68" spans="2:13" x14ac:dyDescent="0.35">
      <c r="C68" t="s">
        <v>354</v>
      </c>
      <c r="D68" s="14" t="s">
        <v>38</v>
      </c>
      <c r="E68" s="14">
        <v>14</v>
      </c>
      <c r="F68" s="14">
        <v>11</v>
      </c>
      <c r="G68" s="14" t="s">
        <v>31</v>
      </c>
      <c r="H68" s="14" t="s">
        <v>353</v>
      </c>
      <c r="L68">
        <f t="shared" si="5"/>
        <v>3</v>
      </c>
      <c r="M68">
        <f t="shared" si="9"/>
        <v>30</v>
      </c>
    </row>
    <row r="69" spans="2:13" x14ac:dyDescent="0.35">
      <c r="C69" t="s">
        <v>355</v>
      </c>
      <c r="D69" s="14" t="s">
        <v>2011</v>
      </c>
      <c r="E69" s="14">
        <v>20</v>
      </c>
      <c r="F69" s="14">
        <v>12</v>
      </c>
      <c r="G69" s="14" t="s">
        <v>54</v>
      </c>
      <c r="H69" s="14" t="s">
        <v>331</v>
      </c>
      <c r="L69">
        <f t="shared" si="5"/>
        <v>8</v>
      </c>
      <c r="M69">
        <f t="shared" si="9"/>
        <v>42.5</v>
      </c>
    </row>
    <row r="70" spans="2:13" x14ac:dyDescent="0.35">
      <c r="C70" t="s">
        <v>356</v>
      </c>
      <c r="D70" s="14" t="s">
        <v>39</v>
      </c>
      <c r="E70" s="14">
        <v>12</v>
      </c>
      <c r="F70" s="14">
        <v>6</v>
      </c>
      <c r="G70" s="14" t="s">
        <v>119</v>
      </c>
      <c r="H70" s="14" t="s">
        <v>291</v>
      </c>
      <c r="L70">
        <f t="shared" si="5"/>
        <v>6</v>
      </c>
      <c r="M70">
        <f t="shared" si="9"/>
        <v>37.5</v>
      </c>
    </row>
    <row r="71" spans="2:13" x14ac:dyDescent="0.35">
      <c r="C71" t="s">
        <v>357</v>
      </c>
      <c r="D71" s="14" t="s">
        <v>900</v>
      </c>
      <c r="E71" s="14">
        <v>23</v>
      </c>
      <c r="F71" s="14">
        <v>17</v>
      </c>
      <c r="G71" s="14" t="s">
        <v>56</v>
      </c>
      <c r="H71" s="14" t="s">
        <v>358</v>
      </c>
      <c r="I71" t="s">
        <v>901</v>
      </c>
      <c r="L71">
        <f t="shared" si="5"/>
        <v>6</v>
      </c>
      <c r="M71">
        <f t="shared" si="9"/>
        <v>37.5</v>
      </c>
    </row>
    <row r="72" spans="2:13" x14ac:dyDescent="0.35">
      <c r="D72" s="14" t="s">
        <v>37</v>
      </c>
      <c r="E72" s="14">
        <v>25</v>
      </c>
      <c r="F72" s="14">
        <v>10</v>
      </c>
      <c r="G72" s="14" t="s">
        <v>118</v>
      </c>
      <c r="H72" s="14" t="s">
        <v>359</v>
      </c>
      <c r="L72">
        <f t="shared" si="5"/>
        <v>15</v>
      </c>
      <c r="M72">
        <f t="shared" si="9"/>
        <v>56.25</v>
      </c>
    </row>
    <row r="73" spans="2:13" x14ac:dyDescent="0.35">
      <c r="D73" s="14" t="s">
        <v>36</v>
      </c>
      <c r="E73" s="14">
        <v>17</v>
      </c>
      <c r="F73" s="14">
        <v>8</v>
      </c>
      <c r="G73" s="14" t="s">
        <v>27</v>
      </c>
      <c r="H73" s="14" t="s">
        <v>360</v>
      </c>
      <c r="L73">
        <f t="shared" si="5"/>
        <v>9</v>
      </c>
      <c r="M73">
        <f t="shared" si="9"/>
        <v>45</v>
      </c>
    </row>
    <row r="74" spans="2:13" x14ac:dyDescent="0.35">
      <c r="C74" t="s">
        <v>362</v>
      </c>
      <c r="D74" s="14" t="s">
        <v>62</v>
      </c>
      <c r="E74" s="14">
        <v>20</v>
      </c>
      <c r="F74" s="14">
        <v>12</v>
      </c>
      <c r="G74" s="14" t="s">
        <v>23</v>
      </c>
      <c r="H74" s="14" t="s">
        <v>361</v>
      </c>
      <c r="L74">
        <f t="shared" si="5"/>
        <v>8</v>
      </c>
      <c r="M74">
        <f t="shared" si="9"/>
        <v>42.5</v>
      </c>
    </row>
    <row r="75" spans="2:13" x14ac:dyDescent="0.35">
      <c r="C75" t="s">
        <v>363</v>
      </c>
      <c r="D75" s="14" t="s">
        <v>81</v>
      </c>
      <c r="E75" s="14">
        <v>19</v>
      </c>
      <c r="F75" s="14">
        <v>18</v>
      </c>
      <c r="G75" s="14" t="s">
        <v>22</v>
      </c>
      <c r="H75" s="14" t="s">
        <v>184</v>
      </c>
      <c r="L75">
        <f t="shared" si="5"/>
        <v>1</v>
      </c>
      <c r="M75">
        <f t="shared" si="9"/>
        <v>25</v>
      </c>
    </row>
    <row r="76" spans="2:13" x14ac:dyDescent="0.35">
      <c r="D76" s="14" t="s">
        <v>1860</v>
      </c>
      <c r="E76" s="14">
        <v>20</v>
      </c>
      <c r="F76" s="14">
        <v>13</v>
      </c>
      <c r="G76" s="14" t="s">
        <v>43</v>
      </c>
      <c r="H76" s="14" t="s">
        <v>347</v>
      </c>
      <c r="L76">
        <f t="shared" si="5"/>
        <v>7</v>
      </c>
      <c r="M76">
        <f t="shared" si="9"/>
        <v>40</v>
      </c>
    </row>
    <row r="77" spans="2:13" x14ac:dyDescent="0.35">
      <c r="B77" s="5">
        <v>41924</v>
      </c>
      <c r="C77" t="s">
        <v>366</v>
      </c>
      <c r="D77" s="14" t="s">
        <v>24</v>
      </c>
      <c r="E77" s="14">
        <v>14</v>
      </c>
      <c r="F77" s="14">
        <v>13</v>
      </c>
      <c r="G77" s="14" t="s">
        <v>88</v>
      </c>
      <c r="H77" s="14" t="s">
        <v>365</v>
      </c>
      <c r="I77" t="s">
        <v>364</v>
      </c>
      <c r="L77">
        <f t="shared" si="5"/>
        <v>1</v>
      </c>
      <c r="M77">
        <f t="shared" si="9"/>
        <v>25</v>
      </c>
    </row>
    <row r="78" spans="2:13" x14ac:dyDescent="0.35">
      <c r="C78" t="s">
        <v>368</v>
      </c>
      <c r="D78" s="14" t="s">
        <v>41</v>
      </c>
      <c r="E78" s="14">
        <v>25</v>
      </c>
      <c r="F78" s="14">
        <v>2</v>
      </c>
      <c r="G78" s="14" t="s">
        <v>34</v>
      </c>
      <c r="H78" s="14" t="s">
        <v>293</v>
      </c>
      <c r="I78" t="s">
        <v>367</v>
      </c>
      <c r="L78">
        <f t="shared" si="5"/>
        <v>23</v>
      </c>
      <c r="M78">
        <f t="shared" si="9"/>
        <v>66.25</v>
      </c>
    </row>
    <row r="79" spans="2:13" x14ac:dyDescent="0.35">
      <c r="C79" t="s">
        <v>370</v>
      </c>
      <c r="D79" s="14" t="s">
        <v>26</v>
      </c>
      <c r="E79" s="14">
        <v>15</v>
      </c>
      <c r="F79" s="14">
        <v>14</v>
      </c>
      <c r="G79" s="14" t="s">
        <v>85</v>
      </c>
      <c r="H79" s="14" t="s">
        <v>369</v>
      </c>
      <c r="L79">
        <f t="shared" si="5"/>
        <v>1</v>
      </c>
      <c r="M79">
        <f t="shared" si="9"/>
        <v>25</v>
      </c>
    </row>
    <row r="80" spans="2:13" x14ac:dyDescent="0.35">
      <c r="D80" s="14" t="s">
        <v>33</v>
      </c>
      <c r="E80" s="14">
        <v>9</v>
      </c>
      <c r="F80" s="14">
        <v>6</v>
      </c>
      <c r="G80" s="14" t="s">
        <v>42</v>
      </c>
      <c r="H80" s="14" t="s">
        <v>371</v>
      </c>
      <c r="L80">
        <f t="shared" si="5"/>
        <v>3</v>
      </c>
      <c r="M80">
        <f t="shared" si="9"/>
        <v>30</v>
      </c>
    </row>
    <row r="81" spans="2:13" ht="15" thickBot="1" x14ac:dyDescent="0.4">
      <c r="C81" s="12" t="s">
        <v>373</v>
      </c>
      <c r="D81" s="23" t="s">
        <v>25</v>
      </c>
      <c r="E81" s="23">
        <v>24</v>
      </c>
      <c r="F81" s="23">
        <v>21</v>
      </c>
      <c r="G81" s="23" t="s">
        <v>46</v>
      </c>
      <c r="H81" s="23" t="s">
        <v>372</v>
      </c>
      <c r="I81" s="12" t="s">
        <v>475</v>
      </c>
      <c r="L81">
        <f t="shared" si="5"/>
        <v>3</v>
      </c>
      <c r="M81">
        <f t="shared" si="9"/>
        <v>30</v>
      </c>
    </row>
    <row r="82" spans="2:13" x14ac:dyDescent="0.35">
      <c r="B82" s="5">
        <v>41939</v>
      </c>
      <c r="D82" s="14" t="s">
        <v>74</v>
      </c>
      <c r="E82" s="14">
        <v>16</v>
      </c>
      <c r="F82" s="14">
        <v>7</v>
      </c>
      <c r="G82" s="14" t="s">
        <v>73</v>
      </c>
      <c r="H82" s="14" t="s">
        <v>397</v>
      </c>
      <c r="L82">
        <f t="shared" si="5"/>
        <v>9</v>
      </c>
      <c r="M82">
        <f t="shared" si="9"/>
        <v>45</v>
      </c>
    </row>
    <row r="83" spans="2:13" x14ac:dyDescent="0.35">
      <c r="D83" s="14" t="s">
        <v>88</v>
      </c>
      <c r="E83" s="14">
        <v>18</v>
      </c>
      <c r="F83" s="14">
        <v>8</v>
      </c>
      <c r="G83" s="14" t="s">
        <v>84</v>
      </c>
      <c r="H83" s="14" t="s">
        <v>331</v>
      </c>
      <c r="L83">
        <f t="shared" si="5"/>
        <v>10</v>
      </c>
      <c r="M83">
        <f t="shared" si="9"/>
        <v>47.500000000000007</v>
      </c>
    </row>
    <row r="84" spans="2:13" x14ac:dyDescent="0.35">
      <c r="B84" s="5">
        <v>41940</v>
      </c>
      <c r="C84" t="s">
        <v>399</v>
      </c>
      <c r="D84" s="14" t="s">
        <v>67</v>
      </c>
      <c r="E84" s="14">
        <v>19</v>
      </c>
      <c r="F84" s="14">
        <v>4</v>
      </c>
      <c r="G84" s="14" t="s">
        <v>70</v>
      </c>
      <c r="H84" s="14" t="s">
        <v>398</v>
      </c>
      <c r="L84">
        <f t="shared" si="5"/>
        <v>15</v>
      </c>
      <c r="M84">
        <f t="shared" si="9"/>
        <v>56.25</v>
      </c>
    </row>
    <row r="85" spans="2:13" x14ac:dyDescent="0.35">
      <c r="C85" t="s">
        <v>368</v>
      </c>
      <c r="D85" s="14" t="s">
        <v>64</v>
      </c>
      <c r="E85" s="14">
        <v>17</v>
      </c>
      <c r="F85" s="14">
        <v>13</v>
      </c>
      <c r="G85" s="14" t="s">
        <v>59</v>
      </c>
      <c r="H85" s="14" t="s">
        <v>400</v>
      </c>
      <c r="L85">
        <f t="shared" si="5"/>
        <v>4</v>
      </c>
      <c r="M85">
        <f t="shared" si="9"/>
        <v>32.5</v>
      </c>
    </row>
    <row r="86" spans="2:13" x14ac:dyDescent="0.35">
      <c r="D86" s="14" t="s">
        <v>48</v>
      </c>
      <c r="E86" s="14">
        <v>12</v>
      </c>
      <c r="F86" s="14">
        <v>10</v>
      </c>
      <c r="G86" s="14" t="s">
        <v>58</v>
      </c>
      <c r="H86" s="14" t="s">
        <v>360</v>
      </c>
      <c r="L86">
        <f t="shared" si="5"/>
        <v>2</v>
      </c>
      <c r="M86">
        <f t="shared" si="9"/>
        <v>27.5</v>
      </c>
    </row>
    <row r="87" spans="2:13" x14ac:dyDescent="0.35">
      <c r="B87" s="5">
        <v>41941</v>
      </c>
      <c r="D87" s="14" t="s">
        <v>53</v>
      </c>
      <c r="E87" s="14">
        <v>13</v>
      </c>
      <c r="F87" s="14">
        <v>11</v>
      </c>
      <c r="G87" s="14" t="s">
        <v>145</v>
      </c>
      <c r="H87" s="14" t="s">
        <v>190</v>
      </c>
      <c r="L87">
        <f t="shared" si="5"/>
        <v>2</v>
      </c>
      <c r="M87">
        <f t="shared" si="9"/>
        <v>27.5</v>
      </c>
    </row>
    <row r="88" spans="2:13" x14ac:dyDescent="0.35">
      <c r="C88" t="s">
        <v>401</v>
      </c>
      <c r="D88" s="14" t="s">
        <v>40</v>
      </c>
      <c r="E88" s="14">
        <v>15</v>
      </c>
      <c r="F88" s="14">
        <v>9</v>
      </c>
      <c r="G88" s="14" t="s">
        <v>36</v>
      </c>
      <c r="H88" s="14" t="s">
        <v>181</v>
      </c>
      <c r="L88">
        <f t="shared" si="5"/>
        <v>6</v>
      </c>
      <c r="M88">
        <f t="shared" si="9"/>
        <v>37.5</v>
      </c>
    </row>
    <row r="89" spans="2:13" x14ac:dyDescent="0.35">
      <c r="B89" s="5">
        <v>41942</v>
      </c>
      <c r="C89" t="s">
        <v>402</v>
      </c>
      <c r="D89" s="14" t="s">
        <v>44</v>
      </c>
      <c r="E89" s="14">
        <v>10</v>
      </c>
      <c r="F89" s="14">
        <v>9</v>
      </c>
      <c r="G89" s="14" t="s">
        <v>42</v>
      </c>
      <c r="H89" s="14" t="s">
        <v>365</v>
      </c>
      <c r="L89">
        <f t="shared" si="5"/>
        <v>1</v>
      </c>
      <c r="M89">
        <f t="shared" si="9"/>
        <v>25</v>
      </c>
    </row>
    <row r="90" spans="2:13" x14ac:dyDescent="0.35">
      <c r="C90" t="s">
        <v>338</v>
      </c>
      <c r="D90" s="14" t="s">
        <v>33</v>
      </c>
      <c r="E90" s="14">
        <v>20</v>
      </c>
      <c r="F90" s="14">
        <v>13</v>
      </c>
      <c r="G90" s="14" t="s">
        <v>23</v>
      </c>
      <c r="H90" s="14" t="s">
        <v>190</v>
      </c>
      <c r="L90">
        <f t="shared" si="5"/>
        <v>7</v>
      </c>
      <c r="M90">
        <f t="shared" si="9"/>
        <v>40</v>
      </c>
    </row>
    <row r="91" spans="2:13" x14ac:dyDescent="0.35">
      <c r="D91" s="14" t="s">
        <v>119</v>
      </c>
      <c r="E91" s="14">
        <v>17</v>
      </c>
      <c r="F91" s="14">
        <v>8</v>
      </c>
      <c r="G91" s="14" t="s">
        <v>28</v>
      </c>
      <c r="H91" s="14" t="s">
        <v>397</v>
      </c>
      <c r="L91">
        <f t="shared" si="5"/>
        <v>9</v>
      </c>
      <c r="M91">
        <f t="shared" si="9"/>
        <v>45</v>
      </c>
    </row>
    <row r="92" spans="2:13" x14ac:dyDescent="0.35">
      <c r="D92" s="14" t="s">
        <v>80</v>
      </c>
      <c r="E92" s="14">
        <v>9</v>
      </c>
      <c r="F92" s="14">
        <v>6</v>
      </c>
      <c r="G92" s="14" t="s">
        <v>77</v>
      </c>
      <c r="H92" s="14" t="s">
        <v>403</v>
      </c>
      <c r="L92">
        <f t="shared" si="5"/>
        <v>3</v>
      </c>
      <c r="M92">
        <f t="shared" si="9"/>
        <v>30</v>
      </c>
    </row>
    <row r="93" spans="2:13" x14ac:dyDescent="0.35">
      <c r="D93" s="14" t="s">
        <v>83</v>
      </c>
      <c r="E93" s="14">
        <v>9</v>
      </c>
      <c r="F93" s="14">
        <v>7</v>
      </c>
      <c r="G93" s="14" t="s">
        <v>82</v>
      </c>
      <c r="H93" s="14" t="s">
        <v>403</v>
      </c>
      <c r="L93">
        <f t="shared" si="5"/>
        <v>2</v>
      </c>
      <c r="M93">
        <f t="shared" si="9"/>
        <v>27.5</v>
      </c>
    </row>
    <row r="94" spans="2:13" x14ac:dyDescent="0.35">
      <c r="C94" t="s">
        <v>405</v>
      </c>
      <c r="D94" s="14" t="s">
        <v>66</v>
      </c>
      <c r="E94" s="14">
        <v>17</v>
      </c>
      <c r="F94" s="14">
        <v>16</v>
      </c>
      <c r="G94" s="14" t="s">
        <v>69</v>
      </c>
      <c r="H94" s="14" t="s">
        <v>404</v>
      </c>
      <c r="I94" t="s">
        <v>476</v>
      </c>
      <c r="L94">
        <f t="shared" si="5"/>
        <v>1</v>
      </c>
      <c r="M94">
        <f t="shared" si="9"/>
        <v>25</v>
      </c>
    </row>
    <row r="95" spans="2:13" x14ac:dyDescent="0.35">
      <c r="B95" s="5">
        <v>41944</v>
      </c>
      <c r="C95" t="s">
        <v>412</v>
      </c>
      <c r="D95" s="14" t="s">
        <v>60</v>
      </c>
      <c r="E95" s="14">
        <v>16</v>
      </c>
      <c r="F95" s="14">
        <v>11</v>
      </c>
      <c r="G95" s="14" t="s">
        <v>115</v>
      </c>
      <c r="H95" s="14" t="s">
        <v>295</v>
      </c>
      <c r="L95">
        <f t="shared" si="5"/>
        <v>5</v>
      </c>
      <c r="M95">
        <f t="shared" si="9"/>
        <v>35</v>
      </c>
    </row>
    <row r="96" spans="2:13" x14ac:dyDescent="0.35">
      <c r="D96" s="14" t="s">
        <v>51</v>
      </c>
      <c r="E96" s="14">
        <v>26</v>
      </c>
      <c r="F96" s="14">
        <v>14</v>
      </c>
      <c r="G96" s="14" t="s">
        <v>52</v>
      </c>
      <c r="H96" s="14" t="s">
        <v>413</v>
      </c>
      <c r="L96">
        <f t="shared" si="5"/>
        <v>12</v>
      </c>
      <c r="M96">
        <f t="shared" si="9"/>
        <v>52.5</v>
      </c>
    </row>
    <row r="97" spans="2:13" x14ac:dyDescent="0.35">
      <c r="D97" s="14" t="s">
        <v>56</v>
      </c>
      <c r="E97" s="14">
        <v>15</v>
      </c>
      <c r="F97" s="14">
        <v>6</v>
      </c>
      <c r="G97" s="14" t="s">
        <v>117</v>
      </c>
      <c r="H97" s="14" t="s">
        <v>297</v>
      </c>
      <c r="L97">
        <f t="shared" si="5"/>
        <v>9</v>
      </c>
      <c r="M97">
        <f t="shared" si="9"/>
        <v>45</v>
      </c>
    </row>
    <row r="98" spans="2:13" x14ac:dyDescent="0.35">
      <c r="C98" t="s">
        <v>414</v>
      </c>
      <c r="D98" s="14" t="s">
        <v>35</v>
      </c>
      <c r="E98" s="14">
        <v>19</v>
      </c>
      <c r="F98" s="14">
        <v>8</v>
      </c>
      <c r="G98" s="14" t="s">
        <v>37</v>
      </c>
      <c r="H98" s="14" t="s">
        <v>337</v>
      </c>
      <c r="L98">
        <f t="shared" si="5"/>
        <v>11</v>
      </c>
      <c r="M98">
        <f t="shared" si="9"/>
        <v>49.999999999999993</v>
      </c>
    </row>
    <row r="99" spans="2:13" x14ac:dyDescent="0.35">
      <c r="C99" t="s">
        <v>354</v>
      </c>
      <c r="D99" s="14" t="s">
        <v>41</v>
      </c>
      <c r="E99" s="14">
        <v>19</v>
      </c>
      <c r="F99" s="14">
        <v>16</v>
      </c>
      <c r="G99" s="14" t="s">
        <v>43</v>
      </c>
      <c r="H99" s="14" t="s">
        <v>299</v>
      </c>
      <c r="L99">
        <f t="shared" si="5"/>
        <v>3</v>
      </c>
      <c r="M99">
        <f t="shared" si="9"/>
        <v>30</v>
      </c>
    </row>
    <row r="100" spans="2:13" x14ac:dyDescent="0.35">
      <c r="B100" s="5">
        <v>41946</v>
      </c>
      <c r="C100" t="s">
        <v>415</v>
      </c>
      <c r="D100" s="14" t="s">
        <v>25</v>
      </c>
      <c r="E100" s="14">
        <v>16</v>
      </c>
      <c r="F100" s="14">
        <v>9</v>
      </c>
      <c r="G100" s="14" t="s">
        <v>22</v>
      </c>
      <c r="H100" s="14" t="s">
        <v>281</v>
      </c>
      <c r="L100">
        <f t="shared" si="5"/>
        <v>7</v>
      </c>
      <c r="M100">
        <f t="shared" si="9"/>
        <v>40</v>
      </c>
    </row>
    <row r="101" spans="2:13" x14ac:dyDescent="0.35">
      <c r="D101" s="14" t="s">
        <v>32</v>
      </c>
      <c r="E101" s="14">
        <v>15</v>
      </c>
      <c r="F101" s="14">
        <v>11</v>
      </c>
      <c r="G101" s="14" t="s">
        <v>30</v>
      </c>
      <c r="H101" s="14" t="s">
        <v>334</v>
      </c>
      <c r="L101">
        <f t="shared" si="5"/>
        <v>4</v>
      </c>
      <c r="M101">
        <f t="shared" si="9"/>
        <v>32.5</v>
      </c>
    </row>
    <row r="102" spans="2:13" x14ac:dyDescent="0.35">
      <c r="C102" t="s">
        <v>417</v>
      </c>
      <c r="D102" s="14" t="s">
        <v>78</v>
      </c>
      <c r="E102" s="14">
        <v>27</v>
      </c>
      <c r="F102" s="14">
        <v>16</v>
      </c>
      <c r="G102" s="14" t="s">
        <v>79</v>
      </c>
      <c r="H102" s="14" t="s">
        <v>416</v>
      </c>
      <c r="L102">
        <f t="shared" si="5"/>
        <v>11</v>
      </c>
      <c r="M102">
        <f t="shared" si="9"/>
        <v>49.999999999999993</v>
      </c>
    </row>
    <row r="103" spans="2:13" x14ac:dyDescent="0.35">
      <c r="D103" s="14" t="s">
        <v>87</v>
      </c>
      <c r="E103" s="14">
        <v>14</v>
      </c>
      <c r="F103" s="14">
        <v>2</v>
      </c>
      <c r="G103" s="14" t="s">
        <v>86</v>
      </c>
      <c r="H103" s="14" t="s">
        <v>418</v>
      </c>
      <c r="L103">
        <f t="shared" si="5"/>
        <v>12</v>
      </c>
      <c r="M103">
        <f t="shared" si="9"/>
        <v>52.5</v>
      </c>
    </row>
    <row r="104" spans="2:13" x14ac:dyDescent="0.35">
      <c r="C104" t="s">
        <v>370</v>
      </c>
      <c r="D104" s="14" t="s">
        <v>68</v>
      </c>
      <c r="E104" s="14">
        <v>20</v>
      </c>
      <c r="F104" s="14">
        <v>15</v>
      </c>
      <c r="G104" s="14" t="s">
        <v>114</v>
      </c>
      <c r="H104" s="14" t="s">
        <v>191</v>
      </c>
      <c r="L104">
        <f t="shared" si="5"/>
        <v>5</v>
      </c>
      <c r="M104">
        <f t="shared" si="9"/>
        <v>35</v>
      </c>
    </row>
    <row r="105" spans="2:13" x14ac:dyDescent="0.35">
      <c r="D105" s="14" t="s">
        <v>62</v>
      </c>
      <c r="E105" s="14">
        <v>11</v>
      </c>
      <c r="F105" s="14">
        <v>8</v>
      </c>
      <c r="G105" s="14" t="s">
        <v>61</v>
      </c>
      <c r="H105" s="14" t="s">
        <v>281</v>
      </c>
      <c r="L105">
        <f t="shared" si="5"/>
        <v>3</v>
      </c>
      <c r="M105">
        <f t="shared" si="9"/>
        <v>30</v>
      </c>
    </row>
    <row r="106" spans="2:13" x14ac:dyDescent="0.35">
      <c r="C106" t="s">
        <v>419</v>
      </c>
      <c r="D106" s="14" t="s">
        <v>50</v>
      </c>
      <c r="E106" s="14">
        <v>23</v>
      </c>
      <c r="F106" s="14">
        <v>13</v>
      </c>
      <c r="G106" s="14" t="s">
        <v>57</v>
      </c>
      <c r="H106" s="14" t="s">
        <v>359</v>
      </c>
      <c r="L106">
        <f t="shared" ref="L106:L169" si="10">E106-F106</f>
        <v>10</v>
      </c>
      <c r="M106">
        <f t="shared" si="9"/>
        <v>47.500000000000007</v>
      </c>
    </row>
    <row r="107" spans="2:13" x14ac:dyDescent="0.35">
      <c r="D107" s="14" t="s">
        <v>54</v>
      </c>
      <c r="E107" s="14">
        <v>14</v>
      </c>
      <c r="F107" s="14">
        <v>5</v>
      </c>
      <c r="G107" s="14" t="s">
        <v>300</v>
      </c>
      <c r="H107" s="14" t="s">
        <v>200</v>
      </c>
      <c r="L107">
        <f t="shared" si="10"/>
        <v>9</v>
      </c>
      <c r="M107">
        <f t="shared" si="9"/>
        <v>45</v>
      </c>
    </row>
    <row r="108" spans="2:13" x14ac:dyDescent="0.35">
      <c r="C108" t="s">
        <v>420</v>
      </c>
      <c r="D108" s="14" t="s">
        <v>900</v>
      </c>
      <c r="E108" s="14">
        <v>22</v>
      </c>
      <c r="F108" s="14">
        <v>6</v>
      </c>
      <c r="G108" s="14" t="s">
        <v>38</v>
      </c>
      <c r="H108" s="14" t="s">
        <v>339</v>
      </c>
      <c r="L108">
        <f t="shared" si="10"/>
        <v>16</v>
      </c>
      <c r="M108">
        <f t="shared" si="9"/>
        <v>57.5</v>
      </c>
    </row>
    <row r="109" spans="2:13" x14ac:dyDescent="0.35">
      <c r="C109" t="s">
        <v>422</v>
      </c>
      <c r="D109" s="14" t="s">
        <v>46</v>
      </c>
      <c r="E109" s="14">
        <v>30</v>
      </c>
      <c r="F109" s="14">
        <v>8</v>
      </c>
      <c r="G109" s="14" t="s">
        <v>1858</v>
      </c>
      <c r="H109" s="14" t="s">
        <v>359</v>
      </c>
      <c r="I109" t="s">
        <v>421</v>
      </c>
      <c r="L109">
        <f t="shared" si="10"/>
        <v>22</v>
      </c>
      <c r="M109">
        <f t="shared" si="9"/>
        <v>65</v>
      </c>
    </row>
    <row r="110" spans="2:13" x14ac:dyDescent="0.35">
      <c r="C110" t="s">
        <v>330</v>
      </c>
      <c r="D110" s="14" t="s">
        <v>1860</v>
      </c>
      <c r="E110" s="14">
        <v>12</v>
      </c>
      <c r="F110" s="14">
        <v>11</v>
      </c>
      <c r="G110" s="14" t="s">
        <v>26</v>
      </c>
      <c r="H110" s="14" t="s">
        <v>423</v>
      </c>
      <c r="L110">
        <f t="shared" si="10"/>
        <v>1</v>
      </c>
      <c r="M110">
        <f t="shared" si="9"/>
        <v>25</v>
      </c>
    </row>
    <row r="111" spans="2:13" x14ac:dyDescent="0.35">
      <c r="C111" t="s">
        <v>424</v>
      </c>
      <c r="D111" s="14" t="s">
        <v>31</v>
      </c>
      <c r="E111" s="14">
        <v>22</v>
      </c>
      <c r="F111" s="14">
        <v>12</v>
      </c>
      <c r="G111" s="14" t="s">
        <v>29</v>
      </c>
      <c r="H111" s="14" t="s">
        <v>337</v>
      </c>
      <c r="L111">
        <f t="shared" si="10"/>
        <v>10</v>
      </c>
      <c r="M111">
        <f t="shared" si="9"/>
        <v>47.500000000000007</v>
      </c>
    </row>
    <row r="112" spans="2:13" x14ac:dyDescent="0.35">
      <c r="D112" s="14" t="s">
        <v>75</v>
      </c>
      <c r="E112" s="14">
        <v>19</v>
      </c>
      <c r="F112" s="14">
        <v>10</v>
      </c>
      <c r="G112" s="14" t="s">
        <v>76</v>
      </c>
      <c r="H112" s="14" t="s">
        <v>347</v>
      </c>
      <c r="L112">
        <f t="shared" si="10"/>
        <v>9</v>
      </c>
      <c r="M112">
        <f t="shared" si="9"/>
        <v>45</v>
      </c>
    </row>
    <row r="113" spans="2:13" x14ac:dyDescent="0.35">
      <c r="D113" s="14" t="s">
        <v>85</v>
      </c>
      <c r="E113" s="14">
        <v>11</v>
      </c>
      <c r="F113" s="14">
        <v>8</v>
      </c>
      <c r="G113" s="14" t="s">
        <v>81</v>
      </c>
      <c r="H113" s="14" t="s">
        <v>291</v>
      </c>
      <c r="L113">
        <f t="shared" si="10"/>
        <v>3</v>
      </c>
      <c r="M113">
        <f t="shared" si="9"/>
        <v>30</v>
      </c>
    </row>
    <row r="114" spans="2:13" x14ac:dyDescent="0.35">
      <c r="D114" s="14" t="s">
        <v>71</v>
      </c>
      <c r="E114" s="14">
        <v>12</v>
      </c>
      <c r="F114" s="14">
        <v>8</v>
      </c>
      <c r="G114" s="14" t="s">
        <v>72</v>
      </c>
      <c r="H114" s="14" t="s">
        <v>403</v>
      </c>
      <c r="L114">
        <f t="shared" si="10"/>
        <v>4</v>
      </c>
      <c r="M114">
        <f t="shared" si="9"/>
        <v>32.5</v>
      </c>
    </row>
    <row r="115" spans="2:13" x14ac:dyDescent="0.35">
      <c r="D115" s="14" t="s">
        <v>65</v>
      </c>
      <c r="E115" s="14">
        <v>22</v>
      </c>
      <c r="F115" s="14">
        <v>13</v>
      </c>
      <c r="G115" s="14" t="s">
        <v>63</v>
      </c>
      <c r="H115" s="14" t="s">
        <v>425</v>
      </c>
      <c r="L115">
        <f t="shared" si="10"/>
        <v>9</v>
      </c>
      <c r="M115">
        <f t="shared" si="9"/>
        <v>45</v>
      </c>
    </row>
    <row r="116" spans="2:13" x14ac:dyDescent="0.35">
      <c r="D116" s="14" t="s">
        <v>47</v>
      </c>
      <c r="E116" s="14">
        <v>13</v>
      </c>
      <c r="F116" s="14">
        <v>9</v>
      </c>
      <c r="G116" s="14" t="s">
        <v>49</v>
      </c>
      <c r="H116" s="14" t="s">
        <v>187</v>
      </c>
      <c r="L116">
        <f t="shared" si="10"/>
        <v>4</v>
      </c>
      <c r="M116">
        <f t="shared" si="9"/>
        <v>32.5</v>
      </c>
    </row>
    <row r="117" spans="2:13" x14ac:dyDescent="0.35">
      <c r="D117" s="14" t="s">
        <v>55</v>
      </c>
      <c r="E117" s="14">
        <v>17</v>
      </c>
      <c r="F117" s="14">
        <v>12</v>
      </c>
      <c r="G117" s="14" t="s">
        <v>118</v>
      </c>
      <c r="H117" s="14" t="s">
        <v>299</v>
      </c>
      <c r="L117">
        <f t="shared" si="10"/>
        <v>5</v>
      </c>
      <c r="M117">
        <f t="shared" si="9"/>
        <v>35</v>
      </c>
    </row>
    <row r="118" spans="2:13" x14ac:dyDescent="0.35">
      <c r="C118" t="s">
        <v>426</v>
      </c>
      <c r="D118" s="14" t="s">
        <v>39</v>
      </c>
      <c r="E118" s="14">
        <v>19</v>
      </c>
      <c r="F118" s="14">
        <v>11</v>
      </c>
      <c r="G118" s="14" t="s">
        <v>2011</v>
      </c>
      <c r="H118" s="14" t="s">
        <v>404</v>
      </c>
      <c r="L118">
        <f t="shared" si="10"/>
        <v>8</v>
      </c>
      <c r="M118">
        <f t="shared" si="9"/>
        <v>42.5</v>
      </c>
    </row>
    <row r="119" spans="2:13" x14ac:dyDescent="0.35">
      <c r="C119" t="s">
        <v>373</v>
      </c>
      <c r="D119" s="14" t="s">
        <v>45</v>
      </c>
      <c r="E119" s="14">
        <v>25</v>
      </c>
      <c r="F119" s="14">
        <v>16</v>
      </c>
      <c r="G119" s="14" t="s">
        <v>1859</v>
      </c>
      <c r="H119" s="14" t="s">
        <v>285</v>
      </c>
      <c r="L119">
        <f t="shared" si="10"/>
        <v>9</v>
      </c>
      <c r="M119">
        <f t="shared" si="9"/>
        <v>45</v>
      </c>
    </row>
    <row r="120" spans="2:13" x14ac:dyDescent="0.35">
      <c r="C120" t="s">
        <v>366</v>
      </c>
      <c r="D120" s="14" t="s">
        <v>24</v>
      </c>
      <c r="E120" s="14">
        <v>15</v>
      </c>
      <c r="F120" s="14">
        <v>7</v>
      </c>
      <c r="G120" s="14" t="s">
        <v>34</v>
      </c>
      <c r="H120" s="14" t="s">
        <v>187</v>
      </c>
      <c r="L120">
        <f t="shared" si="10"/>
        <v>8</v>
      </c>
      <c r="M120">
        <f t="shared" si="9"/>
        <v>42.5</v>
      </c>
    </row>
    <row r="121" spans="2:13" ht="15" thickBot="1" x14ac:dyDescent="0.4">
      <c r="C121" s="12"/>
      <c r="D121" s="12" t="s">
        <v>27</v>
      </c>
      <c r="E121" s="12">
        <v>14</v>
      </c>
      <c r="F121" s="12">
        <v>11</v>
      </c>
      <c r="G121" s="12" t="s">
        <v>292</v>
      </c>
      <c r="H121" s="12" t="s">
        <v>299</v>
      </c>
      <c r="I121" s="12"/>
      <c r="L121">
        <f t="shared" si="10"/>
        <v>3</v>
      </c>
      <c r="M121">
        <f t="shared" si="9"/>
        <v>30</v>
      </c>
    </row>
    <row r="122" spans="2:13" x14ac:dyDescent="0.35">
      <c r="B122" s="5">
        <v>41947</v>
      </c>
      <c r="C122" s="14" t="s">
        <v>439</v>
      </c>
      <c r="D122" s="14" t="s">
        <v>74</v>
      </c>
      <c r="E122" s="14">
        <v>8</v>
      </c>
      <c r="F122" s="14">
        <v>6</v>
      </c>
      <c r="G122" s="14" t="s">
        <v>88</v>
      </c>
      <c r="H122" s="14" t="s">
        <v>371</v>
      </c>
      <c r="L122">
        <f t="shared" si="10"/>
        <v>2</v>
      </c>
      <c r="M122">
        <f t="shared" si="9"/>
        <v>27.5</v>
      </c>
    </row>
    <row r="123" spans="2:13" x14ac:dyDescent="0.35">
      <c r="D123" s="14" t="s">
        <v>84</v>
      </c>
      <c r="E123" s="14">
        <v>23</v>
      </c>
      <c r="F123" s="14">
        <v>11</v>
      </c>
      <c r="G123" s="14" t="s">
        <v>73</v>
      </c>
      <c r="H123" s="14" t="s">
        <v>201</v>
      </c>
      <c r="L123">
        <f t="shared" si="10"/>
        <v>12</v>
      </c>
      <c r="M123">
        <f t="shared" si="9"/>
        <v>52.5</v>
      </c>
    </row>
    <row r="124" spans="2:13" x14ac:dyDescent="0.35">
      <c r="B124" s="5">
        <v>41949</v>
      </c>
      <c r="C124" t="s">
        <v>440</v>
      </c>
      <c r="D124" s="14" t="s">
        <v>67</v>
      </c>
      <c r="E124" s="14">
        <v>17</v>
      </c>
      <c r="F124" s="14">
        <v>12</v>
      </c>
      <c r="G124" s="14" t="s">
        <v>64</v>
      </c>
      <c r="H124" s="14" t="s">
        <v>186</v>
      </c>
      <c r="L124">
        <f t="shared" si="10"/>
        <v>5</v>
      </c>
      <c r="M124">
        <f t="shared" si="9"/>
        <v>35</v>
      </c>
    </row>
    <row r="125" spans="2:13" x14ac:dyDescent="0.35">
      <c r="D125" s="14" t="s">
        <v>70</v>
      </c>
      <c r="E125" s="14">
        <v>16</v>
      </c>
      <c r="F125" s="14">
        <v>7</v>
      </c>
      <c r="G125" s="14" t="s">
        <v>59</v>
      </c>
      <c r="H125" s="14" t="s">
        <v>360</v>
      </c>
      <c r="L125">
        <f t="shared" si="10"/>
        <v>9</v>
      </c>
      <c r="M125">
        <f t="shared" si="9"/>
        <v>45</v>
      </c>
    </row>
    <row r="126" spans="2:13" x14ac:dyDescent="0.35">
      <c r="C126" t="s">
        <v>441</v>
      </c>
      <c r="D126" s="14" t="s">
        <v>48</v>
      </c>
      <c r="E126" s="14">
        <v>14</v>
      </c>
      <c r="F126" s="14">
        <v>5</v>
      </c>
      <c r="G126" s="14" t="s">
        <v>145</v>
      </c>
      <c r="H126" s="14" t="s">
        <v>360</v>
      </c>
      <c r="L126">
        <f t="shared" si="10"/>
        <v>9</v>
      </c>
      <c r="M126">
        <f t="shared" si="9"/>
        <v>45</v>
      </c>
    </row>
    <row r="127" spans="2:13" x14ac:dyDescent="0.35">
      <c r="C127" t="s">
        <v>399</v>
      </c>
      <c r="D127" s="14" t="s">
        <v>53</v>
      </c>
      <c r="E127" s="14">
        <v>11</v>
      </c>
      <c r="F127" s="14">
        <v>8</v>
      </c>
      <c r="G127" s="14" t="s">
        <v>58</v>
      </c>
      <c r="H127" s="14" t="s">
        <v>442</v>
      </c>
      <c r="L127">
        <f t="shared" si="10"/>
        <v>3</v>
      </c>
      <c r="M127">
        <f t="shared" si="9"/>
        <v>30</v>
      </c>
    </row>
    <row r="128" spans="2:13" x14ac:dyDescent="0.35">
      <c r="C128" t="s">
        <v>355</v>
      </c>
      <c r="D128" s="14" t="s">
        <v>40</v>
      </c>
      <c r="E128" s="14">
        <v>21</v>
      </c>
      <c r="F128" s="14">
        <v>12</v>
      </c>
      <c r="G128" s="14" t="s">
        <v>42</v>
      </c>
      <c r="H128" s="14" t="s">
        <v>296</v>
      </c>
      <c r="L128">
        <f t="shared" si="10"/>
        <v>9</v>
      </c>
      <c r="M128">
        <f t="shared" si="9"/>
        <v>45</v>
      </c>
    </row>
    <row r="129" spans="2:13" x14ac:dyDescent="0.35">
      <c r="C129" t="s">
        <v>415</v>
      </c>
      <c r="D129" s="14" t="s">
        <v>44</v>
      </c>
      <c r="E129" s="14">
        <v>15</v>
      </c>
      <c r="F129" s="14">
        <v>9</v>
      </c>
      <c r="G129" s="14" t="s">
        <v>36</v>
      </c>
      <c r="H129" s="14" t="s">
        <v>299</v>
      </c>
      <c r="L129">
        <f t="shared" si="10"/>
        <v>6</v>
      </c>
      <c r="M129">
        <f t="shared" si="9"/>
        <v>37.5</v>
      </c>
    </row>
    <row r="130" spans="2:13" x14ac:dyDescent="0.35">
      <c r="C130" t="s">
        <v>444</v>
      </c>
      <c r="D130" s="14" t="s">
        <v>119</v>
      </c>
      <c r="E130" s="14">
        <v>25</v>
      </c>
      <c r="F130" s="14">
        <v>18</v>
      </c>
      <c r="G130" s="14" t="s">
        <v>23</v>
      </c>
      <c r="H130" s="14" t="s">
        <v>443</v>
      </c>
      <c r="L130">
        <f t="shared" si="10"/>
        <v>7</v>
      </c>
      <c r="M130">
        <f t="shared" si="9"/>
        <v>40</v>
      </c>
    </row>
    <row r="131" spans="2:13" x14ac:dyDescent="0.35">
      <c r="B131" s="5">
        <v>41957</v>
      </c>
      <c r="C131" t="s">
        <v>368</v>
      </c>
      <c r="D131" s="14" t="s">
        <v>33</v>
      </c>
      <c r="E131" s="14">
        <v>15</v>
      </c>
      <c r="F131" s="14">
        <v>9</v>
      </c>
      <c r="G131" s="14" t="s">
        <v>28</v>
      </c>
      <c r="H131" s="14" t="s">
        <v>186</v>
      </c>
      <c r="L131">
        <f t="shared" si="10"/>
        <v>6</v>
      </c>
      <c r="M131">
        <f t="shared" ref="M131:M194" si="11">30*(IF(L131&lt;13,1+((L131-3)/12),1.75+((L131-12)/24)))</f>
        <v>37.5</v>
      </c>
    </row>
    <row r="132" spans="2:13" x14ac:dyDescent="0.35">
      <c r="C132" t="s">
        <v>370</v>
      </c>
      <c r="D132" s="14" t="s">
        <v>83</v>
      </c>
      <c r="E132" s="14">
        <v>22</v>
      </c>
      <c r="F132" s="14">
        <v>7</v>
      </c>
      <c r="G132" s="14" t="s">
        <v>80</v>
      </c>
      <c r="H132" s="14" t="s">
        <v>404</v>
      </c>
      <c r="L132">
        <f t="shared" si="10"/>
        <v>15</v>
      </c>
      <c r="M132">
        <f t="shared" si="11"/>
        <v>56.25</v>
      </c>
    </row>
    <row r="133" spans="2:13" x14ac:dyDescent="0.35">
      <c r="D133" s="14" t="s">
        <v>82</v>
      </c>
      <c r="E133" s="14">
        <v>17</v>
      </c>
      <c r="F133" s="14">
        <v>7</v>
      </c>
      <c r="G133" s="14" t="s">
        <v>77</v>
      </c>
      <c r="H133" s="14" t="s">
        <v>359</v>
      </c>
      <c r="L133">
        <f t="shared" si="10"/>
        <v>10</v>
      </c>
      <c r="M133">
        <f t="shared" si="11"/>
        <v>47.500000000000007</v>
      </c>
    </row>
    <row r="134" spans="2:13" x14ac:dyDescent="0.35">
      <c r="D134" s="14" t="s">
        <v>60</v>
      </c>
      <c r="E134" s="14">
        <v>15</v>
      </c>
      <c r="F134" s="14">
        <v>11</v>
      </c>
      <c r="G134" s="14" t="s">
        <v>66</v>
      </c>
      <c r="H134" s="14" t="s">
        <v>190</v>
      </c>
      <c r="L134">
        <f t="shared" si="10"/>
        <v>4</v>
      </c>
      <c r="M134">
        <f t="shared" si="11"/>
        <v>32.5</v>
      </c>
    </row>
    <row r="135" spans="2:13" x14ac:dyDescent="0.35">
      <c r="C135" t="s">
        <v>445</v>
      </c>
      <c r="D135" s="14" t="s">
        <v>69</v>
      </c>
      <c r="E135" s="14">
        <v>12</v>
      </c>
      <c r="F135" s="14">
        <v>10</v>
      </c>
      <c r="G135" s="14" t="s">
        <v>115</v>
      </c>
      <c r="H135" s="14" t="s">
        <v>295</v>
      </c>
      <c r="L135">
        <f t="shared" si="10"/>
        <v>2</v>
      </c>
      <c r="M135">
        <f t="shared" si="11"/>
        <v>27.5</v>
      </c>
    </row>
    <row r="136" spans="2:13" x14ac:dyDescent="0.35">
      <c r="D136" s="14" t="s">
        <v>52</v>
      </c>
      <c r="E136" s="14">
        <v>13</v>
      </c>
      <c r="F136" s="14">
        <v>7</v>
      </c>
      <c r="G136" s="14" t="s">
        <v>56</v>
      </c>
      <c r="H136" s="14" t="s">
        <v>297</v>
      </c>
      <c r="L136">
        <f t="shared" si="10"/>
        <v>6</v>
      </c>
      <c r="M136">
        <f t="shared" si="11"/>
        <v>37.5</v>
      </c>
    </row>
    <row r="137" spans="2:13" x14ac:dyDescent="0.35">
      <c r="D137" s="14" t="s">
        <v>117</v>
      </c>
      <c r="E137" s="14">
        <v>18</v>
      </c>
      <c r="F137" s="14">
        <v>15</v>
      </c>
      <c r="G137" s="14" t="s">
        <v>51</v>
      </c>
      <c r="H137" s="14" t="s">
        <v>285</v>
      </c>
      <c r="L137">
        <f t="shared" si="10"/>
        <v>3</v>
      </c>
      <c r="M137">
        <f t="shared" si="11"/>
        <v>30</v>
      </c>
    </row>
    <row r="138" spans="2:13" x14ac:dyDescent="0.35">
      <c r="C138" t="s">
        <v>342</v>
      </c>
      <c r="D138" s="14" t="s">
        <v>35</v>
      </c>
      <c r="E138" s="14">
        <v>18</v>
      </c>
      <c r="F138" s="14">
        <v>12</v>
      </c>
      <c r="G138" s="14" t="s">
        <v>43</v>
      </c>
      <c r="H138" s="14" t="s">
        <v>294</v>
      </c>
      <c r="L138">
        <f t="shared" si="10"/>
        <v>6</v>
      </c>
      <c r="M138">
        <f t="shared" si="11"/>
        <v>37.5</v>
      </c>
    </row>
    <row r="139" spans="2:13" x14ac:dyDescent="0.35">
      <c r="C139" t="s">
        <v>349</v>
      </c>
      <c r="D139" s="14" t="s">
        <v>41</v>
      </c>
      <c r="E139" s="14">
        <v>13</v>
      </c>
      <c r="F139" s="14">
        <v>12</v>
      </c>
      <c r="G139" s="14" t="s">
        <v>37</v>
      </c>
      <c r="H139" s="14" t="s">
        <v>446</v>
      </c>
      <c r="I139" t="s">
        <v>477</v>
      </c>
      <c r="L139">
        <f t="shared" si="10"/>
        <v>1</v>
      </c>
      <c r="M139">
        <f t="shared" si="11"/>
        <v>25</v>
      </c>
    </row>
    <row r="140" spans="2:13" x14ac:dyDescent="0.35">
      <c r="D140" s="14" t="s">
        <v>22</v>
      </c>
      <c r="E140" s="14">
        <v>12</v>
      </c>
      <c r="F140" s="14">
        <v>8</v>
      </c>
      <c r="G140" s="14" t="s">
        <v>30</v>
      </c>
      <c r="H140" s="14" t="s">
        <v>447</v>
      </c>
      <c r="L140">
        <f t="shared" si="10"/>
        <v>4</v>
      </c>
      <c r="M140">
        <f t="shared" si="11"/>
        <v>32.5</v>
      </c>
    </row>
    <row r="141" spans="2:13" x14ac:dyDescent="0.35">
      <c r="C141" t="s">
        <v>344</v>
      </c>
      <c r="D141" s="14" t="s">
        <v>32</v>
      </c>
      <c r="E141" s="14">
        <v>19</v>
      </c>
      <c r="F141" s="14">
        <v>13</v>
      </c>
      <c r="G141" s="14" t="s">
        <v>25</v>
      </c>
      <c r="H141" s="14" t="s">
        <v>359</v>
      </c>
      <c r="I141" t="s">
        <v>478</v>
      </c>
      <c r="L141">
        <f t="shared" si="10"/>
        <v>6</v>
      </c>
      <c r="M141">
        <f t="shared" si="11"/>
        <v>37.5</v>
      </c>
    </row>
    <row r="142" spans="2:13" x14ac:dyDescent="0.35">
      <c r="C142" t="s">
        <v>448</v>
      </c>
      <c r="D142" s="14" t="s">
        <v>86</v>
      </c>
      <c r="E142" s="14">
        <v>19</v>
      </c>
      <c r="F142" s="14">
        <v>14</v>
      </c>
      <c r="G142" s="14" t="s">
        <v>78</v>
      </c>
      <c r="H142" s="14" t="s">
        <v>296</v>
      </c>
      <c r="L142">
        <f t="shared" si="10"/>
        <v>5</v>
      </c>
      <c r="M142">
        <f t="shared" si="11"/>
        <v>35</v>
      </c>
    </row>
    <row r="143" spans="2:13" x14ac:dyDescent="0.35">
      <c r="D143" s="14" t="s">
        <v>79</v>
      </c>
      <c r="E143" s="14">
        <v>15</v>
      </c>
      <c r="F143" s="14">
        <v>9</v>
      </c>
      <c r="G143" s="14" t="s">
        <v>87</v>
      </c>
      <c r="H143" s="14" t="s">
        <v>286</v>
      </c>
      <c r="L143">
        <f t="shared" si="10"/>
        <v>6</v>
      </c>
      <c r="M143">
        <f t="shared" si="11"/>
        <v>37.5</v>
      </c>
    </row>
    <row r="144" spans="2:13" x14ac:dyDescent="0.35">
      <c r="D144" s="14" t="s">
        <v>76</v>
      </c>
      <c r="E144" s="14">
        <v>17</v>
      </c>
      <c r="F144" s="14">
        <v>16</v>
      </c>
      <c r="G144" s="14" t="s">
        <v>81</v>
      </c>
      <c r="H144" s="14" t="s">
        <v>301</v>
      </c>
      <c r="L144">
        <f t="shared" si="10"/>
        <v>1</v>
      </c>
      <c r="M144">
        <f t="shared" si="11"/>
        <v>25</v>
      </c>
    </row>
    <row r="145" spans="3:13" x14ac:dyDescent="0.35">
      <c r="D145" s="14" t="s">
        <v>75</v>
      </c>
      <c r="E145" s="14">
        <v>13</v>
      </c>
      <c r="F145" s="14">
        <v>12</v>
      </c>
      <c r="G145" s="14" t="s">
        <v>85</v>
      </c>
      <c r="H145" s="14" t="s">
        <v>299</v>
      </c>
      <c r="L145">
        <f t="shared" si="10"/>
        <v>1</v>
      </c>
      <c r="M145">
        <f t="shared" si="11"/>
        <v>25</v>
      </c>
    </row>
    <row r="146" spans="3:13" x14ac:dyDescent="0.35">
      <c r="D146" s="14" t="s">
        <v>61</v>
      </c>
      <c r="E146" s="14">
        <v>16</v>
      </c>
      <c r="F146" s="14">
        <v>12</v>
      </c>
      <c r="G146" s="14" t="s">
        <v>68</v>
      </c>
      <c r="H146" s="14" t="s">
        <v>337</v>
      </c>
      <c r="L146">
        <f t="shared" si="10"/>
        <v>4</v>
      </c>
      <c r="M146">
        <f t="shared" si="11"/>
        <v>32.5</v>
      </c>
    </row>
    <row r="147" spans="3:13" x14ac:dyDescent="0.35">
      <c r="D147" s="14" t="s">
        <v>114</v>
      </c>
      <c r="E147" s="14">
        <v>20</v>
      </c>
      <c r="F147" s="14">
        <v>12</v>
      </c>
      <c r="G147" s="14" t="s">
        <v>62</v>
      </c>
      <c r="H147" s="14" t="s">
        <v>201</v>
      </c>
      <c r="L147">
        <f t="shared" si="10"/>
        <v>8</v>
      </c>
      <c r="M147">
        <f t="shared" si="11"/>
        <v>42.5</v>
      </c>
    </row>
    <row r="148" spans="3:13" x14ac:dyDescent="0.35">
      <c r="D148" s="14" t="s">
        <v>72</v>
      </c>
      <c r="E148" s="14">
        <v>11</v>
      </c>
      <c r="F148" s="14">
        <v>8</v>
      </c>
      <c r="G148" s="14" t="s">
        <v>65</v>
      </c>
      <c r="H148" s="14" t="s">
        <v>403</v>
      </c>
      <c r="L148">
        <f t="shared" si="10"/>
        <v>3</v>
      </c>
      <c r="M148">
        <f t="shared" si="11"/>
        <v>30</v>
      </c>
    </row>
    <row r="149" spans="3:13" x14ac:dyDescent="0.35">
      <c r="C149" t="s">
        <v>449</v>
      </c>
      <c r="D149" s="14" t="s">
        <v>71</v>
      </c>
      <c r="E149" s="14">
        <v>15</v>
      </c>
      <c r="F149" s="14">
        <v>8</v>
      </c>
      <c r="G149" s="14" t="s">
        <v>63</v>
      </c>
      <c r="H149" s="14" t="s">
        <v>291</v>
      </c>
      <c r="L149">
        <f t="shared" si="10"/>
        <v>7</v>
      </c>
      <c r="M149">
        <f t="shared" si="11"/>
        <v>40</v>
      </c>
    </row>
    <row r="150" spans="3:13" x14ac:dyDescent="0.35">
      <c r="C150" t="s">
        <v>338</v>
      </c>
      <c r="D150" s="14" t="s">
        <v>50</v>
      </c>
      <c r="E150" s="14">
        <v>13</v>
      </c>
      <c r="F150" s="14">
        <v>9</v>
      </c>
      <c r="G150" s="14" t="s">
        <v>300</v>
      </c>
      <c r="H150" s="14" t="s">
        <v>186</v>
      </c>
      <c r="L150">
        <f t="shared" si="10"/>
        <v>4</v>
      </c>
      <c r="M150">
        <f t="shared" si="11"/>
        <v>32.5</v>
      </c>
    </row>
    <row r="151" spans="3:13" x14ac:dyDescent="0.35">
      <c r="D151" s="14" t="s">
        <v>57</v>
      </c>
      <c r="E151" s="14">
        <v>14</v>
      </c>
      <c r="F151" s="14">
        <v>13</v>
      </c>
      <c r="G151" s="14" t="s">
        <v>54</v>
      </c>
      <c r="H151" s="14" t="s">
        <v>281</v>
      </c>
      <c r="L151">
        <f t="shared" si="10"/>
        <v>1</v>
      </c>
      <c r="M151">
        <f t="shared" si="11"/>
        <v>25</v>
      </c>
    </row>
    <row r="152" spans="3:13" x14ac:dyDescent="0.35">
      <c r="D152" s="14" t="s">
        <v>47</v>
      </c>
      <c r="E152" s="14">
        <v>15</v>
      </c>
      <c r="F152" s="14">
        <v>8</v>
      </c>
      <c r="G152" s="14" t="s">
        <v>118</v>
      </c>
      <c r="H152" s="14" t="s">
        <v>450</v>
      </c>
      <c r="L152">
        <f t="shared" si="10"/>
        <v>7</v>
      </c>
      <c r="M152">
        <f t="shared" si="11"/>
        <v>40</v>
      </c>
    </row>
    <row r="153" spans="3:13" x14ac:dyDescent="0.35">
      <c r="D153" s="14" t="s">
        <v>49</v>
      </c>
      <c r="E153" s="14">
        <v>19</v>
      </c>
      <c r="F153" s="14">
        <v>3</v>
      </c>
      <c r="G153" s="14" t="s">
        <v>55</v>
      </c>
      <c r="H153" s="14" t="s">
        <v>451</v>
      </c>
      <c r="L153">
        <f t="shared" si="10"/>
        <v>16</v>
      </c>
      <c r="M153">
        <f t="shared" si="11"/>
        <v>57.5</v>
      </c>
    </row>
    <row r="154" spans="3:13" x14ac:dyDescent="0.35">
      <c r="C154" t="s">
        <v>399</v>
      </c>
      <c r="D154" s="14" t="s">
        <v>38</v>
      </c>
      <c r="E154" s="14">
        <v>14</v>
      </c>
      <c r="F154" s="14">
        <v>11</v>
      </c>
      <c r="G154" s="14" t="s">
        <v>1858</v>
      </c>
      <c r="H154" s="14" t="s">
        <v>181</v>
      </c>
      <c r="L154">
        <f t="shared" si="10"/>
        <v>3</v>
      </c>
      <c r="M154">
        <f t="shared" si="11"/>
        <v>30</v>
      </c>
    </row>
    <row r="155" spans="3:13" x14ac:dyDescent="0.35">
      <c r="C155" t="s">
        <v>452</v>
      </c>
      <c r="D155" s="14" t="s">
        <v>900</v>
      </c>
      <c r="E155" s="14">
        <v>21</v>
      </c>
      <c r="F155" s="14">
        <v>8</v>
      </c>
      <c r="G155" s="14" t="s">
        <v>46</v>
      </c>
      <c r="H155" s="14" t="s">
        <v>404</v>
      </c>
      <c r="L155">
        <f t="shared" si="10"/>
        <v>13</v>
      </c>
      <c r="M155">
        <f t="shared" si="11"/>
        <v>53.75</v>
      </c>
    </row>
    <row r="156" spans="3:13" x14ac:dyDescent="0.35">
      <c r="C156" t="s">
        <v>352</v>
      </c>
      <c r="D156" s="14" t="s">
        <v>45</v>
      </c>
      <c r="E156" s="14">
        <v>16</v>
      </c>
      <c r="F156" s="14">
        <v>3</v>
      </c>
      <c r="G156" s="14" t="s">
        <v>2011</v>
      </c>
      <c r="H156" s="14" t="s">
        <v>341</v>
      </c>
      <c r="L156">
        <f t="shared" si="10"/>
        <v>13</v>
      </c>
      <c r="M156">
        <f t="shared" si="11"/>
        <v>53.75</v>
      </c>
    </row>
    <row r="157" spans="3:13" x14ac:dyDescent="0.35">
      <c r="C157" t="s">
        <v>454</v>
      </c>
      <c r="D157" s="14" t="s">
        <v>39</v>
      </c>
      <c r="E157" s="14">
        <v>17</v>
      </c>
      <c r="F157" s="14">
        <v>16</v>
      </c>
      <c r="G157" s="14" t="s">
        <v>1859</v>
      </c>
      <c r="H157" s="14" t="s">
        <v>453</v>
      </c>
      <c r="L157">
        <f t="shared" si="10"/>
        <v>1</v>
      </c>
      <c r="M157">
        <f t="shared" si="11"/>
        <v>25</v>
      </c>
    </row>
    <row r="158" spans="3:13" x14ac:dyDescent="0.35">
      <c r="C158" t="s">
        <v>455</v>
      </c>
      <c r="D158" s="14" t="s">
        <v>1860</v>
      </c>
      <c r="E158" s="14">
        <v>22</v>
      </c>
      <c r="F158" s="14">
        <v>11</v>
      </c>
      <c r="G158" s="14" t="s">
        <v>31</v>
      </c>
      <c r="H158" s="14" t="s">
        <v>331</v>
      </c>
      <c r="L158">
        <f t="shared" si="10"/>
        <v>11</v>
      </c>
      <c r="M158">
        <f t="shared" si="11"/>
        <v>49.999999999999993</v>
      </c>
    </row>
    <row r="159" spans="3:13" x14ac:dyDescent="0.35">
      <c r="D159" s="14" t="s">
        <v>26</v>
      </c>
      <c r="E159" s="14">
        <v>19</v>
      </c>
      <c r="F159" s="14">
        <v>7</v>
      </c>
      <c r="G159" s="14" t="s">
        <v>29</v>
      </c>
      <c r="H159" s="14" t="s">
        <v>360</v>
      </c>
      <c r="L159">
        <f t="shared" si="10"/>
        <v>12</v>
      </c>
      <c r="M159">
        <f t="shared" si="11"/>
        <v>52.5</v>
      </c>
    </row>
    <row r="160" spans="3:13" x14ac:dyDescent="0.35">
      <c r="D160" s="14" t="s">
        <v>34</v>
      </c>
      <c r="E160" s="14">
        <v>23</v>
      </c>
      <c r="F160" s="14">
        <v>7</v>
      </c>
      <c r="G160" s="14" t="s">
        <v>27</v>
      </c>
      <c r="H160" s="14" t="s">
        <v>404</v>
      </c>
      <c r="L160">
        <f t="shared" si="10"/>
        <v>16</v>
      </c>
      <c r="M160">
        <f t="shared" si="11"/>
        <v>57.5</v>
      </c>
    </row>
    <row r="161" spans="3:13" ht="15" thickBot="1" x14ac:dyDescent="0.4">
      <c r="C161" s="12" t="s">
        <v>456</v>
      </c>
      <c r="D161" s="23" t="s">
        <v>24</v>
      </c>
      <c r="E161" s="23">
        <v>25</v>
      </c>
      <c r="F161" s="23">
        <v>5</v>
      </c>
      <c r="G161" s="23" t="s">
        <v>292</v>
      </c>
      <c r="H161" s="23" t="s">
        <v>450</v>
      </c>
      <c r="I161" s="12"/>
      <c r="L161">
        <f t="shared" si="10"/>
        <v>20</v>
      </c>
      <c r="M161">
        <f t="shared" si="11"/>
        <v>62.500000000000007</v>
      </c>
    </row>
    <row r="162" spans="3:13" x14ac:dyDescent="0.35">
      <c r="C162" s="14" t="s">
        <v>362</v>
      </c>
      <c r="D162" s="14" t="s">
        <v>79</v>
      </c>
      <c r="E162" s="14">
        <v>13</v>
      </c>
      <c r="F162" s="14">
        <v>4</v>
      </c>
      <c r="G162" s="14" t="s">
        <v>74</v>
      </c>
      <c r="H162" s="14" t="s">
        <v>418</v>
      </c>
      <c r="L162">
        <f t="shared" si="10"/>
        <v>9</v>
      </c>
      <c r="M162">
        <f t="shared" si="11"/>
        <v>45</v>
      </c>
    </row>
    <row r="163" spans="3:13" x14ac:dyDescent="0.35">
      <c r="D163" s="14" t="s">
        <v>84</v>
      </c>
      <c r="E163" s="14">
        <v>19</v>
      </c>
      <c r="F163" s="14">
        <v>13</v>
      </c>
      <c r="G163" s="14" t="s">
        <v>86</v>
      </c>
      <c r="H163" s="14" t="s">
        <v>465</v>
      </c>
      <c r="L163">
        <f t="shared" si="10"/>
        <v>6</v>
      </c>
      <c r="M163">
        <f t="shared" si="11"/>
        <v>37.5</v>
      </c>
    </row>
    <row r="164" spans="3:13" x14ac:dyDescent="0.35">
      <c r="C164" t="s">
        <v>466</v>
      </c>
      <c r="D164" s="14" t="s">
        <v>114</v>
      </c>
      <c r="E164" s="14">
        <v>22</v>
      </c>
      <c r="F164" s="14">
        <v>17</v>
      </c>
      <c r="G164" s="14" t="s">
        <v>67</v>
      </c>
      <c r="H164" s="14" t="s">
        <v>290</v>
      </c>
      <c r="L164">
        <f t="shared" si="10"/>
        <v>5</v>
      </c>
      <c r="M164">
        <f t="shared" si="11"/>
        <v>35</v>
      </c>
    </row>
    <row r="165" spans="3:13" x14ac:dyDescent="0.35">
      <c r="D165" s="14" t="s">
        <v>59</v>
      </c>
      <c r="E165" s="14">
        <v>12</v>
      </c>
      <c r="F165" s="14">
        <v>10</v>
      </c>
      <c r="G165" s="14" t="s">
        <v>61</v>
      </c>
      <c r="H165" s="14" t="s">
        <v>190</v>
      </c>
      <c r="L165">
        <f t="shared" si="10"/>
        <v>2</v>
      </c>
      <c r="M165">
        <f t="shared" si="11"/>
        <v>27.5</v>
      </c>
    </row>
    <row r="166" spans="3:13" x14ac:dyDescent="0.35">
      <c r="C166" t="s">
        <v>467</v>
      </c>
      <c r="D166" s="14" t="s">
        <v>57</v>
      </c>
      <c r="E166" s="14">
        <v>16</v>
      </c>
      <c r="F166" s="14">
        <v>7</v>
      </c>
      <c r="G166" s="14" t="s">
        <v>48</v>
      </c>
      <c r="H166" s="14" t="s">
        <v>200</v>
      </c>
      <c r="L166">
        <f t="shared" si="10"/>
        <v>9</v>
      </c>
      <c r="M166">
        <f t="shared" si="11"/>
        <v>45</v>
      </c>
    </row>
    <row r="167" spans="3:13" x14ac:dyDescent="0.35">
      <c r="C167" t="s">
        <v>468</v>
      </c>
      <c r="D167" s="14" t="s">
        <v>53</v>
      </c>
      <c r="E167" s="14">
        <v>21</v>
      </c>
      <c r="F167" s="14">
        <v>17</v>
      </c>
      <c r="G167" s="14" t="s">
        <v>300</v>
      </c>
      <c r="H167" s="14" t="s">
        <v>184</v>
      </c>
      <c r="L167">
        <f t="shared" si="10"/>
        <v>4</v>
      </c>
      <c r="M167">
        <f t="shared" si="11"/>
        <v>32.5</v>
      </c>
    </row>
    <row r="168" spans="3:13" x14ac:dyDescent="0.35">
      <c r="C168" t="s">
        <v>470</v>
      </c>
      <c r="D168" s="14" t="s">
        <v>900</v>
      </c>
      <c r="E168" s="14">
        <v>20</v>
      </c>
      <c r="F168" s="14">
        <v>11</v>
      </c>
      <c r="G168" s="14" t="s">
        <v>40</v>
      </c>
      <c r="H168" s="14" t="s">
        <v>337</v>
      </c>
      <c r="I168" t="s">
        <v>469</v>
      </c>
      <c r="L168">
        <f t="shared" si="10"/>
        <v>9</v>
      </c>
      <c r="M168">
        <f t="shared" si="11"/>
        <v>45</v>
      </c>
    </row>
    <row r="169" spans="3:13" x14ac:dyDescent="0.35">
      <c r="C169" t="s">
        <v>422</v>
      </c>
      <c r="D169" s="14" t="s">
        <v>44</v>
      </c>
      <c r="E169" s="14">
        <v>20</v>
      </c>
      <c r="F169" s="14">
        <v>19</v>
      </c>
      <c r="G169" s="14" t="s">
        <v>1858</v>
      </c>
      <c r="H169" s="14" t="s">
        <v>471</v>
      </c>
      <c r="I169" t="s">
        <v>479</v>
      </c>
      <c r="L169">
        <f t="shared" si="10"/>
        <v>1</v>
      </c>
      <c r="M169">
        <f t="shared" si="11"/>
        <v>25</v>
      </c>
    </row>
    <row r="170" spans="3:13" x14ac:dyDescent="0.35">
      <c r="C170" t="s">
        <v>370</v>
      </c>
      <c r="D170" s="14" t="s">
        <v>23</v>
      </c>
      <c r="E170" s="14">
        <v>24</v>
      </c>
      <c r="F170" s="14">
        <v>11</v>
      </c>
      <c r="G170" s="14" t="s">
        <v>26</v>
      </c>
      <c r="H170" s="14" t="s">
        <v>359</v>
      </c>
      <c r="L170">
        <f t="shared" ref="L170:L233" si="12">E170-F170</f>
        <v>13</v>
      </c>
      <c r="M170">
        <f t="shared" si="11"/>
        <v>53.75</v>
      </c>
    </row>
    <row r="171" spans="3:13" x14ac:dyDescent="0.35">
      <c r="D171" s="14" t="s">
        <v>28</v>
      </c>
      <c r="E171" s="14">
        <v>19</v>
      </c>
      <c r="F171" s="14">
        <v>13</v>
      </c>
      <c r="G171" s="14" t="s">
        <v>31</v>
      </c>
      <c r="H171" s="14" t="s">
        <v>290</v>
      </c>
      <c r="L171">
        <f t="shared" si="12"/>
        <v>6</v>
      </c>
      <c r="M171">
        <f t="shared" si="11"/>
        <v>37.5</v>
      </c>
    </row>
    <row r="172" spans="3:13" x14ac:dyDescent="0.35">
      <c r="D172" s="14" t="s">
        <v>75</v>
      </c>
      <c r="E172" s="14">
        <v>19</v>
      </c>
      <c r="F172" s="14">
        <v>16</v>
      </c>
      <c r="G172" s="14" t="s">
        <v>80</v>
      </c>
      <c r="H172" s="14" t="s">
        <v>185</v>
      </c>
      <c r="L172">
        <f t="shared" si="12"/>
        <v>3</v>
      </c>
      <c r="M172">
        <f t="shared" si="11"/>
        <v>30</v>
      </c>
    </row>
    <row r="173" spans="3:13" x14ac:dyDescent="0.35">
      <c r="D173" s="14" t="s">
        <v>82</v>
      </c>
      <c r="E173" s="14">
        <v>18</v>
      </c>
      <c r="F173" s="14">
        <v>14</v>
      </c>
      <c r="G173" s="14" t="s">
        <v>81</v>
      </c>
      <c r="H173" s="14" t="s">
        <v>472</v>
      </c>
      <c r="L173">
        <f t="shared" si="12"/>
        <v>4</v>
      </c>
      <c r="M173">
        <f t="shared" si="11"/>
        <v>32.5</v>
      </c>
    </row>
    <row r="174" spans="3:13" x14ac:dyDescent="0.35">
      <c r="C174" t="s">
        <v>345</v>
      </c>
      <c r="D174" s="14" t="s">
        <v>66</v>
      </c>
      <c r="E174" s="14">
        <v>24</v>
      </c>
      <c r="F174" s="14">
        <v>23</v>
      </c>
      <c r="G174" s="14" t="s">
        <v>71</v>
      </c>
      <c r="H174" s="14" t="s">
        <v>481</v>
      </c>
      <c r="I174" t="s">
        <v>480</v>
      </c>
      <c r="L174">
        <f t="shared" si="12"/>
        <v>1</v>
      </c>
      <c r="M174">
        <f t="shared" si="11"/>
        <v>25</v>
      </c>
    </row>
    <row r="175" spans="3:13" x14ac:dyDescent="0.35">
      <c r="D175" s="14" t="s">
        <v>65</v>
      </c>
      <c r="E175" s="14">
        <v>24</v>
      </c>
      <c r="F175" s="14">
        <v>13</v>
      </c>
      <c r="G175" s="14" t="s">
        <v>115</v>
      </c>
      <c r="H175" s="14" t="s">
        <v>482</v>
      </c>
      <c r="L175">
        <f t="shared" si="12"/>
        <v>11</v>
      </c>
      <c r="M175">
        <f t="shared" si="11"/>
        <v>49.999999999999993</v>
      </c>
    </row>
    <row r="176" spans="3:13" x14ac:dyDescent="0.35">
      <c r="D176" s="14" t="s">
        <v>49</v>
      </c>
      <c r="E176" s="14">
        <v>19</v>
      </c>
      <c r="F176" s="14">
        <v>12</v>
      </c>
      <c r="G176" s="14" t="s">
        <v>52</v>
      </c>
      <c r="H176" s="14" t="s">
        <v>194</v>
      </c>
      <c r="L176">
        <f t="shared" si="12"/>
        <v>7</v>
      </c>
      <c r="M176">
        <f t="shared" si="11"/>
        <v>40</v>
      </c>
    </row>
    <row r="177" spans="3:13" x14ac:dyDescent="0.35">
      <c r="D177" s="14" t="s">
        <v>118</v>
      </c>
      <c r="E177" s="14">
        <v>13</v>
      </c>
      <c r="F177" s="14">
        <v>11</v>
      </c>
      <c r="G177" s="14" t="s">
        <v>117</v>
      </c>
      <c r="H177" s="14" t="s">
        <v>337</v>
      </c>
      <c r="L177">
        <f t="shared" si="12"/>
        <v>2</v>
      </c>
      <c r="M177">
        <f t="shared" si="11"/>
        <v>27.5</v>
      </c>
    </row>
    <row r="178" spans="3:13" x14ac:dyDescent="0.35">
      <c r="C178" t="s">
        <v>483</v>
      </c>
      <c r="D178" s="14" t="s">
        <v>39</v>
      </c>
      <c r="E178" s="14">
        <v>20</v>
      </c>
      <c r="F178" s="14">
        <v>9</v>
      </c>
      <c r="G178" s="14" t="s">
        <v>35</v>
      </c>
      <c r="H178" s="14" t="s">
        <v>360</v>
      </c>
      <c r="L178">
        <f t="shared" si="12"/>
        <v>11</v>
      </c>
      <c r="M178">
        <f t="shared" si="11"/>
        <v>49.999999999999993</v>
      </c>
    </row>
    <row r="179" spans="3:13" x14ac:dyDescent="0.35">
      <c r="C179" t="s">
        <v>485</v>
      </c>
      <c r="D179" s="14" t="s">
        <v>41</v>
      </c>
      <c r="E179" s="14">
        <v>17</v>
      </c>
      <c r="F179" s="14">
        <v>15</v>
      </c>
      <c r="G179" s="14" t="s">
        <v>45</v>
      </c>
      <c r="H179" s="14" t="s">
        <v>301</v>
      </c>
      <c r="I179" t="s">
        <v>484</v>
      </c>
      <c r="L179">
        <f t="shared" si="12"/>
        <v>2</v>
      </c>
      <c r="M179">
        <f t="shared" si="11"/>
        <v>27.5</v>
      </c>
    </row>
    <row r="180" spans="3:13" x14ac:dyDescent="0.35">
      <c r="D180" s="14" t="s">
        <v>34</v>
      </c>
      <c r="E180" s="14">
        <v>22</v>
      </c>
      <c r="F180" s="14">
        <v>10</v>
      </c>
      <c r="G180" s="14" t="s">
        <v>22</v>
      </c>
      <c r="H180" s="14" t="s">
        <v>201</v>
      </c>
      <c r="L180">
        <f t="shared" si="12"/>
        <v>12</v>
      </c>
      <c r="M180">
        <f t="shared" si="11"/>
        <v>52.5</v>
      </c>
    </row>
    <row r="181" spans="3:13" x14ac:dyDescent="0.35">
      <c r="C181" t="s">
        <v>338</v>
      </c>
      <c r="D181" s="14" t="s">
        <v>32</v>
      </c>
      <c r="E181" s="14">
        <v>15</v>
      </c>
      <c r="F181" s="14">
        <v>12</v>
      </c>
      <c r="G181" s="14" t="s">
        <v>292</v>
      </c>
      <c r="H181" s="14" t="s">
        <v>301</v>
      </c>
      <c r="I181" t="s">
        <v>486</v>
      </c>
      <c r="L181">
        <f t="shared" si="12"/>
        <v>3</v>
      </c>
      <c r="M181">
        <f t="shared" si="11"/>
        <v>30</v>
      </c>
    </row>
    <row r="182" spans="3:13" x14ac:dyDescent="0.35">
      <c r="D182" s="14" t="s">
        <v>73</v>
      </c>
      <c r="E182" s="14">
        <v>23</v>
      </c>
      <c r="F182" s="14">
        <v>3</v>
      </c>
      <c r="G182" s="14" t="s">
        <v>78</v>
      </c>
      <c r="H182" s="14" t="s">
        <v>487</v>
      </c>
      <c r="L182">
        <f t="shared" si="12"/>
        <v>20</v>
      </c>
      <c r="M182">
        <f t="shared" si="11"/>
        <v>62.500000000000007</v>
      </c>
    </row>
    <row r="183" spans="3:13" x14ac:dyDescent="0.35">
      <c r="D183" s="14" t="s">
        <v>87</v>
      </c>
      <c r="E183" s="14">
        <v>18</v>
      </c>
      <c r="F183" s="14">
        <v>16</v>
      </c>
      <c r="G183" s="14" t="s">
        <v>88</v>
      </c>
      <c r="H183" s="14" t="s">
        <v>369</v>
      </c>
      <c r="L183">
        <f t="shared" si="12"/>
        <v>2</v>
      </c>
      <c r="M183">
        <f t="shared" si="11"/>
        <v>27.5</v>
      </c>
    </row>
    <row r="184" spans="3:13" x14ac:dyDescent="0.35">
      <c r="D184" s="14" t="s">
        <v>77</v>
      </c>
      <c r="E184" s="14">
        <v>14</v>
      </c>
      <c r="F184" s="14">
        <v>7</v>
      </c>
      <c r="G184" s="14" t="s">
        <v>76</v>
      </c>
      <c r="H184" s="14" t="s">
        <v>291</v>
      </c>
      <c r="L184">
        <f t="shared" si="12"/>
        <v>7</v>
      </c>
      <c r="M184">
        <f t="shared" si="11"/>
        <v>40</v>
      </c>
    </row>
    <row r="185" spans="3:13" x14ac:dyDescent="0.35">
      <c r="D185" s="14" t="s">
        <v>85</v>
      </c>
      <c r="E185" s="14">
        <v>11</v>
      </c>
      <c r="F185" s="14">
        <v>7</v>
      </c>
      <c r="G185" s="14" t="s">
        <v>83</v>
      </c>
      <c r="H185" s="14" t="s">
        <v>360</v>
      </c>
      <c r="L185">
        <f t="shared" si="12"/>
        <v>4</v>
      </c>
      <c r="M185">
        <f t="shared" si="11"/>
        <v>32.5</v>
      </c>
    </row>
    <row r="186" spans="3:13" x14ac:dyDescent="0.35">
      <c r="D186" s="14" t="s">
        <v>70</v>
      </c>
      <c r="E186" s="14">
        <v>24</v>
      </c>
      <c r="F186" s="14">
        <v>2</v>
      </c>
      <c r="G186" s="14" t="s">
        <v>68</v>
      </c>
      <c r="H186" s="14" t="s">
        <v>487</v>
      </c>
      <c r="L186">
        <f t="shared" si="12"/>
        <v>22</v>
      </c>
      <c r="M186">
        <f t="shared" si="11"/>
        <v>65</v>
      </c>
    </row>
    <row r="187" spans="3:13" x14ac:dyDescent="0.35">
      <c r="D187" s="14" t="s">
        <v>62</v>
      </c>
      <c r="E187" s="14">
        <v>13</v>
      </c>
      <c r="F187" s="14">
        <v>11</v>
      </c>
      <c r="G187" s="14" t="s">
        <v>64</v>
      </c>
      <c r="H187" s="14" t="s">
        <v>488</v>
      </c>
      <c r="L187">
        <f t="shared" si="12"/>
        <v>2</v>
      </c>
      <c r="M187">
        <f t="shared" si="11"/>
        <v>27.5</v>
      </c>
    </row>
    <row r="188" spans="3:13" x14ac:dyDescent="0.35">
      <c r="C188" t="s">
        <v>333</v>
      </c>
      <c r="D188" s="14" t="s">
        <v>69</v>
      </c>
      <c r="E188" s="14">
        <v>22</v>
      </c>
      <c r="F188" s="14">
        <v>4</v>
      </c>
      <c r="G188" s="14" t="s">
        <v>72</v>
      </c>
      <c r="H188" s="14" t="s">
        <v>489</v>
      </c>
      <c r="L188">
        <f t="shared" si="12"/>
        <v>18</v>
      </c>
      <c r="M188">
        <f t="shared" si="11"/>
        <v>60</v>
      </c>
    </row>
    <row r="189" spans="3:13" x14ac:dyDescent="0.35">
      <c r="D189" s="14" t="s">
        <v>63</v>
      </c>
      <c r="E189" s="14">
        <v>16</v>
      </c>
      <c r="F189" s="14">
        <v>10</v>
      </c>
      <c r="G189" s="14" t="s">
        <v>60</v>
      </c>
      <c r="H189" s="14" t="s">
        <v>295</v>
      </c>
      <c r="I189" t="s">
        <v>490</v>
      </c>
      <c r="L189">
        <f t="shared" si="12"/>
        <v>6</v>
      </c>
      <c r="M189">
        <f t="shared" si="11"/>
        <v>37.5</v>
      </c>
    </row>
    <row r="190" spans="3:13" x14ac:dyDescent="0.35">
      <c r="C190" t="s">
        <v>330</v>
      </c>
      <c r="D190" s="14" t="s">
        <v>50</v>
      </c>
      <c r="E190" s="14">
        <v>11</v>
      </c>
      <c r="F190" s="14">
        <v>5</v>
      </c>
      <c r="G190" s="14" t="s">
        <v>58</v>
      </c>
      <c r="H190" s="14" t="s">
        <v>281</v>
      </c>
      <c r="L190">
        <f t="shared" si="12"/>
        <v>6</v>
      </c>
      <c r="M190">
        <f t="shared" si="11"/>
        <v>37.5</v>
      </c>
    </row>
    <row r="191" spans="3:13" x14ac:dyDescent="0.35">
      <c r="D191" s="14" t="s">
        <v>145</v>
      </c>
      <c r="E191" s="14">
        <v>15</v>
      </c>
      <c r="F191" s="14">
        <v>8</v>
      </c>
      <c r="G191" s="14" t="s">
        <v>54</v>
      </c>
      <c r="H191" s="14" t="s">
        <v>331</v>
      </c>
      <c r="L191">
        <f t="shared" si="12"/>
        <v>7</v>
      </c>
      <c r="M191">
        <f t="shared" si="11"/>
        <v>40</v>
      </c>
    </row>
    <row r="192" spans="3:13" x14ac:dyDescent="0.35">
      <c r="C192" t="s">
        <v>399</v>
      </c>
      <c r="D192" s="14" t="s">
        <v>47</v>
      </c>
      <c r="E192" s="14">
        <v>13</v>
      </c>
      <c r="F192" s="14">
        <v>10</v>
      </c>
      <c r="G192" s="14" t="s">
        <v>51</v>
      </c>
      <c r="H192" s="14" t="s">
        <v>181</v>
      </c>
      <c r="I192" t="s">
        <v>491</v>
      </c>
      <c r="L192">
        <f t="shared" si="12"/>
        <v>3</v>
      </c>
      <c r="M192">
        <f t="shared" si="11"/>
        <v>30</v>
      </c>
    </row>
    <row r="193" spans="3:13" x14ac:dyDescent="0.35">
      <c r="D193" s="14" t="s">
        <v>55</v>
      </c>
      <c r="E193" s="14">
        <v>17</v>
      </c>
      <c r="F193" s="14">
        <v>8</v>
      </c>
      <c r="G193" s="14" t="s">
        <v>56</v>
      </c>
      <c r="H193" s="14" t="s">
        <v>403</v>
      </c>
      <c r="L193">
        <f t="shared" si="12"/>
        <v>9</v>
      </c>
      <c r="M193">
        <f t="shared" si="11"/>
        <v>45</v>
      </c>
    </row>
    <row r="194" spans="3:13" x14ac:dyDescent="0.35">
      <c r="C194" t="s">
        <v>402</v>
      </c>
      <c r="D194" s="14" t="s">
        <v>38</v>
      </c>
      <c r="E194" s="14">
        <v>15</v>
      </c>
      <c r="F194" s="14">
        <v>11</v>
      </c>
      <c r="G194" s="14" t="s">
        <v>36</v>
      </c>
      <c r="H194" s="14" t="s">
        <v>493</v>
      </c>
      <c r="I194" t="s">
        <v>492</v>
      </c>
      <c r="L194">
        <f t="shared" si="12"/>
        <v>4</v>
      </c>
      <c r="M194">
        <f t="shared" si="11"/>
        <v>32.5</v>
      </c>
    </row>
    <row r="195" spans="3:13" x14ac:dyDescent="0.35">
      <c r="C195" t="s">
        <v>333</v>
      </c>
      <c r="D195" s="14" t="s">
        <v>46</v>
      </c>
      <c r="E195" s="14">
        <v>20</v>
      </c>
      <c r="F195" s="14">
        <v>8</v>
      </c>
      <c r="G195" s="14" t="s">
        <v>42</v>
      </c>
      <c r="H195" s="14" t="s">
        <v>186</v>
      </c>
      <c r="L195">
        <f t="shared" si="12"/>
        <v>12</v>
      </c>
      <c r="M195">
        <f t="shared" ref="M195:M258" si="13">30*(IF(L195&lt;13,1+((L195-3)/12),1.75+((L195-12)/24)))</f>
        <v>52.5</v>
      </c>
    </row>
    <row r="196" spans="3:13" x14ac:dyDescent="0.35">
      <c r="D196" s="14" t="s">
        <v>2011</v>
      </c>
      <c r="E196" s="14">
        <v>15</v>
      </c>
      <c r="F196" s="14">
        <v>9</v>
      </c>
      <c r="G196" s="14" t="s">
        <v>37</v>
      </c>
      <c r="H196" s="14" t="s">
        <v>281</v>
      </c>
      <c r="L196">
        <f t="shared" si="12"/>
        <v>6</v>
      </c>
      <c r="M196">
        <f t="shared" si="13"/>
        <v>37.5</v>
      </c>
    </row>
    <row r="197" spans="3:13" x14ac:dyDescent="0.35">
      <c r="D197" s="14" t="s">
        <v>1859</v>
      </c>
      <c r="E197" s="14">
        <v>15</v>
      </c>
      <c r="F197" s="14">
        <v>9</v>
      </c>
      <c r="G197" s="14" t="s">
        <v>43</v>
      </c>
      <c r="H197" s="14" t="s">
        <v>331</v>
      </c>
      <c r="L197">
        <f t="shared" si="12"/>
        <v>6</v>
      </c>
      <c r="M197">
        <f t="shared" si="13"/>
        <v>37.5</v>
      </c>
    </row>
    <row r="198" spans="3:13" x14ac:dyDescent="0.35">
      <c r="C198" t="s">
        <v>494</v>
      </c>
      <c r="D198" s="14" t="s">
        <v>33</v>
      </c>
      <c r="E198" s="14">
        <v>14</v>
      </c>
      <c r="F198" s="14">
        <v>9</v>
      </c>
      <c r="G198" s="14" t="s">
        <v>1860</v>
      </c>
      <c r="H198" s="14" t="s">
        <v>334</v>
      </c>
      <c r="L198">
        <f t="shared" si="12"/>
        <v>5</v>
      </c>
      <c r="M198">
        <f t="shared" si="13"/>
        <v>35</v>
      </c>
    </row>
    <row r="199" spans="3:13" x14ac:dyDescent="0.35">
      <c r="C199" t="s">
        <v>449</v>
      </c>
      <c r="D199" s="14" t="s">
        <v>119</v>
      </c>
      <c r="E199" s="14">
        <v>21</v>
      </c>
      <c r="F199" s="14">
        <v>9</v>
      </c>
      <c r="G199" s="14" t="s">
        <v>29</v>
      </c>
      <c r="H199" s="14" t="s">
        <v>184</v>
      </c>
      <c r="L199">
        <f t="shared" si="12"/>
        <v>12</v>
      </c>
      <c r="M199">
        <f t="shared" si="13"/>
        <v>52.5</v>
      </c>
    </row>
    <row r="200" spans="3:13" x14ac:dyDescent="0.35">
      <c r="D200" s="14" t="s">
        <v>27</v>
      </c>
      <c r="E200" s="14">
        <v>20</v>
      </c>
      <c r="F200" s="14">
        <v>6</v>
      </c>
      <c r="G200" s="14" t="s">
        <v>30</v>
      </c>
      <c r="H200" s="14" t="s">
        <v>495</v>
      </c>
      <c r="L200">
        <f t="shared" si="12"/>
        <v>14</v>
      </c>
      <c r="M200">
        <f t="shared" si="13"/>
        <v>55</v>
      </c>
    </row>
    <row r="201" spans="3:13" ht="15" thickBot="1" x14ac:dyDescent="0.4">
      <c r="C201" s="12" t="s">
        <v>496</v>
      </c>
      <c r="D201" s="12" t="s">
        <v>24</v>
      </c>
      <c r="E201" s="12">
        <v>12</v>
      </c>
      <c r="F201" s="12">
        <v>6</v>
      </c>
      <c r="G201" s="12" t="s">
        <v>25</v>
      </c>
      <c r="H201" s="12" t="s">
        <v>190</v>
      </c>
      <c r="I201" s="12"/>
      <c r="L201">
        <f t="shared" si="12"/>
        <v>6</v>
      </c>
      <c r="M201">
        <f t="shared" si="13"/>
        <v>37.5</v>
      </c>
    </row>
    <row r="202" spans="3:13" x14ac:dyDescent="0.35">
      <c r="D202" s="14" t="s">
        <v>78</v>
      </c>
      <c r="E202" s="14">
        <v>27</v>
      </c>
      <c r="F202" s="14">
        <v>18</v>
      </c>
      <c r="G202" s="14" t="s">
        <v>74</v>
      </c>
      <c r="H202" s="14" t="s">
        <v>372</v>
      </c>
      <c r="L202">
        <f t="shared" si="12"/>
        <v>9</v>
      </c>
      <c r="M202">
        <f t="shared" si="13"/>
        <v>45</v>
      </c>
    </row>
    <row r="203" spans="3:13" x14ac:dyDescent="0.35">
      <c r="D203" s="14" t="s">
        <v>87</v>
      </c>
      <c r="E203" s="14">
        <v>14</v>
      </c>
      <c r="F203" s="14">
        <v>12</v>
      </c>
      <c r="G203" s="14" t="s">
        <v>84</v>
      </c>
      <c r="H203" s="14" t="s">
        <v>286</v>
      </c>
      <c r="L203">
        <f t="shared" si="12"/>
        <v>2</v>
      </c>
      <c r="M203">
        <f t="shared" si="13"/>
        <v>27.5</v>
      </c>
    </row>
    <row r="204" spans="3:13" x14ac:dyDescent="0.35">
      <c r="D204" s="14" t="s">
        <v>76</v>
      </c>
      <c r="E204" s="14">
        <v>26</v>
      </c>
      <c r="F204" s="14">
        <v>15</v>
      </c>
      <c r="G204" s="14" t="s">
        <v>80</v>
      </c>
      <c r="H204" s="14" t="s">
        <v>290</v>
      </c>
      <c r="L204">
        <f t="shared" si="12"/>
        <v>11</v>
      </c>
      <c r="M204">
        <f t="shared" si="13"/>
        <v>49.999999999999993</v>
      </c>
    </row>
    <row r="205" spans="3:13" x14ac:dyDescent="0.35">
      <c r="D205" s="14" t="s">
        <v>82</v>
      </c>
      <c r="E205" s="14">
        <v>12</v>
      </c>
      <c r="F205" s="14">
        <v>11</v>
      </c>
      <c r="G205" s="14" t="s">
        <v>85</v>
      </c>
      <c r="H205" s="14" t="s">
        <v>294</v>
      </c>
      <c r="L205">
        <f t="shared" si="12"/>
        <v>1</v>
      </c>
      <c r="M205">
        <f t="shared" si="13"/>
        <v>25</v>
      </c>
    </row>
    <row r="206" spans="3:13" x14ac:dyDescent="0.35">
      <c r="D206" s="14" t="s">
        <v>77</v>
      </c>
      <c r="E206" s="14">
        <v>13</v>
      </c>
      <c r="F206" s="14">
        <v>8</v>
      </c>
      <c r="G206" s="14" t="s">
        <v>75</v>
      </c>
      <c r="H206" s="14" t="s">
        <v>190</v>
      </c>
      <c r="L206">
        <f t="shared" si="12"/>
        <v>5</v>
      </c>
      <c r="M206">
        <f t="shared" si="13"/>
        <v>35</v>
      </c>
    </row>
    <row r="207" spans="3:13" x14ac:dyDescent="0.35">
      <c r="D207" s="14" t="s">
        <v>83</v>
      </c>
      <c r="E207" s="14">
        <v>14</v>
      </c>
      <c r="F207" s="14">
        <v>12</v>
      </c>
      <c r="G207" s="14" t="s">
        <v>81</v>
      </c>
      <c r="H207" s="14" t="s">
        <v>185</v>
      </c>
      <c r="L207">
        <f t="shared" si="12"/>
        <v>2</v>
      </c>
      <c r="M207">
        <f t="shared" si="13"/>
        <v>27.5</v>
      </c>
    </row>
    <row r="208" spans="3:13" x14ac:dyDescent="0.35">
      <c r="D208" s="14" t="s">
        <v>73</v>
      </c>
      <c r="E208" s="14">
        <v>14</v>
      </c>
      <c r="F208" s="14">
        <v>2</v>
      </c>
      <c r="G208" s="14" t="s">
        <v>79</v>
      </c>
      <c r="H208" s="14" t="s">
        <v>341</v>
      </c>
      <c r="L208">
        <f t="shared" si="12"/>
        <v>12</v>
      </c>
      <c r="M208">
        <f t="shared" si="13"/>
        <v>52.5</v>
      </c>
    </row>
    <row r="209" spans="3:13" x14ac:dyDescent="0.35">
      <c r="D209" s="14" t="s">
        <v>86</v>
      </c>
      <c r="E209" s="14">
        <v>18</v>
      </c>
      <c r="F209" s="14">
        <v>12</v>
      </c>
      <c r="G209" s="14" t="s">
        <v>88</v>
      </c>
      <c r="H209" s="14" t="s">
        <v>504</v>
      </c>
      <c r="L209">
        <f t="shared" si="12"/>
        <v>6</v>
      </c>
      <c r="M209">
        <f t="shared" si="13"/>
        <v>37.5</v>
      </c>
    </row>
    <row r="210" spans="3:13" x14ac:dyDescent="0.35">
      <c r="C210" t="s">
        <v>505</v>
      </c>
      <c r="D210" s="14" t="s">
        <v>68</v>
      </c>
      <c r="E210" s="14">
        <v>25</v>
      </c>
      <c r="F210" s="14">
        <v>12</v>
      </c>
      <c r="G210" s="14" t="s">
        <v>67</v>
      </c>
      <c r="H210" s="14" t="s">
        <v>332</v>
      </c>
      <c r="L210">
        <f t="shared" si="12"/>
        <v>13</v>
      </c>
      <c r="M210">
        <f t="shared" si="13"/>
        <v>53.75</v>
      </c>
    </row>
    <row r="211" spans="3:13" x14ac:dyDescent="0.35">
      <c r="D211" s="14" t="s">
        <v>66</v>
      </c>
      <c r="E211" s="14">
        <v>18</v>
      </c>
      <c r="F211" s="14">
        <v>7</v>
      </c>
      <c r="G211" s="14" t="s">
        <v>72</v>
      </c>
      <c r="H211" s="14" t="s">
        <v>281</v>
      </c>
      <c r="L211">
        <f t="shared" si="12"/>
        <v>11</v>
      </c>
      <c r="M211">
        <f t="shared" si="13"/>
        <v>49.999999999999993</v>
      </c>
    </row>
    <row r="212" spans="3:13" x14ac:dyDescent="0.35">
      <c r="C212" t="s">
        <v>508</v>
      </c>
      <c r="D212" s="14" t="s">
        <v>69</v>
      </c>
      <c r="E212" s="14">
        <v>17</v>
      </c>
      <c r="F212" s="14">
        <v>16</v>
      </c>
      <c r="G212" s="14" t="s">
        <v>71</v>
      </c>
      <c r="H212" s="14" t="s">
        <v>507</v>
      </c>
      <c r="L212">
        <f t="shared" si="12"/>
        <v>1</v>
      </c>
      <c r="M212">
        <f t="shared" si="13"/>
        <v>25</v>
      </c>
    </row>
    <row r="213" spans="3:13" x14ac:dyDescent="0.35">
      <c r="C213" t="s">
        <v>509</v>
      </c>
      <c r="D213" s="14" t="s">
        <v>70</v>
      </c>
      <c r="E213" s="14">
        <v>19</v>
      </c>
      <c r="F213" s="14">
        <v>13</v>
      </c>
      <c r="G213" s="14" t="s">
        <v>114</v>
      </c>
      <c r="H213" s="14" t="s">
        <v>334</v>
      </c>
      <c r="L213">
        <f t="shared" si="12"/>
        <v>6</v>
      </c>
      <c r="M213">
        <f t="shared" si="13"/>
        <v>37.5</v>
      </c>
    </row>
    <row r="214" spans="3:13" x14ac:dyDescent="0.35">
      <c r="D214" s="14" t="s">
        <v>62</v>
      </c>
      <c r="E214" s="14">
        <v>18</v>
      </c>
      <c r="F214" s="14">
        <v>9</v>
      </c>
      <c r="G214" s="14" t="s">
        <v>59</v>
      </c>
      <c r="H214" s="14" t="s">
        <v>201</v>
      </c>
      <c r="L214">
        <f t="shared" si="12"/>
        <v>9</v>
      </c>
      <c r="M214">
        <f t="shared" si="13"/>
        <v>45</v>
      </c>
    </row>
    <row r="215" spans="3:13" x14ac:dyDescent="0.35">
      <c r="D215" s="14" t="s">
        <v>115</v>
      </c>
      <c r="E215" s="14">
        <v>19</v>
      </c>
      <c r="F215" s="14">
        <v>12</v>
      </c>
      <c r="G215" s="14" t="s">
        <v>63</v>
      </c>
      <c r="H215" s="14" t="s">
        <v>186</v>
      </c>
      <c r="L215">
        <f t="shared" si="12"/>
        <v>7</v>
      </c>
      <c r="M215">
        <f t="shared" si="13"/>
        <v>40</v>
      </c>
    </row>
    <row r="216" spans="3:13" x14ac:dyDescent="0.35">
      <c r="D216" s="14" t="s">
        <v>65</v>
      </c>
      <c r="E216" s="14">
        <v>19</v>
      </c>
      <c r="F216" s="14">
        <v>13</v>
      </c>
      <c r="G216" s="14" t="s">
        <v>60</v>
      </c>
      <c r="H216" s="14" t="s">
        <v>186</v>
      </c>
      <c r="L216">
        <f t="shared" si="12"/>
        <v>6</v>
      </c>
      <c r="M216">
        <f t="shared" si="13"/>
        <v>37.5</v>
      </c>
    </row>
    <row r="217" spans="3:13" x14ac:dyDescent="0.35">
      <c r="D217" s="14" t="s">
        <v>61</v>
      </c>
      <c r="E217" s="14">
        <v>17</v>
      </c>
      <c r="F217" s="14">
        <v>12</v>
      </c>
      <c r="G217" s="14" t="s">
        <v>64</v>
      </c>
      <c r="H217" s="14" t="s">
        <v>347</v>
      </c>
      <c r="L217">
        <f t="shared" si="12"/>
        <v>5</v>
      </c>
      <c r="M217">
        <f t="shared" si="13"/>
        <v>35</v>
      </c>
    </row>
    <row r="218" spans="3:13" x14ac:dyDescent="0.35">
      <c r="C218" t="s">
        <v>345</v>
      </c>
      <c r="D218" s="14" t="s">
        <v>48</v>
      </c>
      <c r="E218" s="14">
        <v>20</v>
      </c>
      <c r="F218" s="14">
        <v>14</v>
      </c>
      <c r="G218" s="14" t="s">
        <v>50</v>
      </c>
      <c r="H218" s="14" t="s">
        <v>347</v>
      </c>
      <c r="L218">
        <f t="shared" si="12"/>
        <v>6</v>
      </c>
      <c r="M218">
        <f t="shared" si="13"/>
        <v>37.5</v>
      </c>
    </row>
    <row r="219" spans="3:13" x14ac:dyDescent="0.35">
      <c r="C219" t="s">
        <v>330</v>
      </c>
      <c r="D219" s="14" t="s">
        <v>47</v>
      </c>
      <c r="E219" s="14">
        <v>15</v>
      </c>
      <c r="F219" s="14">
        <v>8</v>
      </c>
      <c r="G219" s="14" t="s">
        <v>52</v>
      </c>
      <c r="H219" s="14" t="s">
        <v>186</v>
      </c>
      <c r="L219">
        <f t="shared" si="12"/>
        <v>7</v>
      </c>
      <c r="M219">
        <f t="shared" si="13"/>
        <v>40</v>
      </c>
    </row>
    <row r="220" spans="3:13" x14ac:dyDescent="0.35">
      <c r="D220" s="14" t="s">
        <v>51</v>
      </c>
      <c r="E220" s="14">
        <v>19</v>
      </c>
      <c r="F220" s="14">
        <v>14</v>
      </c>
      <c r="G220" s="14" t="s">
        <v>49</v>
      </c>
      <c r="H220" s="14" t="s">
        <v>191</v>
      </c>
      <c r="L220">
        <f t="shared" si="12"/>
        <v>5</v>
      </c>
      <c r="M220">
        <f t="shared" si="13"/>
        <v>35</v>
      </c>
    </row>
    <row r="221" spans="3:13" x14ac:dyDescent="0.35">
      <c r="C221" t="s">
        <v>415</v>
      </c>
      <c r="D221" s="14" t="s">
        <v>57</v>
      </c>
      <c r="E221" s="14">
        <v>13</v>
      </c>
      <c r="F221" s="14">
        <v>12</v>
      </c>
      <c r="G221" s="14" t="s">
        <v>58</v>
      </c>
      <c r="H221" s="14" t="s">
        <v>365</v>
      </c>
      <c r="L221">
        <f t="shared" si="12"/>
        <v>1</v>
      </c>
      <c r="M221">
        <f t="shared" si="13"/>
        <v>25</v>
      </c>
    </row>
    <row r="222" spans="3:13" x14ac:dyDescent="0.35">
      <c r="C222" t="s">
        <v>445</v>
      </c>
      <c r="D222" s="14" t="s">
        <v>53</v>
      </c>
      <c r="E222" s="14">
        <v>27</v>
      </c>
      <c r="F222" s="14">
        <v>8</v>
      </c>
      <c r="G222" s="14" t="s">
        <v>54</v>
      </c>
      <c r="H222" s="14" t="s">
        <v>334</v>
      </c>
      <c r="L222">
        <f t="shared" si="12"/>
        <v>19</v>
      </c>
      <c r="M222">
        <f t="shared" si="13"/>
        <v>61.249999999999993</v>
      </c>
    </row>
    <row r="223" spans="3:13" x14ac:dyDescent="0.35">
      <c r="D223" s="14" t="s">
        <v>55</v>
      </c>
      <c r="E223" s="14">
        <v>21</v>
      </c>
      <c r="F223" s="14">
        <v>8</v>
      </c>
      <c r="G223" s="14" t="s">
        <v>117</v>
      </c>
      <c r="H223" s="14" t="s">
        <v>334</v>
      </c>
      <c r="L223">
        <f t="shared" si="12"/>
        <v>13</v>
      </c>
      <c r="M223">
        <f t="shared" si="13"/>
        <v>53.75</v>
      </c>
    </row>
    <row r="224" spans="3:13" x14ac:dyDescent="0.35">
      <c r="D224" s="14" t="s">
        <v>56</v>
      </c>
      <c r="E224" s="14">
        <v>17</v>
      </c>
      <c r="F224" s="14">
        <v>16</v>
      </c>
      <c r="G224" s="14" t="s">
        <v>118</v>
      </c>
      <c r="H224" s="14" t="s">
        <v>194</v>
      </c>
      <c r="L224">
        <f t="shared" si="12"/>
        <v>1</v>
      </c>
      <c r="M224">
        <f t="shared" si="13"/>
        <v>25</v>
      </c>
    </row>
    <row r="225" spans="3:13" x14ac:dyDescent="0.35">
      <c r="D225" s="14" t="s">
        <v>145</v>
      </c>
      <c r="E225" s="14">
        <v>14</v>
      </c>
      <c r="F225" s="14">
        <v>4</v>
      </c>
      <c r="G225" s="14" t="s">
        <v>300</v>
      </c>
      <c r="H225" s="14" t="s">
        <v>495</v>
      </c>
      <c r="L225">
        <f t="shared" si="12"/>
        <v>10</v>
      </c>
      <c r="M225">
        <f t="shared" si="13"/>
        <v>47.500000000000007</v>
      </c>
    </row>
    <row r="226" spans="3:13" x14ac:dyDescent="0.35">
      <c r="C226" t="s">
        <v>366</v>
      </c>
      <c r="D226" s="14" t="s">
        <v>1860</v>
      </c>
      <c r="E226" s="14">
        <v>21</v>
      </c>
      <c r="F226" s="14">
        <v>19</v>
      </c>
      <c r="G226" s="14" t="s">
        <v>23</v>
      </c>
      <c r="H226" s="14" t="s">
        <v>184</v>
      </c>
      <c r="L226">
        <f t="shared" si="12"/>
        <v>2</v>
      </c>
      <c r="M226">
        <f t="shared" si="13"/>
        <v>27.5</v>
      </c>
    </row>
    <row r="227" spans="3:13" x14ac:dyDescent="0.35">
      <c r="C227" t="s">
        <v>349</v>
      </c>
      <c r="D227" s="14" t="s">
        <v>24</v>
      </c>
      <c r="E227" s="14">
        <v>14</v>
      </c>
      <c r="F227" s="14">
        <v>8</v>
      </c>
      <c r="G227" s="14" t="s">
        <v>22</v>
      </c>
      <c r="H227" s="14" t="s">
        <v>181</v>
      </c>
      <c r="L227">
        <f t="shared" si="12"/>
        <v>6</v>
      </c>
      <c r="M227">
        <f t="shared" si="13"/>
        <v>37.5</v>
      </c>
    </row>
    <row r="228" spans="3:13" x14ac:dyDescent="0.35">
      <c r="D228" s="14" t="s">
        <v>25</v>
      </c>
      <c r="E228" s="14">
        <v>12</v>
      </c>
      <c r="F228" s="14">
        <v>8</v>
      </c>
      <c r="G228" s="14" t="s">
        <v>34</v>
      </c>
      <c r="H228" s="14" t="s">
        <v>194</v>
      </c>
      <c r="L228">
        <f t="shared" si="12"/>
        <v>4</v>
      </c>
      <c r="M228">
        <f t="shared" si="13"/>
        <v>32.5</v>
      </c>
    </row>
    <row r="229" spans="3:13" x14ac:dyDescent="0.35">
      <c r="C229" t="s">
        <v>333</v>
      </c>
      <c r="D229" s="14" t="s">
        <v>33</v>
      </c>
      <c r="E229" s="14">
        <v>20</v>
      </c>
      <c r="F229" s="14">
        <v>12</v>
      </c>
      <c r="G229" s="14" t="s">
        <v>26</v>
      </c>
      <c r="H229" s="14" t="s">
        <v>186</v>
      </c>
      <c r="L229">
        <f t="shared" si="12"/>
        <v>8</v>
      </c>
      <c r="M229">
        <f t="shared" si="13"/>
        <v>42.5</v>
      </c>
    </row>
    <row r="230" spans="3:13" x14ac:dyDescent="0.35">
      <c r="D230" s="14" t="s">
        <v>29</v>
      </c>
      <c r="E230" s="14">
        <v>19</v>
      </c>
      <c r="F230" s="14">
        <v>9</v>
      </c>
      <c r="G230" s="14" t="s">
        <v>28</v>
      </c>
      <c r="H230" s="14" t="s">
        <v>334</v>
      </c>
      <c r="L230">
        <f t="shared" si="12"/>
        <v>10</v>
      </c>
      <c r="M230">
        <f t="shared" si="13"/>
        <v>47.500000000000007</v>
      </c>
    </row>
    <row r="231" spans="3:13" x14ac:dyDescent="0.35">
      <c r="C231" t="s">
        <v>338</v>
      </c>
      <c r="D231" s="14" t="s">
        <v>32</v>
      </c>
      <c r="E231" s="14">
        <v>25</v>
      </c>
      <c r="F231" s="14">
        <v>7</v>
      </c>
      <c r="G231" s="14" t="s">
        <v>27</v>
      </c>
      <c r="H231" s="14" t="s">
        <v>450</v>
      </c>
      <c r="L231">
        <f t="shared" si="12"/>
        <v>18</v>
      </c>
      <c r="M231">
        <f t="shared" si="13"/>
        <v>60</v>
      </c>
    </row>
    <row r="232" spans="3:13" x14ac:dyDescent="0.35">
      <c r="D232" s="14" t="s">
        <v>292</v>
      </c>
      <c r="E232" s="14">
        <v>14</v>
      </c>
      <c r="F232" s="14">
        <v>4</v>
      </c>
      <c r="G232" s="14" t="s">
        <v>30</v>
      </c>
      <c r="H232" s="14" t="s">
        <v>341</v>
      </c>
      <c r="L232">
        <f t="shared" si="12"/>
        <v>10</v>
      </c>
      <c r="M232">
        <f t="shared" si="13"/>
        <v>47.500000000000007</v>
      </c>
    </row>
    <row r="233" spans="3:13" x14ac:dyDescent="0.35">
      <c r="C233" t="s">
        <v>417</v>
      </c>
      <c r="D233" s="14" t="s">
        <v>119</v>
      </c>
      <c r="E233" s="14">
        <v>14</v>
      </c>
      <c r="F233" s="14">
        <v>12</v>
      </c>
      <c r="G233" s="14" t="s">
        <v>31</v>
      </c>
      <c r="H233" s="14" t="s">
        <v>294</v>
      </c>
      <c r="L233">
        <f t="shared" si="12"/>
        <v>2</v>
      </c>
      <c r="M233">
        <f t="shared" si="13"/>
        <v>27.5</v>
      </c>
    </row>
    <row r="234" spans="3:13" x14ac:dyDescent="0.35">
      <c r="D234" s="14" t="s">
        <v>42</v>
      </c>
      <c r="E234" s="14">
        <v>15</v>
      </c>
      <c r="F234" s="14">
        <v>10</v>
      </c>
      <c r="G234" s="14" t="s">
        <v>1858</v>
      </c>
      <c r="H234" s="14" t="s">
        <v>331</v>
      </c>
      <c r="L234">
        <f t="shared" ref="L234:L297" si="14">E234-F234</f>
        <v>5</v>
      </c>
      <c r="M234">
        <f t="shared" si="13"/>
        <v>35</v>
      </c>
    </row>
    <row r="235" spans="3:13" x14ac:dyDescent="0.35">
      <c r="C235" t="s">
        <v>354</v>
      </c>
      <c r="D235" s="14" t="s">
        <v>900</v>
      </c>
      <c r="E235" s="14">
        <v>15</v>
      </c>
      <c r="F235" s="14">
        <v>9</v>
      </c>
      <c r="G235" s="14" t="s">
        <v>36</v>
      </c>
      <c r="H235" s="14" t="s">
        <v>181</v>
      </c>
      <c r="L235">
        <f t="shared" si="14"/>
        <v>6</v>
      </c>
      <c r="M235">
        <f t="shared" si="13"/>
        <v>37.5</v>
      </c>
    </row>
    <row r="236" spans="3:13" x14ac:dyDescent="0.35">
      <c r="C236" t="s">
        <v>355</v>
      </c>
      <c r="D236" s="14" t="s">
        <v>45</v>
      </c>
      <c r="E236" s="14">
        <v>14</v>
      </c>
      <c r="F236" s="14">
        <v>11</v>
      </c>
      <c r="G236" s="14" t="s">
        <v>43</v>
      </c>
      <c r="H236" s="14" t="s">
        <v>400</v>
      </c>
      <c r="L236">
        <f t="shared" si="14"/>
        <v>3</v>
      </c>
      <c r="M236">
        <f t="shared" si="13"/>
        <v>30</v>
      </c>
    </row>
    <row r="237" spans="3:13" x14ac:dyDescent="0.35">
      <c r="C237" t="s">
        <v>342</v>
      </c>
      <c r="D237" s="14" t="s">
        <v>39</v>
      </c>
      <c r="E237" s="14">
        <v>18</v>
      </c>
      <c r="F237" s="14">
        <v>14</v>
      </c>
      <c r="G237" s="14" t="s">
        <v>37</v>
      </c>
      <c r="H237" s="14" t="s">
        <v>187</v>
      </c>
      <c r="L237">
        <f t="shared" si="14"/>
        <v>4</v>
      </c>
      <c r="M237">
        <f t="shared" si="13"/>
        <v>32.5</v>
      </c>
    </row>
    <row r="238" spans="3:13" x14ac:dyDescent="0.35">
      <c r="C238" t="s">
        <v>511</v>
      </c>
      <c r="D238" s="14" t="s">
        <v>35</v>
      </c>
      <c r="E238" s="14">
        <v>16</v>
      </c>
      <c r="F238" s="14">
        <v>14</v>
      </c>
      <c r="G238" s="14" t="s">
        <v>2011</v>
      </c>
      <c r="H238" s="14" t="s">
        <v>488</v>
      </c>
      <c r="I238" t="s">
        <v>510</v>
      </c>
      <c r="L238">
        <f t="shared" si="14"/>
        <v>2</v>
      </c>
      <c r="M238">
        <f t="shared" si="13"/>
        <v>27.5</v>
      </c>
    </row>
    <row r="239" spans="3:13" x14ac:dyDescent="0.35">
      <c r="C239" t="s">
        <v>513</v>
      </c>
      <c r="D239" s="14" t="s">
        <v>41</v>
      </c>
      <c r="E239" s="14">
        <v>27</v>
      </c>
      <c r="F239" s="14">
        <v>20</v>
      </c>
      <c r="G239" s="14" t="s">
        <v>1859</v>
      </c>
      <c r="H239" s="14" t="s">
        <v>512</v>
      </c>
      <c r="L239">
        <f t="shared" si="14"/>
        <v>7</v>
      </c>
      <c r="M239">
        <f t="shared" si="13"/>
        <v>40</v>
      </c>
    </row>
    <row r="240" spans="3:13" x14ac:dyDescent="0.35">
      <c r="C240" t="s">
        <v>514</v>
      </c>
      <c r="D240" s="14" t="s">
        <v>44</v>
      </c>
      <c r="E240" s="14">
        <v>17</v>
      </c>
      <c r="F240" s="14">
        <v>15</v>
      </c>
      <c r="G240" s="14" t="s">
        <v>46</v>
      </c>
      <c r="H240" s="14" t="s">
        <v>191</v>
      </c>
      <c r="L240">
        <f t="shared" si="14"/>
        <v>2</v>
      </c>
      <c r="M240">
        <f t="shared" si="13"/>
        <v>27.5</v>
      </c>
    </row>
    <row r="241" spans="3:13" ht="15" thickBot="1" x14ac:dyDescent="0.4">
      <c r="C241" s="12" t="s">
        <v>515</v>
      </c>
      <c r="D241" s="12" t="s">
        <v>38</v>
      </c>
      <c r="E241" s="12">
        <v>18</v>
      </c>
      <c r="F241" s="12">
        <v>13</v>
      </c>
      <c r="G241" s="12" t="s">
        <v>40</v>
      </c>
      <c r="H241" s="12" t="s">
        <v>334</v>
      </c>
      <c r="I241" s="12"/>
      <c r="L241">
        <f t="shared" si="14"/>
        <v>5</v>
      </c>
      <c r="M241">
        <f t="shared" si="13"/>
        <v>35</v>
      </c>
    </row>
    <row r="242" spans="3:13" x14ac:dyDescent="0.35">
      <c r="D242" s="14" t="s">
        <v>80</v>
      </c>
      <c r="E242" s="14">
        <v>11</v>
      </c>
      <c r="F242" s="14">
        <v>10</v>
      </c>
      <c r="G242" s="14" t="s">
        <v>30</v>
      </c>
      <c r="H242" s="14" t="s">
        <v>403</v>
      </c>
      <c r="L242">
        <f t="shared" si="14"/>
        <v>1</v>
      </c>
      <c r="M242">
        <f t="shared" si="13"/>
        <v>25</v>
      </c>
    </row>
    <row r="243" spans="3:13" x14ac:dyDescent="0.35">
      <c r="C243" t="s">
        <v>445</v>
      </c>
      <c r="D243" s="14" t="s">
        <v>38</v>
      </c>
      <c r="E243" s="14">
        <v>13</v>
      </c>
      <c r="F243" s="14">
        <v>7</v>
      </c>
      <c r="G243" s="14" t="s">
        <v>300</v>
      </c>
      <c r="H243" s="14" t="s">
        <v>295</v>
      </c>
      <c r="L243">
        <f t="shared" si="14"/>
        <v>6</v>
      </c>
      <c r="M243">
        <f t="shared" si="13"/>
        <v>37.5</v>
      </c>
    </row>
    <row r="244" spans="3:13" x14ac:dyDescent="0.35">
      <c r="D244" s="14" t="s">
        <v>63</v>
      </c>
      <c r="E244" s="14">
        <v>16</v>
      </c>
      <c r="F244" s="14">
        <v>8</v>
      </c>
      <c r="G244" s="14" t="s">
        <v>58</v>
      </c>
      <c r="H244" s="14" t="s">
        <v>360</v>
      </c>
      <c r="L244">
        <f t="shared" si="14"/>
        <v>8</v>
      </c>
      <c r="M244">
        <f t="shared" si="13"/>
        <v>42.5</v>
      </c>
    </row>
    <row r="245" spans="3:13" x14ac:dyDescent="0.35">
      <c r="C245" t="s">
        <v>422</v>
      </c>
      <c r="D245" s="14" t="s">
        <v>1860</v>
      </c>
      <c r="E245" s="14">
        <v>18</v>
      </c>
      <c r="F245" s="14">
        <v>14</v>
      </c>
      <c r="G245" s="14" t="s">
        <v>81</v>
      </c>
      <c r="H245" s="14" t="s">
        <v>488</v>
      </c>
      <c r="L245">
        <f t="shared" si="14"/>
        <v>4</v>
      </c>
      <c r="M245">
        <f t="shared" si="13"/>
        <v>32.5</v>
      </c>
    </row>
    <row r="246" spans="3:13" x14ac:dyDescent="0.35">
      <c r="C246" t="s">
        <v>524</v>
      </c>
      <c r="D246" s="14" t="s">
        <v>117</v>
      </c>
      <c r="E246" s="14">
        <v>14</v>
      </c>
      <c r="F246" s="14">
        <v>11</v>
      </c>
      <c r="G246" s="14" t="s">
        <v>70</v>
      </c>
      <c r="H246" s="14" t="s">
        <v>337</v>
      </c>
      <c r="L246">
        <f t="shared" si="14"/>
        <v>3</v>
      </c>
      <c r="M246">
        <f t="shared" si="13"/>
        <v>30</v>
      </c>
    </row>
    <row r="247" spans="3:13" x14ac:dyDescent="0.35">
      <c r="C247" t="s">
        <v>363</v>
      </c>
      <c r="D247" s="14" t="s">
        <v>118</v>
      </c>
      <c r="E247" s="14">
        <v>22</v>
      </c>
      <c r="F247" s="14">
        <v>16</v>
      </c>
      <c r="G247" s="14" t="s">
        <v>35</v>
      </c>
      <c r="H247" s="14" t="s">
        <v>285</v>
      </c>
      <c r="L247">
        <f t="shared" si="14"/>
        <v>6</v>
      </c>
      <c r="M247">
        <f t="shared" si="13"/>
        <v>37.5</v>
      </c>
    </row>
    <row r="248" spans="3:13" x14ac:dyDescent="0.35">
      <c r="C248" t="s">
        <v>399</v>
      </c>
      <c r="D248" s="14" t="s">
        <v>65</v>
      </c>
      <c r="E248" s="14">
        <v>24</v>
      </c>
      <c r="F248" s="14">
        <v>5</v>
      </c>
      <c r="G248" s="14" t="s">
        <v>76</v>
      </c>
      <c r="H248" s="14" t="s">
        <v>525</v>
      </c>
      <c r="L248">
        <f t="shared" si="14"/>
        <v>19</v>
      </c>
      <c r="M248">
        <f t="shared" si="13"/>
        <v>61.249999999999993</v>
      </c>
    </row>
    <row r="249" spans="3:13" x14ac:dyDescent="0.35">
      <c r="D249" s="14" t="s">
        <v>52</v>
      </c>
      <c r="E249" s="14">
        <v>14</v>
      </c>
      <c r="F249" s="14">
        <v>13</v>
      </c>
      <c r="G249" s="14" t="s">
        <v>61</v>
      </c>
      <c r="H249" s="14" t="s">
        <v>179</v>
      </c>
      <c r="L249">
        <f t="shared" si="14"/>
        <v>1</v>
      </c>
      <c r="M249">
        <f t="shared" si="13"/>
        <v>25</v>
      </c>
    </row>
    <row r="250" spans="3:13" x14ac:dyDescent="0.35">
      <c r="D250" s="14" t="s">
        <v>72</v>
      </c>
      <c r="E250" s="14">
        <v>15</v>
      </c>
      <c r="F250" s="14">
        <v>12</v>
      </c>
      <c r="G250" s="14" t="s">
        <v>87</v>
      </c>
      <c r="H250" s="14" t="s">
        <v>185</v>
      </c>
      <c r="L250">
        <f t="shared" si="14"/>
        <v>3</v>
      </c>
      <c r="M250">
        <f t="shared" si="13"/>
        <v>30</v>
      </c>
    </row>
    <row r="251" spans="3:13" x14ac:dyDescent="0.35">
      <c r="D251" s="14" t="s">
        <v>59</v>
      </c>
      <c r="E251" s="14">
        <v>16</v>
      </c>
      <c r="F251" s="14">
        <v>10</v>
      </c>
      <c r="G251" s="14" t="s">
        <v>73</v>
      </c>
      <c r="H251" s="14" t="s">
        <v>331</v>
      </c>
      <c r="L251">
        <f t="shared" si="14"/>
        <v>6</v>
      </c>
      <c r="M251">
        <f t="shared" si="13"/>
        <v>37.5</v>
      </c>
    </row>
    <row r="252" spans="3:13" x14ac:dyDescent="0.35">
      <c r="D252" s="14" t="s">
        <v>79</v>
      </c>
      <c r="E252" s="14">
        <v>19</v>
      </c>
      <c r="F252" s="14">
        <v>4</v>
      </c>
      <c r="G252" s="14" t="s">
        <v>115</v>
      </c>
      <c r="H252" s="14" t="s">
        <v>397</v>
      </c>
      <c r="L252">
        <f t="shared" si="14"/>
        <v>15</v>
      </c>
      <c r="M252">
        <f t="shared" si="13"/>
        <v>56.25</v>
      </c>
    </row>
    <row r="253" spans="3:13" x14ac:dyDescent="0.35">
      <c r="D253" s="14" t="s">
        <v>88</v>
      </c>
      <c r="E253" s="14">
        <v>13</v>
      </c>
      <c r="F253" s="14">
        <v>11</v>
      </c>
      <c r="G253" s="14" t="s">
        <v>23</v>
      </c>
      <c r="H253" s="14" t="s">
        <v>181</v>
      </c>
      <c r="L253">
        <f t="shared" si="14"/>
        <v>2</v>
      </c>
      <c r="M253">
        <f t="shared" si="13"/>
        <v>27.5</v>
      </c>
    </row>
    <row r="254" spans="3:13" x14ac:dyDescent="0.35">
      <c r="D254" s="14" t="s">
        <v>28</v>
      </c>
      <c r="E254" s="14">
        <v>13</v>
      </c>
      <c r="F254" s="14">
        <v>8</v>
      </c>
      <c r="G254" s="14" t="s">
        <v>51</v>
      </c>
      <c r="H254" s="14" t="s">
        <v>450</v>
      </c>
      <c r="L254">
        <f t="shared" si="14"/>
        <v>5</v>
      </c>
      <c r="M254">
        <f t="shared" si="13"/>
        <v>35</v>
      </c>
    </row>
    <row r="255" spans="3:13" x14ac:dyDescent="0.35">
      <c r="C255" t="s">
        <v>349</v>
      </c>
      <c r="D255" s="14" t="s">
        <v>39</v>
      </c>
      <c r="E255" s="14">
        <v>19</v>
      </c>
      <c r="F255" s="14">
        <v>15</v>
      </c>
      <c r="G255" s="14" t="s">
        <v>84</v>
      </c>
      <c r="H255" s="14" t="s">
        <v>299</v>
      </c>
      <c r="L255">
        <f t="shared" si="14"/>
        <v>4</v>
      </c>
      <c r="M255">
        <f t="shared" si="13"/>
        <v>32.5</v>
      </c>
    </row>
    <row r="256" spans="3:13" x14ac:dyDescent="0.35">
      <c r="D256" s="14" t="s">
        <v>64</v>
      </c>
      <c r="E256" s="14">
        <v>20</v>
      </c>
      <c r="F256" s="14">
        <v>10</v>
      </c>
      <c r="G256" s="14" t="s">
        <v>74</v>
      </c>
      <c r="H256" s="14" t="s">
        <v>526</v>
      </c>
      <c r="L256">
        <f t="shared" si="14"/>
        <v>10</v>
      </c>
      <c r="M256">
        <f t="shared" si="13"/>
        <v>47.500000000000007</v>
      </c>
    </row>
    <row r="257" spans="3:13" x14ac:dyDescent="0.35">
      <c r="D257" s="14" t="s">
        <v>49</v>
      </c>
      <c r="E257" s="14">
        <v>23</v>
      </c>
      <c r="F257" s="14">
        <v>9</v>
      </c>
      <c r="G257" s="14" t="s">
        <v>86</v>
      </c>
      <c r="H257" s="14" t="s">
        <v>286</v>
      </c>
      <c r="L257">
        <f t="shared" si="14"/>
        <v>14</v>
      </c>
      <c r="M257">
        <f t="shared" si="13"/>
        <v>55</v>
      </c>
    </row>
    <row r="258" spans="3:13" x14ac:dyDescent="0.35">
      <c r="C258" t="s">
        <v>444</v>
      </c>
      <c r="D258" s="14" t="s">
        <v>25</v>
      </c>
      <c r="E258" s="14">
        <v>15</v>
      </c>
      <c r="F258" s="14">
        <v>13</v>
      </c>
      <c r="G258" s="14" t="s">
        <v>54</v>
      </c>
      <c r="H258" s="14" t="s">
        <v>443</v>
      </c>
      <c r="L258">
        <f t="shared" si="14"/>
        <v>2</v>
      </c>
      <c r="M258">
        <f t="shared" si="13"/>
        <v>27.5</v>
      </c>
    </row>
    <row r="259" spans="3:13" x14ac:dyDescent="0.35">
      <c r="C259" t="s">
        <v>527</v>
      </c>
      <c r="D259" s="14" t="s">
        <v>145</v>
      </c>
      <c r="E259" s="14">
        <v>24</v>
      </c>
      <c r="F259" s="14">
        <v>21</v>
      </c>
      <c r="G259" s="14" t="s">
        <v>24</v>
      </c>
      <c r="H259" s="14" t="s">
        <v>289</v>
      </c>
      <c r="L259">
        <f t="shared" si="14"/>
        <v>3</v>
      </c>
      <c r="M259">
        <f t="shared" ref="M259:M322" si="15">30*(IF(L259&lt;13,1+((L259-3)/12),1.75+((L259-12)/24)))</f>
        <v>30</v>
      </c>
    </row>
    <row r="260" spans="3:13" x14ac:dyDescent="0.35">
      <c r="C260" t="s">
        <v>528</v>
      </c>
      <c r="D260" s="14" t="s">
        <v>119</v>
      </c>
      <c r="E260" s="14">
        <v>27</v>
      </c>
      <c r="F260" s="14">
        <v>17</v>
      </c>
      <c r="G260" s="14" t="s">
        <v>68</v>
      </c>
      <c r="H260" s="14" t="s">
        <v>526</v>
      </c>
      <c r="L260">
        <f t="shared" si="14"/>
        <v>10</v>
      </c>
      <c r="M260">
        <f t="shared" si="15"/>
        <v>47.500000000000007</v>
      </c>
    </row>
    <row r="261" spans="3:13" x14ac:dyDescent="0.35">
      <c r="C261" t="s">
        <v>356</v>
      </c>
      <c r="D261" s="14" t="s">
        <v>67</v>
      </c>
      <c r="E261" s="14">
        <v>21</v>
      </c>
      <c r="F261" s="14">
        <v>6</v>
      </c>
      <c r="G261" s="14" t="s">
        <v>1858</v>
      </c>
      <c r="H261" s="14" t="s">
        <v>200</v>
      </c>
      <c r="L261">
        <f t="shared" si="14"/>
        <v>15</v>
      </c>
      <c r="M261">
        <f t="shared" si="15"/>
        <v>56.25</v>
      </c>
    </row>
    <row r="262" spans="3:13" x14ac:dyDescent="0.35">
      <c r="D262" s="14" t="s">
        <v>56</v>
      </c>
      <c r="E262" s="14">
        <v>13</v>
      </c>
      <c r="F262" s="14">
        <v>8</v>
      </c>
      <c r="G262" s="14" t="s">
        <v>2011</v>
      </c>
      <c r="H262" s="14" t="s">
        <v>187</v>
      </c>
      <c r="L262">
        <f t="shared" si="14"/>
        <v>5</v>
      </c>
      <c r="M262">
        <f t="shared" si="15"/>
        <v>35</v>
      </c>
    </row>
    <row r="263" spans="3:13" x14ac:dyDescent="0.35">
      <c r="D263" s="14" t="s">
        <v>29</v>
      </c>
      <c r="E263" s="14">
        <v>15</v>
      </c>
      <c r="F263" s="14">
        <v>12</v>
      </c>
      <c r="G263" s="14" t="s">
        <v>75</v>
      </c>
      <c r="H263" s="14" t="s">
        <v>178</v>
      </c>
      <c r="L263">
        <f t="shared" si="14"/>
        <v>3</v>
      </c>
      <c r="M263">
        <f t="shared" si="15"/>
        <v>30</v>
      </c>
    </row>
    <row r="264" spans="3:13" x14ac:dyDescent="0.35">
      <c r="C264" t="s">
        <v>529</v>
      </c>
      <c r="D264" s="14" t="s">
        <v>26</v>
      </c>
      <c r="E264" s="14">
        <v>23</v>
      </c>
      <c r="F264" s="14">
        <v>14</v>
      </c>
      <c r="G264" s="14" t="s">
        <v>45</v>
      </c>
      <c r="H264" s="14" t="s">
        <v>191</v>
      </c>
      <c r="L264">
        <f t="shared" si="14"/>
        <v>9</v>
      </c>
      <c r="M264">
        <f t="shared" si="15"/>
        <v>45</v>
      </c>
    </row>
    <row r="265" spans="3:13" x14ac:dyDescent="0.35">
      <c r="C265" t="s">
        <v>454</v>
      </c>
      <c r="D265" s="14" t="s">
        <v>69</v>
      </c>
      <c r="E265" s="14">
        <v>15</v>
      </c>
      <c r="F265" s="14">
        <v>11</v>
      </c>
      <c r="G265" s="14" t="s">
        <v>292</v>
      </c>
      <c r="H265" s="14" t="s">
        <v>294</v>
      </c>
      <c r="L265">
        <f t="shared" si="14"/>
        <v>4</v>
      </c>
      <c r="M265">
        <f t="shared" si="15"/>
        <v>32.5</v>
      </c>
    </row>
    <row r="266" spans="3:13" x14ac:dyDescent="0.35">
      <c r="D266" s="14" t="s">
        <v>27</v>
      </c>
      <c r="E266" s="14">
        <v>24</v>
      </c>
      <c r="F266" s="14">
        <v>14</v>
      </c>
      <c r="G266" s="14" t="s">
        <v>71</v>
      </c>
      <c r="H266" s="14" t="s">
        <v>332</v>
      </c>
      <c r="L266">
        <f t="shared" si="14"/>
        <v>10</v>
      </c>
      <c r="M266">
        <f t="shared" si="15"/>
        <v>47.500000000000007</v>
      </c>
    </row>
    <row r="267" spans="3:13" x14ac:dyDescent="0.35">
      <c r="D267" s="14" t="s">
        <v>43</v>
      </c>
      <c r="E267" s="14">
        <v>9</v>
      </c>
      <c r="F267" s="14">
        <v>5</v>
      </c>
      <c r="G267" s="14" t="s">
        <v>34</v>
      </c>
      <c r="H267" s="14" t="s">
        <v>530</v>
      </c>
      <c r="L267">
        <f t="shared" si="14"/>
        <v>4</v>
      </c>
      <c r="M267">
        <f t="shared" si="15"/>
        <v>32.5</v>
      </c>
    </row>
    <row r="268" spans="3:13" x14ac:dyDescent="0.35">
      <c r="C268" t="s">
        <v>354</v>
      </c>
      <c r="D268" s="14" t="s">
        <v>900</v>
      </c>
      <c r="E268" s="14">
        <v>20</v>
      </c>
      <c r="F268" s="14">
        <v>7</v>
      </c>
      <c r="G268" s="14" t="s">
        <v>60</v>
      </c>
      <c r="H268" s="14" t="s">
        <v>201</v>
      </c>
      <c r="L268">
        <f t="shared" si="14"/>
        <v>13</v>
      </c>
      <c r="M268">
        <f t="shared" si="15"/>
        <v>53.75</v>
      </c>
    </row>
    <row r="269" spans="3:13" x14ac:dyDescent="0.35">
      <c r="D269" s="14" t="s">
        <v>22</v>
      </c>
      <c r="E269" s="14">
        <v>16</v>
      </c>
      <c r="F269" s="14">
        <v>14</v>
      </c>
      <c r="G269" s="14" t="s">
        <v>42</v>
      </c>
      <c r="H269" s="14" t="s">
        <v>295</v>
      </c>
      <c r="L269">
        <f t="shared" si="14"/>
        <v>2</v>
      </c>
      <c r="M269">
        <f t="shared" si="15"/>
        <v>27.5</v>
      </c>
    </row>
    <row r="270" spans="3:13" x14ac:dyDescent="0.35">
      <c r="C270" t="s">
        <v>330</v>
      </c>
      <c r="D270" s="14" t="s">
        <v>40</v>
      </c>
      <c r="E270" s="14">
        <v>19</v>
      </c>
      <c r="F270" s="14">
        <v>16</v>
      </c>
      <c r="G270" s="14" t="s">
        <v>85</v>
      </c>
      <c r="H270" s="14" t="s">
        <v>507</v>
      </c>
      <c r="L270">
        <f t="shared" si="14"/>
        <v>3</v>
      </c>
      <c r="M270">
        <f t="shared" si="15"/>
        <v>30</v>
      </c>
    </row>
    <row r="271" spans="3:13" x14ac:dyDescent="0.35">
      <c r="D271" s="14" t="s">
        <v>1859</v>
      </c>
      <c r="E271" s="14">
        <v>14</v>
      </c>
      <c r="F271" s="14">
        <v>9</v>
      </c>
      <c r="G271" s="14" t="s">
        <v>77</v>
      </c>
      <c r="H271" s="14" t="s">
        <v>403</v>
      </c>
      <c r="L271">
        <f t="shared" si="14"/>
        <v>5</v>
      </c>
      <c r="M271">
        <f t="shared" si="15"/>
        <v>35</v>
      </c>
    </row>
    <row r="272" spans="3:13" x14ac:dyDescent="0.35">
      <c r="C272" t="s">
        <v>368</v>
      </c>
      <c r="D272" s="14" t="s">
        <v>32</v>
      </c>
      <c r="E272" s="14">
        <v>21</v>
      </c>
      <c r="F272" s="14">
        <v>17</v>
      </c>
      <c r="G272" s="14" t="s">
        <v>78</v>
      </c>
      <c r="H272" s="14" t="s">
        <v>185</v>
      </c>
      <c r="L272">
        <f t="shared" si="14"/>
        <v>4</v>
      </c>
      <c r="M272">
        <f t="shared" si="15"/>
        <v>32.5</v>
      </c>
    </row>
    <row r="273" spans="3:13" x14ac:dyDescent="0.35">
      <c r="D273" s="14" t="s">
        <v>36</v>
      </c>
      <c r="E273" s="14">
        <v>13</v>
      </c>
      <c r="F273" s="14">
        <v>6</v>
      </c>
      <c r="G273" s="14" t="s">
        <v>62</v>
      </c>
      <c r="H273" s="14" t="s">
        <v>295</v>
      </c>
      <c r="L273">
        <f t="shared" si="14"/>
        <v>7</v>
      </c>
      <c r="M273">
        <f t="shared" si="15"/>
        <v>40</v>
      </c>
    </row>
    <row r="274" spans="3:13" x14ac:dyDescent="0.35">
      <c r="D274" s="14" t="s">
        <v>37</v>
      </c>
      <c r="E274" s="14">
        <v>22</v>
      </c>
      <c r="F274" s="14">
        <v>19</v>
      </c>
      <c r="G274" s="14" t="s">
        <v>55</v>
      </c>
      <c r="H274" s="14" t="s">
        <v>416</v>
      </c>
      <c r="I274" t="s">
        <v>531</v>
      </c>
      <c r="L274">
        <f t="shared" si="14"/>
        <v>3</v>
      </c>
      <c r="M274">
        <f t="shared" si="15"/>
        <v>30</v>
      </c>
    </row>
    <row r="275" spans="3:13" x14ac:dyDescent="0.35">
      <c r="C275" t="s">
        <v>466</v>
      </c>
      <c r="D275" s="14" t="s">
        <v>66</v>
      </c>
      <c r="E275" s="14">
        <v>12</v>
      </c>
      <c r="F275" s="14">
        <v>11</v>
      </c>
      <c r="G275" s="14" t="s">
        <v>53</v>
      </c>
      <c r="H275" s="14" t="s">
        <v>190</v>
      </c>
      <c r="L275">
        <f t="shared" si="14"/>
        <v>1</v>
      </c>
      <c r="M275">
        <f t="shared" si="15"/>
        <v>25</v>
      </c>
    </row>
    <row r="276" spans="3:13" x14ac:dyDescent="0.35">
      <c r="C276" t="s">
        <v>350</v>
      </c>
      <c r="D276" s="14" t="s">
        <v>31</v>
      </c>
      <c r="E276" s="14">
        <v>21</v>
      </c>
      <c r="F276" s="14">
        <v>14</v>
      </c>
      <c r="G276" s="14" t="s">
        <v>48</v>
      </c>
      <c r="H276" s="14" t="s">
        <v>425</v>
      </c>
      <c r="I276" t="s">
        <v>532</v>
      </c>
      <c r="L276">
        <f t="shared" si="14"/>
        <v>7</v>
      </c>
      <c r="M276">
        <f t="shared" si="15"/>
        <v>40</v>
      </c>
    </row>
    <row r="277" spans="3:13" x14ac:dyDescent="0.35">
      <c r="D277" s="14" t="s">
        <v>114</v>
      </c>
      <c r="E277" s="14">
        <v>15</v>
      </c>
      <c r="F277" s="14">
        <v>9</v>
      </c>
      <c r="G277" s="14" t="s">
        <v>83</v>
      </c>
      <c r="H277" s="14" t="s">
        <v>191</v>
      </c>
      <c r="L277">
        <f t="shared" si="14"/>
        <v>6</v>
      </c>
      <c r="M277">
        <f t="shared" si="15"/>
        <v>37.5</v>
      </c>
    </row>
    <row r="278" spans="3:13" x14ac:dyDescent="0.35">
      <c r="C278" t="s">
        <v>534</v>
      </c>
      <c r="D278" s="14" t="s">
        <v>82</v>
      </c>
      <c r="E278" s="14">
        <v>16</v>
      </c>
      <c r="F278" s="14">
        <v>14</v>
      </c>
      <c r="G278" s="14" t="s">
        <v>33</v>
      </c>
      <c r="H278" s="14" t="s">
        <v>533</v>
      </c>
      <c r="L278">
        <f t="shared" si="14"/>
        <v>2</v>
      </c>
      <c r="M278">
        <f t="shared" si="15"/>
        <v>27.5</v>
      </c>
    </row>
    <row r="279" spans="3:13" x14ac:dyDescent="0.35">
      <c r="C279" t="s">
        <v>535</v>
      </c>
      <c r="D279" s="14" t="s">
        <v>44</v>
      </c>
      <c r="E279" s="14">
        <v>18</v>
      </c>
      <c r="F279" s="14">
        <v>11</v>
      </c>
      <c r="G279" s="14" t="s">
        <v>50</v>
      </c>
      <c r="H279" s="14" t="s">
        <v>331</v>
      </c>
      <c r="L279">
        <f t="shared" si="14"/>
        <v>7</v>
      </c>
      <c r="M279">
        <f t="shared" si="15"/>
        <v>40</v>
      </c>
    </row>
    <row r="280" spans="3:13" x14ac:dyDescent="0.35">
      <c r="C280" t="s">
        <v>537</v>
      </c>
      <c r="D280" s="14" t="s">
        <v>57</v>
      </c>
      <c r="E280" s="14">
        <v>26</v>
      </c>
      <c r="F280" s="14">
        <v>18</v>
      </c>
      <c r="G280" s="14" t="s">
        <v>41</v>
      </c>
      <c r="H280" s="14" t="s">
        <v>536</v>
      </c>
      <c r="L280">
        <f t="shared" si="14"/>
        <v>8</v>
      </c>
      <c r="M280">
        <f t="shared" si="15"/>
        <v>42.5</v>
      </c>
    </row>
    <row r="281" spans="3:13" ht="15" thickBot="1" x14ac:dyDescent="0.4">
      <c r="C281" s="12" t="s">
        <v>538</v>
      </c>
      <c r="D281" s="23" t="s">
        <v>46</v>
      </c>
      <c r="E281" s="23">
        <v>21</v>
      </c>
      <c r="F281" s="23">
        <v>11</v>
      </c>
      <c r="G281" s="23" t="s">
        <v>47</v>
      </c>
      <c r="H281" s="23" t="s">
        <v>299</v>
      </c>
      <c r="I281" s="12"/>
      <c r="L281">
        <f t="shared" si="14"/>
        <v>10</v>
      </c>
      <c r="M281">
        <f t="shared" si="15"/>
        <v>47.500000000000007</v>
      </c>
    </row>
    <row r="282" spans="3:13" x14ac:dyDescent="0.35">
      <c r="D282" s="14" t="s">
        <v>30</v>
      </c>
      <c r="E282" s="14">
        <v>11</v>
      </c>
      <c r="F282" s="14">
        <v>5</v>
      </c>
      <c r="G282" s="14" t="s">
        <v>29</v>
      </c>
      <c r="H282" s="14" t="s">
        <v>545</v>
      </c>
      <c r="L282">
        <f t="shared" si="14"/>
        <v>6</v>
      </c>
      <c r="M282">
        <f t="shared" si="15"/>
        <v>37.5</v>
      </c>
    </row>
    <row r="283" spans="3:13" x14ac:dyDescent="0.35">
      <c r="D283" s="14" t="s">
        <v>300</v>
      </c>
      <c r="E283" s="14">
        <v>18</v>
      </c>
      <c r="F283" s="14">
        <v>14</v>
      </c>
      <c r="G283" s="14" t="s">
        <v>117</v>
      </c>
      <c r="H283" s="14" t="s">
        <v>347</v>
      </c>
      <c r="L283">
        <f t="shared" si="14"/>
        <v>4</v>
      </c>
      <c r="M283">
        <f t="shared" si="15"/>
        <v>32.5</v>
      </c>
    </row>
    <row r="284" spans="3:13" x14ac:dyDescent="0.35">
      <c r="C284" t="s">
        <v>402</v>
      </c>
      <c r="D284" s="14" t="s">
        <v>47</v>
      </c>
      <c r="E284" s="14">
        <v>11</v>
      </c>
      <c r="F284" s="14">
        <v>4</v>
      </c>
      <c r="G284" s="14" t="s">
        <v>58</v>
      </c>
      <c r="H284" s="14" t="s">
        <v>447</v>
      </c>
      <c r="L284">
        <f t="shared" si="14"/>
        <v>7</v>
      </c>
      <c r="M284">
        <f t="shared" si="15"/>
        <v>40</v>
      </c>
    </row>
    <row r="285" spans="3:13" x14ac:dyDescent="0.35">
      <c r="D285" s="14" t="s">
        <v>84</v>
      </c>
      <c r="E285" s="14">
        <v>20</v>
      </c>
      <c r="F285" s="14">
        <v>6</v>
      </c>
      <c r="G285" s="14" t="s">
        <v>81</v>
      </c>
      <c r="H285" s="14" t="s">
        <v>201</v>
      </c>
      <c r="L285">
        <f t="shared" si="14"/>
        <v>14</v>
      </c>
      <c r="M285">
        <f t="shared" si="15"/>
        <v>55</v>
      </c>
    </row>
    <row r="286" spans="3:13" x14ac:dyDescent="0.35">
      <c r="C286" t="s">
        <v>346</v>
      </c>
      <c r="D286" s="14" t="s">
        <v>86</v>
      </c>
      <c r="E286" s="14">
        <v>18</v>
      </c>
      <c r="F286" s="14">
        <v>15</v>
      </c>
      <c r="G286" s="14" t="s">
        <v>82</v>
      </c>
      <c r="H286" s="14" t="s">
        <v>290</v>
      </c>
      <c r="L286">
        <f t="shared" si="14"/>
        <v>3</v>
      </c>
      <c r="M286">
        <f t="shared" si="15"/>
        <v>30</v>
      </c>
    </row>
    <row r="287" spans="3:13" x14ac:dyDescent="0.35">
      <c r="D287" s="14" t="s">
        <v>80</v>
      </c>
      <c r="E287" s="14">
        <v>21</v>
      </c>
      <c r="F287" s="14">
        <v>8</v>
      </c>
      <c r="G287" s="14" t="s">
        <v>79</v>
      </c>
      <c r="H287" s="14" t="s">
        <v>334</v>
      </c>
      <c r="L287">
        <f t="shared" si="14"/>
        <v>13</v>
      </c>
      <c r="M287">
        <f t="shared" si="15"/>
        <v>53.75</v>
      </c>
    </row>
    <row r="288" spans="3:13" x14ac:dyDescent="0.35">
      <c r="C288" t="s">
        <v>454</v>
      </c>
      <c r="D288" s="14" t="s">
        <v>41</v>
      </c>
      <c r="E288" s="14">
        <v>25</v>
      </c>
      <c r="F288" s="14">
        <v>9</v>
      </c>
      <c r="G288" s="14" t="s">
        <v>1858</v>
      </c>
      <c r="H288" s="14" t="s">
        <v>546</v>
      </c>
      <c r="L288">
        <f t="shared" si="14"/>
        <v>16</v>
      </c>
      <c r="M288">
        <f t="shared" si="15"/>
        <v>57.5</v>
      </c>
    </row>
    <row r="289" spans="3:13" x14ac:dyDescent="0.35">
      <c r="D289" s="14" t="s">
        <v>292</v>
      </c>
      <c r="E289" s="14">
        <v>14</v>
      </c>
      <c r="F289" s="14">
        <v>4</v>
      </c>
      <c r="G289" s="14" t="s">
        <v>28</v>
      </c>
      <c r="H289" s="14" t="s">
        <v>341</v>
      </c>
      <c r="L289">
        <f t="shared" si="14"/>
        <v>10</v>
      </c>
      <c r="M289">
        <f t="shared" si="15"/>
        <v>47.500000000000007</v>
      </c>
    </row>
    <row r="290" spans="3:13" x14ac:dyDescent="0.35">
      <c r="D290" s="14" t="s">
        <v>76</v>
      </c>
      <c r="E290" s="14">
        <v>16</v>
      </c>
      <c r="F290" s="14">
        <v>11</v>
      </c>
      <c r="G290" s="14" t="s">
        <v>73</v>
      </c>
      <c r="H290" s="14" t="s">
        <v>296</v>
      </c>
      <c r="L290">
        <f t="shared" si="14"/>
        <v>5</v>
      </c>
      <c r="M290">
        <f t="shared" si="15"/>
        <v>35</v>
      </c>
    </row>
    <row r="291" spans="3:13" x14ac:dyDescent="0.35">
      <c r="C291" t="s">
        <v>352</v>
      </c>
      <c r="D291" s="14" t="s">
        <v>69</v>
      </c>
      <c r="E291" s="14">
        <v>27</v>
      </c>
      <c r="F291" s="14">
        <v>7</v>
      </c>
      <c r="G291" s="14" t="s">
        <v>68</v>
      </c>
      <c r="H291" s="14" t="s">
        <v>547</v>
      </c>
      <c r="L291">
        <f t="shared" si="14"/>
        <v>20</v>
      </c>
      <c r="M291">
        <f t="shared" si="15"/>
        <v>62.500000000000007</v>
      </c>
    </row>
    <row r="292" spans="3:13" x14ac:dyDescent="0.35">
      <c r="C292" t="s">
        <v>355</v>
      </c>
      <c r="D292" s="14" t="s">
        <v>53</v>
      </c>
      <c r="E292" s="14">
        <v>23</v>
      </c>
      <c r="F292" s="14">
        <v>10</v>
      </c>
      <c r="G292" s="14" t="s">
        <v>118</v>
      </c>
      <c r="H292" s="14" t="s">
        <v>334</v>
      </c>
      <c r="L292">
        <f t="shared" si="14"/>
        <v>13</v>
      </c>
      <c r="M292">
        <f t="shared" si="15"/>
        <v>53.75</v>
      </c>
    </row>
    <row r="293" spans="3:13" x14ac:dyDescent="0.35">
      <c r="C293" t="s">
        <v>456</v>
      </c>
      <c r="D293" s="14" t="s">
        <v>46</v>
      </c>
      <c r="E293" s="14">
        <v>19</v>
      </c>
      <c r="F293" s="14">
        <v>9</v>
      </c>
      <c r="G293" s="14" t="s">
        <v>43</v>
      </c>
      <c r="H293" s="14" t="s">
        <v>190</v>
      </c>
      <c r="L293">
        <f t="shared" si="14"/>
        <v>10</v>
      </c>
      <c r="M293">
        <f t="shared" si="15"/>
        <v>47.500000000000007</v>
      </c>
    </row>
    <row r="294" spans="3:13" x14ac:dyDescent="0.35">
      <c r="C294" t="s">
        <v>338</v>
      </c>
      <c r="D294" s="14" t="s">
        <v>70</v>
      </c>
      <c r="E294" s="14">
        <v>14</v>
      </c>
      <c r="F294" s="14">
        <v>11</v>
      </c>
      <c r="G294" s="14" t="s">
        <v>72</v>
      </c>
      <c r="H294" s="14" t="s">
        <v>337</v>
      </c>
      <c r="L294">
        <f t="shared" si="14"/>
        <v>3</v>
      </c>
      <c r="M294">
        <f t="shared" si="15"/>
        <v>30</v>
      </c>
    </row>
    <row r="295" spans="3:13" x14ac:dyDescent="0.35">
      <c r="C295" t="s">
        <v>368</v>
      </c>
      <c r="D295" s="14" t="s">
        <v>57</v>
      </c>
      <c r="E295" s="14">
        <v>14</v>
      </c>
      <c r="F295" s="14">
        <v>9</v>
      </c>
      <c r="G295" s="14" t="s">
        <v>52</v>
      </c>
      <c r="H295" s="14" t="s">
        <v>423</v>
      </c>
      <c r="L295">
        <f t="shared" si="14"/>
        <v>5</v>
      </c>
      <c r="M295">
        <f t="shared" si="15"/>
        <v>35</v>
      </c>
    </row>
    <row r="296" spans="3:13" x14ac:dyDescent="0.35">
      <c r="D296" s="14" t="s">
        <v>56</v>
      </c>
      <c r="E296" s="14">
        <v>19</v>
      </c>
      <c r="F296" s="14">
        <v>15</v>
      </c>
      <c r="G296" s="14" t="s">
        <v>54</v>
      </c>
      <c r="H296" s="14" t="s">
        <v>347</v>
      </c>
      <c r="L296">
        <f t="shared" si="14"/>
        <v>4</v>
      </c>
      <c r="M296">
        <f t="shared" si="15"/>
        <v>32.5</v>
      </c>
    </row>
    <row r="297" spans="3:13" x14ac:dyDescent="0.35">
      <c r="D297" s="14" t="s">
        <v>85</v>
      </c>
      <c r="E297" s="14">
        <v>16</v>
      </c>
      <c r="F297" s="14">
        <v>7</v>
      </c>
      <c r="G297" s="14" t="s">
        <v>88</v>
      </c>
      <c r="H297" s="14" t="s">
        <v>450</v>
      </c>
      <c r="L297">
        <f t="shared" si="14"/>
        <v>9</v>
      </c>
      <c r="M297">
        <f t="shared" si="15"/>
        <v>45</v>
      </c>
    </row>
    <row r="298" spans="3:13" x14ac:dyDescent="0.35">
      <c r="C298" t="s">
        <v>548</v>
      </c>
      <c r="D298" s="14" t="s">
        <v>59</v>
      </c>
      <c r="E298" s="14">
        <v>19</v>
      </c>
      <c r="F298" s="14">
        <v>12</v>
      </c>
      <c r="G298" s="14" t="s">
        <v>65</v>
      </c>
      <c r="H298" s="14" t="s">
        <v>507</v>
      </c>
      <c r="L298">
        <f t="shared" ref="L298:L361" si="16">E298-F298</f>
        <v>7</v>
      </c>
      <c r="M298">
        <f t="shared" si="15"/>
        <v>40</v>
      </c>
    </row>
    <row r="299" spans="3:13" x14ac:dyDescent="0.35">
      <c r="D299" s="14" t="s">
        <v>61</v>
      </c>
      <c r="E299" s="14">
        <v>16</v>
      </c>
      <c r="F299" s="14">
        <v>14</v>
      </c>
      <c r="G299" s="14" t="s">
        <v>115</v>
      </c>
      <c r="H299" s="14" t="s">
        <v>443</v>
      </c>
      <c r="L299">
        <f t="shared" si="16"/>
        <v>2</v>
      </c>
      <c r="M299">
        <f t="shared" si="15"/>
        <v>27.5</v>
      </c>
    </row>
    <row r="300" spans="3:13" x14ac:dyDescent="0.35">
      <c r="D300" s="14" t="s">
        <v>34</v>
      </c>
      <c r="E300" s="14">
        <v>13</v>
      </c>
      <c r="F300" s="14">
        <v>7</v>
      </c>
      <c r="G300" s="14" t="s">
        <v>23</v>
      </c>
      <c r="H300" s="14" t="s">
        <v>190</v>
      </c>
      <c r="L300">
        <f t="shared" si="16"/>
        <v>6</v>
      </c>
      <c r="M300">
        <f t="shared" si="15"/>
        <v>37.5</v>
      </c>
    </row>
    <row r="301" spans="3:13" x14ac:dyDescent="0.35">
      <c r="D301" s="14" t="s">
        <v>74</v>
      </c>
      <c r="E301" s="14">
        <v>8</v>
      </c>
      <c r="F301" s="14">
        <v>4</v>
      </c>
      <c r="G301" s="14" t="s">
        <v>75</v>
      </c>
      <c r="H301" s="14" t="s">
        <v>545</v>
      </c>
      <c r="L301">
        <f t="shared" si="16"/>
        <v>4</v>
      </c>
      <c r="M301">
        <f t="shared" si="15"/>
        <v>32.5</v>
      </c>
    </row>
    <row r="302" spans="3:13" x14ac:dyDescent="0.35">
      <c r="D302" s="14" t="s">
        <v>145</v>
      </c>
      <c r="E302" s="14">
        <v>15</v>
      </c>
      <c r="F302" s="14">
        <v>6</v>
      </c>
      <c r="G302" s="14" t="s">
        <v>55</v>
      </c>
      <c r="H302" s="14" t="s">
        <v>286</v>
      </c>
      <c r="L302">
        <f t="shared" si="16"/>
        <v>9</v>
      </c>
      <c r="M302">
        <f t="shared" si="15"/>
        <v>45</v>
      </c>
    </row>
    <row r="303" spans="3:13" x14ac:dyDescent="0.35">
      <c r="D303" s="14" t="s">
        <v>60</v>
      </c>
      <c r="E303" s="14">
        <v>16</v>
      </c>
      <c r="F303" s="14">
        <v>5</v>
      </c>
      <c r="G303" s="14" t="s">
        <v>62</v>
      </c>
      <c r="H303" s="14" t="s">
        <v>297</v>
      </c>
      <c r="L303">
        <f t="shared" si="16"/>
        <v>11</v>
      </c>
      <c r="M303">
        <f t="shared" si="15"/>
        <v>49.999999999999993</v>
      </c>
    </row>
    <row r="304" spans="3:13" x14ac:dyDescent="0.35">
      <c r="D304" s="14" t="s">
        <v>87</v>
      </c>
      <c r="E304" s="14">
        <v>32</v>
      </c>
      <c r="F304" s="14">
        <v>13</v>
      </c>
      <c r="G304" s="14" t="s">
        <v>83</v>
      </c>
      <c r="H304" s="14" t="s">
        <v>425</v>
      </c>
      <c r="I304" s="14" t="s">
        <v>549</v>
      </c>
      <c r="L304">
        <f t="shared" si="16"/>
        <v>19</v>
      </c>
      <c r="M304">
        <f t="shared" si="15"/>
        <v>61.249999999999993</v>
      </c>
    </row>
    <row r="305" spans="3:13" x14ac:dyDescent="0.35">
      <c r="C305" t="s">
        <v>357</v>
      </c>
      <c r="D305" s="14" t="s">
        <v>119</v>
      </c>
      <c r="E305" s="14">
        <v>20</v>
      </c>
      <c r="F305" s="14">
        <v>6</v>
      </c>
      <c r="G305" s="14" t="s">
        <v>27</v>
      </c>
      <c r="H305" s="14" t="s">
        <v>286</v>
      </c>
      <c r="L305">
        <f t="shared" si="16"/>
        <v>14</v>
      </c>
      <c r="M305">
        <f t="shared" si="15"/>
        <v>55</v>
      </c>
    </row>
    <row r="306" spans="3:13" x14ac:dyDescent="0.35">
      <c r="D306" s="14" t="s">
        <v>51</v>
      </c>
      <c r="E306" s="14">
        <v>17</v>
      </c>
      <c r="F306" s="14">
        <v>5</v>
      </c>
      <c r="G306" s="14" t="s">
        <v>50</v>
      </c>
      <c r="H306" s="14" t="s">
        <v>397</v>
      </c>
      <c r="L306">
        <f t="shared" si="16"/>
        <v>12</v>
      </c>
      <c r="M306">
        <f t="shared" si="15"/>
        <v>52.5</v>
      </c>
    </row>
    <row r="307" spans="3:13" x14ac:dyDescent="0.35">
      <c r="D307" s="14" t="s">
        <v>42</v>
      </c>
      <c r="E307" s="14">
        <v>21</v>
      </c>
      <c r="F307" s="14">
        <v>6</v>
      </c>
      <c r="G307" s="14" t="s">
        <v>1859</v>
      </c>
      <c r="H307" s="14" t="s">
        <v>286</v>
      </c>
      <c r="L307">
        <f t="shared" si="16"/>
        <v>15</v>
      </c>
      <c r="M307">
        <f t="shared" si="15"/>
        <v>56.25</v>
      </c>
    </row>
    <row r="308" spans="3:13" x14ac:dyDescent="0.35">
      <c r="D308" s="14" t="s">
        <v>26</v>
      </c>
      <c r="E308" s="14">
        <v>14</v>
      </c>
      <c r="F308" s="14">
        <v>8</v>
      </c>
      <c r="G308" s="14" t="s">
        <v>22</v>
      </c>
      <c r="H308" s="14" t="s">
        <v>360</v>
      </c>
      <c r="L308">
        <f t="shared" si="16"/>
        <v>6</v>
      </c>
      <c r="M308">
        <f t="shared" si="15"/>
        <v>37.5</v>
      </c>
    </row>
    <row r="309" spans="3:13" x14ac:dyDescent="0.35">
      <c r="D309" s="14" t="s">
        <v>64</v>
      </c>
      <c r="E309" s="14">
        <v>17</v>
      </c>
      <c r="F309" s="14">
        <v>10</v>
      </c>
      <c r="G309" s="14" t="s">
        <v>63</v>
      </c>
      <c r="H309" s="14" t="s">
        <v>337</v>
      </c>
      <c r="L309">
        <f t="shared" si="16"/>
        <v>7</v>
      </c>
      <c r="M309">
        <f t="shared" si="15"/>
        <v>40</v>
      </c>
    </row>
    <row r="310" spans="3:13" x14ac:dyDescent="0.35">
      <c r="C310" t="s">
        <v>449</v>
      </c>
      <c r="D310" s="14" t="s">
        <v>67</v>
      </c>
      <c r="E310" s="14">
        <v>30</v>
      </c>
      <c r="F310" s="14">
        <v>13</v>
      </c>
      <c r="G310" s="14" t="s">
        <v>71</v>
      </c>
      <c r="H310" s="14" t="s">
        <v>289</v>
      </c>
      <c r="I310" t="s">
        <v>550</v>
      </c>
      <c r="L310">
        <f t="shared" si="16"/>
        <v>17</v>
      </c>
      <c r="M310">
        <f t="shared" si="15"/>
        <v>58.75</v>
      </c>
    </row>
    <row r="311" spans="3:13" x14ac:dyDescent="0.35">
      <c r="D311" s="14" t="s">
        <v>77</v>
      </c>
      <c r="E311" s="14">
        <v>12</v>
      </c>
      <c r="F311" s="14">
        <v>3</v>
      </c>
      <c r="G311" s="14" t="s">
        <v>78</v>
      </c>
      <c r="H311" s="14" t="s">
        <v>341</v>
      </c>
      <c r="L311">
        <f t="shared" si="16"/>
        <v>9</v>
      </c>
      <c r="M311">
        <f t="shared" si="15"/>
        <v>45</v>
      </c>
    </row>
    <row r="312" spans="3:13" x14ac:dyDescent="0.35">
      <c r="C312" t="s">
        <v>417</v>
      </c>
      <c r="D312" s="14" t="s">
        <v>38</v>
      </c>
      <c r="E312" s="14">
        <v>15</v>
      </c>
      <c r="F312" s="14">
        <v>10</v>
      </c>
      <c r="G312" s="14" t="s">
        <v>37</v>
      </c>
      <c r="H312" s="14" t="s">
        <v>187</v>
      </c>
      <c r="L312">
        <f t="shared" si="16"/>
        <v>5</v>
      </c>
      <c r="M312">
        <f t="shared" si="15"/>
        <v>35</v>
      </c>
    </row>
    <row r="313" spans="3:13" x14ac:dyDescent="0.35">
      <c r="C313" t="s">
        <v>441</v>
      </c>
      <c r="D313" s="14" t="s">
        <v>66</v>
      </c>
      <c r="E313" s="14">
        <v>18</v>
      </c>
      <c r="F313" s="14">
        <v>10</v>
      </c>
      <c r="G313" s="14" t="s">
        <v>114</v>
      </c>
      <c r="H313" s="14" t="s">
        <v>547</v>
      </c>
      <c r="L313">
        <f t="shared" si="16"/>
        <v>8</v>
      </c>
      <c r="M313">
        <f t="shared" si="15"/>
        <v>42.5</v>
      </c>
    </row>
    <row r="314" spans="3:13" x14ac:dyDescent="0.35">
      <c r="D314" s="14" t="s">
        <v>36</v>
      </c>
      <c r="E314" s="14">
        <v>17</v>
      </c>
      <c r="F314" s="14">
        <v>14</v>
      </c>
      <c r="G314" s="14" t="s">
        <v>2011</v>
      </c>
      <c r="H314" s="14" t="s">
        <v>296</v>
      </c>
      <c r="L314">
        <f t="shared" si="16"/>
        <v>3</v>
      </c>
      <c r="M314">
        <f t="shared" si="15"/>
        <v>30</v>
      </c>
    </row>
    <row r="315" spans="3:13" x14ac:dyDescent="0.35">
      <c r="C315" t="s">
        <v>552</v>
      </c>
      <c r="D315" s="14" t="s">
        <v>48</v>
      </c>
      <c r="E315" s="14">
        <v>22</v>
      </c>
      <c r="F315" s="14">
        <v>20</v>
      </c>
      <c r="G315" s="14" t="s">
        <v>49</v>
      </c>
      <c r="H315" s="14" t="s">
        <v>358</v>
      </c>
      <c r="I315" t="s">
        <v>551</v>
      </c>
      <c r="L315">
        <f t="shared" si="16"/>
        <v>2</v>
      </c>
      <c r="M315">
        <f t="shared" si="15"/>
        <v>27.5</v>
      </c>
    </row>
    <row r="316" spans="3:13" x14ac:dyDescent="0.35">
      <c r="C316" t="s">
        <v>553</v>
      </c>
      <c r="D316" s="14" t="s">
        <v>32</v>
      </c>
      <c r="E316" s="14">
        <v>19</v>
      </c>
      <c r="F316" s="14">
        <v>16</v>
      </c>
      <c r="G316" s="14" t="s">
        <v>31</v>
      </c>
      <c r="H316" s="14" t="s">
        <v>416</v>
      </c>
      <c r="L316">
        <f t="shared" si="16"/>
        <v>3</v>
      </c>
      <c r="M316">
        <f t="shared" si="15"/>
        <v>30</v>
      </c>
    </row>
    <row r="317" spans="3:13" x14ac:dyDescent="0.35">
      <c r="C317" t="s">
        <v>496</v>
      </c>
      <c r="D317" s="14" t="s">
        <v>39</v>
      </c>
      <c r="E317" s="14">
        <v>19</v>
      </c>
      <c r="F317" s="14">
        <v>11</v>
      </c>
      <c r="G317" s="14" t="s">
        <v>40</v>
      </c>
      <c r="H317" s="14" t="s">
        <v>400</v>
      </c>
      <c r="L317">
        <f t="shared" si="16"/>
        <v>8</v>
      </c>
      <c r="M317">
        <f t="shared" si="15"/>
        <v>42.5</v>
      </c>
    </row>
    <row r="318" spans="3:13" x14ac:dyDescent="0.35">
      <c r="C318" t="s">
        <v>554</v>
      </c>
      <c r="D318" s="14" t="s">
        <v>1860</v>
      </c>
      <c r="E318" s="14">
        <v>16</v>
      </c>
      <c r="F318" s="14">
        <v>10</v>
      </c>
      <c r="G318" s="14" t="s">
        <v>25</v>
      </c>
      <c r="H318" s="14" t="s">
        <v>332</v>
      </c>
      <c r="L318">
        <f t="shared" si="16"/>
        <v>6</v>
      </c>
      <c r="M318">
        <f t="shared" si="15"/>
        <v>37.5</v>
      </c>
    </row>
    <row r="319" spans="3:13" x14ac:dyDescent="0.35">
      <c r="C319" t="s">
        <v>555</v>
      </c>
      <c r="D319" s="14" t="s">
        <v>45</v>
      </c>
      <c r="E319" s="14">
        <v>13</v>
      </c>
      <c r="F319" s="14">
        <v>10</v>
      </c>
      <c r="G319" s="14" t="s">
        <v>44</v>
      </c>
      <c r="H319" s="14" t="s">
        <v>360</v>
      </c>
      <c r="L319">
        <f t="shared" si="16"/>
        <v>3</v>
      </c>
      <c r="M319">
        <f t="shared" si="15"/>
        <v>30</v>
      </c>
    </row>
    <row r="320" spans="3:13" x14ac:dyDescent="0.35">
      <c r="C320" t="s">
        <v>556</v>
      </c>
      <c r="D320" s="14" t="s">
        <v>900</v>
      </c>
      <c r="E320" s="14">
        <v>16</v>
      </c>
      <c r="F320" s="14">
        <v>11</v>
      </c>
      <c r="G320" s="14" t="s">
        <v>35</v>
      </c>
      <c r="H320" s="14" t="s">
        <v>294</v>
      </c>
      <c r="L320">
        <f t="shared" si="16"/>
        <v>5</v>
      </c>
      <c r="M320">
        <f t="shared" si="15"/>
        <v>35</v>
      </c>
    </row>
    <row r="321" spans="3:13" ht="15" thickBot="1" x14ac:dyDescent="0.4">
      <c r="C321" s="12" t="s">
        <v>558</v>
      </c>
      <c r="D321" s="12" t="s">
        <v>24</v>
      </c>
      <c r="E321" s="12">
        <v>25</v>
      </c>
      <c r="F321" s="12">
        <v>17</v>
      </c>
      <c r="G321" s="12" t="s">
        <v>33</v>
      </c>
      <c r="H321" s="12" t="s">
        <v>504</v>
      </c>
      <c r="I321" s="12" t="s">
        <v>557</v>
      </c>
      <c r="L321">
        <f t="shared" si="16"/>
        <v>8</v>
      </c>
      <c r="M321">
        <f t="shared" si="15"/>
        <v>42.5</v>
      </c>
    </row>
    <row r="322" spans="3:13" x14ac:dyDescent="0.35">
      <c r="C322" s="14" t="s">
        <v>356</v>
      </c>
      <c r="D322" s="14" t="s">
        <v>49</v>
      </c>
      <c r="E322" s="14">
        <v>24</v>
      </c>
      <c r="F322" s="14">
        <v>12</v>
      </c>
      <c r="G322" s="14" t="s">
        <v>300</v>
      </c>
      <c r="H322" s="14" t="s">
        <v>301</v>
      </c>
      <c r="I322" t="s">
        <v>568</v>
      </c>
      <c r="L322">
        <f t="shared" si="16"/>
        <v>12</v>
      </c>
      <c r="M322">
        <f t="shared" si="15"/>
        <v>52.5</v>
      </c>
    </row>
    <row r="323" spans="3:13" x14ac:dyDescent="0.35">
      <c r="D323" s="14" t="s">
        <v>117</v>
      </c>
      <c r="E323" s="14">
        <v>23</v>
      </c>
      <c r="F323" s="14">
        <v>16</v>
      </c>
      <c r="G323" s="14" t="s">
        <v>48</v>
      </c>
      <c r="H323" s="14" t="s">
        <v>337</v>
      </c>
      <c r="L323">
        <f t="shared" si="16"/>
        <v>7</v>
      </c>
      <c r="M323">
        <f t="shared" ref="M323:M386" si="17">30*(IF(L323&lt;13,1+((L323-3)/12),1.75+((L323-12)/24)))</f>
        <v>40</v>
      </c>
    </row>
    <row r="324" spans="3:13" x14ac:dyDescent="0.35">
      <c r="D324" s="14" t="s">
        <v>56</v>
      </c>
      <c r="E324" s="14">
        <v>25</v>
      </c>
      <c r="F324" s="14">
        <v>12</v>
      </c>
      <c r="G324" s="14" t="s">
        <v>58</v>
      </c>
      <c r="H324" s="14" t="s">
        <v>178</v>
      </c>
      <c r="L324">
        <f t="shared" si="16"/>
        <v>13</v>
      </c>
      <c r="M324">
        <f t="shared" si="17"/>
        <v>53.75</v>
      </c>
    </row>
    <row r="325" spans="3:13" x14ac:dyDescent="0.35">
      <c r="D325" s="14" t="s">
        <v>79</v>
      </c>
      <c r="E325" s="14">
        <v>16</v>
      </c>
      <c r="F325" s="14">
        <v>11</v>
      </c>
      <c r="G325" s="14" t="s">
        <v>81</v>
      </c>
      <c r="H325" s="14" t="s">
        <v>294</v>
      </c>
      <c r="L325">
        <f t="shared" si="16"/>
        <v>5</v>
      </c>
      <c r="M325">
        <f t="shared" si="17"/>
        <v>35</v>
      </c>
    </row>
    <row r="326" spans="3:13" x14ac:dyDescent="0.35">
      <c r="D326" s="14" t="s">
        <v>28</v>
      </c>
      <c r="E326" s="14">
        <v>11</v>
      </c>
      <c r="F326" s="14">
        <v>9</v>
      </c>
      <c r="G326" s="14" t="s">
        <v>22</v>
      </c>
      <c r="H326" s="14" t="s">
        <v>291</v>
      </c>
      <c r="L326">
        <f t="shared" si="16"/>
        <v>2</v>
      </c>
      <c r="M326">
        <f t="shared" si="17"/>
        <v>27.5</v>
      </c>
    </row>
    <row r="327" spans="3:13" x14ac:dyDescent="0.35">
      <c r="C327" t="s">
        <v>366</v>
      </c>
      <c r="D327" s="14" t="s">
        <v>57</v>
      </c>
      <c r="E327" s="14">
        <v>15</v>
      </c>
      <c r="F327" s="14">
        <v>12</v>
      </c>
      <c r="G327" s="14" t="s">
        <v>118</v>
      </c>
      <c r="H327" s="14" t="s">
        <v>185</v>
      </c>
      <c r="I327" t="s">
        <v>569</v>
      </c>
      <c r="L327">
        <f t="shared" si="16"/>
        <v>3</v>
      </c>
      <c r="M327">
        <f t="shared" si="17"/>
        <v>30</v>
      </c>
    </row>
    <row r="328" spans="3:13" x14ac:dyDescent="0.35">
      <c r="C328" t="s">
        <v>349</v>
      </c>
      <c r="D328" s="14" t="s">
        <v>39</v>
      </c>
      <c r="E328" s="14">
        <v>24</v>
      </c>
      <c r="F328" s="14">
        <v>11</v>
      </c>
      <c r="G328" s="14" t="s">
        <v>1858</v>
      </c>
      <c r="H328" s="14" t="s">
        <v>299</v>
      </c>
      <c r="L328">
        <f t="shared" si="16"/>
        <v>13</v>
      </c>
      <c r="M328">
        <f t="shared" si="17"/>
        <v>53.75</v>
      </c>
    </row>
    <row r="329" spans="3:13" x14ac:dyDescent="0.35">
      <c r="C329" t="s">
        <v>548</v>
      </c>
      <c r="D329" s="14" t="s">
        <v>30</v>
      </c>
      <c r="E329" s="14">
        <v>14</v>
      </c>
      <c r="F329" s="14">
        <v>10</v>
      </c>
      <c r="G329" s="14" t="s">
        <v>33</v>
      </c>
      <c r="H329" s="14" t="s">
        <v>186</v>
      </c>
      <c r="L329">
        <f t="shared" si="16"/>
        <v>4</v>
      </c>
      <c r="M329">
        <f t="shared" si="17"/>
        <v>32.5</v>
      </c>
    </row>
    <row r="330" spans="3:13" x14ac:dyDescent="0.35">
      <c r="C330" t="s">
        <v>355</v>
      </c>
      <c r="D330" s="14" t="s">
        <v>53</v>
      </c>
      <c r="E330" s="14">
        <v>15</v>
      </c>
      <c r="F330" s="14">
        <v>11</v>
      </c>
      <c r="G330" s="14" t="s">
        <v>52</v>
      </c>
      <c r="H330" s="14" t="s">
        <v>294</v>
      </c>
      <c r="L330">
        <f t="shared" si="16"/>
        <v>4</v>
      </c>
      <c r="M330">
        <f t="shared" si="17"/>
        <v>32.5</v>
      </c>
    </row>
    <row r="331" spans="3:13" x14ac:dyDescent="0.35">
      <c r="D331" s="14" t="s">
        <v>84</v>
      </c>
      <c r="E331" s="14">
        <v>14</v>
      </c>
      <c r="F331" s="14">
        <v>9</v>
      </c>
      <c r="G331" s="14" t="s">
        <v>80</v>
      </c>
      <c r="H331" s="14" t="s">
        <v>187</v>
      </c>
      <c r="L331">
        <f t="shared" si="16"/>
        <v>5</v>
      </c>
      <c r="M331">
        <f t="shared" si="17"/>
        <v>35</v>
      </c>
    </row>
    <row r="332" spans="3:13" x14ac:dyDescent="0.35">
      <c r="D332" s="14" t="s">
        <v>86</v>
      </c>
      <c r="E332" s="14">
        <v>22</v>
      </c>
      <c r="F332" s="14">
        <v>8</v>
      </c>
      <c r="G332" s="14" t="s">
        <v>75</v>
      </c>
      <c r="H332" s="14" t="s">
        <v>397</v>
      </c>
      <c r="L332">
        <f t="shared" si="16"/>
        <v>14</v>
      </c>
      <c r="M332">
        <f t="shared" si="17"/>
        <v>55</v>
      </c>
    </row>
    <row r="333" spans="3:13" x14ac:dyDescent="0.35">
      <c r="D333" s="14" t="s">
        <v>43</v>
      </c>
      <c r="E333" s="14">
        <v>15</v>
      </c>
      <c r="F333" s="14">
        <v>11</v>
      </c>
      <c r="G333" s="14" t="s">
        <v>36</v>
      </c>
      <c r="H333" s="14" t="s">
        <v>334</v>
      </c>
      <c r="I333" t="s">
        <v>573</v>
      </c>
      <c r="L333">
        <f t="shared" si="16"/>
        <v>4</v>
      </c>
      <c r="M333">
        <f t="shared" si="17"/>
        <v>32.5</v>
      </c>
    </row>
    <row r="334" spans="3:13" x14ac:dyDescent="0.35">
      <c r="C334" t="s">
        <v>342</v>
      </c>
      <c r="D334" s="14" t="s">
        <v>24</v>
      </c>
      <c r="E334" s="14">
        <v>21</v>
      </c>
      <c r="F334" s="14">
        <v>19</v>
      </c>
      <c r="G334" s="14" t="s">
        <v>29</v>
      </c>
      <c r="H334" s="14" t="s">
        <v>194</v>
      </c>
      <c r="L334">
        <f t="shared" si="16"/>
        <v>2</v>
      </c>
      <c r="M334">
        <f t="shared" si="17"/>
        <v>27.5</v>
      </c>
    </row>
    <row r="335" spans="3:13" x14ac:dyDescent="0.35">
      <c r="D335" s="14" t="s">
        <v>62</v>
      </c>
      <c r="E335" s="14">
        <v>18</v>
      </c>
      <c r="F335" s="14">
        <v>6</v>
      </c>
      <c r="G335" s="14" t="s">
        <v>72</v>
      </c>
      <c r="H335" s="14" t="s">
        <v>200</v>
      </c>
      <c r="L335">
        <f t="shared" si="16"/>
        <v>12</v>
      </c>
      <c r="M335">
        <f t="shared" si="17"/>
        <v>52.5</v>
      </c>
    </row>
    <row r="336" spans="3:13" x14ac:dyDescent="0.35">
      <c r="C336" t="s">
        <v>330</v>
      </c>
      <c r="D336" s="14" t="s">
        <v>47</v>
      </c>
      <c r="E336" s="14">
        <v>16</v>
      </c>
      <c r="F336" s="14">
        <v>15</v>
      </c>
      <c r="G336" s="14" t="s">
        <v>54</v>
      </c>
      <c r="H336" s="14" t="s">
        <v>179</v>
      </c>
      <c r="L336">
        <f t="shared" si="16"/>
        <v>1</v>
      </c>
      <c r="M336">
        <f t="shared" si="17"/>
        <v>25</v>
      </c>
    </row>
    <row r="337" spans="3:13" x14ac:dyDescent="0.35">
      <c r="D337" s="14" t="s">
        <v>88</v>
      </c>
      <c r="E337" s="14">
        <v>17</v>
      </c>
      <c r="F337" s="14">
        <v>11</v>
      </c>
      <c r="G337" s="14" t="s">
        <v>77</v>
      </c>
      <c r="H337" s="14" t="s">
        <v>191</v>
      </c>
      <c r="L337">
        <f t="shared" si="16"/>
        <v>6</v>
      </c>
      <c r="M337">
        <f t="shared" si="17"/>
        <v>37.5</v>
      </c>
    </row>
    <row r="338" spans="3:13" x14ac:dyDescent="0.35">
      <c r="D338" s="14" t="s">
        <v>83</v>
      </c>
      <c r="E338" s="14">
        <v>15</v>
      </c>
      <c r="F338" s="14">
        <v>9</v>
      </c>
      <c r="G338" s="14" t="s">
        <v>73</v>
      </c>
      <c r="H338" s="14" t="s">
        <v>360</v>
      </c>
      <c r="L338">
        <f t="shared" si="16"/>
        <v>6</v>
      </c>
      <c r="M338">
        <f t="shared" si="17"/>
        <v>37.5</v>
      </c>
    </row>
    <row r="339" spans="3:13" x14ac:dyDescent="0.35">
      <c r="C339" t="s">
        <v>333</v>
      </c>
      <c r="D339" s="14" t="s">
        <v>32</v>
      </c>
      <c r="E339" s="14">
        <v>21</v>
      </c>
      <c r="F339" s="14">
        <v>10</v>
      </c>
      <c r="G339" s="14" t="s">
        <v>23</v>
      </c>
      <c r="H339" s="14" t="s">
        <v>296</v>
      </c>
      <c r="L339">
        <f t="shared" si="16"/>
        <v>11</v>
      </c>
      <c r="M339">
        <f t="shared" si="17"/>
        <v>49.999999999999993</v>
      </c>
    </row>
    <row r="340" spans="3:13" x14ac:dyDescent="0.35">
      <c r="D340" s="14" t="s">
        <v>76</v>
      </c>
      <c r="E340" s="14">
        <v>17</v>
      </c>
      <c r="F340" s="14">
        <v>13</v>
      </c>
      <c r="G340" s="14" t="s">
        <v>87</v>
      </c>
      <c r="H340" s="14" t="s">
        <v>299</v>
      </c>
      <c r="L340">
        <f t="shared" si="16"/>
        <v>4</v>
      </c>
      <c r="M340">
        <f t="shared" si="17"/>
        <v>32.5</v>
      </c>
    </row>
    <row r="341" spans="3:13" x14ac:dyDescent="0.35">
      <c r="C341" t="s">
        <v>368</v>
      </c>
      <c r="D341" s="14" t="s">
        <v>1860</v>
      </c>
      <c r="E341" s="14">
        <v>18</v>
      </c>
      <c r="F341" s="14">
        <v>11</v>
      </c>
      <c r="G341" s="14" t="s">
        <v>27</v>
      </c>
      <c r="H341" s="14" t="s">
        <v>295</v>
      </c>
      <c r="L341">
        <f t="shared" si="16"/>
        <v>7</v>
      </c>
      <c r="M341">
        <f t="shared" si="17"/>
        <v>40</v>
      </c>
    </row>
    <row r="342" spans="3:13" x14ac:dyDescent="0.35">
      <c r="D342" s="14" t="s">
        <v>63</v>
      </c>
      <c r="E342" s="14">
        <v>16</v>
      </c>
      <c r="F342" s="14">
        <v>14</v>
      </c>
      <c r="G342" s="14" t="s">
        <v>68</v>
      </c>
      <c r="H342" s="14" t="s">
        <v>574</v>
      </c>
      <c r="L342">
        <f t="shared" si="16"/>
        <v>2</v>
      </c>
      <c r="M342">
        <f t="shared" si="17"/>
        <v>27.5</v>
      </c>
    </row>
    <row r="343" spans="3:13" x14ac:dyDescent="0.35">
      <c r="D343" s="14" t="s">
        <v>61</v>
      </c>
      <c r="E343" s="14">
        <v>15</v>
      </c>
      <c r="F343" s="14">
        <v>14</v>
      </c>
      <c r="G343" s="14" t="s">
        <v>71</v>
      </c>
      <c r="H343" s="14" t="s">
        <v>294</v>
      </c>
      <c r="I343" t="s">
        <v>575</v>
      </c>
      <c r="L343">
        <f t="shared" si="16"/>
        <v>1</v>
      </c>
      <c r="M343">
        <f t="shared" si="17"/>
        <v>25</v>
      </c>
    </row>
    <row r="344" spans="3:13" x14ac:dyDescent="0.35">
      <c r="D344" s="14" t="s">
        <v>78</v>
      </c>
      <c r="E344" s="14">
        <v>15</v>
      </c>
      <c r="F344" s="14">
        <v>14</v>
      </c>
      <c r="G344" s="14" t="s">
        <v>85</v>
      </c>
      <c r="H344" s="14" t="s">
        <v>577</v>
      </c>
      <c r="I344" t="s">
        <v>576</v>
      </c>
      <c r="L344">
        <f t="shared" si="16"/>
        <v>1</v>
      </c>
      <c r="M344">
        <f t="shared" si="17"/>
        <v>25</v>
      </c>
    </row>
    <row r="345" spans="3:13" x14ac:dyDescent="0.35">
      <c r="C345" t="s">
        <v>370</v>
      </c>
      <c r="D345" s="14" t="s">
        <v>74</v>
      </c>
      <c r="E345" s="14">
        <v>14</v>
      </c>
      <c r="F345" s="14">
        <v>11</v>
      </c>
      <c r="G345" s="14" t="s">
        <v>82</v>
      </c>
      <c r="H345" s="14" t="s">
        <v>296</v>
      </c>
      <c r="L345">
        <f t="shared" si="16"/>
        <v>3</v>
      </c>
      <c r="M345">
        <f t="shared" si="17"/>
        <v>30</v>
      </c>
    </row>
    <row r="346" spans="3:13" x14ac:dyDescent="0.35">
      <c r="D346" s="14" t="s">
        <v>145</v>
      </c>
      <c r="E346" s="14">
        <v>14</v>
      </c>
      <c r="F346" s="14">
        <v>13</v>
      </c>
      <c r="G346" s="14" t="s">
        <v>51</v>
      </c>
      <c r="H346" s="14" t="s">
        <v>186</v>
      </c>
      <c r="L346">
        <f t="shared" si="16"/>
        <v>1</v>
      </c>
      <c r="M346">
        <f t="shared" si="17"/>
        <v>25</v>
      </c>
    </row>
    <row r="347" spans="3:13" x14ac:dyDescent="0.35">
      <c r="D347" s="14" t="s">
        <v>55</v>
      </c>
      <c r="E347" s="14">
        <v>11</v>
      </c>
      <c r="F347" s="14">
        <v>10</v>
      </c>
      <c r="G347" s="14" t="s">
        <v>50</v>
      </c>
      <c r="H347" s="14" t="s">
        <v>181</v>
      </c>
      <c r="L347">
        <f t="shared" si="16"/>
        <v>1</v>
      </c>
      <c r="M347">
        <f t="shared" si="17"/>
        <v>25</v>
      </c>
    </row>
    <row r="348" spans="3:13" x14ac:dyDescent="0.35">
      <c r="C348" t="s">
        <v>412</v>
      </c>
      <c r="D348" s="14" t="s">
        <v>59</v>
      </c>
      <c r="E348" s="14">
        <v>15</v>
      </c>
      <c r="F348" s="14">
        <v>14</v>
      </c>
      <c r="G348" s="14" t="s">
        <v>66</v>
      </c>
      <c r="H348" s="14" t="s">
        <v>299</v>
      </c>
      <c r="L348">
        <f t="shared" si="16"/>
        <v>1</v>
      </c>
      <c r="M348">
        <f t="shared" si="17"/>
        <v>25</v>
      </c>
    </row>
    <row r="349" spans="3:13" x14ac:dyDescent="0.35">
      <c r="D349" s="14" t="s">
        <v>37</v>
      </c>
      <c r="E349" s="14">
        <v>12</v>
      </c>
      <c r="F349" s="14">
        <v>10</v>
      </c>
      <c r="G349" s="14" t="s">
        <v>42</v>
      </c>
      <c r="H349" s="14" t="s">
        <v>185</v>
      </c>
      <c r="L349">
        <f t="shared" si="16"/>
        <v>2</v>
      </c>
      <c r="M349">
        <f t="shared" si="17"/>
        <v>27.5</v>
      </c>
    </row>
    <row r="350" spans="3:13" x14ac:dyDescent="0.35">
      <c r="C350" t="s">
        <v>422</v>
      </c>
      <c r="D350" s="14" t="s">
        <v>67</v>
      </c>
      <c r="E350" s="14">
        <v>16</v>
      </c>
      <c r="F350" s="14">
        <v>13</v>
      </c>
      <c r="G350" s="14" t="s">
        <v>115</v>
      </c>
      <c r="H350" s="14" t="s">
        <v>179</v>
      </c>
      <c r="L350">
        <f t="shared" si="16"/>
        <v>3</v>
      </c>
      <c r="M350">
        <f t="shared" si="17"/>
        <v>30</v>
      </c>
    </row>
    <row r="351" spans="3:13" x14ac:dyDescent="0.35">
      <c r="C351" t="s">
        <v>579</v>
      </c>
      <c r="D351" s="14" t="s">
        <v>38</v>
      </c>
      <c r="E351" s="14">
        <v>13</v>
      </c>
      <c r="F351" s="14">
        <v>12</v>
      </c>
      <c r="G351" s="14" t="s">
        <v>1859</v>
      </c>
      <c r="H351" s="14" t="s">
        <v>578</v>
      </c>
      <c r="L351">
        <f t="shared" si="16"/>
        <v>1</v>
      </c>
      <c r="M351">
        <f t="shared" si="17"/>
        <v>25</v>
      </c>
    </row>
    <row r="352" spans="3:13" x14ac:dyDescent="0.35">
      <c r="C352" t="s">
        <v>524</v>
      </c>
      <c r="D352" s="14" t="s">
        <v>60</v>
      </c>
      <c r="E352" s="14">
        <v>14</v>
      </c>
      <c r="F352" s="14">
        <v>10</v>
      </c>
      <c r="G352" s="14" t="s">
        <v>70</v>
      </c>
      <c r="H352" s="14" t="s">
        <v>187</v>
      </c>
      <c r="L352">
        <f t="shared" si="16"/>
        <v>4</v>
      </c>
      <c r="M352">
        <f t="shared" si="17"/>
        <v>32.5</v>
      </c>
    </row>
    <row r="353" spans="2:13" x14ac:dyDescent="0.35">
      <c r="C353" t="s">
        <v>580</v>
      </c>
      <c r="D353" s="14" t="s">
        <v>114</v>
      </c>
      <c r="E353" s="14">
        <v>16</v>
      </c>
      <c r="F353" s="14">
        <v>10</v>
      </c>
      <c r="G353" s="14" t="s">
        <v>65</v>
      </c>
      <c r="H353" s="14" t="s">
        <v>296</v>
      </c>
      <c r="L353">
        <f t="shared" si="16"/>
        <v>6</v>
      </c>
      <c r="M353">
        <f t="shared" si="17"/>
        <v>37.5</v>
      </c>
    </row>
    <row r="354" spans="2:13" x14ac:dyDescent="0.35">
      <c r="D354" s="14" t="s">
        <v>292</v>
      </c>
      <c r="E354" s="14">
        <v>11</v>
      </c>
      <c r="F354" s="14">
        <v>9</v>
      </c>
      <c r="G354" s="14" t="s">
        <v>26</v>
      </c>
      <c r="H354" s="14" t="s">
        <v>295</v>
      </c>
      <c r="L354">
        <f t="shared" si="16"/>
        <v>2</v>
      </c>
      <c r="M354">
        <f t="shared" si="17"/>
        <v>27.5</v>
      </c>
    </row>
    <row r="355" spans="2:13" x14ac:dyDescent="0.35">
      <c r="D355" s="14" t="s">
        <v>34</v>
      </c>
      <c r="E355" s="14">
        <v>17</v>
      </c>
      <c r="F355" s="14">
        <v>13</v>
      </c>
      <c r="G355" s="14" t="s">
        <v>31</v>
      </c>
      <c r="H355" s="14" t="s">
        <v>504</v>
      </c>
      <c r="I355" t="s">
        <v>581</v>
      </c>
      <c r="L355">
        <f t="shared" si="16"/>
        <v>4</v>
      </c>
      <c r="M355">
        <f t="shared" si="17"/>
        <v>32.5</v>
      </c>
    </row>
    <row r="356" spans="2:13" x14ac:dyDescent="0.35">
      <c r="C356" t="s">
        <v>419</v>
      </c>
      <c r="D356" s="14" t="s">
        <v>2011</v>
      </c>
      <c r="E356" s="14">
        <v>20</v>
      </c>
      <c r="F356" s="14">
        <v>19</v>
      </c>
      <c r="G356" s="14" t="s">
        <v>46</v>
      </c>
      <c r="H356" s="14" t="s">
        <v>301</v>
      </c>
      <c r="I356" t="s">
        <v>582</v>
      </c>
      <c r="L356">
        <f t="shared" si="16"/>
        <v>1</v>
      </c>
      <c r="M356">
        <f t="shared" si="17"/>
        <v>25</v>
      </c>
    </row>
    <row r="357" spans="2:13" x14ac:dyDescent="0.35">
      <c r="B357" t="s">
        <v>583</v>
      </c>
      <c r="C357" t="s">
        <v>352</v>
      </c>
      <c r="D357" s="14" t="s">
        <v>69</v>
      </c>
      <c r="E357" s="14">
        <v>29</v>
      </c>
      <c r="F357" s="14">
        <v>14</v>
      </c>
      <c r="G357" s="14" t="s">
        <v>64</v>
      </c>
      <c r="H357" s="14" t="s">
        <v>184</v>
      </c>
      <c r="L357">
        <f t="shared" si="16"/>
        <v>15</v>
      </c>
      <c r="M357">
        <f t="shared" si="17"/>
        <v>56.25</v>
      </c>
    </row>
    <row r="358" spans="2:13" x14ac:dyDescent="0.35">
      <c r="C358" t="s">
        <v>584</v>
      </c>
      <c r="D358" s="14" t="s">
        <v>41</v>
      </c>
      <c r="E358" s="14">
        <v>14</v>
      </c>
      <c r="F358" s="14">
        <v>12</v>
      </c>
      <c r="G358" s="14" t="s">
        <v>40</v>
      </c>
      <c r="H358" s="14" t="s">
        <v>186</v>
      </c>
      <c r="L358">
        <f t="shared" si="16"/>
        <v>2</v>
      </c>
      <c r="M358">
        <f t="shared" si="17"/>
        <v>27.5</v>
      </c>
    </row>
    <row r="359" spans="2:13" x14ac:dyDescent="0.35">
      <c r="C359" t="s">
        <v>585</v>
      </c>
      <c r="D359" s="14" t="s">
        <v>119</v>
      </c>
      <c r="E359" s="14">
        <v>17</v>
      </c>
      <c r="F359" s="14">
        <v>11</v>
      </c>
      <c r="G359" s="14" t="s">
        <v>25</v>
      </c>
      <c r="H359" s="14" t="s">
        <v>295</v>
      </c>
      <c r="L359">
        <f t="shared" si="16"/>
        <v>6</v>
      </c>
      <c r="M359">
        <f t="shared" si="17"/>
        <v>37.5</v>
      </c>
    </row>
    <row r="360" spans="2:13" x14ac:dyDescent="0.35">
      <c r="C360" t="s">
        <v>587</v>
      </c>
      <c r="D360" s="14" t="s">
        <v>35</v>
      </c>
      <c r="E360" s="14">
        <v>24</v>
      </c>
      <c r="F360" s="14">
        <v>18</v>
      </c>
      <c r="G360" s="14" t="s">
        <v>44</v>
      </c>
      <c r="H360" s="14" t="s">
        <v>289</v>
      </c>
      <c r="I360" t="s">
        <v>586</v>
      </c>
      <c r="L360">
        <f t="shared" si="16"/>
        <v>6</v>
      </c>
      <c r="M360">
        <f t="shared" si="17"/>
        <v>37.5</v>
      </c>
    </row>
    <row r="361" spans="2:13" ht="15" thickBot="1" x14ac:dyDescent="0.4">
      <c r="C361" s="12" t="s">
        <v>588</v>
      </c>
      <c r="D361" s="23" t="s">
        <v>45</v>
      </c>
      <c r="E361" s="23">
        <v>18</v>
      </c>
      <c r="F361" s="23">
        <v>16</v>
      </c>
      <c r="G361" s="23" t="s">
        <v>900</v>
      </c>
      <c r="H361" s="23" t="s">
        <v>199</v>
      </c>
      <c r="I361" s="12" t="s">
        <v>902</v>
      </c>
      <c r="L361">
        <f t="shared" si="16"/>
        <v>2</v>
      </c>
      <c r="M361">
        <f t="shared" si="17"/>
        <v>27.5</v>
      </c>
    </row>
    <row r="362" spans="2:13" x14ac:dyDescent="0.35">
      <c r="D362" s="14" t="s">
        <v>1858</v>
      </c>
      <c r="E362" s="14">
        <v>15</v>
      </c>
      <c r="F362" s="14">
        <v>10</v>
      </c>
      <c r="G362" s="14" t="s">
        <v>1859</v>
      </c>
      <c r="H362" s="14" t="s">
        <v>187</v>
      </c>
      <c r="L362">
        <f t="shared" ref="L362:L425" si="18">E362-F362</f>
        <v>5</v>
      </c>
      <c r="M362">
        <f t="shared" si="17"/>
        <v>35</v>
      </c>
    </row>
    <row r="363" spans="2:13" x14ac:dyDescent="0.35">
      <c r="D363" s="14" t="s">
        <v>58</v>
      </c>
      <c r="E363" s="14">
        <v>14</v>
      </c>
      <c r="F363" s="14">
        <v>11</v>
      </c>
      <c r="G363" s="14" t="s">
        <v>52</v>
      </c>
      <c r="H363" s="14" t="s">
        <v>299</v>
      </c>
      <c r="L363">
        <f t="shared" si="18"/>
        <v>3</v>
      </c>
      <c r="M363">
        <f t="shared" si="17"/>
        <v>30</v>
      </c>
    </row>
    <row r="364" spans="2:13" x14ac:dyDescent="0.35">
      <c r="D364" s="14" t="s">
        <v>87</v>
      </c>
      <c r="E364" s="14">
        <v>14</v>
      </c>
      <c r="F364" s="14">
        <v>7</v>
      </c>
      <c r="G364" s="14" t="s">
        <v>81</v>
      </c>
      <c r="H364" s="14" t="s">
        <v>281</v>
      </c>
      <c r="L364">
        <f t="shared" si="18"/>
        <v>7</v>
      </c>
      <c r="M364">
        <f t="shared" si="17"/>
        <v>40</v>
      </c>
    </row>
    <row r="365" spans="2:13" x14ac:dyDescent="0.35">
      <c r="D365" s="14" t="s">
        <v>300</v>
      </c>
      <c r="E365" s="14">
        <v>17</v>
      </c>
      <c r="F365" s="14">
        <v>16</v>
      </c>
      <c r="G365" s="14" t="s">
        <v>55</v>
      </c>
      <c r="H365" s="14" t="s">
        <v>184</v>
      </c>
      <c r="L365">
        <f t="shared" si="18"/>
        <v>1</v>
      </c>
      <c r="M365">
        <f t="shared" si="17"/>
        <v>25</v>
      </c>
    </row>
    <row r="366" spans="2:13" x14ac:dyDescent="0.35">
      <c r="D366" s="14" t="s">
        <v>73</v>
      </c>
      <c r="E366" s="14">
        <v>14</v>
      </c>
      <c r="F366" s="14">
        <v>13</v>
      </c>
      <c r="G366" s="14" t="s">
        <v>80</v>
      </c>
      <c r="H366" s="14" t="s">
        <v>281</v>
      </c>
      <c r="L366">
        <f t="shared" si="18"/>
        <v>1</v>
      </c>
      <c r="M366">
        <f t="shared" si="17"/>
        <v>25</v>
      </c>
    </row>
    <row r="367" spans="2:13" x14ac:dyDescent="0.35">
      <c r="D367" s="14" t="s">
        <v>118</v>
      </c>
      <c r="E367" s="14">
        <v>19</v>
      </c>
      <c r="F367" s="14">
        <v>17</v>
      </c>
      <c r="G367" s="14" t="s">
        <v>54</v>
      </c>
      <c r="H367" s="14" t="s">
        <v>507</v>
      </c>
      <c r="L367">
        <f t="shared" si="18"/>
        <v>2</v>
      </c>
      <c r="M367">
        <f t="shared" si="17"/>
        <v>27.5</v>
      </c>
    </row>
    <row r="368" spans="2:13" x14ac:dyDescent="0.35">
      <c r="D368" s="14" t="s">
        <v>117</v>
      </c>
      <c r="E368" s="14">
        <v>14</v>
      </c>
      <c r="F368" s="14">
        <v>11</v>
      </c>
      <c r="G368" s="14" t="s">
        <v>145</v>
      </c>
      <c r="H368" s="14" t="s">
        <v>331</v>
      </c>
      <c r="L368">
        <f t="shared" si="18"/>
        <v>3</v>
      </c>
      <c r="M368">
        <f t="shared" si="17"/>
        <v>30</v>
      </c>
    </row>
    <row r="369" spans="3:13" x14ac:dyDescent="0.35">
      <c r="C369" t="s">
        <v>346</v>
      </c>
      <c r="D369" s="14" t="s">
        <v>72</v>
      </c>
      <c r="E369" s="14">
        <v>27</v>
      </c>
      <c r="F369" s="14">
        <v>15</v>
      </c>
      <c r="G369" s="14" t="s">
        <v>114</v>
      </c>
      <c r="H369" s="14" t="s">
        <v>526</v>
      </c>
      <c r="L369">
        <f t="shared" si="18"/>
        <v>12</v>
      </c>
      <c r="M369">
        <f t="shared" si="17"/>
        <v>52.5</v>
      </c>
    </row>
    <row r="370" spans="3:13" x14ac:dyDescent="0.35">
      <c r="D370" s="14" t="s">
        <v>30</v>
      </c>
      <c r="E370" s="14">
        <v>22</v>
      </c>
      <c r="F370" s="14">
        <v>10</v>
      </c>
      <c r="G370" s="14" t="s">
        <v>28</v>
      </c>
      <c r="H370" s="14" t="s">
        <v>297</v>
      </c>
      <c r="L370">
        <f t="shared" si="18"/>
        <v>12</v>
      </c>
      <c r="M370">
        <f t="shared" si="17"/>
        <v>52.5</v>
      </c>
    </row>
    <row r="371" spans="3:13" x14ac:dyDescent="0.35">
      <c r="C371" t="s">
        <v>338</v>
      </c>
      <c r="D371" s="14" t="s">
        <v>25</v>
      </c>
      <c r="E371" s="14">
        <v>20</v>
      </c>
      <c r="F371" s="14">
        <v>11</v>
      </c>
      <c r="G371" s="14" t="s">
        <v>23</v>
      </c>
      <c r="H371" s="14" t="s">
        <v>296</v>
      </c>
      <c r="L371">
        <f t="shared" si="18"/>
        <v>9</v>
      </c>
      <c r="M371">
        <f t="shared" si="17"/>
        <v>45</v>
      </c>
    </row>
    <row r="372" spans="3:13" x14ac:dyDescent="0.35">
      <c r="D372" s="14" t="s">
        <v>29</v>
      </c>
      <c r="E372" s="14">
        <v>18</v>
      </c>
      <c r="F372" s="14">
        <v>17</v>
      </c>
      <c r="G372" s="14" t="s">
        <v>292</v>
      </c>
      <c r="H372" s="14" t="s">
        <v>443</v>
      </c>
      <c r="L372">
        <f t="shared" si="18"/>
        <v>1</v>
      </c>
      <c r="M372">
        <f t="shared" si="17"/>
        <v>25</v>
      </c>
    </row>
    <row r="373" spans="3:13" x14ac:dyDescent="0.35">
      <c r="D373" s="14" t="s">
        <v>68</v>
      </c>
      <c r="E373" s="14">
        <v>21</v>
      </c>
      <c r="F373" s="14">
        <v>18</v>
      </c>
      <c r="G373" s="14" t="s">
        <v>71</v>
      </c>
      <c r="H373" s="14" t="s">
        <v>601</v>
      </c>
      <c r="I373" t="s">
        <v>600</v>
      </c>
      <c r="L373">
        <f t="shared" si="18"/>
        <v>3</v>
      </c>
      <c r="M373">
        <f t="shared" si="17"/>
        <v>30</v>
      </c>
    </row>
    <row r="374" spans="3:13" x14ac:dyDescent="0.35">
      <c r="D374" s="14" t="s">
        <v>31</v>
      </c>
      <c r="E374" s="14">
        <v>29</v>
      </c>
      <c r="F374" s="14">
        <v>4</v>
      </c>
      <c r="G374" s="14" t="s">
        <v>27</v>
      </c>
      <c r="H374" s="14" t="s">
        <v>602</v>
      </c>
      <c r="L374">
        <f t="shared" si="18"/>
        <v>25</v>
      </c>
      <c r="M374">
        <f t="shared" si="17"/>
        <v>68.75</v>
      </c>
    </row>
    <row r="375" spans="3:13" x14ac:dyDescent="0.35">
      <c r="C375" t="s">
        <v>345</v>
      </c>
      <c r="D375" s="14" t="s">
        <v>43</v>
      </c>
      <c r="E375" s="14">
        <v>19</v>
      </c>
      <c r="F375" s="14">
        <v>15</v>
      </c>
      <c r="G375" s="14" t="s">
        <v>44</v>
      </c>
      <c r="H375" s="14" t="s">
        <v>358</v>
      </c>
      <c r="L375">
        <f t="shared" si="18"/>
        <v>4</v>
      </c>
      <c r="M375">
        <f t="shared" si="17"/>
        <v>32.5</v>
      </c>
    </row>
    <row r="376" spans="3:13" x14ac:dyDescent="0.35">
      <c r="D376" s="14" t="s">
        <v>78</v>
      </c>
      <c r="E376" s="14">
        <v>18</v>
      </c>
      <c r="F376" s="14">
        <v>4</v>
      </c>
      <c r="G376" s="14" t="s">
        <v>75</v>
      </c>
      <c r="H376" s="14" t="s">
        <v>603</v>
      </c>
      <c r="L376">
        <f t="shared" si="18"/>
        <v>14</v>
      </c>
      <c r="M376">
        <f t="shared" si="17"/>
        <v>55</v>
      </c>
    </row>
    <row r="377" spans="3:13" x14ac:dyDescent="0.35">
      <c r="C377" t="s">
        <v>548</v>
      </c>
      <c r="D377" s="14" t="s">
        <v>22</v>
      </c>
      <c r="E377" s="14">
        <v>23</v>
      </c>
      <c r="F377" s="14">
        <v>17</v>
      </c>
      <c r="G377" s="14" t="s">
        <v>33</v>
      </c>
      <c r="H377" s="14" t="s">
        <v>507</v>
      </c>
      <c r="I377" t="s">
        <v>604</v>
      </c>
      <c r="L377">
        <f t="shared" si="18"/>
        <v>6</v>
      </c>
      <c r="M377">
        <f t="shared" si="17"/>
        <v>37.5</v>
      </c>
    </row>
    <row r="378" spans="3:13" x14ac:dyDescent="0.35">
      <c r="D378" s="14" t="s">
        <v>64</v>
      </c>
      <c r="E378" s="14">
        <v>16</v>
      </c>
      <c r="F378" s="14">
        <v>13</v>
      </c>
      <c r="G378" s="14" t="s">
        <v>115</v>
      </c>
      <c r="H378" s="14" t="s">
        <v>533</v>
      </c>
      <c r="I378" t="s">
        <v>605</v>
      </c>
      <c r="L378">
        <f t="shared" si="18"/>
        <v>3</v>
      </c>
      <c r="M378">
        <f t="shared" si="17"/>
        <v>30</v>
      </c>
    </row>
    <row r="379" spans="3:13" x14ac:dyDescent="0.35">
      <c r="D379" s="14" t="s">
        <v>79</v>
      </c>
      <c r="E379" s="14">
        <v>10</v>
      </c>
      <c r="F379" s="14">
        <v>9</v>
      </c>
      <c r="G379" s="14" t="s">
        <v>76</v>
      </c>
      <c r="H379" s="14" t="s">
        <v>400</v>
      </c>
      <c r="L379">
        <f t="shared" si="18"/>
        <v>1</v>
      </c>
      <c r="M379">
        <f t="shared" si="17"/>
        <v>25</v>
      </c>
    </row>
    <row r="380" spans="3:13" x14ac:dyDescent="0.35">
      <c r="C380" t="s">
        <v>402</v>
      </c>
      <c r="D380" s="14" t="s">
        <v>84</v>
      </c>
      <c r="E380" s="14">
        <v>19</v>
      </c>
      <c r="F380" s="14">
        <v>14</v>
      </c>
      <c r="G380" s="14" t="s">
        <v>83</v>
      </c>
      <c r="H380" s="14" t="s">
        <v>526</v>
      </c>
      <c r="L380">
        <f t="shared" si="18"/>
        <v>5</v>
      </c>
      <c r="M380">
        <f t="shared" si="17"/>
        <v>35</v>
      </c>
    </row>
    <row r="381" spans="3:13" x14ac:dyDescent="0.35">
      <c r="D381" s="14" t="s">
        <v>61</v>
      </c>
      <c r="E381" s="14">
        <v>20</v>
      </c>
      <c r="F381" s="14">
        <v>17</v>
      </c>
      <c r="G381" s="14" t="s">
        <v>63</v>
      </c>
      <c r="H381" s="14" t="s">
        <v>606</v>
      </c>
      <c r="L381">
        <f t="shared" si="18"/>
        <v>3</v>
      </c>
      <c r="M381">
        <f t="shared" si="17"/>
        <v>30</v>
      </c>
    </row>
    <row r="382" spans="3:13" x14ac:dyDescent="0.35">
      <c r="D382" s="14" t="s">
        <v>74</v>
      </c>
      <c r="E382" s="14">
        <v>14</v>
      </c>
      <c r="F382" s="14">
        <v>12</v>
      </c>
      <c r="G382" s="14" t="s">
        <v>77</v>
      </c>
      <c r="H382" s="14" t="s">
        <v>294</v>
      </c>
      <c r="I382" s="14" t="s">
        <v>607</v>
      </c>
      <c r="L382">
        <f t="shared" si="18"/>
        <v>2</v>
      </c>
      <c r="M382">
        <f t="shared" si="17"/>
        <v>27.5</v>
      </c>
    </row>
    <row r="383" spans="3:13" x14ac:dyDescent="0.35">
      <c r="C383" t="s">
        <v>352</v>
      </c>
      <c r="D383" s="14" t="s">
        <v>41</v>
      </c>
      <c r="E383" s="14">
        <v>13</v>
      </c>
      <c r="F383" s="14">
        <v>10</v>
      </c>
      <c r="G383" s="14" t="s">
        <v>42</v>
      </c>
      <c r="H383" s="14" t="s">
        <v>608</v>
      </c>
      <c r="L383">
        <f t="shared" si="18"/>
        <v>3</v>
      </c>
      <c r="M383">
        <f t="shared" si="17"/>
        <v>30</v>
      </c>
    </row>
    <row r="384" spans="3:13" x14ac:dyDescent="0.35">
      <c r="D384" s="14" t="s">
        <v>88</v>
      </c>
      <c r="E384" s="14">
        <v>14</v>
      </c>
      <c r="F384" s="14">
        <v>8</v>
      </c>
      <c r="G384" s="14" t="s">
        <v>82</v>
      </c>
      <c r="H384" s="14" t="s">
        <v>403</v>
      </c>
      <c r="L384">
        <f t="shared" si="18"/>
        <v>6</v>
      </c>
      <c r="M384">
        <f t="shared" si="17"/>
        <v>37.5</v>
      </c>
    </row>
    <row r="385" spans="3:13" x14ac:dyDescent="0.35">
      <c r="C385" t="s">
        <v>505</v>
      </c>
      <c r="D385" s="14" t="s">
        <v>36</v>
      </c>
      <c r="E385" s="14">
        <v>13</v>
      </c>
      <c r="F385" s="14">
        <v>12</v>
      </c>
      <c r="G385" s="14" t="s">
        <v>35</v>
      </c>
      <c r="H385" s="14" t="s">
        <v>179</v>
      </c>
      <c r="L385">
        <f t="shared" si="18"/>
        <v>1</v>
      </c>
      <c r="M385">
        <f t="shared" si="17"/>
        <v>25</v>
      </c>
    </row>
    <row r="386" spans="3:13" x14ac:dyDescent="0.35">
      <c r="D386" s="14" t="s">
        <v>86</v>
      </c>
      <c r="E386" s="14">
        <v>18</v>
      </c>
      <c r="F386" s="14">
        <v>11</v>
      </c>
      <c r="G386" s="14" t="s">
        <v>85</v>
      </c>
      <c r="H386" s="14" t="s">
        <v>337</v>
      </c>
      <c r="L386">
        <f t="shared" si="18"/>
        <v>7</v>
      </c>
      <c r="M386">
        <f t="shared" si="17"/>
        <v>40</v>
      </c>
    </row>
    <row r="387" spans="3:13" x14ac:dyDescent="0.35">
      <c r="D387" s="14" t="s">
        <v>51</v>
      </c>
      <c r="E387" s="14">
        <v>18</v>
      </c>
      <c r="F387" s="14">
        <v>9</v>
      </c>
      <c r="G387" s="14" t="s">
        <v>48</v>
      </c>
      <c r="H387" s="14" t="s">
        <v>290</v>
      </c>
      <c r="L387">
        <f t="shared" si="18"/>
        <v>9</v>
      </c>
      <c r="M387">
        <f t="shared" ref="M387:M450" si="19">30*(IF(L387&lt;13,1+((L387-3)/12),1.75+((L387-12)/24)))</f>
        <v>45</v>
      </c>
    </row>
    <row r="388" spans="3:13" x14ac:dyDescent="0.35">
      <c r="C388" t="s">
        <v>330</v>
      </c>
      <c r="D388" s="14" t="s">
        <v>40</v>
      </c>
      <c r="E388" s="14">
        <v>14</v>
      </c>
      <c r="F388" s="14">
        <v>11</v>
      </c>
      <c r="G388" s="14" t="s">
        <v>37</v>
      </c>
      <c r="H388" s="14" t="s">
        <v>369</v>
      </c>
      <c r="L388">
        <f t="shared" si="18"/>
        <v>3</v>
      </c>
      <c r="M388">
        <f t="shared" si="19"/>
        <v>30</v>
      </c>
    </row>
    <row r="389" spans="3:13" x14ac:dyDescent="0.35">
      <c r="D389" s="14" t="s">
        <v>49</v>
      </c>
      <c r="E389" s="14">
        <v>28</v>
      </c>
      <c r="F389" s="14">
        <v>17</v>
      </c>
      <c r="G389" s="14" t="s">
        <v>50</v>
      </c>
      <c r="H389" s="14" t="s">
        <v>609</v>
      </c>
      <c r="L389">
        <f t="shared" si="18"/>
        <v>11</v>
      </c>
      <c r="M389">
        <f t="shared" si="19"/>
        <v>49.999999999999993</v>
      </c>
    </row>
    <row r="390" spans="3:13" x14ac:dyDescent="0.35">
      <c r="D390" s="14" t="s">
        <v>60</v>
      </c>
      <c r="E390" s="14">
        <v>16</v>
      </c>
      <c r="F390" s="14">
        <v>15</v>
      </c>
      <c r="G390" s="14" t="s">
        <v>59</v>
      </c>
      <c r="H390" s="14" t="s">
        <v>301</v>
      </c>
      <c r="I390" t="s">
        <v>610</v>
      </c>
      <c r="L390">
        <f t="shared" si="18"/>
        <v>1</v>
      </c>
      <c r="M390">
        <f t="shared" si="19"/>
        <v>25</v>
      </c>
    </row>
    <row r="391" spans="3:13" x14ac:dyDescent="0.35">
      <c r="D391" s="14" t="s">
        <v>62</v>
      </c>
      <c r="E391" s="14">
        <v>17</v>
      </c>
      <c r="F391" s="14">
        <v>10</v>
      </c>
      <c r="G391" s="14" t="s">
        <v>65</v>
      </c>
      <c r="H391" s="14" t="s">
        <v>337</v>
      </c>
      <c r="L391">
        <f t="shared" si="18"/>
        <v>7</v>
      </c>
      <c r="M391">
        <f t="shared" si="19"/>
        <v>40</v>
      </c>
    </row>
    <row r="392" spans="3:13" x14ac:dyDescent="0.35">
      <c r="C392" t="s">
        <v>363</v>
      </c>
      <c r="D392" s="14" t="s">
        <v>34</v>
      </c>
      <c r="E392" s="14">
        <v>13</v>
      </c>
      <c r="F392" s="14">
        <v>7</v>
      </c>
      <c r="G392" s="14" t="s">
        <v>1860</v>
      </c>
      <c r="H392" s="14" t="s">
        <v>398</v>
      </c>
      <c r="L392">
        <f t="shared" si="18"/>
        <v>6</v>
      </c>
      <c r="M392">
        <f t="shared" si="19"/>
        <v>37.5</v>
      </c>
    </row>
    <row r="393" spans="3:13" x14ac:dyDescent="0.35">
      <c r="C393" t="s">
        <v>417</v>
      </c>
      <c r="D393" s="14" t="s">
        <v>53</v>
      </c>
      <c r="E393" s="14">
        <v>18</v>
      </c>
      <c r="F393" s="14">
        <v>17</v>
      </c>
      <c r="G393" s="14" t="s">
        <v>56</v>
      </c>
      <c r="H393" s="14" t="s">
        <v>183</v>
      </c>
      <c r="L393">
        <f t="shared" si="18"/>
        <v>1</v>
      </c>
      <c r="M393">
        <f t="shared" si="19"/>
        <v>25</v>
      </c>
    </row>
    <row r="394" spans="3:13" x14ac:dyDescent="0.35">
      <c r="C394" t="s">
        <v>342</v>
      </c>
      <c r="D394" s="14" t="s">
        <v>24</v>
      </c>
      <c r="E394" s="14">
        <v>29</v>
      </c>
      <c r="F394" s="14">
        <v>9</v>
      </c>
      <c r="G394" s="14" t="s">
        <v>26</v>
      </c>
      <c r="H394" s="14" t="s">
        <v>361</v>
      </c>
      <c r="L394">
        <f t="shared" si="18"/>
        <v>20</v>
      </c>
      <c r="M394">
        <f t="shared" si="19"/>
        <v>62.500000000000007</v>
      </c>
    </row>
    <row r="395" spans="3:13" x14ac:dyDescent="0.35">
      <c r="C395" t="s">
        <v>611</v>
      </c>
      <c r="D395" s="14" t="s">
        <v>70</v>
      </c>
      <c r="E395" s="14">
        <v>17</v>
      </c>
      <c r="F395" s="14">
        <v>8</v>
      </c>
      <c r="G395" s="14" t="s">
        <v>66</v>
      </c>
      <c r="H395" s="14" t="s">
        <v>331</v>
      </c>
      <c r="L395">
        <f t="shared" si="18"/>
        <v>9</v>
      </c>
      <c r="M395">
        <f t="shared" si="19"/>
        <v>45</v>
      </c>
    </row>
    <row r="396" spans="3:13" x14ac:dyDescent="0.35">
      <c r="C396" t="s">
        <v>612</v>
      </c>
      <c r="D396" s="14" t="s">
        <v>900</v>
      </c>
      <c r="E396" s="14">
        <v>21</v>
      </c>
      <c r="F396" s="14">
        <v>14</v>
      </c>
      <c r="G396" s="14" t="s">
        <v>2011</v>
      </c>
      <c r="H396" s="14" t="s">
        <v>334</v>
      </c>
      <c r="L396">
        <f t="shared" si="18"/>
        <v>7</v>
      </c>
      <c r="M396">
        <f t="shared" si="19"/>
        <v>40</v>
      </c>
    </row>
    <row r="397" spans="3:13" x14ac:dyDescent="0.35">
      <c r="C397" t="s">
        <v>613</v>
      </c>
      <c r="D397" s="14" t="s">
        <v>57</v>
      </c>
      <c r="E397" s="14">
        <v>18</v>
      </c>
      <c r="F397" s="14">
        <v>7</v>
      </c>
      <c r="G397" s="14" t="s">
        <v>47</v>
      </c>
      <c r="H397" s="14" t="s">
        <v>297</v>
      </c>
      <c r="L397">
        <f t="shared" si="18"/>
        <v>11</v>
      </c>
      <c r="M397">
        <f t="shared" si="19"/>
        <v>49.999999999999993</v>
      </c>
    </row>
    <row r="398" spans="3:13" x14ac:dyDescent="0.35">
      <c r="C398" t="s">
        <v>614</v>
      </c>
      <c r="D398" s="14" t="s">
        <v>69</v>
      </c>
      <c r="E398" s="14">
        <v>24</v>
      </c>
      <c r="F398" s="14">
        <v>17</v>
      </c>
      <c r="G398" s="14" t="s">
        <v>67</v>
      </c>
      <c r="H398" s="14" t="s">
        <v>301</v>
      </c>
      <c r="L398">
        <f t="shared" si="18"/>
        <v>7</v>
      </c>
      <c r="M398">
        <f t="shared" si="19"/>
        <v>40</v>
      </c>
    </row>
    <row r="399" spans="3:13" x14ac:dyDescent="0.35">
      <c r="C399" t="s">
        <v>616</v>
      </c>
      <c r="D399" s="14" t="s">
        <v>46</v>
      </c>
      <c r="E399" s="14">
        <v>12</v>
      </c>
      <c r="F399" s="14">
        <v>11</v>
      </c>
      <c r="G399" s="14" t="s">
        <v>45</v>
      </c>
      <c r="H399" s="14" t="s">
        <v>294</v>
      </c>
      <c r="I399" t="s">
        <v>615</v>
      </c>
      <c r="L399">
        <f t="shared" si="18"/>
        <v>1</v>
      </c>
      <c r="M399">
        <f t="shared" si="19"/>
        <v>25</v>
      </c>
    </row>
    <row r="400" spans="3:13" x14ac:dyDescent="0.35">
      <c r="C400" t="s">
        <v>617</v>
      </c>
      <c r="D400" s="14" t="s">
        <v>38</v>
      </c>
      <c r="E400" s="14">
        <v>10</v>
      </c>
      <c r="F400" s="14">
        <v>4</v>
      </c>
      <c r="G400" s="14" t="s">
        <v>39</v>
      </c>
      <c r="H400" s="14" t="s">
        <v>540</v>
      </c>
      <c r="L400">
        <f t="shared" si="18"/>
        <v>6</v>
      </c>
      <c r="M400">
        <f t="shared" si="19"/>
        <v>37.5</v>
      </c>
    </row>
    <row r="401" spans="3:13" ht="15" thickBot="1" x14ac:dyDescent="0.4">
      <c r="C401" s="12" t="s">
        <v>618</v>
      </c>
      <c r="D401" s="12" t="s">
        <v>119</v>
      </c>
      <c r="E401" s="12">
        <v>20</v>
      </c>
      <c r="F401" s="12">
        <v>13</v>
      </c>
      <c r="G401" s="12" t="s">
        <v>32</v>
      </c>
      <c r="H401" s="12" t="s">
        <v>331</v>
      </c>
      <c r="I401" s="12"/>
      <c r="L401">
        <f t="shared" si="18"/>
        <v>7</v>
      </c>
      <c r="M401">
        <f t="shared" si="19"/>
        <v>40</v>
      </c>
    </row>
    <row r="402" spans="3:13" x14ac:dyDescent="0.35">
      <c r="C402" s="14" t="s">
        <v>445</v>
      </c>
      <c r="D402" s="14" t="s">
        <v>35</v>
      </c>
      <c r="E402" s="14">
        <v>27</v>
      </c>
      <c r="F402" s="14">
        <v>9</v>
      </c>
      <c r="G402" s="14" t="s">
        <v>81</v>
      </c>
      <c r="H402" s="14" t="s">
        <v>331</v>
      </c>
      <c r="L402">
        <f t="shared" si="18"/>
        <v>18</v>
      </c>
      <c r="M402">
        <f t="shared" si="19"/>
        <v>60</v>
      </c>
    </row>
    <row r="403" spans="3:13" x14ac:dyDescent="0.35">
      <c r="D403" s="14" t="s">
        <v>72</v>
      </c>
      <c r="E403" s="14">
        <v>20</v>
      </c>
      <c r="F403" s="14">
        <v>9</v>
      </c>
      <c r="G403" s="14" t="s">
        <v>1858</v>
      </c>
      <c r="H403" s="14" t="s">
        <v>331</v>
      </c>
      <c r="L403">
        <f t="shared" si="18"/>
        <v>11</v>
      </c>
      <c r="M403">
        <f t="shared" si="19"/>
        <v>49.999999999999993</v>
      </c>
    </row>
    <row r="404" spans="3:13" x14ac:dyDescent="0.35">
      <c r="D404" s="14" t="s">
        <v>30</v>
      </c>
      <c r="E404" s="14">
        <v>10</v>
      </c>
      <c r="F404" s="14">
        <v>7</v>
      </c>
      <c r="G404" s="14" t="s">
        <v>58</v>
      </c>
      <c r="H404" s="14" t="s">
        <v>291</v>
      </c>
      <c r="L404">
        <f t="shared" si="18"/>
        <v>3</v>
      </c>
      <c r="M404">
        <f t="shared" si="19"/>
        <v>30</v>
      </c>
    </row>
    <row r="405" spans="3:13" x14ac:dyDescent="0.35">
      <c r="D405" s="14" t="s">
        <v>52</v>
      </c>
      <c r="E405" s="14">
        <v>15</v>
      </c>
      <c r="F405" s="14">
        <v>12</v>
      </c>
      <c r="G405" s="14" t="s">
        <v>43</v>
      </c>
      <c r="H405" s="14" t="s">
        <v>190</v>
      </c>
      <c r="L405">
        <f t="shared" si="18"/>
        <v>3</v>
      </c>
      <c r="M405">
        <f t="shared" si="19"/>
        <v>30</v>
      </c>
    </row>
    <row r="406" spans="3:13" x14ac:dyDescent="0.35">
      <c r="D406" s="14" t="s">
        <v>76</v>
      </c>
      <c r="E406" s="14">
        <v>15</v>
      </c>
      <c r="F406" s="14">
        <v>9</v>
      </c>
      <c r="G406" s="14" t="s">
        <v>300</v>
      </c>
      <c r="H406" s="14" t="s">
        <v>400</v>
      </c>
      <c r="L406">
        <f t="shared" si="18"/>
        <v>6</v>
      </c>
      <c r="M406">
        <f t="shared" si="19"/>
        <v>37.5</v>
      </c>
    </row>
    <row r="407" spans="3:13" x14ac:dyDescent="0.35">
      <c r="C407" t="s">
        <v>405</v>
      </c>
      <c r="D407" s="14" t="s">
        <v>54</v>
      </c>
      <c r="E407" s="14">
        <v>19</v>
      </c>
      <c r="F407" s="14">
        <v>12</v>
      </c>
      <c r="G407" s="14" t="s">
        <v>39</v>
      </c>
      <c r="H407" s="14" t="s">
        <v>620</v>
      </c>
      <c r="L407">
        <f t="shared" si="18"/>
        <v>7</v>
      </c>
      <c r="M407">
        <f t="shared" si="19"/>
        <v>40</v>
      </c>
    </row>
    <row r="408" spans="3:13" x14ac:dyDescent="0.35">
      <c r="D408" s="14" t="s">
        <v>27</v>
      </c>
      <c r="E408" s="14">
        <v>22</v>
      </c>
      <c r="F408" s="14">
        <v>16</v>
      </c>
      <c r="G408" s="14" t="s">
        <v>66</v>
      </c>
      <c r="H408" s="14" t="s">
        <v>621</v>
      </c>
      <c r="L408">
        <f t="shared" si="18"/>
        <v>6</v>
      </c>
      <c r="M408">
        <f t="shared" si="19"/>
        <v>37.5</v>
      </c>
    </row>
    <row r="409" spans="3:13" x14ac:dyDescent="0.35">
      <c r="C409" t="s">
        <v>583</v>
      </c>
      <c r="D409" s="14" t="s">
        <v>28</v>
      </c>
      <c r="E409" s="14">
        <v>15</v>
      </c>
      <c r="F409" s="14">
        <v>10</v>
      </c>
      <c r="G409" s="14" t="s">
        <v>36</v>
      </c>
      <c r="H409" s="14" t="s">
        <v>297</v>
      </c>
      <c r="L409">
        <f t="shared" si="18"/>
        <v>5</v>
      </c>
      <c r="M409">
        <f t="shared" si="19"/>
        <v>35</v>
      </c>
    </row>
    <row r="410" spans="3:13" x14ac:dyDescent="0.35">
      <c r="D410" s="14" t="s">
        <v>23</v>
      </c>
      <c r="E410" s="14">
        <v>15</v>
      </c>
      <c r="F410" s="14">
        <v>12</v>
      </c>
      <c r="G410" s="14" t="s">
        <v>42</v>
      </c>
      <c r="H410" s="14" t="s">
        <v>186</v>
      </c>
      <c r="L410">
        <f t="shared" si="18"/>
        <v>3</v>
      </c>
      <c r="M410">
        <f t="shared" si="19"/>
        <v>30</v>
      </c>
    </row>
    <row r="411" spans="3:13" x14ac:dyDescent="0.35">
      <c r="D411" s="14" t="s">
        <v>75</v>
      </c>
      <c r="E411" s="14">
        <v>17</v>
      </c>
      <c r="F411" s="14">
        <v>14</v>
      </c>
      <c r="G411" s="14" t="s">
        <v>115</v>
      </c>
      <c r="H411" s="14" t="s">
        <v>194</v>
      </c>
      <c r="L411">
        <f t="shared" si="18"/>
        <v>3</v>
      </c>
      <c r="M411">
        <f t="shared" si="19"/>
        <v>30</v>
      </c>
    </row>
    <row r="412" spans="3:13" x14ac:dyDescent="0.35">
      <c r="C412" t="s">
        <v>370</v>
      </c>
      <c r="D412" s="14" t="s">
        <v>73</v>
      </c>
      <c r="E412" s="14">
        <v>23</v>
      </c>
      <c r="F412" s="14">
        <v>8</v>
      </c>
      <c r="G412" s="14" t="s">
        <v>62</v>
      </c>
      <c r="H412" s="14" t="s">
        <v>397</v>
      </c>
      <c r="L412">
        <f t="shared" si="18"/>
        <v>15</v>
      </c>
      <c r="M412">
        <f t="shared" si="19"/>
        <v>56.25</v>
      </c>
    </row>
    <row r="413" spans="3:13" x14ac:dyDescent="0.35">
      <c r="C413" t="s">
        <v>352</v>
      </c>
      <c r="D413" s="14" t="s">
        <v>69</v>
      </c>
      <c r="E413" s="14">
        <v>21</v>
      </c>
      <c r="F413" s="14">
        <v>10</v>
      </c>
      <c r="G413" s="14" t="s">
        <v>118</v>
      </c>
      <c r="H413" s="14" t="s">
        <v>191</v>
      </c>
      <c r="L413">
        <f t="shared" si="18"/>
        <v>11</v>
      </c>
      <c r="M413">
        <f t="shared" si="19"/>
        <v>49.999999999999993</v>
      </c>
    </row>
    <row r="414" spans="3:13" x14ac:dyDescent="0.35">
      <c r="D414" s="14" t="s">
        <v>80</v>
      </c>
      <c r="E414" s="14">
        <v>13</v>
      </c>
      <c r="F414" s="14">
        <v>5</v>
      </c>
      <c r="G414" s="14" t="s">
        <v>55</v>
      </c>
      <c r="H414" s="14" t="s">
        <v>200</v>
      </c>
      <c r="L414">
        <f t="shared" si="18"/>
        <v>8</v>
      </c>
      <c r="M414">
        <f t="shared" si="19"/>
        <v>42.5</v>
      </c>
    </row>
    <row r="415" spans="3:13" x14ac:dyDescent="0.35">
      <c r="D415" s="14" t="s">
        <v>68</v>
      </c>
      <c r="E415" s="14">
        <v>19</v>
      </c>
      <c r="F415" s="14">
        <v>18</v>
      </c>
      <c r="G415" s="14" t="s">
        <v>117</v>
      </c>
      <c r="H415" s="14" t="s">
        <v>623</v>
      </c>
      <c r="I415" t="s">
        <v>622</v>
      </c>
      <c r="L415">
        <f t="shared" si="18"/>
        <v>1</v>
      </c>
      <c r="M415">
        <f t="shared" si="19"/>
        <v>25</v>
      </c>
    </row>
    <row r="416" spans="3:13" x14ac:dyDescent="0.35">
      <c r="D416" s="14" t="s">
        <v>71</v>
      </c>
      <c r="E416" s="14">
        <v>16</v>
      </c>
      <c r="F416" s="14">
        <v>11</v>
      </c>
      <c r="G416" s="14" t="s">
        <v>87</v>
      </c>
      <c r="H416" s="14" t="s">
        <v>447</v>
      </c>
      <c r="L416">
        <f t="shared" si="18"/>
        <v>5</v>
      </c>
      <c r="M416">
        <f t="shared" si="19"/>
        <v>35</v>
      </c>
    </row>
    <row r="417" spans="3:13" x14ac:dyDescent="0.35">
      <c r="C417" t="s">
        <v>449</v>
      </c>
      <c r="D417" s="14" t="s">
        <v>25</v>
      </c>
      <c r="E417" s="14">
        <v>15</v>
      </c>
      <c r="F417" s="14">
        <v>14</v>
      </c>
      <c r="G417" s="14" t="s">
        <v>63</v>
      </c>
      <c r="H417" s="14" t="s">
        <v>179</v>
      </c>
      <c r="L417">
        <f t="shared" si="18"/>
        <v>1</v>
      </c>
      <c r="M417">
        <f t="shared" si="19"/>
        <v>25</v>
      </c>
    </row>
    <row r="418" spans="3:13" x14ac:dyDescent="0.35">
      <c r="C418" t="s">
        <v>355</v>
      </c>
      <c r="D418" s="14" t="s">
        <v>38</v>
      </c>
      <c r="E418" s="14">
        <v>13</v>
      </c>
      <c r="F418" s="14">
        <v>8</v>
      </c>
      <c r="G418" s="14" t="s">
        <v>83</v>
      </c>
      <c r="H418" s="14" t="s">
        <v>371</v>
      </c>
      <c r="L418">
        <f t="shared" si="18"/>
        <v>5</v>
      </c>
      <c r="M418">
        <f t="shared" si="19"/>
        <v>35</v>
      </c>
    </row>
    <row r="419" spans="3:13" x14ac:dyDescent="0.35">
      <c r="D419" s="14" t="s">
        <v>74</v>
      </c>
      <c r="E419" s="14">
        <v>13</v>
      </c>
      <c r="F419" s="14">
        <v>8</v>
      </c>
      <c r="G419" s="14" t="s">
        <v>29</v>
      </c>
      <c r="H419" s="14" t="s">
        <v>187</v>
      </c>
      <c r="L419">
        <f t="shared" si="18"/>
        <v>5</v>
      </c>
      <c r="M419">
        <f t="shared" si="19"/>
        <v>35</v>
      </c>
    </row>
    <row r="420" spans="3:13" x14ac:dyDescent="0.35">
      <c r="D420" s="14" t="s">
        <v>145</v>
      </c>
      <c r="E420" s="14">
        <v>10</v>
      </c>
      <c r="F420" s="14">
        <v>7</v>
      </c>
      <c r="G420" s="14" t="s">
        <v>77</v>
      </c>
      <c r="H420" s="14" t="s">
        <v>196</v>
      </c>
      <c r="L420">
        <f t="shared" si="18"/>
        <v>3</v>
      </c>
      <c r="M420">
        <f t="shared" si="19"/>
        <v>30</v>
      </c>
    </row>
    <row r="421" spans="3:13" x14ac:dyDescent="0.35">
      <c r="C421" t="s">
        <v>419</v>
      </c>
      <c r="D421" s="14" t="s">
        <v>85</v>
      </c>
      <c r="E421" s="14">
        <v>23</v>
      </c>
      <c r="F421" s="14">
        <v>19</v>
      </c>
      <c r="G421" s="14" t="s">
        <v>57</v>
      </c>
      <c r="H421" s="14" t="s">
        <v>504</v>
      </c>
      <c r="I421" t="s">
        <v>624</v>
      </c>
      <c r="L421">
        <f t="shared" si="18"/>
        <v>4</v>
      </c>
      <c r="M421">
        <f t="shared" si="19"/>
        <v>32.5</v>
      </c>
    </row>
    <row r="422" spans="3:13" x14ac:dyDescent="0.35">
      <c r="D422" s="14" t="s">
        <v>50</v>
      </c>
      <c r="E422" s="14">
        <v>14</v>
      </c>
      <c r="F422" s="14">
        <v>10</v>
      </c>
      <c r="G422" s="14" t="s">
        <v>1859</v>
      </c>
      <c r="H422" s="14" t="s">
        <v>360</v>
      </c>
      <c r="L422">
        <f t="shared" si="18"/>
        <v>4</v>
      </c>
      <c r="M422">
        <f t="shared" si="19"/>
        <v>32.5</v>
      </c>
    </row>
    <row r="423" spans="3:13" x14ac:dyDescent="0.35">
      <c r="D423" s="14" t="s">
        <v>56</v>
      </c>
      <c r="E423" s="14">
        <v>17</v>
      </c>
      <c r="F423" s="14">
        <v>11</v>
      </c>
      <c r="G423" s="14" t="s">
        <v>37</v>
      </c>
      <c r="H423" s="14" t="s">
        <v>286</v>
      </c>
      <c r="L423">
        <f t="shared" si="18"/>
        <v>6</v>
      </c>
      <c r="M423">
        <f t="shared" si="19"/>
        <v>37.5</v>
      </c>
    </row>
    <row r="424" spans="3:13" x14ac:dyDescent="0.35">
      <c r="D424" s="14" t="s">
        <v>59</v>
      </c>
      <c r="E424" s="14">
        <v>12</v>
      </c>
      <c r="F424" s="14">
        <v>10</v>
      </c>
      <c r="G424" s="14" t="s">
        <v>79</v>
      </c>
      <c r="H424" s="14" t="s">
        <v>281</v>
      </c>
      <c r="L424">
        <f t="shared" si="18"/>
        <v>2</v>
      </c>
      <c r="M424">
        <f t="shared" si="19"/>
        <v>27.5</v>
      </c>
    </row>
    <row r="425" spans="3:13" x14ac:dyDescent="0.35">
      <c r="D425" s="14" t="s">
        <v>292</v>
      </c>
      <c r="E425" s="14">
        <v>15</v>
      </c>
      <c r="F425" s="14">
        <v>11</v>
      </c>
      <c r="G425" s="14" t="s">
        <v>48</v>
      </c>
      <c r="H425" s="14" t="s">
        <v>400</v>
      </c>
      <c r="L425">
        <f t="shared" si="18"/>
        <v>4</v>
      </c>
      <c r="M425">
        <f t="shared" si="19"/>
        <v>32.5</v>
      </c>
    </row>
    <row r="426" spans="3:13" x14ac:dyDescent="0.35">
      <c r="D426" s="14" t="s">
        <v>22</v>
      </c>
      <c r="E426" s="14">
        <v>16</v>
      </c>
      <c r="F426" s="14">
        <v>11</v>
      </c>
      <c r="G426" s="14" t="s">
        <v>82</v>
      </c>
      <c r="H426" s="14" t="s">
        <v>191</v>
      </c>
      <c r="L426">
        <f t="shared" ref="L426:L489" si="20">E426-F426</f>
        <v>5</v>
      </c>
      <c r="M426">
        <f t="shared" si="19"/>
        <v>35</v>
      </c>
    </row>
    <row r="427" spans="3:13" x14ac:dyDescent="0.35">
      <c r="C427" t="s">
        <v>368</v>
      </c>
      <c r="D427" s="14" t="s">
        <v>1860</v>
      </c>
      <c r="E427" s="14">
        <v>24</v>
      </c>
      <c r="F427" s="14">
        <v>13</v>
      </c>
      <c r="G427" s="14" t="s">
        <v>65</v>
      </c>
      <c r="H427" s="14" t="s">
        <v>358</v>
      </c>
      <c r="L427">
        <f t="shared" si="20"/>
        <v>11</v>
      </c>
      <c r="M427">
        <f t="shared" si="19"/>
        <v>49.999999999999993</v>
      </c>
    </row>
    <row r="428" spans="3:13" x14ac:dyDescent="0.35">
      <c r="D428" s="14" t="s">
        <v>26</v>
      </c>
      <c r="E428" s="14">
        <v>20</v>
      </c>
      <c r="F428" s="14">
        <v>18</v>
      </c>
      <c r="G428" s="14" t="s">
        <v>88</v>
      </c>
      <c r="H428" s="14" t="s">
        <v>625</v>
      </c>
      <c r="I428" t="s">
        <v>626</v>
      </c>
      <c r="L428">
        <f t="shared" si="20"/>
        <v>2</v>
      </c>
      <c r="M428">
        <f t="shared" si="19"/>
        <v>27.5</v>
      </c>
    </row>
    <row r="429" spans="3:13" x14ac:dyDescent="0.35">
      <c r="D429" s="14" t="s">
        <v>86</v>
      </c>
      <c r="E429" s="14">
        <v>18</v>
      </c>
      <c r="F429" s="14">
        <v>10</v>
      </c>
      <c r="G429" s="14" t="s">
        <v>51</v>
      </c>
      <c r="H429" s="14" t="s">
        <v>450</v>
      </c>
      <c r="L429">
        <f t="shared" si="20"/>
        <v>8</v>
      </c>
      <c r="M429">
        <f t="shared" si="19"/>
        <v>42.5</v>
      </c>
    </row>
    <row r="430" spans="3:13" x14ac:dyDescent="0.35">
      <c r="C430" t="s">
        <v>333</v>
      </c>
      <c r="D430" s="14" t="s">
        <v>45</v>
      </c>
      <c r="E430" s="14">
        <v>25</v>
      </c>
      <c r="F430" s="14">
        <v>11</v>
      </c>
      <c r="G430" s="14" t="s">
        <v>114</v>
      </c>
      <c r="H430" s="14" t="s">
        <v>526</v>
      </c>
      <c r="L430">
        <f t="shared" si="20"/>
        <v>14</v>
      </c>
      <c r="M430">
        <f t="shared" si="19"/>
        <v>55</v>
      </c>
    </row>
    <row r="431" spans="3:13" x14ac:dyDescent="0.35">
      <c r="D431" s="14" t="s">
        <v>78</v>
      </c>
      <c r="E431" s="14">
        <v>23</v>
      </c>
      <c r="F431" s="14">
        <v>13</v>
      </c>
      <c r="G431" s="14" t="s">
        <v>64</v>
      </c>
      <c r="H431" s="14" t="s">
        <v>465</v>
      </c>
      <c r="L431">
        <f t="shared" si="20"/>
        <v>10</v>
      </c>
      <c r="M431">
        <f t="shared" si="19"/>
        <v>47.500000000000007</v>
      </c>
    </row>
    <row r="432" spans="3:13" x14ac:dyDescent="0.35">
      <c r="C432" t="s">
        <v>627</v>
      </c>
      <c r="D432" s="14" t="s">
        <v>31</v>
      </c>
      <c r="E432" s="14">
        <v>15</v>
      </c>
      <c r="F432" s="14">
        <v>13</v>
      </c>
      <c r="G432" s="14" t="s">
        <v>900</v>
      </c>
      <c r="H432" s="14" t="s">
        <v>178</v>
      </c>
      <c r="L432">
        <f t="shared" si="20"/>
        <v>2</v>
      </c>
      <c r="M432">
        <f t="shared" si="19"/>
        <v>27.5</v>
      </c>
    </row>
    <row r="433" spans="3:13" x14ac:dyDescent="0.35">
      <c r="D433" s="14" t="s">
        <v>34</v>
      </c>
      <c r="E433" s="14">
        <v>21</v>
      </c>
      <c r="F433" s="14">
        <v>8</v>
      </c>
      <c r="G433" s="14" t="s">
        <v>61</v>
      </c>
      <c r="H433" s="14" t="s">
        <v>360</v>
      </c>
      <c r="L433">
        <f t="shared" si="20"/>
        <v>13</v>
      </c>
      <c r="M433">
        <f t="shared" si="19"/>
        <v>53.75</v>
      </c>
    </row>
    <row r="434" spans="3:13" x14ac:dyDescent="0.35">
      <c r="D434" s="14" t="s">
        <v>60</v>
      </c>
      <c r="E434" s="14">
        <v>13</v>
      </c>
      <c r="F434" s="14">
        <v>11</v>
      </c>
      <c r="G434" s="14" t="s">
        <v>2011</v>
      </c>
      <c r="H434" s="14" t="s">
        <v>423</v>
      </c>
      <c r="L434">
        <f t="shared" si="20"/>
        <v>2</v>
      </c>
      <c r="M434">
        <f t="shared" si="19"/>
        <v>27.5</v>
      </c>
    </row>
    <row r="435" spans="3:13" x14ac:dyDescent="0.35">
      <c r="C435" t="s">
        <v>628</v>
      </c>
      <c r="D435" s="14" t="s">
        <v>44</v>
      </c>
      <c r="E435" s="14">
        <v>12</v>
      </c>
      <c r="F435" s="14">
        <v>11</v>
      </c>
      <c r="G435" s="14" t="s">
        <v>49</v>
      </c>
      <c r="H435" s="14" t="s">
        <v>488</v>
      </c>
      <c r="L435">
        <f t="shared" si="20"/>
        <v>1</v>
      </c>
      <c r="M435">
        <f t="shared" si="19"/>
        <v>25</v>
      </c>
    </row>
    <row r="436" spans="3:13" x14ac:dyDescent="0.35">
      <c r="C436" t="s">
        <v>629</v>
      </c>
      <c r="D436" s="14" t="s">
        <v>33</v>
      </c>
      <c r="E436" s="14">
        <v>16</v>
      </c>
      <c r="F436" s="14">
        <v>5</v>
      </c>
      <c r="G436" s="14" t="s">
        <v>84</v>
      </c>
      <c r="H436" s="14" t="s">
        <v>288</v>
      </c>
      <c r="L436">
        <f t="shared" si="20"/>
        <v>11</v>
      </c>
      <c r="M436">
        <f t="shared" si="19"/>
        <v>49.999999999999993</v>
      </c>
    </row>
    <row r="437" spans="3:13" x14ac:dyDescent="0.35">
      <c r="C437" t="s">
        <v>630</v>
      </c>
      <c r="D437" s="14" t="s">
        <v>47</v>
      </c>
      <c r="E437" s="14">
        <v>21</v>
      </c>
      <c r="F437" s="14">
        <v>11</v>
      </c>
      <c r="G437" s="14" t="s">
        <v>41</v>
      </c>
      <c r="H437" s="14" t="s">
        <v>286</v>
      </c>
      <c r="L437">
        <f t="shared" si="20"/>
        <v>10</v>
      </c>
      <c r="M437">
        <f t="shared" si="19"/>
        <v>47.500000000000007</v>
      </c>
    </row>
    <row r="438" spans="3:13" x14ac:dyDescent="0.35">
      <c r="C438" t="s">
        <v>631</v>
      </c>
      <c r="D438" s="14" t="s">
        <v>53</v>
      </c>
      <c r="E438" s="14">
        <v>15</v>
      </c>
      <c r="F438" s="14">
        <v>9</v>
      </c>
      <c r="G438" s="14" t="s">
        <v>70</v>
      </c>
      <c r="H438" s="14" t="s">
        <v>360</v>
      </c>
      <c r="L438">
        <f t="shared" si="20"/>
        <v>6</v>
      </c>
      <c r="M438">
        <f t="shared" si="19"/>
        <v>37.5</v>
      </c>
    </row>
    <row r="439" spans="3:13" x14ac:dyDescent="0.35">
      <c r="C439" t="s">
        <v>632</v>
      </c>
      <c r="D439" s="14" t="s">
        <v>32</v>
      </c>
      <c r="E439" s="14">
        <v>14</v>
      </c>
      <c r="F439" s="14">
        <v>11</v>
      </c>
      <c r="G439" s="14" t="s">
        <v>67</v>
      </c>
      <c r="H439" s="14" t="s">
        <v>299</v>
      </c>
      <c r="L439">
        <f t="shared" si="20"/>
        <v>3</v>
      </c>
      <c r="M439">
        <f t="shared" si="19"/>
        <v>30</v>
      </c>
    </row>
    <row r="440" spans="3:13" x14ac:dyDescent="0.35">
      <c r="C440" t="s">
        <v>634</v>
      </c>
      <c r="D440" s="14" t="s">
        <v>40</v>
      </c>
      <c r="E440" s="14">
        <v>24</v>
      </c>
      <c r="F440" s="14">
        <v>17</v>
      </c>
      <c r="G440" s="14" t="s">
        <v>119</v>
      </c>
      <c r="H440" s="14" t="s">
        <v>633</v>
      </c>
      <c r="L440">
        <f t="shared" si="20"/>
        <v>7</v>
      </c>
      <c r="M440">
        <f t="shared" si="19"/>
        <v>40</v>
      </c>
    </row>
    <row r="441" spans="3:13" ht="15" thickBot="1" x14ac:dyDescent="0.4">
      <c r="C441" s="12" t="s">
        <v>635</v>
      </c>
      <c r="D441" s="23" t="s">
        <v>46</v>
      </c>
      <c r="E441" s="23">
        <v>14</v>
      </c>
      <c r="F441" s="23">
        <v>4</v>
      </c>
      <c r="G441" s="23" t="s">
        <v>24</v>
      </c>
      <c r="H441" s="23" t="s">
        <v>293</v>
      </c>
      <c r="I441" s="12"/>
      <c r="L441">
        <f t="shared" si="20"/>
        <v>10</v>
      </c>
      <c r="M441">
        <f t="shared" si="19"/>
        <v>47.500000000000007</v>
      </c>
    </row>
    <row r="442" spans="3:13" x14ac:dyDescent="0.35">
      <c r="D442" s="14" t="s">
        <v>88</v>
      </c>
      <c r="E442" s="14">
        <v>12</v>
      </c>
      <c r="F442" s="14">
        <v>8</v>
      </c>
      <c r="G442" s="14" t="s">
        <v>81</v>
      </c>
      <c r="H442" s="14" t="s">
        <v>353</v>
      </c>
      <c r="L442">
        <f t="shared" si="20"/>
        <v>4</v>
      </c>
      <c r="M442">
        <f t="shared" si="19"/>
        <v>32.5</v>
      </c>
    </row>
    <row r="443" spans="3:13" x14ac:dyDescent="0.35">
      <c r="D443" s="14" t="s">
        <v>43</v>
      </c>
      <c r="E443" s="14">
        <v>12</v>
      </c>
      <c r="F443" s="14">
        <v>11</v>
      </c>
      <c r="G443" s="14" t="s">
        <v>1858</v>
      </c>
      <c r="H443" s="14" t="s">
        <v>365</v>
      </c>
      <c r="L443">
        <f t="shared" si="20"/>
        <v>1</v>
      </c>
      <c r="M443">
        <f t="shared" si="19"/>
        <v>25</v>
      </c>
    </row>
    <row r="444" spans="3:13" x14ac:dyDescent="0.35">
      <c r="D444" s="14" t="s">
        <v>49</v>
      </c>
      <c r="E444" s="14">
        <v>16</v>
      </c>
      <c r="F444" s="14">
        <v>11</v>
      </c>
      <c r="G444" s="14" t="s">
        <v>58</v>
      </c>
      <c r="H444" s="14" t="s">
        <v>181</v>
      </c>
      <c r="L444">
        <f t="shared" si="20"/>
        <v>5</v>
      </c>
      <c r="M444">
        <f t="shared" si="19"/>
        <v>35</v>
      </c>
    </row>
    <row r="445" spans="3:13" x14ac:dyDescent="0.35">
      <c r="D445" s="14" t="s">
        <v>300</v>
      </c>
      <c r="E445" s="14">
        <v>13</v>
      </c>
      <c r="F445" s="14">
        <v>11</v>
      </c>
      <c r="G445" s="14" t="s">
        <v>56</v>
      </c>
      <c r="H445" s="14" t="s">
        <v>360</v>
      </c>
      <c r="L445">
        <f t="shared" si="20"/>
        <v>2</v>
      </c>
      <c r="M445">
        <f t="shared" si="19"/>
        <v>27.5</v>
      </c>
    </row>
    <row r="446" spans="3:13" x14ac:dyDescent="0.35">
      <c r="D446" s="14" t="s">
        <v>50</v>
      </c>
      <c r="E446" s="14">
        <v>21</v>
      </c>
      <c r="F446" s="14">
        <v>18</v>
      </c>
      <c r="G446" s="14" t="s">
        <v>52</v>
      </c>
      <c r="H446" s="14" t="s">
        <v>574</v>
      </c>
      <c r="I446" t="s">
        <v>638</v>
      </c>
      <c r="L446">
        <f t="shared" si="20"/>
        <v>3</v>
      </c>
      <c r="M446">
        <f t="shared" si="19"/>
        <v>30</v>
      </c>
    </row>
    <row r="447" spans="3:13" x14ac:dyDescent="0.35">
      <c r="D447" s="14" t="s">
        <v>117</v>
      </c>
      <c r="E447" s="14">
        <v>26</v>
      </c>
      <c r="F447" s="14">
        <v>5</v>
      </c>
      <c r="G447" s="14" t="s">
        <v>54</v>
      </c>
      <c r="H447" s="14" t="s">
        <v>525</v>
      </c>
      <c r="L447">
        <f t="shared" si="20"/>
        <v>21</v>
      </c>
      <c r="M447">
        <f t="shared" si="19"/>
        <v>63.75</v>
      </c>
    </row>
    <row r="448" spans="3:13" x14ac:dyDescent="0.35">
      <c r="D448" s="14" t="s">
        <v>27</v>
      </c>
      <c r="E448" s="14">
        <v>14</v>
      </c>
      <c r="F448" s="14">
        <v>10</v>
      </c>
      <c r="G448" s="14" t="s">
        <v>28</v>
      </c>
      <c r="H448" s="14" t="s">
        <v>331</v>
      </c>
      <c r="L448">
        <f t="shared" si="20"/>
        <v>4</v>
      </c>
      <c r="M448">
        <f t="shared" si="19"/>
        <v>32.5</v>
      </c>
    </row>
    <row r="449" spans="3:13" x14ac:dyDescent="0.35">
      <c r="D449" s="14" t="s">
        <v>145</v>
      </c>
      <c r="E449" s="14">
        <v>13</v>
      </c>
      <c r="F449" s="14">
        <v>12</v>
      </c>
      <c r="G449" s="14" t="s">
        <v>118</v>
      </c>
      <c r="H449" s="14" t="s">
        <v>190</v>
      </c>
      <c r="L449">
        <f t="shared" si="20"/>
        <v>1</v>
      </c>
      <c r="M449">
        <f t="shared" si="19"/>
        <v>25</v>
      </c>
    </row>
    <row r="450" spans="3:13" x14ac:dyDescent="0.35">
      <c r="D450" s="14" t="s">
        <v>62</v>
      </c>
      <c r="E450" s="14">
        <v>18</v>
      </c>
      <c r="F450" s="14">
        <v>12</v>
      </c>
      <c r="G450" s="14" t="s">
        <v>115</v>
      </c>
      <c r="H450" s="14" t="s">
        <v>194</v>
      </c>
      <c r="L450">
        <f t="shared" si="20"/>
        <v>6</v>
      </c>
      <c r="M450">
        <f t="shared" si="19"/>
        <v>37.5</v>
      </c>
    </row>
    <row r="451" spans="3:13" x14ac:dyDescent="0.35">
      <c r="C451" t="s">
        <v>527</v>
      </c>
      <c r="D451" s="14" t="s">
        <v>23</v>
      </c>
      <c r="E451" s="14">
        <v>15</v>
      </c>
      <c r="F451" s="14">
        <v>11</v>
      </c>
      <c r="G451" s="14" t="s">
        <v>24</v>
      </c>
      <c r="H451" s="14" t="s">
        <v>339</v>
      </c>
      <c r="L451">
        <f t="shared" si="20"/>
        <v>4</v>
      </c>
      <c r="M451">
        <f t="shared" ref="M451:M514" si="21">30*(IF(L451&lt;13,1+((L451-3)/12),1.75+((L451-12)/24)))</f>
        <v>32.5</v>
      </c>
    </row>
    <row r="452" spans="3:13" x14ac:dyDescent="0.35">
      <c r="D452" s="14" t="s">
        <v>73</v>
      </c>
      <c r="E452" s="14">
        <v>12</v>
      </c>
      <c r="F452" s="14">
        <v>7</v>
      </c>
      <c r="G452" s="14" t="s">
        <v>75</v>
      </c>
      <c r="H452" s="14" t="s">
        <v>639</v>
      </c>
      <c r="L452">
        <f t="shared" si="20"/>
        <v>5</v>
      </c>
      <c r="M452">
        <f t="shared" si="21"/>
        <v>35</v>
      </c>
    </row>
    <row r="453" spans="3:13" x14ac:dyDescent="0.35">
      <c r="D453" s="14" t="s">
        <v>80</v>
      </c>
      <c r="E453" s="14">
        <v>14</v>
      </c>
      <c r="F453" s="14">
        <v>11</v>
      </c>
      <c r="G453" s="14" t="s">
        <v>78</v>
      </c>
      <c r="H453" s="14" t="s">
        <v>296</v>
      </c>
      <c r="L453">
        <f t="shared" si="20"/>
        <v>3</v>
      </c>
      <c r="M453">
        <f t="shared" si="21"/>
        <v>30</v>
      </c>
    </row>
    <row r="454" spans="3:13" x14ac:dyDescent="0.35">
      <c r="D454" s="14" t="s">
        <v>63</v>
      </c>
      <c r="E454" s="14">
        <v>12</v>
      </c>
      <c r="F454" s="14">
        <v>9</v>
      </c>
      <c r="G454" s="14" t="s">
        <v>59</v>
      </c>
      <c r="H454" s="14" t="s">
        <v>281</v>
      </c>
      <c r="L454">
        <f t="shared" si="20"/>
        <v>3</v>
      </c>
      <c r="M454">
        <f t="shared" si="21"/>
        <v>30</v>
      </c>
    </row>
    <row r="455" spans="3:13" x14ac:dyDescent="0.35">
      <c r="C455" t="s">
        <v>456</v>
      </c>
      <c r="D455" s="14" t="s">
        <v>53</v>
      </c>
      <c r="E455" s="14">
        <v>17</v>
      </c>
      <c r="F455" s="14">
        <v>9</v>
      </c>
      <c r="G455" s="14" t="s">
        <v>55</v>
      </c>
      <c r="H455" s="14" t="s">
        <v>295</v>
      </c>
      <c r="L455">
        <f t="shared" si="20"/>
        <v>8</v>
      </c>
      <c r="M455">
        <f t="shared" si="21"/>
        <v>42.5</v>
      </c>
    </row>
    <row r="456" spans="3:13" x14ac:dyDescent="0.35">
      <c r="C456" t="s">
        <v>579</v>
      </c>
      <c r="D456" s="14" t="s">
        <v>32</v>
      </c>
      <c r="E456" s="14">
        <v>18</v>
      </c>
      <c r="F456" s="14">
        <v>9</v>
      </c>
      <c r="G456" s="14" t="s">
        <v>29</v>
      </c>
      <c r="H456" s="14" t="s">
        <v>403</v>
      </c>
      <c r="L456">
        <f t="shared" si="20"/>
        <v>9</v>
      </c>
      <c r="M456">
        <f t="shared" si="21"/>
        <v>45</v>
      </c>
    </row>
    <row r="457" spans="3:13" x14ac:dyDescent="0.35">
      <c r="D457" s="14" t="s">
        <v>79</v>
      </c>
      <c r="E457" s="14">
        <v>17</v>
      </c>
      <c r="F457" s="14">
        <v>15</v>
      </c>
      <c r="G457" s="14" t="s">
        <v>77</v>
      </c>
      <c r="H457" s="14" t="s">
        <v>296</v>
      </c>
      <c r="L457">
        <f t="shared" si="20"/>
        <v>2</v>
      </c>
      <c r="M457">
        <f t="shared" si="21"/>
        <v>27.5</v>
      </c>
    </row>
    <row r="458" spans="3:13" x14ac:dyDescent="0.35">
      <c r="C458" t="s">
        <v>580</v>
      </c>
      <c r="D458" s="14" t="s">
        <v>71</v>
      </c>
      <c r="E458" s="14">
        <v>18</v>
      </c>
      <c r="F458" s="14">
        <v>9</v>
      </c>
      <c r="G458" s="14" t="s">
        <v>70</v>
      </c>
      <c r="H458" s="14" t="s">
        <v>286</v>
      </c>
      <c r="L458">
        <f t="shared" si="20"/>
        <v>9</v>
      </c>
      <c r="M458">
        <f t="shared" si="21"/>
        <v>45</v>
      </c>
    </row>
    <row r="459" spans="3:13" x14ac:dyDescent="0.35">
      <c r="C459" t="s">
        <v>417</v>
      </c>
      <c r="D459" s="14" t="s">
        <v>45</v>
      </c>
      <c r="E459" s="14">
        <v>24</v>
      </c>
      <c r="F459" s="14">
        <v>21</v>
      </c>
      <c r="G459" s="14" t="s">
        <v>42</v>
      </c>
      <c r="H459" s="14" t="s">
        <v>640</v>
      </c>
      <c r="I459" s="14" t="s">
        <v>641</v>
      </c>
      <c r="L459">
        <f t="shared" si="20"/>
        <v>3</v>
      </c>
      <c r="M459">
        <f t="shared" si="21"/>
        <v>30</v>
      </c>
    </row>
    <row r="460" spans="3:13" x14ac:dyDescent="0.35">
      <c r="D460" s="14" t="s">
        <v>86</v>
      </c>
      <c r="E460" s="14">
        <v>25</v>
      </c>
      <c r="F460" s="14">
        <v>12</v>
      </c>
      <c r="G460" s="14" t="s">
        <v>83</v>
      </c>
      <c r="H460" s="14" t="s">
        <v>184</v>
      </c>
      <c r="L460">
        <f t="shared" si="20"/>
        <v>13</v>
      </c>
      <c r="M460">
        <f t="shared" si="21"/>
        <v>53.75</v>
      </c>
    </row>
    <row r="461" spans="3:13" x14ac:dyDescent="0.35">
      <c r="D461" s="14" t="s">
        <v>44</v>
      </c>
      <c r="E461" s="14">
        <v>19</v>
      </c>
      <c r="F461" s="14">
        <v>10</v>
      </c>
      <c r="G461" s="14" t="s">
        <v>1859</v>
      </c>
      <c r="H461" s="14" t="s">
        <v>360</v>
      </c>
      <c r="L461">
        <f t="shared" si="20"/>
        <v>9</v>
      </c>
      <c r="M461">
        <f t="shared" si="21"/>
        <v>45</v>
      </c>
    </row>
    <row r="462" spans="3:13" x14ac:dyDescent="0.35">
      <c r="C462" t="s">
        <v>354</v>
      </c>
      <c r="D462" s="14" t="s">
        <v>900</v>
      </c>
      <c r="E462" s="14">
        <v>26</v>
      </c>
      <c r="F462" s="14">
        <v>20</v>
      </c>
      <c r="G462" s="14" t="s">
        <v>37</v>
      </c>
      <c r="H462" s="14" t="s">
        <v>621</v>
      </c>
      <c r="L462">
        <f t="shared" si="20"/>
        <v>6</v>
      </c>
      <c r="M462">
        <f t="shared" si="21"/>
        <v>37.5</v>
      </c>
    </row>
    <row r="463" spans="3:13" x14ac:dyDescent="0.35">
      <c r="D463" s="14" t="s">
        <v>68</v>
      </c>
      <c r="E463" s="14">
        <v>13</v>
      </c>
      <c r="F463" s="14">
        <v>11</v>
      </c>
      <c r="G463" s="14" t="s">
        <v>66</v>
      </c>
      <c r="H463" s="14" t="s">
        <v>186</v>
      </c>
      <c r="L463">
        <f t="shared" si="20"/>
        <v>2</v>
      </c>
      <c r="M463">
        <f t="shared" si="21"/>
        <v>27.5</v>
      </c>
    </row>
    <row r="464" spans="3:13" x14ac:dyDescent="0.35">
      <c r="C464" t="s">
        <v>330</v>
      </c>
      <c r="D464" s="14" t="s">
        <v>67</v>
      </c>
      <c r="E464" s="14">
        <v>17</v>
      </c>
      <c r="F464" s="14">
        <v>12</v>
      </c>
      <c r="G464" s="14" t="s">
        <v>72</v>
      </c>
      <c r="H464" s="14" t="s">
        <v>369</v>
      </c>
      <c r="L464">
        <f t="shared" si="20"/>
        <v>5</v>
      </c>
      <c r="M464">
        <f t="shared" si="21"/>
        <v>35</v>
      </c>
    </row>
    <row r="465" spans="3:13" x14ac:dyDescent="0.35">
      <c r="C465" t="s">
        <v>399</v>
      </c>
      <c r="D465" s="14" t="s">
        <v>31</v>
      </c>
      <c r="E465" s="14">
        <v>29</v>
      </c>
      <c r="F465" s="14">
        <v>9</v>
      </c>
      <c r="G465" s="14" t="s">
        <v>30</v>
      </c>
      <c r="H465" s="14" t="s">
        <v>642</v>
      </c>
      <c r="L465">
        <f t="shared" si="20"/>
        <v>20</v>
      </c>
      <c r="M465">
        <f t="shared" si="21"/>
        <v>62.500000000000007</v>
      </c>
    </row>
    <row r="466" spans="3:13" x14ac:dyDescent="0.35">
      <c r="C466" t="s">
        <v>468</v>
      </c>
      <c r="D466" s="14" t="s">
        <v>47</v>
      </c>
      <c r="E466" s="14">
        <v>13</v>
      </c>
      <c r="F466" s="14">
        <v>11</v>
      </c>
      <c r="G466" s="14" t="s">
        <v>48</v>
      </c>
      <c r="H466" s="14" t="s">
        <v>400</v>
      </c>
      <c r="L466">
        <f t="shared" si="20"/>
        <v>2</v>
      </c>
      <c r="M466">
        <f t="shared" si="21"/>
        <v>27.5</v>
      </c>
    </row>
    <row r="467" spans="3:13" x14ac:dyDescent="0.35">
      <c r="D467" s="14" t="s">
        <v>64</v>
      </c>
      <c r="E467" s="14">
        <v>16</v>
      </c>
      <c r="F467" s="14">
        <v>12</v>
      </c>
      <c r="G467" s="14" t="s">
        <v>65</v>
      </c>
      <c r="H467" s="14" t="s">
        <v>331</v>
      </c>
      <c r="L467">
        <f t="shared" si="20"/>
        <v>4</v>
      </c>
      <c r="M467">
        <f t="shared" si="21"/>
        <v>32.5</v>
      </c>
    </row>
    <row r="468" spans="3:13" x14ac:dyDescent="0.35">
      <c r="D468" s="14" t="s">
        <v>82</v>
      </c>
      <c r="E468" s="14">
        <v>22</v>
      </c>
      <c r="F468" s="14">
        <v>20</v>
      </c>
      <c r="G468" s="14" t="s">
        <v>87</v>
      </c>
      <c r="H468" s="14" t="s">
        <v>644</v>
      </c>
      <c r="I468" t="s">
        <v>643</v>
      </c>
      <c r="L468">
        <f t="shared" si="20"/>
        <v>2</v>
      </c>
      <c r="M468">
        <f t="shared" si="21"/>
        <v>27.5</v>
      </c>
    </row>
    <row r="469" spans="3:13" x14ac:dyDescent="0.35">
      <c r="D469" s="14" t="s">
        <v>85</v>
      </c>
      <c r="E469" s="14">
        <v>17</v>
      </c>
      <c r="F469" s="14">
        <v>11</v>
      </c>
      <c r="G469" s="14" t="s">
        <v>84</v>
      </c>
      <c r="H469" s="14" t="s">
        <v>184</v>
      </c>
      <c r="L469">
        <f t="shared" si="20"/>
        <v>6</v>
      </c>
      <c r="M469">
        <f t="shared" si="21"/>
        <v>37.5</v>
      </c>
    </row>
    <row r="470" spans="3:13" x14ac:dyDescent="0.35">
      <c r="C470" t="s">
        <v>370</v>
      </c>
      <c r="D470" s="14" t="s">
        <v>76</v>
      </c>
      <c r="E470" s="14">
        <v>14</v>
      </c>
      <c r="F470" s="14">
        <v>12</v>
      </c>
      <c r="G470" s="14" t="s">
        <v>74</v>
      </c>
      <c r="H470" s="14" t="s">
        <v>337</v>
      </c>
      <c r="L470">
        <f t="shared" si="20"/>
        <v>2</v>
      </c>
      <c r="M470">
        <f t="shared" si="21"/>
        <v>27.5</v>
      </c>
    </row>
    <row r="471" spans="3:13" x14ac:dyDescent="0.35">
      <c r="C471" t="s">
        <v>352</v>
      </c>
      <c r="D471" s="14" t="s">
        <v>39</v>
      </c>
      <c r="E471" s="14">
        <v>17</v>
      </c>
      <c r="F471" s="14">
        <v>16</v>
      </c>
      <c r="G471" s="14" t="s">
        <v>36</v>
      </c>
      <c r="H471" s="14" t="s">
        <v>294</v>
      </c>
      <c r="I471" s="14" t="s">
        <v>645</v>
      </c>
      <c r="L471">
        <f t="shared" si="20"/>
        <v>1</v>
      </c>
      <c r="M471">
        <f t="shared" si="21"/>
        <v>25</v>
      </c>
    </row>
    <row r="472" spans="3:13" x14ac:dyDescent="0.35">
      <c r="C472" t="s">
        <v>349</v>
      </c>
      <c r="D472" s="14" t="s">
        <v>69</v>
      </c>
      <c r="E472" s="14">
        <v>16</v>
      </c>
      <c r="F472" s="14">
        <v>9</v>
      </c>
      <c r="G472" s="14" t="s">
        <v>114</v>
      </c>
      <c r="H472" s="14" t="s">
        <v>403</v>
      </c>
      <c r="L472">
        <f t="shared" si="20"/>
        <v>7</v>
      </c>
      <c r="M472">
        <f t="shared" si="21"/>
        <v>40</v>
      </c>
    </row>
    <row r="473" spans="3:13" x14ac:dyDescent="0.35">
      <c r="C473" t="s">
        <v>366</v>
      </c>
      <c r="D473" s="14" t="s">
        <v>57</v>
      </c>
      <c r="E473" s="14">
        <v>14</v>
      </c>
      <c r="F473" s="14">
        <v>13</v>
      </c>
      <c r="G473" s="14" t="s">
        <v>51</v>
      </c>
      <c r="H473" s="14" t="s">
        <v>578</v>
      </c>
      <c r="L473">
        <f t="shared" si="20"/>
        <v>1</v>
      </c>
      <c r="M473">
        <f t="shared" si="21"/>
        <v>25</v>
      </c>
    </row>
    <row r="474" spans="3:13" x14ac:dyDescent="0.35">
      <c r="C474" t="s">
        <v>368</v>
      </c>
      <c r="D474" s="14" t="s">
        <v>1860</v>
      </c>
      <c r="E474" s="14">
        <v>15</v>
      </c>
      <c r="F474" s="14">
        <v>11</v>
      </c>
      <c r="G474" s="14" t="s">
        <v>22</v>
      </c>
      <c r="H474" s="14" t="s">
        <v>337</v>
      </c>
      <c r="L474">
        <f t="shared" si="20"/>
        <v>4</v>
      </c>
      <c r="M474">
        <f t="shared" si="21"/>
        <v>32.5</v>
      </c>
    </row>
    <row r="475" spans="3:13" x14ac:dyDescent="0.35">
      <c r="C475" t="s">
        <v>529</v>
      </c>
      <c r="D475" s="14" t="s">
        <v>292</v>
      </c>
      <c r="E475" s="14">
        <v>21</v>
      </c>
      <c r="F475" s="14">
        <v>13</v>
      </c>
      <c r="G475" s="14" t="s">
        <v>119</v>
      </c>
      <c r="H475" s="14" t="s">
        <v>286</v>
      </c>
      <c r="L475">
        <f t="shared" si="20"/>
        <v>8</v>
      </c>
      <c r="M475">
        <f t="shared" si="21"/>
        <v>42.5</v>
      </c>
    </row>
    <row r="476" spans="3:13" x14ac:dyDescent="0.35">
      <c r="C476" t="s">
        <v>552</v>
      </c>
      <c r="D476" s="14" t="s">
        <v>61</v>
      </c>
      <c r="E476" s="14">
        <v>16</v>
      </c>
      <c r="F476" s="14">
        <v>12</v>
      </c>
      <c r="G476" s="14" t="s">
        <v>60</v>
      </c>
      <c r="H476" s="14" t="s">
        <v>299</v>
      </c>
      <c r="I476" t="s">
        <v>646</v>
      </c>
      <c r="L476">
        <f t="shared" si="20"/>
        <v>4</v>
      </c>
      <c r="M476">
        <f t="shared" si="21"/>
        <v>32.5</v>
      </c>
    </row>
    <row r="477" spans="3:13" x14ac:dyDescent="0.35">
      <c r="C477" t="s">
        <v>422</v>
      </c>
      <c r="D477" t="s">
        <v>40</v>
      </c>
      <c r="E477" s="14">
        <v>27</v>
      </c>
      <c r="F477" s="14">
        <v>21</v>
      </c>
      <c r="G477" s="14" t="s">
        <v>2011</v>
      </c>
      <c r="H477" s="14" t="s">
        <v>647</v>
      </c>
      <c r="I477" t="s">
        <v>932</v>
      </c>
      <c r="L477">
        <f t="shared" si="20"/>
        <v>6</v>
      </c>
      <c r="M477">
        <f t="shared" si="21"/>
        <v>37.5</v>
      </c>
    </row>
    <row r="478" spans="3:13" x14ac:dyDescent="0.35">
      <c r="C478" t="s">
        <v>449</v>
      </c>
      <c r="D478" t="s">
        <v>25</v>
      </c>
      <c r="E478" s="14">
        <v>19</v>
      </c>
      <c r="F478" s="14">
        <v>14</v>
      </c>
      <c r="G478" s="14" t="s">
        <v>26</v>
      </c>
      <c r="H478" s="14" t="s">
        <v>301</v>
      </c>
      <c r="L478">
        <f t="shared" si="20"/>
        <v>5</v>
      </c>
      <c r="M478">
        <f t="shared" si="21"/>
        <v>35</v>
      </c>
    </row>
    <row r="479" spans="3:13" x14ac:dyDescent="0.35">
      <c r="C479" t="s">
        <v>648</v>
      </c>
      <c r="D479" t="s">
        <v>34</v>
      </c>
      <c r="E479" s="14">
        <v>16</v>
      </c>
      <c r="F479" s="14">
        <v>8</v>
      </c>
      <c r="G479" s="14" t="s">
        <v>33</v>
      </c>
      <c r="H479" s="14" t="s">
        <v>190</v>
      </c>
      <c r="L479">
        <f t="shared" si="20"/>
        <v>8</v>
      </c>
      <c r="M479">
        <f t="shared" si="21"/>
        <v>42.5</v>
      </c>
    </row>
    <row r="480" spans="3:13" x14ac:dyDescent="0.35">
      <c r="C480" t="s">
        <v>649</v>
      </c>
      <c r="D480" t="s">
        <v>38</v>
      </c>
      <c r="E480" s="14">
        <v>13</v>
      </c>
      <c r="F480" s="14">
        <v>11</v>
      </c>
      <c r="G480" s="14" t="s">
        <v>35</v>
      </c>
      <c r="H480" s="14" t="s">
        <v>299</v>
      </c>
      <c r="L480">
        <f t="shared" si="20"/>
        <v>2</v>
      </c>
      <c r="M480">
        <f t="shared" si="21"/>
        <v>27.5</v>
      </c>
    </row>
    <row r="481" spans="3:13" ht="15" thickBot="1" x14ac:dyDescent="0.4">
      <c r="C481" s="12" t="s">
        <v>650</v>
      </c>
      <c r="D481" s="12" t="s">
        <v>46</v>
      </c>
      <c r="E481" s="23">
        <v>16</v>
      </c>
      <c r="F481" s="23">
        <v>14</v>
      </c>
      <c r="G481" s="23" t="s">
        <v>41</v>
      </c>
      <c r="H481" s="23" t="s">
        <v>337</v>
      </c>
      <c r="I481" s="12"/>
      <c r="L481">
        <f t="shared" si="20"/>
        <v>2</v>
      </c>
      <c r="M481">
        <f t="shared" si="21"/>
        <v>27.5</v>
      </c>
    </row>
    <row r="482" spans="3:13" x14ac:dyDescent="0.35">
      <c r="C482" s="14" t="s">
        <v>441</v>
      </c>
      <c r="D482" s="14" t="s">
        <v>86</v>
      </c>
      <c r="E482" s="14">
        <v>28</v>
      </c>
      <c r="F482" s="14">
        <v>7</v>
      </c>
      <c r="G482" s="14" t="s">
        <v>81</v>
      </c>
      <c r="H482" s="14" t="s">
        <v>286</v>
      </c>
      <c r="I482" t="s">
        <v>652</v>
      </c>
      <c r="L482">
        <f t="shared" si="20"/>
        <v>21</v>
      </c>
      <c r="M482">
        <f t="shared" si="21"/>
        <v>63.75</v>
      </c>
    </row>
    <row r="483" spans="3:13" x14ac:dyDescent="0.35">
      <c r="C483" s="14" t="s">
        <v>363</v>
      </c>
      <c r="D483" s="14" t="s">
        <v>1858</v>
      </c>
      <c r="E483" s="14">
        <v>15</v>
      </c>
      <c r="F483" s="14">
        <v>14</v>
      </c>
      <c r="G483" s="14" t="s">
        <v>45</v>
      </c>
      <c r="H483" s="14" t="s">
        <v>296</v>
      </c>
      <c r="L483">
        <f t="shared" si="20"/>
        <v>1</v>
      </c>
      <c r="M483">
        <f t="shared" si="21"/>
        <v>25</v>
      </c>
    </row>
    <row r="484" spans="3:13" x14ac:dyDescent="0.35">
      <c r="D484" s="14" t="s">
        <v>51</v>
      </c>
      <c r="E484" s="14">
        <v>16</v>
      </c>
      <c r="F484" s="14">
        <v>9</v>
      </c>
      <c r="G484" s="14" t="s">
        <v>58</v>
      </c>
      <c r="H484" s="14" t="s">
        <v>190</v>
      </c>
      <c r="L484">
        <f t="shared" si="20"/>
        <v>7</v>
      </c>
      <c r="M484">
        <f t="shared" si="21"/>
        <v>40</v>
      </c>
    </row>
    <row r="485" spans="3:13" x14ac:dyDescent="0.35">
      <c r="D485" s="14" t="s">
        <v>48</v>
      </c>
      <c r="E485" s="14">
        <v>14</v>
      </c>
      <c r="F485" s="14">
        <v>12</v>
      </c>
      <c r="G485" s="14" t="s">
        <v>52</v>
      </c>
      <c r="H485" s="14" t="s">
        <v>623</v>
      </c>
      <c r="L485">
        <f t="shared" si="20"/>
        <v>2</v>
      </c>
      <c r="M485">
        <f t="shared" si="21"/>
        <v>27.5</v>
      </c>
    </row>
    <row r="486" spans="3:13" x14ac:dyDescent="0.35">
      <c r="D486" s="14" t="s">
        <v>55</v>
      </c>
      <c r="E486" s="14">
        <v>24</v>
      </c>
      <c r="F486" s="14">
        <v>6</v>
      </c>
      <c r="G486" s="14" t="s">
        <v>54</v>
      </c>
      <c r="H486" s="14" t="s">
        <v>404</v>
      </c>
      <c r="L486">
        <f t="shared" si="20"/>
        <v>18</v>
      </c>
      <c r="M486">
        <f t="shared" si="21"/>
        <v>60</v>
      </c>
    </row>
    <row r="487" spans="3:13" x14ac:dyDescent="0.35">
      <c r="D487" s="14" t="s">
        <v>118</v>
      </c>
      <c r="E487" s="14">
        <v>16</v>
      </c>
      <c r="F487" s="14">
        <v>10</v>
      </c>
      <c r="G487" s="14" t="s">
        <v>300</v>
      </c>
      <c r="H487" s="14" t="s">
        <v>331</v>
      </c>
      <c r="L487">
        <f t="shared" si="20"/>
        <v>6</v>
      </c>
      <c r="M487">
        <f t="shared" si="21"/>
        <v>37.5</v>
      </c>
    </row>
    <row r="488" spans="3:13" x14ac:dyDescent="0.35">
      <c r="D488" s="14" t="s">
        <v>59</v>
      </c>
      <c r="E488" s="14">
        <v>19</v>
      </c>
      <c r="F488" s="14">
        <v>6</v>
      </c>
      <c r="G488" s="14" t="s">
        <v>115</v>
      </c>
      <c r="H488" s="14" t="s">
        <v>297</v>
      </c>
      <c r="L488">
        <f t="shared" si="20"/>
        <v>13</v>
      </c>
      <c r="M488">
        <f t="shared" si="21"/>
        <v>53.75</v>
      </c>
    </row>
    <row r="489" spans="3:13" x14ac:dyDescent="0.35">
      <c r="C489" t="s">
        <v>529</v>
      </c>
      <c r="D489" s="14" t="s">
        <v>28</v>
      </c>
      <c r="E489" s="14">
        <v>17</v>
      </c>
      <c r="F489" s="14">
        <v>14</v>
      </c>
      <c r="G489" s="14" t="s">
        <v>32</v>
      </c>
      <c r="H489" s="14" t="s">
        <v>545</v>
      </c>
      <c r="I489" s="14" t="s">
        <v>654</v>
      </c>
      <c r="L489">
        <f t="shared" si="20"/>
        <v>3</v>
      </c>
      <c r="M489">
        <f t="shared" si="21"/>
        <v>30</v>
      </c>
    </row>
    <row r="490" spans="3:13" x14ac:dyDescent="0.35">
      <c r="D490" s="14" t="s">
        <v>79</v>
      </c>
      <c r="E490" s="14">
        <v>28</v>
      </c>
      <c r="F490" s="14">
        <v>14</v>
      </c>
      <c r="G490" s="14" t="s">
        <v>75</v>
      </c>
      <c r="H490" s="14" t="s">
        <v>504</v>
      </c>
      <c r="I490" s="14" t="s">
        <v>653</v>
      </c>
      <c r="L490">
        <f t="shared" ref="L490:L521" si="22">E490-F490</f>
        <v>14</v>
      </c>
      <c r="M490">
        <f t="shared" si="21"/>
        <v>55</v>
      </c>
    </row>
    <row r="491" spans="3:13" x14ac:dyDescent="0.35">
      <c r="D491" s="14" t="s">
        <v>83</v>
      </c>
      <c r="E491" s="14">
        <v>24</v>
      </c>
      <c r="F491" s="14">
        <v>16</v>
      </c>
      <c r="G491" s="14" t="s">
        <v>88</v>
      </c>
      <c r="H491" s="14" t="s">
        <v>178</v>
      </c>
      <c r="L491">
        <f t="shared" si="22"/>
        <v>8</v>
      </c>
      <c r="M491">
        <f t="shared" si="21"/>
        <v>42.5</v>
      </c>
    </row>
    <row r="492" spans="3:13" x14ac:dyDescent="0.35">
      <c r="D492" s="14" t="s">
        <v>73</v>
      </c>
      <c r="E492" s="14">
        <v>13</v>
      </c>
      <c r="F492" s="14">
        <v>9</v>
      </c>
      <c r="G492" s="14" t="s">
        <v>77</v>
      </c>
      <c r="H492" s="14" t="s">
        <v>295</v>
      </c>
      <c r="L492">
        <f t="shared" si="22"/>
        <v>4</v>
      </c>
      <c r="M492">
        <f t="shared" si="21"/>
        <v>32.5</v>
      </c>
    </row>
    <row r="493" spans="3:13" x14ac:dyDescent="0.35">
      <c r="C493" t="s">
        <v>333</v>
      </c>
      <c r="D493" s="14" t="s">
        <v>119</v>
      </c>
      <c r="E493" s="14">
        <v>21</v>
      </c>
      <c r="F493" s="14">
        <v>5</v>
      </c>
      <c r="G493" s="14" t="s">
        <v>30</v>
      </c>
      <c r="H493" s="14" t="s">
        <v>339</v>
      </c>
      <c r="I493" s="14" t="s">
        <v>655</v>
      </c>
      <c r="L493">
        <f t="shared" si="22"/>
        <v>16</v>
      </c>
      <c r="M493">
        <f t="shared" si="21"/>
        <v>57.5</v>
      </c>
    </row>
    <row r="494" spans="3:13" x14ac:dyDescent="0.35">
      <c r="C494" t="s">
        <v>355</v>
      </c>
      <c r="D494" s="14" t="s">
        <v>46</v>
      </c>
      <c r="E494" s="14">
        <v>21</v>
      </c>
      <c r="F494" s="14">
        <v>10</v>
      </c>
      <c r="G494" s="14" t="s">
        <v>1859</v>
      </c>
      <c r="H494" s="14" t="s">
        <v>295</v>
      </c>
      <c r="L494">
        <f t="shared" si="22"/>
        <v>11</v>
      </c>
      <c r="M494">
        <f t="shared" si="21"/>
        <v>49.999999999999993</v>
      </c>
    </row>
    <row r="495" spans="3:13" x14ac:dyDescent="0.35">
      <c r="D495" s="14" t="s">
        <v>29</v>
      </c>
      <c r="E495" s="14">
        <v>20</v>
      </c>
      <c r="F495" s="14">
        <v>8</v>
      </c>
      <c r="G495" s="14" t="s">
        <v>27</v>
      </c>
      <c r="H495" s="14" t="s">
        <v>360</v>
      </c>
      <c r="L495">
        <f t="shared" si="22"/>
        <v>12</v>
      </c>
      <c r="M495">
        <f t="shared" si="21"/>
        <v>52.5</v>
      </c>
    </row>
    <row r="496" spans="3:13" x14ac:dyDescent="0.35">
      <c r="D496" s="14" t="s">
        <v>68</v>
      </c>
      <c r="E496" s="14">
        <v>14</v>
      </c>
      <c r="F496" s="14">
        <v>7</v>
      </c>
      <c r="G496" s="14" t="s">
        <v>72</v>
      </c>
      <c r="H496" s="14" t="s">
        <v>447</v>
      </c>
      <c r="L496">
        <f t="shared" si="22"/>
        <v>7</v>
      </c>
      <c r="M496">
        <f t="shared" si="21"/>
        <v>40</v>
      </c>
    </row>
    <row r="497" spans="3:13" x14ac:dyDescent="0.35">
      <c r="D497" s="14" t="s">
        <v>74</v>
      </c>
      <c r="E497" s="14">
        <v>24</v>
      </c>
      <c r="F497" s="14">
        <v>10</v>
      </c>
      <c r="G497" s="14" t="s">
        <v>80</v>
      </c>
      <c r="H497" s="14" t="s">
        <v>359</v>
      </c>
      <c r="L497">
        <f t="shared" si="22"/>
        <v>14</v>
      </c>
      <c r="M497">
        <f t="shared" si="21"/>
        <v>55</v>
      </c>
    </row>
    <row r="498" spans="3:13" x14ac:dyDescent="0.35">
      <c r="D498" s="14" t="s">
        <v>85</v>
      </c>
      <c r="E498" s="14">
        <v>20</v>
      </c>
      <c r="F498" s="14">
        <v>13</v>
      </c>
      <c r="G498" s="14" t="s">
        <v>87</v>
      </c>
      <c r="H498" s="14" t="s">
        <v>178</v>
      </c>
      <c r="L498">
        <f t="shared" si="22"/>
        <v>7</v>
      </c>
      <c r="M498">
        <f t="shared" si="21"/>
        <v>40</v>
      </c>
    </row>
    <row r="499" spans="3:13" x14ac:dyDescent="0.35">
      <c r="D499" s="14" t="s">
        <v>42</v>
      </c>
      <c r="E499" s="14">
        <v>28</v>
      </c>
      <c r="F499" s="14">
        <v>2</v>
      </c>
      <c r="G499" s="14" t="s">
        <v>43</v>
      </c>
      <c r="H499" s="14" t="s">
        <v>656</v>
      </c>
      <c r="L499">
        <f t="shared" si="22"/>
        <v>26</v>
      </c>
      <c r="M499">
        <f t="shared" si="21"/>
        <v>70</v>
      </c>
    </row>
    <row r="500" spans="3:13" x14ac:dyDescent="0.35">
      <c r="D500" s="14" t="s">
        <v>61</v>
      </c>
      <c r="E500" s="14">
        <v>19</v>
      </c>
      <c r="F500" s="14">
        <v>8</v>
      </c>
      <c r="G500" s="14" t="s">
        <v>65</v>
      </c>
      <c r="H500" s="14" t="s">
        <v>281</v>
      </c>
      <c r="L500">
        <f t="shared" si="22"/>
        <v>11</v>
      </c>
      <c r="M500">
        <f t="shared" si="21"/>
        <v>49.999999999999993</v>
      </c>
    </row>
    <row r="501" spans="3:13" x14ac:dyDescent="0.35">
      <c r="D501" s="14" t="s">
        <v>63</v>
      </c>
      <c r="E501" s="14">
        <v>18</v>
      </c>
      <c r="F501" s="14">
        <v>12</v>
      </c>
      <c r="G501" s="14" t="s">
        <v>62</v>
      </c>
      <c r="H501" s="14" t="s">
        <v>332</v>
      </c>
      <c r="I501" s="14" t="s">
        <v>657</v>
      </c>
      <c r="L501">
        <f t="shared" si="22"/>
        <v>6</v>
      </c>
      <c r="M501">
        <f t="shared" si="21"/>
        <v>37.5</v>
      </c>
    </row>
    <row r="502" spans="3:13" x14ac:dyDescent="0.35">
      <c r="C502" t="s">
        <v>419</v>
      </c>
      <c r="D502" s="14" t="s">
        <v>117</v>
      </c>
      <c r="E502" s="14">
        <v>19</v>
      </c>
      <c r="F502" s="14">
        <v>14</v>
      </c>
      <c r="G502" s="14" t="s">
        <v>53</v>
      </c>
      <c r="H502" s="14" t="s">
        <v>191</v>
      </c>
      <c r="I502" s="14" t="s">
        <v>658</v>
      </c>
      <c r="L502">
        <f t="shared" si="22"/>
        <v>5</v>
      </c>
      <c r="M502">
        <f t="shared" si="21"/>
        <v>35</v>
      </c>
    </row>
    <row r="503" spans="3:13" x14ac:dyDescent="0.35">
      <c r="D503" s="14" t="s">
        <v>145</v>
      </c>
      <c r="E503" s="14">
        <v>15</v>
      </c>
      <c r="F503" s="14">
        <v>14</v>
      </c>
      <c r="G503" s="14" t="s">
        <v>56</v>
      </c>
      <c r="H503" s="14" t="s">
        <v>184</v>
      </c>
      <c r="L503">
        <f t="shared" si="22"/>
        <v>1</v>
      </c>
      <c r="M503">
        <f t="shared" si="21"/>
        <v>25</v>
      </c>
    </row>
    <row r="504" spans="3:13" x14ac:dyDescent="0.35">
      <c r="D504" s="14" t="s">
        <v>23</v>
      </c>
      <c r="E504" s="14">
        <v>11</v>
      </c>
      <c r="F504" s="14">
        <v>7</v>
      </c>
      <c r="G504" s="14" t="s">
        <v>22</v>
      </c>
      <c r="H504" s="14" t="s">
        <v>187</v>
      </c>
      <c r="L504">
        <f t="shared" si="22"/>
        <v>4</v>
      </c>
      <c r="M504">
        <f t="shared" si="21"/>
        <v>32.5</v>
      </c>
    </row>
    <row r="505" spans="3:13" x14ac:dyDescent="0.35">
      <c r="D505" s="14" t="s">
        <v>37</v>
      </c>
      <c r="E505" s="14">
        <v>18</v>
      </c>
      <c r="F505" s="14">
        <v>11</v>
      </c>
      <c r="G505" s="14" t="s">
        <v>36</v>
      </c>
      <c r="H505" s="14" t="s">
        <v>191</v>
      </c>
      <c r="L505">
        <f t="shared" si="22"/>
        <v>7</v>
      </c>
      <c r="M505">
        <f t="shared" si="21"/>
        <v>40</v>
      </c>
    </row>
    <row r="506" spans="3:13" x14ac:dyDescent="0.35">
      <c r="D506" s="14" t="s">
        <v>114</v>
      </c>
      <c r="E506" s="14">
        <v>10</v>
      </c>
      <c r="F506" s="14">
        <v>9</v>
      </c>
      <c r="G506" s="14" t="s">
        <v>71</v>
      </c>
      <c r="H506" s="14" t="s">
        <v>281</v>
      </c>
      <c r="L506">
        <f t="shared" si="22"/>
        <v>1</v>
      </c>
      <c r="M506">
        <f t="shared" si="21"/>
        <v>25</v>
      </c>
    </row>
    <row r="507" spans="3:13" x14ac:dyDescent="0.35">
      <c r="C507" t="s">
        <v>350</v>
      </c>
      <c r="D507" s="14" t="s">
        <v>66</v>
      </c>
      <c r="E507" s="14">
        <v>17</v>
      </c>
      <c r="F507" s="14">
        <v>14</v>
      </c>
      <c r="G507" s="14" t="s">
        <v>67</v>
      </c>
      <c r="H507" s="14" t="s">
        <v>296</v>
      </c>
      <c r="L507">
        <f t="shared" si="22"/>
        <v>3</v>
      </c>
      <c r="M507">
        <f t="shared" si="21"/>
        <v>30</v>
      </c>
    </row>
    <row r="508" spans="3:13" x14ac:dyDescent="0.35">
      <c r="C508" t="s">
        <v>449</v>
      </c>
      <c r="D508" s="14" t="s">
        <v>47</v>
      </c>
      <c r="E508" s="14">
        <v>16</v>
      </c>
      <c r="F508" s="14">
        <v>9</v>
      </c>
      <c r="G508" s="14" t="s">
        <v>50</v>
      </c>
      <c r="H508" s="14" t="s">
        <v>187</v>
      </c>
      <c r="L508">
        <f t="shared" si="22"/>
        <v>7</v>
      </c>
      <c r="M508">
        <f t="shared" si="21"/>
        <v>40</v>
      </c>
    </row>
    <row r="509" spans="3:13" x14ac:dyDescent="0.35">
      <c r="D509" s="14" t="s">
        <v>82</v>
      </c>
      <c r="E509" s="14">
        <v>20</v>
      </c>
      <c r="F509" s="14">
        <v>12</v>
      </c>
      <c r="G509" s="14" t="s">
        <v>84</v>
      </c>
      <c r="H509" s="14" t="s">
        <v>179</v>
      </c>
      <c r="L509">
        <f t="shared" si="22"/>
        <v>8</v>
      </c>
      <c r="M509">
        <f t="shared" si="21"/>
        <v>42.5</v>
      </c>
    </row>
    <row r="510" spans="3:13" x14ac:dyDescent="0.35">
      <c r="D510" s="14" t="s">
        <v>78</v>
      </c>
      <c r="E510" s="14">
        <v>21</v>
      </c>
      <c r="F510" s="14">
        <v>20</v>
      </c>
      <c r="G510" s="14" t="s">
        <v>76</v>
      </c>
      <c r="H510" s="14" t="s">
        <v>647</v>
      </c>
      <c r="L510">
        <f t="shared" si="22"/>
        <v>1</v>
      </c>
      <c r="M510">
        <f t="shared" si="21"/>
        <v>25</v>
      </c>
    </row>
    <row r="511" spans="3:13" x14ac:dyDescent="0.35">
      <c r="C511" t="s">
        <v>659</v>
      </c>
      <c r="D511" s="14" t="s">
        <v>26</v>
      </c>
      <c r="E511" s="14">
        <v>10</v>
      </c>
      <c r="F511" s="14">
        <v>7</v>
      </c>
      <c r="G511" s="14" t="s">
        <v>34</v>
      </c>
      <c r="H511" s="14" t="s">
        <v>545</v>
      </c>
      <c r="L511">
        <f t="shared" si="22"/>
        <v>3</v>
      </c>
      <c r="M511">
        <f t="shared" si="21"/>
        <v>30</v>
      </c>
    </row>
    <row r="512" spans="3:13" x14ac:dyDescent="0.35">
      <c r="C512" t="s">
        <v>352</v>
      </c>
      <c r="D512" s="14" t="s">
        <v>38</v>
      </c>
      <c r="E512" s="14">
        <v>17</v>
      </c>
      <c r="F512" s="14">
        <v>12</v>
      </c>
      <c r="G512" s="14" t="s">
        <v>2011</v>
      </c>
      <c r="H512" s="14" t="s">
        <v>369</v>
      </c>
      <c r="L512">
        <f t="shared" si="22"/>
        <v>5</v>
      </c>
      <c r="M512">
        <f t="shared" si="21"/>
        <v>35</v>
      </c>
    </row>
    <row r="513" spans="3:13" x14ac:dyDescent="0.35">
      <c r="D513" s="14" t="s">
        <v>64</v>
      </c>
      <c r="E513" s="14">
        <v>17</v>
      </c>
      <c r="F513" s="14">
        <v>13</v>
      </c>
      <c r="G513" s="14" t="s">
        <v>60</v>
      </c>
      <c r="H513" s="14" t="s">
        <v>443</v>
      </c>
      <c r="L513">
        <f t="shared" si="22"/>
        <v>4</v>
      </c>
      <c r="M513">
        <f t="shared" si="21"/>
        <v>32.5</v>
      </c>
    </row>
    <row r="514" spans="3:13" x14ac:dyDescent="0.35">
      <c r="C514" t="s">
        <v>349</v>
      </c>
      <c r="D514" s="14" t="s">
        <v>69</v>
      </c>
      <c r="E514" s="14">
        <v>19</v>
      </c>
      <c r="F514" s="14">
        <v>17</v>
      </c>
      <c r="G514" s="14" t="s">
        <v>70</v>
      </c>
      <c r="H514" s="14" t="s">
        <v>660</v>
      </c>
      <c r="I514" s="14" t="s">
        <v>661</v>
      </c>
      <c r="L514">
        <f t="shared" si="22"/>
        <v>2</v>
      </c>
      <c r="M514">
        <f t="shared" si="21"/>
        <v>27.5</v>
      </c>
    </row>
    <row r="515" spans="3:13" x14ac:dyDescent="0.35">
      <c r="C515" t="s">
        <v>509</v>
      </c>
      <c r="D515" s="14" t="s">
        <v>31</v>
      </c>
      <c r="E515" s="14">
        <v>19</v>
      </c>
      <c r="F515" s="14">
        <v>16</v>
      </c>
      <c r="G515" s="14" t="s">
        <v>292</v>
      </c>
      <c r="H515" s="14" t="s">
        <v>577</v>
      </c>
      <c r="L515">
        <f t="shared" si="22"/>
        <v>3</v>
      </c>
      <c r="M515">
        <f t="shared" ref="M515:M521" si="23">30*(IF(L515&lt;13,1+((L515-3)/12),1.75+((L515-12)/24)))</f>
        <v>30</v>
      </c>
    </row>
    <row r="516" spans="3:13" x14ac:dyDescent="0.35">
      <c r="C516" t="s">
        <v>662</v>
      </c>
      <c r="D516" s="14" t="s">
        <v>57</v>
      </c>
      <c r="E516" s="14">
        <v>25</v>
      </c>
      <c r="F516" s="14">
        <v>21</v>
      </c>
      <c r="G516" s="14" t="s">
        <v>49</v>
      </c>
      <c r="H516" s="14" t="s">
        <v>625</v>
      </c>
      <c r="I516" s="14" t="s">
        <v>663</v>
      </c>
      <c r="L516">
        <f t="shared" si="22"/>
        <v>4</v>
      </c>
      <c r="M516">
        <f t="shared" si="23"/>
        <v>32.5</v>
      </c>
    </row>
    <row r="517" spans="3:13" x14ac:dyDescent="0.35">
      <c r="C517" t="s">
        <v>664</v>
      </c>
      <c r="D517" s="14" t="s">
        <v>25</v>
      </c>
      <c r="E517" s="14">
        <v>13</v>
      </c>
      <c r="F517" s="14">
        <v>11</v>
      </c>
      <c r="G517" s="14" t="s">
        <v>33</v>
      </c>
      <c r="H517" s="14" t="s">
        <v>191</v>
      </c>
      <c r="L517">
        <f t="shared" si="22"/>
        <v>2</v>
      </c>
      <c r="M517">
        <f t="shared" si="23"/>
        <v>27.5</v>
      </c>
    </row>
    <row r="518" spans="3:13" x14ac:dyDescent="0.35">
      <c r="C518" t="s">
        <v>665</v>
      </c>
      <c r="D518" s="14" t="s">
        <v>35</v>
      </c>
      <c r="E518" s="14">
        <v>24</v>
      </c>
      <c r="F518" s="14">
        <v>21</v>
      </c>
      <c r="G518" s="14" t="s">
        <v>40</v>
      </c>
      <c r="H518" s="14" t="s">
        <v>606</v>
      </c>
      <c r="L518">
        <f t="shared" si="22"/>
        <v>3</v>
      </c>
      <c r="M518">
        <f t="shared" si="23"/>
        <v>30</v>
      </c>
    </row>
    <row r="519" spans="3:13" x14ac:dyDescent="0.35">
      <c r="C519" t="s">
        <v>667</v>
      </c>
      <c r="D519" s="14" t="s">
        <v>41</v>
      </c>
      <c r="E519" s="14">
        <v>10</v>
      </c>
      <c r="F519" s="14">
        <v>8</v>
      </c>
      <c r="G519" s="14" t="s">
        <v>44</v>
      </c>
      <c r="H519" s="14" t="s">
        <v>403</v>
      </c>
      <c r="I519" t="s">
        <v>666</v>
      </c>
      <c r="L519">
        <f t="shared" si="22"/>
        <v>2</v>
      </c>
      <c r="M519">
        <f t="shared" si="23"/>
        <v>27.5</v>
      </c>
    </row>
    <row r="520" spans="3:13" x14ac:dyDescent="0.35">
      <c r="C520" t="s">
        <v>668</v>
      </c>
      <c r="D520" s="14" t="s">
        <v>24</v>
      </c>
      <c r="E520" s="14">
        <v>12</v>
      </c>
      <c r="F520" s="14">
        <v>11</v>
      </c>
      <c r="G520" s="14" t="s">
        <v>1860</v>
      </c>
      <c r="H520" s="14" t="s">
        <v>190</v>
      </c>
      <c r="I520" t="s">
        <v>669</v>
      </c>
      <c r="L520">
        <f t="shared" si="22"/>
        <v>1</v>
      </c>
      <c r="M520">
        <f t="shared" si="23"/>
        <v>25</v>
      </c>
    </row>
    <row r="521" spans="3:13" ht="15" thickBot="1" x14ac:dyDescent="0.4">
      <c r="C521" s="12" t="s">
        <v>670</v>
      </c>
      <c r="D521" s="12" t="s">
        <v>900</v>
      </c>
      <c r="E521" s="12">
        <v>20</v>
      </c>
      <c r="F521" s="12">
        <v>11</v>
      </c>
      <c r="G521" s="12" t="s">
        <v>39</v>
      </c>
      <c r="H521" s="12" t="s">
        <v>334</v>
      </c>
      <c r="I521" s="12" t="s">
        <v>903</v>
      </c>
      <c r="L521">
        <f t="shared" si="22"/>
        <v>9</v>
      </c>
      <c r="M521">
        <f t="shared" si="23"/>
        <v>45</v>
      </c>
    </row>
    <row r="522" spans="3:13" x14ac:dyDescent="0.35">
      <c r="C522" s="14" t="s">
        <v>681</v>
      </c>
      <c r="D522" s="14" t="s">
        <v>86</v>
      </c>
      <c r="E522" s="14">
        <v>21</v>
      </c>
      <c r="F522" s="14">
        <v>16</v>
      </c>
      <c r="G522" s="14" t="s">
        <v>79</v>
      </c>
      <c r="H522" s="14" t="s">
        <v>301</v>
      </c>
      <c r="I522" s="14" t="s">
        <v>683</v>
      </c>
    </row>
    <row r="523" spans="3:13" x14ac:dyDescent="0.35">
      <c r="C523" s="14" t="s">
        <v>682</v>
      </c>
      <c r="D523" s="14" t="s">
        <v>69</v>
      </c>
      <c r="E523" s="14">
        <v>24</v>
      </c>
      <c r="F523" s="14">
        <v>12</v>
      </c>
      <c r="G523" s="14" t="s">
        <v>61</v>
      </c>
      <c r="H523" s="14" t="s">
        <v>290</v>
      </c>
      <c r="I523" s="14" t="s">
        <v>674</v>
      </c>
    </row>
    <row r="524" spans="3:13" x14ac:dyDescent="0.35">
      <c r="C524" s="14" t="s">
        <v>678</v>
      </c>
      <c r="D524" s="14" t="s">
        <v>53</v>
      </c>
      <c r="E524" s="14">
        <v>13</v>
      </c>
      <c r="F524" s="14">
        <v>10</v>
      </c>
      <c r="G524" s="14" t="s">
        <v>57</v>
      </c>
      <c r="H524" s="14" t="s">
        <v>186</v>
      </c>
      <c r="I524" s="14" t="s">
        <v>675</v>
      </c>
    </row>
    <row r="525" spans="3:13" x14ac:dyDescent="0.35">
      <c r="C525" s="14" t="s">
        <v>679</v>
      </c>
      <c r="D525" s="14" t="s">
        <v>119</v>
      </c>
      <c r="E525" s="14">
        <v>9</v>
      </c>
      <c r="F525" s="14">
        <v>8</v>
      </c>
      <c r="G525" s="14" t="s">
        <v>24</v>
      </c>
      <c r="H525" s="14" t="s">
        <v>371</v>
      </c>
      <c r="I525" s="14" t="s">
        <v>676</v>
      </c>
    </row>
    <row r="526" spans="3:13" ht="15" thickBot="1" x14ac:dyDescent="0.4">
      <c r="C526" s="12" t="s">
        <v>680</v>
      </c>
      <c r="D526" s="12" t="s">
        <v>41</v>
      </c>
      <c r="E526" s="12">
        <v>15</v>
      </c>
      <c r="F526" s="12">
        <v>9</v>
      </c>
      <c r="G526" s="12" t="s">
        <v>900</v>
      </c>
      <c r="H526" s="12" t="s">
        <v>190</v>
      </c>
      <c r="I526" s="23" t="s">
        <v>677</v>
      </c>
    </row>
    <row r="527" spans="3:13" x14ac:dyDescent="0.35">
      <c r="C527" s="43" t="s">
        <v>695</v>
      </c>
      <c r="D527" s="14" t="s">
        <v>86</v>
      </c>
      <c r="E527" s="14">
        <v>13</v>
      </c>
      <c r="F527" s="14">
        <v>9</v>
      </c>
      <c r="G527" s="14" t="s">
        <v>53</v>
      </c>
      <c r="H527" s="14" t="s">
        <v>281</v>
      </c>
      <c r="I527" s="14" t="s">
        <v>692</v>
      </c>
    </row>
    <row r="528" spans="3:13" x14ac:dyDescent="0.35">
      <c r="C528" s="1" t="s">
        <v>696</v>
      </c>
      <c r="D528" s="14" t="s">
        <v>69</v>
      </c>
      <c r="E528" s="14">
        <v>20</v>
      </c>
      <c r="F528" s="14">
        <v>16</v>
      </c>
      <c r="G528" s="14" t="s">
        <v>24</v>
      </c>
      <c r="H528" s="14" t="s">
        <v>179</v>
      </c>
      <c r="I528" s="14" t="s">
        <v>693</v>
      </c>
      <c r="K528" t="s">
        <v>672</v>
      </c>
    </row>
    <row r="529" spans="3:18" x14ac:dyDescent="0.35">
      <c r="C529" s="1" t="s">
        <v>700</v>
      </c>
      <c r="D529" s="14" t="s">
        <v>900</v>
      </c>
      <c r="E529" s="14">
        <v>17</v>
      </c>
      <c r="F529" s="14">
        <v>13</v>
      </c>
      <c r="G529" s="14" t="s">
        <v>41</v>
      </c>
      <c r="H529" s="14" t="s">
        <v>334</v>
      </c>
      <c r="I529" s="14" t="s">
        <v>904</v>
      </c>
      <c r="J529">
        <v>1</v>
      </c>
      <c r="K529" s="2" t="s">
        <v>718</v>
      </c>
      <c r="L529" t="s">
        <v>378</v>
      </c>
      <c r="M529" t="s">
        <v>723</v>
      </c>
      <c r="N529" t="s">
        <v>459</v>
      </c>
    </row>
    <row r="530" spans="3:18" x14ac:dyDescent="0.35">
      <c r="C530" s="1" t="s">
        <v>701</v>
      </c>
      <c r="D530" s="14" t="s">
        <v>119</v>
      </c>
      <c r="E530" s="14">
        <v>21</v>
      </c>
      <c r="F530" s="14">
        <v>10</v>
      </c>
      <c r="G530" s="14" t="s">
        <v>38</v>
      </c>
      <c r="H530" s="14" t="s">
        <v>507</v>
      </c>
      <c r="I530" s="14" t="s">
        <v>694</v>
      </c>
      <c r="J530">
        <v>4</v>
      </c>
      <c r="K530" t="s">
        <v>53</v>
      </c>
      <c r="L530" t="s">
        <v>712</v>
      </c>
      <c r="M530" t="s">
        <v>714</v>
      </c>
      <c r="O530" t="s">
        <v>726</v>
      </c>
      <c r="Q530" t="s">
        <v>143</v>
      </c>
      <c r="R530">
        <v>400</v>
      </c>
    </row>
    <row r="531" spans="3:18" x14ac:dyDescent="0.35">
      <c r="C531" s="1" t="s">
        <v>470</v>
      </c>
      <c r="D531" s="14" t="s">
        <v>69</v>
      </c>
      <c r="E531" s="14">
        <v>21</v>
      </c>
      <c r="F531" s="14">
        <v>7</v>
      </c>
      <c r="G531" s="14" t="s">
        <v>86</v>
      </c>
      <c r="H531" s="14" t="s">
        <v>331</v>
      </c>
      <c r="I531" s="14" t="s">
        <v>685</v>
      </c>
      <c r="J531">
        <v>5</v>
      </c>
      <c r="K531" s="1" t="s">
        <v>724</v>
      </c>
      <c r="L531" t="s">
        <v>430</v>
      </c>
      <c r="M531" t="s">
        <v>4</v>
      </c>
      <c r="N531" t="s">
        <v>498</v>
      </c>
      <c r="O531" t="s">
        <v>725</v>
      </c>
      <c r="Q531" t="s">
        <v>144</v>
      </c>
      <c r="R531">
        <v>300</v>
      </c>
    </row>
    <row r="532" spans="3:18" x14ac:dyDescent="0.35">
      <c r="C532" s="1" t="s">
        <v>704</v>
      </c>
      <c r="D532" s="14" t="s">
        <v>53</v>
      </c>
      <c r="E532" s="14">
        <v>26</v>
      </c>
      <c r="F532" s="14">
        <v>14</v>
      </c>
      <c r="G532" s="14" t="s">
        <v>24</v>
      </c>
      <c r="H532" s="14" t="s">
        <v>361</v>
      </c>
      <c r="I532" s="14" t="s">
        <v>702</v>
      </c>
      <c r="J532">
        <v>8</v>
      </c>
      <c r="K532" t="s">
        <v>24</v>
      </c>
      <c r="L532" t="s">
        <v>703</v>
      </c>
      <c r="M532" t="s">
        <v>705</v>
      </c>
      <c r="O532" t="s">
        <v>720</v>
      </c>
      <c r="Q532" t="s">
        <v>173</v>
      </c>
      <c r="R532">
        <v>200</v>
      </c>
    </row>
    <row r="533" spans="3:18" x14ac:dyDescent="0.35">
      <c r="C533" s="1" t="s">
        <v>708</v>
      </c>
      <c r="D533" s="14" t="s">
        <v>119</v>
      </c>
      <c r="E533" s="14">
        <v>19</v>
      </c>
      <c r="F533" s="14">
        <v>16</v>
      </c>
      <c r="G533" s="14" t="s">
        <v>900</v>
      </c>
      <c r="H533" s="14" t="s">
        <v>179</v>
      </c>
      <c r="I533" s="14" t="s">
        <v>686</v>
      </c>
      <c r="O533" t="s">
        <v>905</v>
      </c>
      <c r="Q533" t="s">
        <v>172</v>
      </c>
      <c r="R533">
        <v>175</v>
      </c>
    </row>
    <row r="534" spans="3:18" x14ac:dyDescent="0.35">
      <c r="C534" s="1" t="s">
        <v>420</v>
      </c>
      <c r="D534" s="14" t="s">
        <v>38</v>
      </c>
      <c r="E534" s="14">
        <v>14</v>
      </c>
      <c r="F534" s="14">
        <v>12</v>
      </c>
      <c r="G534" s="14" t="s">
        <v>41</v>
      </c>
      <c r="H534" s="14" t="s">
        <v>286</v>
      </c>
      <c r="I534" s="14" t="s">
        <v>687</v>
      </c>
      <c r="K534" t="s">
        <v>673</v>
      </c>
      <c r="O534" t="s">
        <v>715</v>
      </c>
      <c r="Q534" t="s">
        <v>171</v>
      </c>
      <c r="R534">
        <v>125</v>
      </c>
    </row>
    <row r="535" spans="3:18" x14ac:dyDescent="0.35">
      <c r="C535" s="1" t="s">
        <v>695</v>
      </c>
      <c r="D535" s="14" t="s">
        <v>86</v>
      </c>
      <c r="E535" s="14">
        <v>16</v>
      </c>
      <c r="F535" s="14">
        <v>7</v>
      </c>
      <c r="G535" s="14" t="s">
        <v>53</v>
      </c>
      <c r="H535" s="14" t="s">
        <v>447</v>
      </c>
      <c r="I535" s="14" t="s">
        <v>688</v>
      </c>
      <c r="J535">
        <v>2</v>
      </c>
      <c r="K535" s="2" t="s">
        <v>119</v>
      </c>
      <c r="L535" t="s">
        <v>378</v>
      </c>
      <c r="M535" t="s">
        <v>719</v>
      </c>
      <c r="N535" t="s">
        <v>430</v>
      </c>
      <c r="O535" t="s">
        <v>711</v>
      </c>
      <c r="Q535" t="s">
        <v>172</v>
      </c>
      <c r="R535">
        <v>100</v>
      </c>
    </row>
    <row r="536" spans="3:18" x14ac:dyDescent="0.35">
      <c r="C536" s="1" t="s">
        <v>716</v>
      </c>
      <c r="D536" s="14" t="s">
        <v>900</v>
      </c>
      <c r="E536" s="14">
        <v>17</v>
      </c>
      <c r="F536" s="14">
        <v>12</v>
      </c>
      <c r="G536" s="14" t="s">
        <v>38</v>
      </c>
      <c r="H536" s="14" t="s">
        <v>577</v>
      </c>
      <c r="I536" s="14" t="s">
        <v>689</v>
      </c>
      <c r="J536">
        <v>3</v>
      </c>
      <c r="K536" t="s">
        <v>41</v>
      </c>
      <c r="L536" t="s">
        <v>703</v>
      </c>
      <c r="M536" t="s">
        <v>707</v>
      </c>
      <c r="O536" t="s">
        <v>710</v>
      </c>
      <c r="Q536" t="s">
        <v>172</v>
      </c>
      <c r="R536">
        <v>75</v>
      </c>
    </row>
    <row r="537" spans="3:18" x14ac:dyDescent="0.35">
      <c r="C537" s="1" t="s">
        <v>452</v>
      </c>
      <c r="D537" s="14" t="s">
        <v>69</v>
      </c>
      <c r="E537" s="14">
        <v>23</v>
      </c>
      <c r="F537" s="14">
        <v>17</v>
      </c>
      <c r="G537" t="s">
        <v>900</v>
      </c>
      <c r="H537" s="14" t="s">
        <v>178</v>
      </c>
      <c r="I537" s="14" t="s">
        <v>698</v>
      </c>
      <c r="J537">
        <v>6</v>
      </c>
      <c r="K537" s="1" t="s">
        <v>900</v>
      </c>
      <c r="L537" t="s">
        <v>430</v>
      </c>
      <c r="M537" t="s">
        <v>717</v>
      </c>
      <c r="N537" t="s">
        <v>460</v>
      </c>
      <c r="O537" t="s">
        <v>709</v>
      </c>
      <c r="Q537" t="s">
        <v>173</v>
      </c>
      <c r="R537">
        <v>50</v>
      </c>
    </row>
    <row r="538" spans="3:18" x14ac:dyDescent="0.35">
      <c r="C538" s="1" t="s">
        <v>713</v>
      </c>
      <c r="D538" t="s">
        <v>86</v>
      </c>
      <c r="E538" s="14">
        <v>14</v>
      </c>
      <c r="F538" s="14">
        <v>11</v>
      </c>
      <c r="G538" t="s">
        <v>119</v>
      </c>
      <c r="H538" s="14" t="s">
        <v>191</v>
      </c>
      <c r="I538" s="14" t="s">
        <v>699</v>
      </c>
      <c r="J538">
        <v>7</v>
      </c>
      <c r="K538" t="s">
        <v>38</v>
      </c>
      <c r="L538" t="s">
        <v>712</v>
      </c>
      <c r="M538" t="s">
        <v>706</v>
      </c>
    </row>
    <row r="539" spans="3:18" ht="15" thickBot="1" x14ac:dyDescent="0.4">
      <c r="C539" s="44" t="s">
        <v>697</v>
      </c>
      <c r="D539" s="12" t="s">
        <v>86</v>
      </c>
      <c r="E539" s="12">
        <v>21</v>
      </c>
      <c r="F539" s="12">
        <v>20</v>
      </c>
      <c r="G539" s="12" t="s">
        <v>69</v>
      </c>
      <c r="H539" s="12" t="s">
        <v>722</v>
      </c>
      <c r="I539" s="23" t="s">
        <v>721</v>
      </c>
    </row>
    <row r="540" spans="3:18" x14ac:dyDescent="0.35">
      <c r="O540" t="s">
        <v>737</v>
      </c>
    </row>
    <row r="541" spans="3:18" x14ac:dyDescent="0.35">
      <c r="G541" s="45"/>
      <c r="O541">
        <v>20</v>
      </c>
    </row>
    <row r="542" spans="3:18" x14ac:dyDescent="0.35">
      <c r="G542" s="45"/>
      <c r="O542">
        <v>15</v>
      </c>
    </row>
    <row r="543" spans="3:18" x14ac:dyDescent="0.35">
      <c r="G543" s="45"/>
      <c r="O543">
        <v>10</v>
      </c>
    </row>
    <row r="544" spans="3:18" x14ac:dyDescent="0.35">
      <c r="G544" s="45"/>
      <c r="O544">
        <v>10</v>
      </c>
    </row>
    <row r="545" spans="7:15" x14ac:dyDescent="0.35">
      <c r="G545" s="45"/>
      <c r="O545">
        <v>5</v>
      </c>
    </row>
    <row r="546" spans="7:15" x14ac:dyDescent="0.35">
      <c r="G546" s="45"/>
      <c r="O546">
        <v>5</v>
      </c>
    </row>
    <row r="547" spans="7:15" x14ac:dyDescent="0.35">
      <c r="O547">
        <v>5</v>
      </c>
    </row>
    <row r="548" spans="7:15" x14ac:dyDescent="0.35">
      <c r="O548">
        <v>5</v>
      </c>
    </row>
  </sheetData>
  <conditionalFormatting sqref="J1 O1">
    <cfRule type="cellIs" dxfId="0" priority="1" operator="lessThan">
      <formula>26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D81"/>
  <sheetViews>
    <sheetView topLeftCell="B1" workbookViewId="0">
      <selection activeCell="V4" sqref="V4"/>
    </sheetView>
  </sheetViews>
  <sheetFormatPr defaultRowHeight="14.5" x14ac:dyDescent="0.35"/>
  <cols>
    <col min="1" max="1" width="3.36328125" hidden="1" customWidth="1"/>
    <col min="2" max="2" width="10" style="1" customWidth="1"/>
    <col min="3" max="3" width="8.90625" style="1"/>
    <col min="4" max="4" width="16.90625" style="1" bestFit="1" customWidth="1"/>
    <col min="5" max="5" width="3" style="9" customWidth="1"/>
    <col min="6" max="6" width="6.6328125" customWidth="1"/>
    <col min="7" max="7" width="6.6328125" bestFit="1" customWidth="1"/>
    <col min="8" max="8" width="2.6328125" customWidth="1"/>
    <col min="9" max="10" width="5.6328125" customWidth="1"/>
    <col min="11" max="11" width="2.6328125" customWidth="1"/>
    <col min="12" max="12" width="7" bestFit="1" customWidth="1"/>
    <col min="13" max="13" width="6.54296875" customWidth="1"/>
    <col min="14" max="14" width="7" customWidth="1"/>
    <col min="15" max="15" width="5.453125" customWidth="1"/>
    <col min="16" max="16" width="7" customWidth="1"/>
    <col min="17" max="17" width="4.453125" style="39" customWidth="1"/>
    <col min="18" max="18" width="4.90625" customWidth="1"/>
    <col min="19" max="19" width="1.90625" customWidth="1"/>
    <col min="20" max="20" width="4.6328125" style="13" customWidth="1"/>
    <col min="21" max="21" width="4.453125" style="6" customWidth="1"/>
    <col min="22" max="22" width="8.90625" style="1"/>
    <col min="23" max="24" width="8.453125" customWidth="1"/>
  </cols>
  <sheetData>
    <row r="1" spans="1:30" x14ac:dyDescent="0.35">
      <c r="F1" t="s">
        <v>168</v>
      </c>
      <c r="G1" t="s">
        <v>169</v>
      </c>
      <c r="I1" t="s">
        <v>406</v>
      </c>
      <c r="J1" t="s">
        <v>407</v>
      </c>
      <c r="L1" t="s">
        <v>170</v>
      </c>
      <c r="M1" t="s">
        <v>411</v>
      </c>
      <c r="N1" t="s">
        <v>408</v>
      </c>
      <c r="O1" t="s">
        <v>177</v>
      </c>
      <c r="P1" t="s">
        <v>409</v>
      </c>
      <c r="Q1" s="39" t="s">
        <v>594</v>
      </c>
      <c r="R1" t="s">
        <v>410</v>
      </c>
      <c r="V1" s="1" t="s">
        <v>180</v>
      </c>
      <c r="W1" t="s">
        <v>589</v>
      </c>
      <c r="X1" t="s">
        <v>590</v>
      </c>
      <c r="Y1" t="s">
        <v>570</v>
      </c>
      <c r="Z1" t="s">
        <v>571</v>
      </c>
      <c r="AA1" t="s">
        <v>572</v>
      </c>
      <c r="AB1" t="s">
        <v>591</v>
      </c>
      <c r="AC1" t="s">
        <v>592</v>
      </c>
      <c r="AD1" t="s">
        <v>593</v>
      </c>
    </row>
    <row r="2" spans="1:30" x14ac:dyDescent="0.35">
      <c r="A2" t="s">
        <v>223</v>
      </c>
      <c r="B2" s="16" t="s">
        <v>144</v>
      </c>
      <c r="C2" s="16" t="s">
        <v>160</v>
      </c>
      <c r="D2" s="16" t="s">
        <v>69</v>
      </c>
      <c r="E2" s="9">
        <v>1</v>
      </c>
      <c r="F2">
        <v>16</v>
      </c>
      <c r="G2">
        <v>2</v>
      </c>
      <c r="H2" t="s">
        <v>5</v>
      </c>
      <c r="I2">
        <v>8</v>
      </c>
      <c r="J2">
        <v>1</v>
      </c>
      <c r="L2">
        <f>285+84</f>
        <v>369</v>
      </c>
      <c r="M2">
        <f>163+61</f>
        <v>224</v>
      </c>
      <c r="N2" s="9">
        <f t="shared" ref="N2:N33" si="0">L2-M2</f>
        <v>145</v>
      </c>
      <c r="O2">
        <v>160</v>
      </c>
      <c r="P2" s="9">
        <f t="shared" ref="P2:P33" si="1">L2/O2</f>
        <v>2.3062499999999999</v>
      </c>
      <c r="Q2" s="39">
        <v>240</v>
      </c>
      <c r="R2" s="9">
        <v>306</v>
      </c>
      <c r="T2" s="13" t="s">
        <v>302</v>
      </c>
      <c r="U2" s="6">
        <f t="shared" ref="U2:U33" si="2">_xlfn.RANK.EQ(V2,V:V, 0)</f>
        <v>1</v>
      </c>
      <c r="V2" s="36">
        <f t="shared" ref="V2:V33" si="3">((W2*1.25)+(X2*0.75)+((Y2+Z2+AA2+AB2)*0.5)+(AC2*0.75)+(AD2*0.25))/5</f>
        <v>0.84186057155732996</v>
      </c>
      <c r="W2" s="34">
        <f t="shared" ref="W2:W33" si="4">(F2/(F2+G2))</f>
        <v>0.88888888888888884</v>
      </c>
      <c r="X2" s="34">
        <f t="shared" ref="X2:X33" si="5">(I2/(I2+J2))</f>
        <v>0.88888888888888884</v>
      </c>
      <c r="Y2" s="34">
        <f t="shared" ref="Y2:Y33" si="6">(L2/LARGE(L:L,1))</f>
        <v>1</v>
      </c>
      <c r="Z2" s="34">
        <f t="shared" ref="Z2:Z33" si="7">1-(M2-SMALL(M:M,1))/(LARGE(M:M,1)-SMALL(M:M,1))</f>
        <v>0.31578947368421051</v>
      </c>
      <c r="AA2" s="34">
        <f t="shared" ref="AA2:AA33" si="8">(N2-SMALL(N:N,1))/(LARGE(N:N,1)-SMALL(N:N,1))</f>
        <v>1</v>
      </c>
      <c r="AB2" s="34">
        <f t="shared" ref="AB2:AB33" si="9">(P2-SMALL(P:P,1))/(LARGE(P:P,1)-SMALL(P:P,1))</f>
        <v>1</v>
      </c>
      <c r="AC2" s="34">
        <f t="shared" ref="AC2:AC33" si="10">(R2-SMALL(R:R,1))/(LARGE(R:R,1)-SMALL(R:R,1))</f>
        <v>0.72847682119205293</v>
      </c>
      <c r="AD2" s="34">
        <f t="shared" ref="AD2:AD33" si="11">(Q2/LARGE(Q:Q,1))</f>
        <v>0.90909090909090906</v>
      </c>
    </row>
    <row r="3" spans="1:30" x14ac:dyDescent="0.35">
      <c r="A3" t="s">
        <v>280</v>
      </c>
      <c r="B3" s="21" t="s">
        <v>173</v>
      </c>
      <c r="C3" s="21" t="s">
        <v>167</v>
      </c>
      <c r="D3" s="21" t="s">
        <v>119</v>
      </c>
      <c r="E3" s="9">
        <v>2</v>
      </c>
      <c r="F3">
        <v>13</v>
      </c>
      <c r="G3">
        <v>4</v>
      </c>
      <c r="H3" t="s">
        <v>5</v>
      </c>
      <c r="I3">
        <v>8</v>
      </c>
      <c r="J3">
        <v>1</v>
      </c>
      <c r="L3">
        <v>290</v>
      </c>
      <c r="M3">
        <v>213</v>
      </c>
      <c r="N3" s="9">
        <f t="shared" si="0"/>
        <v>77</v>
      </c>
      <c r="O3">
        <v>146</v>
      </c>
      <c r="P3" s="9">
        <f t="shared" si="1"/>
        <v>1.9863013698630136</v>
      </c>
      <c r="Q3" s="39">
        <f>44*6</f>
        <v>264</v>
      </c>
      <c r="R3" s="9">
        <v>254</v>
      </c>
      <c r="T3" s="13" t="s">
        <v>303</v>
      </c>
      <c r="U3" s="6">
        <f t="shared" si="2"/>
        <v>2</v>
      </c>
      <c r="V3" s="36">
        <f t="shared" si="3"/>
        <v>0.72002954619218396</v>
      </c>
      <c r="W3" s="34">
        <f t="shared" si="4"/>
        <v>0.76470588235294112</v>
      </c>
      <c r="X3" s="34">
        <f t="shared" si="5"/>
        <v>0.88888888888888884</v>
      </c>
      <c r="Y3" s="34">
        <f t="shared" si="6"/>
        <v>0.78590785907859073</v>
      </c>
      <c r="Z3" s="34">
        <f t="shared" si="7"/>
        <v>0.41228070175438591</v>
      </c>
      <c r="AA3" s="34">
        <f t="shared" si="8"/>
        <v>0.71784232365145229</v>
      </c>
      <c r="AB3" s="34">
        <f t="shared" si="9"/>
        <v>0.61863673689722165</v>
      </c>
      <c r="AC3" s="34">
        <f t="shared" si="10"/>
        <v>0.61368653421633557</v>
      </c>
      <c r="AD3" s="34">
        <f t="shared" si="11"/>
        <v>1</v>
      </c>
    </row>
    <row r="4" spans="1:30" x14ac:dyDescent="0.35">
      <c r="A4" t="s">
        <v>254</v>
      </c>
      <c r="B4" s="19" t="s">
        <v>172</v>
      </c>
      <c r="C4" s="19" t="s">
        <v>165</v>
      </c>
      <c r="D4" s="19" t="s">
        <v>900</v>
      </c>
      <c r="E4" s="9">
        <v>6</v>
      </c>
      <c r="F4" s="9">
        <v>13</v>
      </c>
      <c r="G4" s="9">
        <v>5</v>
      </c>
      <c r="H4" s="9" t="s">
        <v>6</v>
      </c>
      <c r="I4" s="9">
        <v>8</v>
      </c>
      <c r="J4" s="9">
        <v>1</v>
      </c>
      <c r="K4" s="9"/>
      <c r="L4" s="9">
        <f>258+67</f>
        <v>325</v>
      </c>
      <c r="M4">
        <f>166+67</f>
        <v>233</v>
      </c>
      <c r="N4" s="9">
        <f t="shared" si="0"/>
        <v>92</v>
      </c>
      <c r="O4">
        <v>171</v>
      </c>
      <c r="P4" s="9">
        <f t="shared" si="1"/>
        <v>1.9005847953216375</v>
      </c>
      <c r="Q4" s="39">
        <f>36*4</f>
        <v>144</v>
      </c>
      <c r="R4" s="9">
        <f>116+175</f>
        <v>291</v>
      </c>
      <c r="T4" s="13" t="s">
        <v>304</v>
      </c>
      <c r="U4" s="6">
        <f t="shared" si="2"/>
        <v>3</v>
      </c>
      <c r="V4" s="36">
        <f t="shared" si="3"/>
        <v>0.68688131533193753</v>
      </c>
      <c r="W4" s="34">
        <f t="shared" si="4"/>
        <v>0.72222222222222221</v>
      </c>
      <c r="X4" s="34">
        <f t="shared" si="5"/>
        <v>0.88888888888888884</v>
      </c>
      <c r="Y4" s="34">
        <f t="shared" si="6"/>
        <v>0.8807588075880759</v>
      </c>
      <c r="Z4" s="34">
        <f t="shared" si="7"/>
        <v>0.23684210526315785</v>
      </c>
      <c r="AA4" s="34">
        <f t="shared" si="8"/>
        <v>0.78008298755186722</v>
      </c>
      <c r="AB4" s="34">
        <f t="shared" si="9"/>
        <v>0.5164667336842188</v>
      </c>
      <c r="AC4" s="34">
        <f t="shared" si="10"/>
        <v>0.69536423841059603</v>
      </c>
      <c r="AD4" s="34">
        <f t="shared" si="11"/>
        <v>0.54545454545454541</v>
      </c>
    </row>
    <row r="5" spans="1:30" x14ac:dyDescent="0.35">
      <c r="A5" t="s">
        <v>215</v>
      </c>
      <c r="B5" s="15" t="s">
        <v>143</v>
      </c>
      <c r="C5" s="15" t="s">
        <v>159</v>
      </c>
      <c r="D5" s="15" t="s">
        <v>86</v>
      </c>
      <c r="E5" s="9">
        <v>5</v>
      </c>
      <c r="F5" s="9">
        <v>13</v>
      </c>
      <c r="G5" s="9">
        <v>6</v>
      </c>
      <c r="H5" s="9" t="s">
        <v>5</v>
      </c>
      <c r="I5" s="9">
        <v>7</v>
      </c>
      <c r="J5" s="9">
        <v>2</v>
      </c>
      <c r="L5" s="9">
        <v>291</v>
      </c>
      <c r="M5" s="9">
        <f>192+68</f>
        <v>260</v>
      </c>
      <c r="N5" s="9">
        <f t="shared" si="0"/>
        <v>31</v>
      </c>
      <c r="O5" s="9">
        <f>124+47</f>
        <v>171</v>
      </c>
      <c r="P5" s="9">
        <f t="shared" si="1"/>
        <v>1.7017543859649122</v>
      </c>
      <c r="Q5" s="39">
        <v>240</v>
      </c>
      <c r="R5" s="9">
        <v>429</v>
      </c>
      <c r="T5" s="13" t="s">
        <v>305</v>
      </c>
      <c r="U5" s="6">
        <f t="shared" si="2"/>
        <v>4</v>
      </c>
      <c r="V5" s="36">
        <f t="shared" si="3"/>
        <v>0.64267977981610791</v>
      </c>
      <c r="W5" s="34">
        <f t="shared" si="4"/>
        <v>0.68421052631578949</v>
      </c>
      <c r="X5" s="34">
        <f t="shared" si="5"/>
        <v>0.77777777777777779</v>
      </c>
      <c r="Y5" s="34">
        <f t="shared" si="6"/>
        <v>0.78861788617886175</v>
      </c>
      <c r="Z5" s="34">
        <f t="shared" si="7"/>
        <v>0</v>
      </c>
      <c r="AA5" s="34">
        <f t="shared" si="8"/>
        <v>0.52697095435684649</v>
      </c>
      <c r="AB5" s="34">
        <f t="shared" si="9"/>
        <v>0.2794705206237762</v>
      </c>
      <c r="AC5" s="34">
        <f t="shared" si="10"/>
        <v>1</v>
      </c>
      <c r="AD5" s="34">
        <f t="shared" si="11"/>
        <v>0.90909090909090906</v>
      </c>
    </row>
    <row r="6" spans="1:30" x14ac:dyDescent="0.35">
      <c r="A6" t="s">
        <v>241</v>
      </c>
      <c r="B6" s="17" t="s">
        <v>171</v>
      </c>
      <c r="C6" s="17" t="s">
        <v>162</v>
      </c>
      <c r="D6" s="17" t="s">
        <v>53</v>
      </c>
      <c r="E6" s="9">
        <v>4</v>
      </c>
      <c r="F6">
        <v>13</v>
      </c>
      <c r="G6">
        <v>4</v>
      </c>
      <c r="H6" t="s">
        <v>5</v>
      </c>
      <c r="I6">
        <v>8</v>
      </c>
      <c r="J6">
        <v>1</v>
      </c>
      <c r="L6">
        <v>272</v>
      </c>
      <c r="M6">
        <v>209</v>
      </c>
      <c r="N6" s="9">
        <f t="shared" si="0"/>
        <v>63</v>
      </c>
      <c r="O6">
        <v>134</v>
      </c>
      <c r="P6" s="9">
        <f t="shared" si="1"/>
        <v>2.0298507462686568</v>
      </c>
      <c r="Q6" s="39">
        <v>60</v>
      </c>
      <c r="R6" s="9">
        <v>137</v>
      </c>
      <c r="T6" s="13" t="s">
        <v>306</v>
      </c>
      <c r="U6" s="6">
        <f t="shared" si="2"/>
        <v>5</v>
      </c>
      <c r="V6" s="36">
        <f t="shared" si="3"/>
        <v>0.64066392985681486</v>
      </c>
      <c r="W6" s="34">
        <f t="shared" si="4"/>
        <v>0.76470588235294112</v>
      </c>
      <c r="X6" s="34">
        <f t="shared" si="5"/>
        <v>0.88888888888888884</v>
      </c>
      <c r="Y6" s="34">
        <f t="shared" si="6"/>
        <v>0.73712737127371275</v>
      </c>
      <c r="Z6" s="34">
        <f t="shared" si="7"/>
        <v>0.44736842105263153</v>
      </c>
      <c r="AA6" s="34">
        <f t="shared" si="8"/>
        <v>0.65975103734439833</v>
      </c>
      <c r="AB6" s="34">
        <f t="shared" si="9"/>
        <v>0.67054548326390062</v>
      </c>
      <c r="AC6" s="34">
        <f t="shared" si="10"/>
        <v>0.35540838852097129</v>
      </c>
      <c r="AD6" s="34">
        <f t="shared" si="11"/>
        <v>0.22727272727272727</v>
      </c>
    </row>
    <row r="7" spans="1:30" x14ac:dyDescent="0.35">
      <c r="A7" t="s">
        <v>251</v>
      </c>
      <c r="B7" s="19" t="s">
        <v>172</v>
      </c>
      <c r="C7" s="19" t="s">
        <v>165</v>
      </c>
      <c r="D7" s="19" t="s">
        <v>38</v>
      </c>
      <c r="E7" s="9">
        <v>7</v>
      </c>
      <c r="F7" s="9">
        <v>13</v>
      </c>
      <c r="G7" s="9">
        <v>3</v>
      </c>
      <c r="H7" s="9"/>
      <c r="I7" s="9">
        <v>8</v>
      </c>
      <c r="J7" s="9">
        <v>1</v>
      </c>
      <c r="K7" s="9"/>
      <c r="L7" s="9">
        <f>185+36</f>
        <v>221</v>
      </c>
      <c r="M7">
        <v>192</v>
      </c>
      <c r="N7" s="9">
        <f t="shared" si="0"/>
        <v>29</v>
      </c>
      <c r="O7">
        <v>118</v>
      </c>
      <c r="P7" s="9">
        <f t="shared" si="1"/>
        <v>1.8728813559322033</v>
      </c>
      <c r="Q7" s="39">
        <f>24*4</f>
        <v>96</v>
      </c>
      <c r="R7" s="9">
        <v>142</v>
      </c>
      <c r="T7" s="13" t="s">
        <v>307</v>
      </c>
      <c r="U7" s="6">
        <f t="shared" si="2"/>
        <v>6</v>
      </c>
      <c r="V7" s="36">
        <f t="shared" si="3"/>
        <v>0.62935953821048241</v>
      </c>
      <c r="W7" s="34">
        <f t="shared" si="4"/>
        <v>0.8125</v>
      </c>
      <c r="X7" s="34">
        <f t="shared" si="5"/>
        <v>0.88888888888888884</v>
      </c>
      <c r="Y7" s="34">
        <f t="shared" si="6"/>
        <v>0.59891598915989164</v>
      </c>
      <c r="Z7" s="34">
        <f t="shared" si="7"/>
        <v>0.59649122807017552</v>
      </c>
      <c r="AA7" s="34">
        <f t="shared" si="8"/>
        <v>0.51867219917012453</v>
      </c>
      <c r="AB7" s="34">
        <f t="shared" si="9"/>
        <v>0.48344557638093161</v>
      </c>
      <c r="AC7" s="34">
        <f t="shared" si="10"/>
        <v>0.36644591611479027</v>
      </c>
      <c r="AD7" s="34">
        <f t="shared" si="11"/>
        <v>0.36363636363636365</v>
      </c>
    </row>
    <row r="8" spans="1:30" x14ac:dyDescent="0.35">
      <c r="A8" t="s">
        <v>253</v>
      </c>
      <c r="B8" s="19" t="s">
        <v>172</v>
      </c>
      <c r="C8" s="19" t="s">
        <v>165</v>
      </c>
      <c r="D8" s="19" t="s">
        <v>39</v>
      </c>
      <c r="F8" s="9">
        <v>10</v>
      </c>
      <c r="G8" s="9">
        <v>3</v>
      </c>
      <c r="H8" s="9"/>
      <c r="I8" s="9">
        <v>7</v>
      </c>
      <c r="J8" s="9">
        <v>2</v>
      </c>
      <c r="K8" s="9"/>
      <c r="L8" s="9">
        <v>208</v>
      </c>
      <c r="M8">
        <v>173</v>
      </c>
      <c r="N8" s="9">
        <f t="shared" si="0"/>
        <v>35</v>
      </c>
      <c r="O8">
        <v>92</v>
      </c>
      <c r="P8" s="9">
        <f t="shared" si="1"/>
        <v>2.2608695652173911</v>
      </c>
      <c r="Q8" s="39">
        <v>24</v>
      </c>
      <c r="R8" s="9">
        <v>77</v>
      </c>
      <c r="T8" s="13" t="s">
        <v>308</v>
      </c>
      <c r="U8" s="6">
        <f t="shared" si="2"/>
        <v>7</v>
      </c>
      <c r="V8" s="36">
        <f t="shared" si="3"/>
        <v>0.62859559383914687</v>
      </c>
      <c r="W8" s="34">
        <f t="shared" si="4"/>
        <v>0.76923076923076927</v>
      </c>
      <c r="X8" s="34">
        <f t="shared" si="5"/>
        <v>0.77777777777777779</v>
      </c>
      <c r="Y8" s="34">
        <f t="shared" si="6"/>
        <v>0.56368563685636852</v>
      </c>
      <c r="Z8" s="34">
        <f t="shared" si="7"/>
        <v>0.76315789473684215</v>
      </c>
      <c r="AA8" s="34">
        <f t="shared" si="8"/>
        <v>0.54356846473029041</v>
      </c>
      <c r="AB8" s="34">
        <f t="shared" si="9"/>
        <v>0.94590872077711741</v>
      </c>
      <c r="AC8" s="34">
        <f t="shared" si="10"/>
        <v>0.22295805739514349</v>
      </c>
      <c r="AD8" s="34">
        <f t="shared" si="11"/>
        <v>9.0909090909090912E-2</v>
      </c>
    </row>
    <row r="9" spans="1:30" x14ac:dyDescent="0.35">
      <c r="A9" t="s">
        <v>259</v>
      </c>
      <c r="B9" s="19" t="s">
        <v>172</v>
      </c>
      <c r="C9" s="19" t="s">
        <v>164</v>
      </c>
      <c r="D9" s="19" t="s">
        <v>41</v>
      </c>
      <c r="E9" s="9">
        <v>3</v>
      </c>
      <c r="F9">
        <v>11</v>
      </c>
      <c r="G9">
        <v>5</v>
      </c>
      <c r="H9" s="9" t="s">
        <v>5</v>
      </c>
      <c r="I9">
        <v>8</v>
      </c>
      <c r="J9">
        <v>1</v>
      </c>
      <c r="L9">
        <v>268</v>
      </c>
      <c r="M9">
        <v>221</v>
      </c>
      <c r="N9" s="9">
        <f t="shared" si="0"/>
        <v>47</v>
      </c>
      <c r="O9">
        <v>131</v>
      </c>
      <c r="P9" s="9">
        <f t="shared" si="1"/>
        <v>2.0458015267175571</v>
      </c>
      <c r="Q9" s="39">
        <f>48*4</f>
        <v>192</v>
      </c>
      <c r="R9" s="9">
        <f>51+75</f>
        <v>126</v>
      </c>
      <c r="T9" s="13" t="s">
        <v>375</v>
      </c>
      <c r="U9" s="6">
        <f t="shared" si="2"/>
        <v>8</v>
      </c>
      <c r="V9" s="36">
        <f t="shared" si="3"/>
        <v>0.62637200011912708</v>
      </c>
      <c r="W9" s="34">
        <f t="shared" si="4"/>
        <v>0.6875</v>
      </c>
      <c r="X9" s="34">
        <f t="shared" si="5"/>
        <v>0.88888888888888884</v>
      </c>
      <c r="Y9" s="34">
        <f t="shared" si="6"/>
        <v>0.72628726287262868</v>
      </c>
      <c r="Z9" s="34">
        <f t="shared" si="7"/>
        <v>0.34210526315789469</v>
      </c>
      <c r="AA9" s="34">
        <f t="shared" si="8"/>
        <v>0.59336099585062241</v>
      </c>
      <c r="AB9" s="34">
        <f t="shared" si="9"/>
        <v>0.68955804061857395</v>
      </c>
      <c r="AC9" s="34">
        <f t="shared" si="10"/>
        <v>0.33112582781456956</v>
      </c>
      <c r="AD9" s="34">
        <f t="shared" si="11"/>
        <v>0.72727272727272729</v>
      </c>
    </row>
    <row r="10" spans="1:30" x14ac:dyDescent="0.35">
      <c r="A10" t="s">
        <v>268</v>
      </c>
      <c r="B10" s="21" t="s">
        <v>173</v>
      </c>
      <c r="C10" s="21" t="s">
        <v>166</v>
      </c>
      <c r="D10" s="21" t="s">
        <v>24</v>
      </c>
      <c r="E10" s="9">
        <v>8</v>
      </c>
      <c r="F10">
        <v>10</v>
      </c>
      <c r="G10">
        <v>6</v>
      </c>
      <c r="H10" t="s">
        <v>6</v>
      </c>
      <c r="I10" s="9">
        <v>8</v>
      </c>
      <c r="J10" s="9">
        <v>1</v>
      </c>
      <c r="L10">
        <v>259</v>
      </c>
      <c r="M10">
        <f>167+46</f>
        <v>213</v>
      </c>
      <c r="N10" s="9">
        <f t="shared" si="0"/>
        <v>46</v>
      </c>
      <c r="O10">
        <v>121</v>
      </c>
      <c r="P10" s="9">
        <f t="shared" si="1"/>
        <v>2.1404958677685952</v>
      </c>
      <c r="Q10" s="39">
        <f>33*6</f>
        <v>198</v>
      </c>
      <c r="R10" s="9">
        <v>112</v>
      </c>
      <c r="T10" s="13" t="s">
        <v>309</v>
      </c>
      <c r="U10" s="6">
        <f t="shared" si="2"/>
        <v>9</v>
      </c>
      <c r="V10" s="36">
        <f t="shared" si="3"/>
        <v>0.62269829046108782</v>
      </c>
      <c r="W10" s="34">
        <f t="shared" si="4"/>
        <v>0.625</v>
      </c>
      <c r="X10" s="34">
        <f t="shared" si="5"/>
        <v>0.88888888888888884</v>
      </c>
      <c r="Y10" s="34">
        <f t="shared" si="6"/>
        <v>0.70189701897018975</v>
      </c>
      <c r="Z10" s="34">
        <f t="shared" si="7"/>
        <v>0.41228070175438591</v>
      </c>
      <c r="AA10" s="34">
        <f t="shared" si="8"/>
        <v>0.58921161825726143</v>
      </c>
      <c r="AB10" s="34">
        <f t="shared" si="9"/>
        <v>0.80242910646789334</v>
      </c>
      <c r="AC10" s="34">
        <f t="shared" si="10"/>
        <v>0.30022075055187636</v>
      </c>
      <c r="AD10" s="34">
        <f t="shared" si="11"/>
        <v>0.75</v>
      </c>
    </row>
    <row r="11" spans="1:30" x14ac:dyDescent="0.35">
      <c r="A11" t="s">
        <v>258</v>
      </c>
      <c r="B11" s="19" t="s">
        <v>172</v>
      </c>
      <c r="C11" s="19" t="s">
        <v>164</v>
      </c>
      <c r="D11" s="19" t="s">
        <v>46</v>
      </c>
      <c r="F11">
        <v>9</v>
      </c>
      <c r="G11">
        <v>4</v>
      </c>
      <c r="I11">
        <v>6</v>
      </c>
      <c r="J11">
        <v>3</v>
      </c>
      <c r="L11">
        <v>237</v>
      </c>
      <c r="M11">
        <v>169</v>
      </c>
      <c r="N11" s="9">
        <f t="shared" si="0"/>
        <v>68</v>
      </c>
      <c r="O11">
        <v>113</v>
      </c>
      <c r="P11" s="9">
        <f t="shared" si="1"/>
        <v>2.0973451327433628</v>
      </c>
      <c r="Q11" s="39">
        <v>24</v>
      </c>
      <c r="R11" s="9">
        <v>100</v>
      </c>
      <c r="T11" s="13" t="s">
        <v>310</v>
      </c>
      <c r="U11" s="6">
        <f t="shared" si="2"/>
        <v>10</v>
      </c>
      <c r="V11" s="36">
        <f t="shared" si="3"/>
        <v>0.60588352861337236</v>
      </c>
      <c r="W11" s="34">
        <f t="shared" si="4"/>
        <v>0.69230769230769229</v>
      </c>
      <c r="X11" s="34">
        <f t="shared" si="5"/>
        <v>0.66666666666666663</v>
      </c>
      <c r="Y11" s="34">
        <f t="shared" si="6"/>
        <v>0.64227642276422769</v>
      </c>
      <c r="Z11" s="34">
        <f t="shared" si="7"/>
        <v>0.79824561403508776</v>
      </c>
      <c r="AA11" s="34">
        <f t="shared" si="8"/>
        <v>0.68049792531120334</v>
      </c>
      <c r="AB11" s="34">
        <f t="shared" si="9"/>
        <v>0.75099552130936231</v>
      </c>
      <c r="AC11" s="34">
        <f t="shared" si="10"/>
        <v>0.27373068432671083</v>
      </c>
      <c r="AD11" s="34">
        <f t="shared" si="11"/>
        <v>9.0909090909090912E-2</v>
      </c>
    </row>
    <row r="12" spans="1:30" x14ac:dyDescent="0.35">
      <c r="A12" t="s">
        <v>238</v>
      </c>
      <c r="B12" s="17" t="s">
        <v>171</v>
      </c>
      <c r="C12" s="17" t="s">
        <v>163</v>
      </c>
      <c r="D12" s="17" t="s">
        <v>57</v>
      </c>
      <c r="F12">
        <v>11</v>
      </c>
      <c r="G12">
        <v>3</v>
      </c>
      <c r="H12" t="s">
        <v>6</v>
      </c>
      <c r="I12">
        <v>8</v>
      </c>
      <c r="J12">
        <v>1</v>
      </c>
      <c r="L12">
        <v>243</v>
      </c>
      <c r="M12">
        <v>194</v>
      </c>
      <c r="N12" s="9">
        <f t="shared" si="0"/>
        <v>49</v>
      </c>
      <c r="O12">
        <v>126</v>
      </c>
      <c r="P12" s="9">
        <f t="shared" si="1"/>
        <v>1.9285714285714286</v>
      </c>
      <c r="Q12" s="39">
        <v>22.5</v>
      </c>
      <c r="R12" s="9">
        <v>50</v>
      </c>
      <c r="T12" s="13" t="s">
        <v>311</v>
      </c>
      <c r="U12" s="6">
        <f t="shared" si="2"/>
        <v>11</v>
      </c>
      <c r="V12" s="36">
        <f t="shared" si="3"/>
        <v>0.59742349457358046</v>
      </c>
      <c r="W12" s="34">
        <f t="shared" si="4"/>
        <v>0.7857142857142857</v>
      </c>
      <c r="X12" s="34">
        <f t="shared" si="5"/>
        <v>0.88888888888888884</v>
      </c>
      <c r="Y12" s="34">
        <f t="shared" si="6"/>
        <v>0.65853658536585369</v>
      </c>
      <c r="Z12" s="34">
        <f t="shared" si="7"/>
        <v>0.57894736842105265</v>
      </c>
      <c r="AA12" s="34">
        <f t="shared" si="8"/>
        <v>0.60165975103734437</v>
      </c>
      <c r="AB12" s="34">
        <f t="shared" si="9"/>
        <v>0.54982544434608771</v>
      </c>
      <c r="AC12" s="34">
        <f t="shared" si="10"/>
        <v>0.16335540838852097</v>
      </c>
      <c r="AD12" s="34">
        <f t="shared" si="11"/>
        <v>8.5227272727272721E-2</v>
      </c>
    </row>
    <row r="13" spans="1:30" x14ac:dyDescent="0.35">
      <c r="A13" t="s">
        <v>274</v>
      </c>
      <c r="B13" s="21" t="s">
        <v>173</v>
      </c>
      <c r="C13" s="21" t="s">
        <v>167</v>
      </c>
      <c r="D13" s="21" t="s">
        <v>32</v>
      </c>
      <c r="F13">
        <v>10</v>
      </c>
      <c r="G13">
        <v>3</v>
      </c>
      <c r="I13">
        <v>7</v>
      </c>
      <c r="J13">
        <v>2</v>
      </c>
      <c r="L13">
        <v>208</v>
      </c>
      <c r="M13">
        <v>170</v>
      </c>
      <c r="N13" s="9">
        <f t="shared" si="0"/>
        <v>38</v>
      </c>
      <c r="O13">
        <v>106</v>
      </c>
      <c r="P13" s="9">
        <f t="shared" si="1"/>
        <v>1.9622641509433962</v>
      </c>
      <c r="Q13" s="39">
        <v>22</v>
      </c>
      <c r="R13" s="9">
        <v>52</v>
      </c>
      <c r="T13" s="13" t="s">
        <v>312</v>
      </c>
      <c r="U13" s="6">
        <f t="shared" si="2"/>
        <v>12</v>
      </c>
      <c r="V13" s="36">
        <f t="shared" si="3"/>
        <v>0.58822273408634174</v>
      </c>
      <c r="W13" s="34">
        <f t="shared" si="4"/>
        <v>0.76923076923076927</v>
      </c>
      <c r="X13" s="34">
        <f t="shared" si="5"/>
        <v>0.77777777777777779</v>
      </c>
      <c r="Y13" s="34">
        <f t="shared" si="6"/>
        <v>0.56368563685636852</v>
      </c>
      <c r="Z13" s="34">
        <f t="shared" si="7"/>
        <v>0.78947368421052633</v>
      </c>
      <c r="AA13" s="34">
        <f t="shared" si="8"/>
        <v>0.55601659751037347</v>
      </c>
      <c r="AB13" s="34">
        <f t="shared" si="9"/>
        <v>0.58998553673681986</v>
      </c>
      <c r="AC13" s="34">
        <f t="shared" si="10"/>
        <v>0.16777041942604856</v>
      </c>
      <c r="AD13" s="34">
        <f t="shared" si="11"/>
        <v>8.3333333333333329E-2</v>
      </c>
    </row>
    <row r="14" spans="1:30" x14ac:dyDescent="0.35">
      <c r="A14" t="s">
        <v>236</v>
      </c>
      <c r="B14" s="17" t="s">
        <v>171</v>
      </c>
      <c r="C14" s="17" t="s">
        <v>163</v>
      </c>
      <c r="D14" s="17" t="s">
        <v>47</v>
      </c>
      <c r="F14">
        <v>10</v>
      </c>
      <c r="G14">
        <v>3</v>
      </c>
      <c r="I14">
        <v>8</v>
      </c>
      <c r="J14">
        <v>1</v>
      </c>
      <c r="L14">
        <v>175</v>
      </c>
      <c r="M14">
        <v>149</v>
      </c>
      <c r="N14" s="9">
        <f t="shared" si="0"/>
        <v>26</v>
      </c>
      <c r="O14">
        <v>97</v>
      </c>
      <c r="P14" s="9">
        <f t="shared" si="1"/>
        <v>1.8041237113402062</v>
      </c>
      <c r="Q14" s="39">
        <v>15</v>
      </c>
      <c r="R14" s="9">
        <v>17</v>
      </c>
      <c r="T14" s="13" t="s">
        <v>313</v>
      </c>
      <c r="U14" s="6">
        <f t="shared" si="2"/>
        <v>13</v>
      </c>
      <c r="V14" s="36">
        <f t="shared" si="3"/>
        <v>0.57762337520615259</v>
      </c>
      <c r="W14" s="34">
        <f t="shared" si="4"/>
        <v>0.76923076923076927</v>
      </c>
      <c r="X14" s="34">
        <f t="shared" si="5"/>
        <v>0.88888888888888884</v>
      </c>
      <c r="Y14" s="34">
        <f t="shared" si="6"/>
        <v>0.4742547425474255</v>
      </c>
      <c r="Z14" s="34">
        <f t="shared" si="7"/>
        <v>0.97368421052631582</v>
      </c>
      <c r="AA14" s="34">
        <f t="shared" si="8"/>
        <v>0.50622406639004147</v>
      </c>
      <c r="AB14" s="34">
        <f t="shared" si="9"/>
        <v>0.40148979587442252</v>
      </c>
      <c r="AC14" s="34">
        <f t="shared" si="10"/>
        <v>9.0507726269315678E-2</v>
      </c>
      <c r="AD14" s="34">
        <f t="shared" si="11"/>
        <v>5.6818181818181816E-2</v>
      </c>
    </row>
    <row r="15" spans="1:30" x14ac:dyDescent="0.35">
      <c r="A15" t="s">
        <v>267</v>
      </c>
      <c r="B15" s="21" t="s">
        <v>173</v>
      </c>
      <c r="C15" s="21" t="s">
        <v>166</v>
      </c>
      <c r="D15" s="21" t="s">
        <v>1860</v>
      </c>
      <c r="F15">
        <v>10</v>
      </c>
      <c r="G15">
        <v>3</v>
      </c>
      <c r="I15">
        <v>6</v>
      </c>
      <c r="J15">
        <v>3</v>
      </c>
      <c r="L15">
        <v>207</v>
      </c>
      <c r="M15">
        <v>164</v>
      </c>
      <c r="N15" s="9">
        <f t="shared" si="0"/>
        <v>43</v>
      </c>
      <c r="O15">
        <v>108</v>
      </c>
      <c r="P15" s="9">
        <f t="shared" si="1"/>
        <v>1.9166666666666667</v>
      </c>
      <c r="Q15" s="39">
        <v>22</v>
      </c>
      <c r="R15" s="9">
        <v>51</v>
      </c>
      <c r="T15" s="13" t="s">
        <v>376</v>
      </c>
      <c r="U15" s="6">
        <f t="shared" si="2"/>
        <v>14</v>
      </c>
      <c r="V15" s="36">
        <f t="shared" si="3"/>
        <v>0.57285678640303839</v>
      </c>
      <c r="W15" s="34">
        <f t="shared" si="4"/>
        <v>0.76923076923076927</v>
      </c>
      <c r="X15" s="34">
        <f t="shared" si="5"/>
        <v>0.66666666666666663</v>
      </c>
      <c r="Y15" s="34">
        <f t="shared" si="6"/>
        <v>0.56097560975609762</v>
      </c>
      <c r="Z15" s="34">
        <f t="shared" si="7"/>
        <v>0.84210526315789469</v>
      </c>
      <c r="AA15" s="34">
        <f t="shared" si="8"/>
        <v>0.57676348547717837</v>
      </c>
      <c r="AB15" s="34">
        <f t="shared" si="9"/>
        <v>0.53563554503469579</v>
      </c>
      <c r="AC15" s="34">
        <f t="shared" si="10"/>
        <v>0.16556291390728478</v>
      </c>
      <c r="AD15" s="34">
        <f t="shared" si="11"/>
        <v>8.3333333333333329E-2</v>
      </c>
    </row>
    <row r="16" spans="1:30" x14ac:dyDescent="0.35">
      <c r="A16" t="s">
        <v>261</v>
      </c>
      <c r="B16" s="19" t="s">
        <v>172</v>
      </c>
      <c r="C16" s="19" t="s">
        <v>164</v>
      </c>
      <c r="D16" s="19" t="s">
        <v>45</v>
      </c>
      <c r="F16">
        <v>9</v>
      </c>
      <c r="G16">
        <v>4</v>
      </c>
      <c r="I16">
        <v>6</v>
      </c>
      <c r="J16">
        <v>3</v>
      </c>
      <c r="L16">
        <v>224</v>
      </c>
      <c r="M16">
        <v>179</v>
      </c>
      <c r="N16" s="9">
        <f t="shared" si="0"/>
        <v>45</v>
      </c>
      <c r="O16">
        <v>124</v>
      </c>
      <c r="P16" s="9">
        <f t="shared" si="1"/>
        <v>1.8064516129032258</v>
      </c>
      <c r="Q16" s="39">
        <v>24</v>
      </c>
      <c r="R16" s="9">
        <v>85</v>
      </c>
      <c r="T16" s="13" t="s">
        <v>314</v>
      </c>
      <c r="U16" s="6">
        <f t="shared" si="2"/>
        <v>15</v>
      </c>
      <c r="V16" s="36">
        <f t="shared" si="3"/>
        <v>0.544405009718819</v>
      </c>
      <c r="W16" s="34">
        <f t="shared" si="4"/>
        <v>0.69230769230769229</v>
      </c>
      <c r="X16" s="34">
        <f t="shared" si="5"/>
        <v>0.66666666666666663</v>
      </c>
      <c r="Y16" s="34">
        <f t="shared" si="6"/>
        <v>0.60704607046070458</v>
      </c>
      <c r="Z16" s="34">
        <f t="shared" si="7"/>
        <v>0.71052631578947367</v>
      </c>
      <c r="AA16" s="34">
        <f t="shared" si="8"/>
        <v>0.58506224066390045</v>
      </c>
      <c r="AB16" s="34">
        <f t="shared" si="9"/>
        <v>0.40426454173245319</v>
      </c>
      <c r="AC16" s="34">
        <f t="shared" si="10"/>
        <v>0.24061810154525387</v>
      </c>
      <c r="AD16" s="34">
        <f t="shared" si="11"/>
        <v>9.0909090909090912E-2</v>
      </c>
    </row>
    <row r="17" spans="1:30" x14ac:dyDescent="0.35">
      <c r="A17" t="s">
        <v>250</v>
      </c>
      <c r="B17" s="19" t="s">
        <v>172</v>
      </c>
      <c r="C17" s="19" t="s">
        <v>165</v>
      </c>
      <c r="D17" s="19" t="s">
        <v>35</v>
      </c>
      <c r="F17" s="9">
        <v>8</v>
      </c>
      <c r="G17" s="9">
        <v>5</v>
      </c>
      <c r="H17" s="9"/>
      <c r="I17" s="9">
        <v>5</v>
      </c>
      <c r="J17" s="9">
        <v>4</v>
      </c>
      <c r="K17" s="9"/>
      <c r="L17" s="9">
        <v>229</v>
      </c>
      <c r="M17">
        <v>191</v>
      </c>
      <c r="N17" s="9">
        <f t="shared" si="0"/>
        <v>38</v>
      </c>
      <c r="O17">
        <v>114</v>
      </c>
      <c r="P17" s="9">
        <f t="shared" si="1"/>
        <v>2.0087719298245612</v>
      </c>
      <c r="Q17" s="39">
        <v>24</v>
      </c>
      <c r="R17" s="9">
        <v>82</v>
      </c>
      <c r="T17" s="13" t="s">
        <v>315</v>
      </c>
      <c r="U17" s="6">
        <f t="shared" si="2"/>
        <v>16</v>
      </c>
      <c r="V17" s="36">
        <f t="shared" si="3"/>
        <v>0.51955393115965498</v>
      </c>
      <c r="W17" s="34">
        <f t="shared" si="4"/>
        <v>0.61538461538461542</v>
      </c>
      <c r="X17" s="34">
        <f t="shared" si="5"/>
        <v>0.55555555555555558</v>
      </c>
      <c r="Y17" s="34">
        <f t="shared" si="6"/>
        <v>0.62059620596205967</v>
      </c>
      <c r="Z17" s="34">
        <f t="shared" si="7"/>
        <v>0.60526315789473684</v>
      </c>
      <c r="AA17" s="34">
        <f t="shared" si="8"/>
        <v>0.55601659751037347</v>
      </c>
      <c r="AB17" s="34">
        <f t="shared" si="9"/>
        <v>0.645420555496518</v>
      </c>
      <c r="AC17" s="34">
        <f t="shared" si="10"/>
        <v>0.23399558498896247</v>
      </c>
      <c r="AD17" s="34">
        <f t="shared" si="11"/>
        <v>9.0909090909090912E-2</v>
      </c>
    </row>
    <row r="18" spans="1:30" x14ac:dyDescent="0.35">
      <c r="A18" t="s">
        <v>257</v>
      </c>
      <c r="B18" s="19" t="s">
        <v>172</v>
      </c>
      <c r="C18" s="19" t="s">
        <v>164</v>
      </c>
      <c r="D18" s="19" t="s">
        <v>44</v>
      </c>
      <c r="F18">
        <v>9</v>
      </c>
      <c r="G18">
        <v>4</v>
      </c>
      <c r="I18">
        <v>5</v>
      </c>
      <c r="J18">
        <v>4</v>
      </c>
      <c r="L18">
        <v>191</v>
      </c>
      <c r="M18">
        <v>165</v>
      </c>
      <c r="N18" s="9">
        <f t="shared" si="0"/>
        <v>26</v>
      </c>
      <c r="O18">
        <v>107</v>
      </c>
      <c r="P18" s="9">
        <f t="shared" si="1"/>
        <v>1.7850467289719627</v>
      </c>
      <c r="Q18" s="39">
        <v>24</v>
      </c>
      <c r="R18" s="9">
        <v>57</v>
      </c>
      <c r="T18" s="13" t="s">
        <v>428</v>
      </c>
      <c r="U18" s="6">
        <f t="shared" si="2"/>
        <v>17</v>
      </c>
      <c r="V18" s="36">
        <f t="shared" si="3"/>
        <v>0.51136925632829422</v>
      </c>
      <c r="W18" s="34">
        <f t="shared" si="4"/>
        <v>0.69230769230769229</v>
      </c>
      <c r="X18" s="34">
        <f t="shared" si="5"/>
        <v>0.55555555555555558</v>
      </c>
      <c r="Y18" s="34">
        <f t="shared" si="6"/>
        <v>0.51761517615176156</v>
      </c>
      <c r="Z18" s="34">
        <f t="shared" si="7"/>
        <v>0.83333333333333337</v>
      </c>
      <c r="AA18" s="34">
        <f t="shared" si="8"/>
        <v>0.50622406639004147</v>
      </c>
      <c r="AB18" s="34">
        <f t="shared" si="9"/>
        <v>0.37875095732089409</v>
      </c>
      <c r="AC18" s="34">
        <f t="shared" si="10"/>
        <v>0.17880794701986755</v>
      </c>
      <c r="AD18" s="34">
        <f t="shared" si="11"/>
        <v>9.0909090909090912E-2</v>
      </c>
    </row>
    <row r="19" spans="1:30" x14ac:dyDescent="0.35">
      <c r="A19" t="s">
        <v>271</v>
      </c>
      <c r="B19" s="21" t="s">
        <v>173</v>
      </c>
      <c r="C19" s="21" t="s">
        <v>166</v>
      </c>
      <c r="D19" s="21" t="s">
        <v>25</v>
      </c>
      <c r="F19">
        <v>9</v>
      </c>
      <c r="G19">
        <v>4</v>
      </c>
      <c r="I19">
        <v>5</v>
      </c>
      <c r="J19">
        <v>4</v>
      </c>
      <c r="L19">
        <v>190</v>
      </c>
      <c r="M19">
        <v>166</v>
      </c>
      <c r="N19" s="9">
        <f t="shared" si="0"/>
        <v>24</v>
      </c>
      <c r="O19">
        <v>110</v>
      </c>
      <c r="P19" s="9">
        <f t="shared" si="1"/>
        <v>1.7272727272727273</v>
      </c>
      <c r="Q19" s="39">
        <v>22</v>
      </c>
      <c r="R19" s="9">
        <v>78</v>
      </c>
      <c r="T19" s="13" t="s">
        <v>316</v>
      </c>
      <c r="U19" s="6">
        <f t="shared" si="2"/>
        <v>18</v>
      </c>
      <c r="V19" s="36">
        <f t="shared" si="3"/>
        <v>0.50907965858025883</v>
      </c>
      <c r="W19" s="34">
        <f t="shared" si="4"/>
        <v>0.69230769230769229</v>
      </c>
      <c r="X19" s="34">
        <f t="shared" si="5"/>
        <v>0.55555555555555558</v>
      </c>
      <c r="Y19" s="34">
        <f t="shared" si="6"/>
        <v>0.51490514905149054</v>
      </c>
      <c r="Z19" s="34">
        <f t="shared" si="7"/>
        <v>0.82456140350877194</v>
      </c>
      <c r="AA19" s="34">
        <f t="shared" si="8"/>
        <v>0.49792531120331951</v>
      </c>
      <c r="AB19" s="34">
        <f t="shared" si="9"/>
        <v>0.30988714689891328</v>
      </c>
      <c r="AC19" s="34">
        <f t="shared" si="10"/>
        <v>0.2251655629139073</v>
      </c>
      <c r="AD19" s="34">
        <f t="shared" si="11"/>
        <v>8.3333333333333329E-2</v>
      </c>
    </row>
    <row r="20" spans="1:30" x14ac:dyDescent="0.35">
      <c r="A20" t="s">
        <v>202</v>
      </c>
      <c r="B20" s="15" t="s">
        <v>143</v>
      </c>
      <c r="C20" s="15" t="s">
        <v>142</v>
      </c>
      <c r="D20" s="15" t="s">
        <v>74</v>
      </c>
      <c r="F20" s="9">
        <v>8</v>
      </c>
      <c r="G20" s="9">
        <v>5</v>
      </c>
      <c r="H20" s="9"/>
      <c r="I20" s="9">
        <v>6</v>
      </c>
      <c r="J20" s="9">
        <v>3</v>
      </c>
      <c r="K20" s="9"/>
      <c r="L20" s="9">
        <v>183</v>
      </c>
      <c r="M20" s="9">
        <v>159</v>
      </c>
      <c r="N20" s="9">
        <f t="shared" si="0"/>
        <v>24</v>
      </c>
      <c r="O20" s="9">
        <v>103</v>
      </c>
      <c r="P20" s="9">
        <f t="shared" si="1"/>
        <v>1.7766990291262137</v>
      </c>
      <c r="Q20" s="39">
        <v>12</v>
      </c>
      <c r="R20" s="9">
        <v>2</v>
      </c>
      <c r="T20" s="13" t="s">
        <v>317</v>
      </c>
      <c r="U20" s="6">
        <f t="shared" si="2"/>
        <v>19</v>
      </c>
      <c r="V20" s="36">
        <f t="shared" si="3"/>
        <v>0.48959076128705037</v>
      </c>
      <c r="W20" s="34">
        <f t="shared" si="4"/>
        <v>0.61538461538461542</v>
      </c>
      <c r="X20" s="34">
        <f t="shared" si="5"/>
        <v>0.66666666666666663</v>
      </c>
      <c r="Y20" s="34">
        <f t="shared" si="6"/>
        <v>0.49593495934959347</v>
      </c>
      <c r="Z20" s="34">
        <f t="shared" si="7"/>
        <v>0.88596491228070173</v>
      </c>
      <c r="AA20" s="34">
        <f t="shared" si="8"/>
        <v>0.49792531120331951</v>
      </c>
      <c r="AB20" s="34">
        <f t="shared" si="9"/>
        <v>0.36880090361629037</v>
      </c>
      <c r="AC20" s="34">
        <f t="shared" si="10"/>
        <v>5.7395143487858721E-2</v>
      </c>
      <c r="AD20" s="34">
        <f t="shared" si="11"/>
        <v>4.5454545454545456E-2</v>
      </c>
    </row>
    <row r="21" spans="1:30" x14ac:dyDescent="0.35">
      <c r="A21" t="s">
        <v>218</v>
      </c>
      <c r="B21" s="16" t="s">
        <v>144</v>
      </c>
      <c r="C21" s="16" t="s">
        <v>160</v>
      </c>
      <c r="D21" s="16" t="s">
        <v>67</v>
      </c>
      <c r="F21">
        <v>7</v>
      </c>
      <c r="G21">
        <v>6</v>
      </c>
      <c r="I21">
        <v>5</v>
      </c>
      <c r="J21">
        <v>4</v>
      </c>
      <c r="L21">
        <v>227</v>
      </c>
      <c r="M21">
        <v>186</v>
      </c>
      <c r="N21" s="9">
        <f t="shared" si="0"/>
        <v>41</v>
      </c>
      <c r="O21">
        <v>113</v>
      </c>
      <c r="P21" s="9">
        <f t="shared" si="1"/>
        <v>2.0088495575221237</v>
      </c>
      <c r="Q21" s="39">
        <v>15</v>
      </c>
      <c r="R21" s="9">
        <v>39</v>
      </c>
      <c r="T21" s="13" t="s">
        <v>318</v>
      </c>
      <c r="U21" s="6">
        <f t="shared" si="2"/>
        <v>20</v>
      </c>
      <c r="V21" s="36">
        <f t="shared" si="3"/>
        <v>0.48947823149393094</v>
      </c>
      <c r="W21" s="34">
        <f t="shared" si="4"/>
        <v>0.53846153846153844</v>
      </c>
      <c r="X21" s="34">
        <f t="shared" si="5"/>
        <v>0.55555555555555558</v>
      </c>
      <c r="Y21" s="34">
        <f t="shared" si="6"/>
        <v>0.61517615176151763</v>
      </c>
      <c r="Z21" s="34">
        <f t="shared" si="7"/>
        <v>0.64912280701754388</v>
      </c>
      <c r="AA21" s="34">
        <f t="shared" si="8"/>
        <v>0.56846473029045641</v>
      </c>
      <c r="AB21" s="34">
        <f t="shared" si="9"/>
        <v>0.64551308395034168</v>
      </c>
      <c r="AC21" s="34">
        <f t="shared" si="10"/>
        <v>0.13907284768211919</v>
      </c>
      <c r="AD21" s="34">
        <f t="shared" si="11"/>
        <v>5.6818181818181816E-2</v>
      </c>
    </row>
    <row r="22" spans="1:30" x14ac:dyDescent="0.35">
      <c r="A22" t="s">
        <v>249</v>
      </c>
      <c r="B22" s="19" t="s">
        <v>172</v>
      </c>
      <c r="C22" s="19" t="s">
        <v>165</v>
      </c>
      <c r="D22" s="19" t="s">
        <v>40</v>
      </c>
      <c r="F22" s="9">
        <v>8</v>
      </c>
      <c r="G22" s="9">
        <v>5</v>
      </c>
      <c r="H22" s="9"/>
      <c r="I22" s="9">
        <v>4</v>
      </c>
      <c r="J22" s="9">
        <v>5</v>
      </c>
      <c r="K22" s="9"/>
      <c r="L22" s="9">
        <v>214</v>
      </c>
      <c r="M22">
        <v>193</v>
      </c>
      <c r="N22" s="9">
        <f t="shared" si="0"/>
        <v>21</v>
      </c>
      <c r="O22">
        <v>111</v>
      </c>
      <c r="P22" s="9">
        <f t="shared" si="1"/>
        <v>1.927927927927928</v>
      </c>
      <c r="Q22" s="39">
        <v>24</v>
      </c>
      <c r="R22" s="9">
        <v>108</v>
      </c>
      <c r="T22" s="13" t="s">
        <v>377</v>
      </c>
      <c r="U22" s="6">
        <f t="shared" si="2"/>
        <v>21</v>
      </c>
      <c r="V22" s="36">
        <f t="shared" si="3"/>
        <v>0.48898695421865163</v>
      </c>
      <c r="W22" s="34">
        <f t="shared" si="4"/>
        <v>0.61538461538461542</v>
      </c>
      <c r="X22" s="34">
        <f t="shared" si="5"/>
        <v>0.44444444444444442</v>
      </c>
      <c r="Y22" s="34">
        <f t="shared" si="6"/>
        <v>0.57994579945799463</v>
      </c>
      <c r="Z22" s="34">
        <f t="shared" si="7"/>
        <v>0.58771929824561409</v>
      </c>
      <c r="AA22" s="34">
        <f t="shared" si="8"/>
        <v>0.48547717842323651</v>
      </c>
      <c r="AB22" s="34">
        <f t="shared" si="9"/>
        <v>0.54905842276168826</v>
      </c>
      <c r="AC22" s="34">
        <f t="shared" si="10"/>
        <v>0.29139072847682118</v>
      </c>
      <c r="AD22" s="34">
        <f t="shared" si="11"/>
        <v>9.0909090909090912E-2</v>
      </c>
    </row>
    <row r="23" spans="1:30" x14ac:dyDescent="0.35">
      <c r="A23" t="s">
        <v>269</v>
      </c>
      <c r="B23" s="21" t="s">
        <v>173</v>
      </c>
      <c r="C23" s="21" t="s">
        <v>166</v>
      </c>
      <c r="D23" s="21" t="s">
        <v>34</v>
      </c>
      <c r="F23">
        <v>7</v>
      </c>
      <c r="G23">
        <v>6</v>
      </c>
      <c r="I23">
        <v>6</v>
      </c>
      <c r="J23">
        <v>3</v>
      </c>
      <c r="L23">
        <v>165</v>
      </c>
      <c r="M23">
        <v>146</v>
      </c>
      <c r="N23" s="9">
        <f t="shared" si="0"/>
        <v>19</v>
      </c>
      <c r="O23">
        <v>97</v>
      </c>
      <c r="P23" s="9">
        <f t="shared" si="1"/>
        <v>1.7010309278350515</v>
      </c>
      <c r="Q23" s="39">
        <v>22</v>
      </c>
      <c r="R23" s="9">
        <v>48</v>
      </c>
      <c r="T23" s="13" t="s">
        <v>319</v>
      </c>
      <c r="U23" s="6">
        <f t="shared" si="2"/>
        <v>22</v>
      </c>
      <c r="V23" s="36">
        <f t="shared" si="3"/>
        <v>0.48291721972184359</v>
      </c>
      <c r="W23" s="34">
        <f t="shared" si="4"/>
        <v>0.53846153846153844</v>
      </c>
      <c r="X23" s="34">
        <f t="shared" si="5"/>
        <v>0.66666666666666663</v>
      </c>
      <c r="Y23" s="34">
        <f t="shared" si="6"/>
        <v>0.44715447154471544</v>
      </c>
      <c r="Z23" s="34">
        <f t="shared" si="7"/>
        <v>1</v>
      </c>
      <c r="AA23" s="34">
        <f t="shared" si="8"/>
        <v>0.47717842323651455</v>
      </c>
      <c r="AB23" s="34">
        <f t="shared" si="9"/>
        <v>0.27860819359020272</v>
      </c>
      <c r="AC23" s="34">
        <f t="shared" si="10"/>
        <v>0.15894039735099338</v>
      </c>
      <c r="AD23" s="34">
        <f t="shared" si="11"/>
        <v>8.3333333333333329E-2</v>
      </c>
    </row>
    <row r="24" spans="1:30" x14ac:dyDescent="0.35">
      <c r="A24" t="s">
        <v>237</v>
      </c>
      <c r="B24" s="17" t="s">
        <v>171</v>
      </c>
      <c r="C24" s="17" t="s">
        <v>163</v>
      </c>
      <c r="D24" s="17" t="s">
        <v>49</v>
      </c>
      <c r="F24">
        <v>7</v>
      </c>
      <c r="G24">
        <v>6</v>
      </c>
      <c r="I24">
        <v>5</v>
      </c>
      <c r="J24">
        <v>4</v>
      </c>
      <c r="L24">
        <v>233</v>
      </c>
      <c r="M24">
        <v>186</v>
      </c>
      <c r="N24" s="9">
        <f t="shared" si="0"/>
        <v>47</v>
      </c>
      <c r="O24">
        <v>118</v>
      </c>
      <c r="P24" s="9">
        <f t="shared" si="1"/>
        <v>1.9745762711864407</v>
      </c>
      <c r="Q24" s="39">
        <v>15</v>
      </c>
      <c r="R24" s="9">
        <v>5</v>
      </c>
      <c r="T24" s="13" t="s">
        <v>320</v>
      </c>
      <c r="U24" s="6">
        <f t="shared" si="2"/>
        <v>23</v>
      </c>
      <c r="V24" s="36">
        <f t="shared" si="3"/>
        <v>0.47825038651415436</v>
      </c>
      <c r="W24" s="34">
        <f t="shared" si="4"/>
        <v>0.53846153846153844</v>
      </c>
      <c r="X24" s="34">
        <f t="shared" si="5"/>
        <v>0.55555555555555558</v>
      </c>
      <c r="Y24" s="34">
        <f t="shared" si="6"/>
        <v>0.63143631436314362</v>
      </c>
      <c r="Z24" s="34">
        <f t="shared" si="7"/>
        <v>0.64912280701754388</v>
      </c>
      <c r="AA24" s="34">
        <f t="shared" si="8"/>
        <v>0.59336099585062241</v>
      </c>
      <c r="AB24" s="34">
        <f t="shared" si="9"/>
        <v>0.60466098744773833</v>
      </c>
      <c r="AC24" s="34">
        <f t="shared" si="10"/>
        <v>6.4017660044150104E-2</v>
      </c>
      <c r="AD24" s="34">
        <f t="shared" si="11"/>
        <v>5.6818181818181816E-2</v>
      </c>
    </row>
    <row r="25" spans="1:30" x14ac:dyDescent="0.35">
      <c r="A25" t="s">
        <v>278</v>
      </c>
      <c r="B25" s="21" t="s">
        <v>173</v>
      </c>
      <c r="C25" s="21" t="s">
        <v>167</v>
      </c>
      <c r="D25" s="21" t="s">
        <v>31</v>
      </c>
      <c r="F25">
        <v>7</v>
      </c>
      <c r="G25">
        <v>6</v>
      </c>
      <c r="I25">
        <v>4</v>
      </c>
      <c r="J25">
        <v>5</v>
      </c>
      <c r="L25">
        <v>226</v>
      </c>
      <c r="M25">
        <v>186</v>
      </c>
      <c r="N25" s="9">
        <f t="shared" si="0"/>
        <v>40</v>
      </c>
      <c r="O25">
        <v>131</v>
      </c>
      <c r="P25" s="9">
        <f t="shared" si="1"/>
        <v>1.7251908396946565</v>
      </c>
      <c r="Q25" s="39">
        <v>22</v>
      </c>
      <c r="R25" s="9">
        <v>110</v>
      </c>
      <c r="T25" s="13" t="s">
        <v>321</v>
      </c>
      <c r="U25" s="6">
        <f t="shared" si="2"/>
        <v>24</v>
      </c>
      <c r="V25" s="36">
        <f t="shared" si="3"/>
        <v>0.4631505710924223</v>
      </c>
      <c r="W25" s="34">
        <f t="shared" si="4"/>
        <v>0.53846153846153844</v>
      </c>
      <c r="X25" s="34">
        <f t="shared" si="5"/>
        <v>0.44444444444444442</v>
      </c>
      <c r="Y25" s="34">
        <f t="shared" si="6"/>
        <v>0.61246612466124661</v>
      </c>
      <c r="Z25" s="34">
        <f t="shared" si="7"/>
        <v>0.64912280701754388</v>
      </c>
      <c r="AA25" s="34">
        <f t="shared" si="8"/>
        <v>0.56431535269709543</v>
      </c>
      <c r="AB25" s="34">
        <f t="shared" si="9"/>
        <v>0.30740563778963437</v>
      </c>
      <c r="AC25" s="34">
        <f t="shared" si="10"/>
        <v>0.2958057395143488</v>
      </c>
      <c r="AD25" s="34">
        <f t="shared" si="11"/>
        <v>8.3333333333333329E-2</v>
      </c>
    </row>
    <row r="26" spans="1:30" x14ac:dyDescent="0.35">
      <c r="A26" t="s">
        <v>230</v>
      </c>
      <c r="B26" s="16" t="s">
        <v>144</v>
      </c>
      <c r="C26" s="16" t="s">
        <v>161</v>
      </c>
      <c r="D26" s="16" t="s">
        <v>61</v>
      </c>
      <c r="F26">
        <v>8</v>
      </c>
      <c r="G26">
        <v>6</v>
      </c>
      <c r="H26" t="s">
        <v>6</v>
      </c>
      <c r="I26">
        <v>7</v>
      </c>
      <c r="J26">
        <v>2</v>
      </c>
      <c r="L26">
        <v>199</v>
      </c>
      <c r="M26">
        <v>203</v>
      </c>
      <c r="N26" s="9">
        <f t="shared" si="0"/>
        <v>-4</v>
      </c>
      <c r="O26">
        <v>113</v>
      </c>
      <c r="P26" s="9">
        <f t="shared" si="1"/>
        <v>1.7610619469026549</v>
      </c>
      <c r="Q26" s="39">
        <v>22.5</v>
      </c>
      <c r="R26" s="9">
        <v>23</v>
      </c>
      <c r="T26" s="13" t="s">
        <v>322</v>
      </c>
      <c r="U26" s="6">
        <f t="shared" si="2"/>
        <v>25</v>
      </c>
      <c r="V26" s="36">
        <f t="shared" si="3"/>
        <v>0.45646812615628052</v>
      </c>
      <c r="W26" s="34">
        <f t="shared" si="4"/>
        <v>0.5714285714285714</v>
      </c>
      <c r="X26" s="34">
        <f t="shared" si="5"/>
        <v>0.77777777777777779</v>
      </c>
      <c r="Y26" s="34">
        <f t="shared" si="6"/>
        <v>0.53929539295392959</v>
      </c>
      <c r="Z26" s="34">
        <f t="shared" si="7"/>
        <v>0.5</v>
      </c>
      <c r="AA26" s="34">
        <f t="shared" si="8"/>
        <v>0.38174273858921159</v>
      </c>
      <c r="AB26" s="34">
        <f t="shared" si="9"/>
        <v>0.35016225934508477</v>
      </c>
      <c r="AC26" s="34">
        <f t="shared" si="10"/>
        <v>0.10375275938189846</v>
      </c>
      <c r="AD26" s="34">
        <f t="shared" si="11"/>
        <v>8.5227272727272721E-2</v>
      </c>
    </row>
    <row r="27" spans="1:30" x14ac:dyDescent="0.35">
      <c r="A27" t="s">
        <v>211</v>
      </c>
      <c r="B27" s="15" t="s">
        <v>143</v>
      </c>
      <c r="C27" s="15" t="s">
        <v>159</v>
      </c>
      <c r="D27" s="15" t="s">
        <v>82</v>
      </c>
      <c r="F27" s="9">
        <v>7</v>
      </c>
      <c r="G27" s="9">
        <v>6</v>
      </c>
      <c r="I27">
        <v>5</v>
      </c>
      <c r="J27" s="9">
        <v>4</v>
      </c>
      <c r="L27" s="9">
        <v>181</v>
      </c>
      <c r="M27" s="9">
        <v>172</v>
      </c>
      <c r="N27" s="9">
        <f t="shared" si="0"/>
        <v>9</v>
      </c>
      <c r="O27" s="9">
        <v>96</v>
      </c>
      <c r="P27" s="9">
        <f t="shared" si="1"/>
        <v>1.8854166666666667</v>
      </c>
      <c r="Q27" s="39">
        <v>12</v>
      </c>
      <c r="R27" s="9">
        <v>4</v>
      </c>
      <c r="U27" s="6">
        <f t="shared" si="2"/>
        <v>26</v>
      </c>
      <c r="V27" s="36">
        <f t="shared" si="3"/>
        <v>0.44914461203581818</v>
      </c>
      <c r="W27" s="34">
        <f t="shared" si="4"/>
        <v>0.53846153846153844</v>
      </c>
      <c r="X27" s="34">
        <f t="shared" si="5"/>
        <v>0.55555555555555558</v>
      </c>
      <c r="Y27" s="34">
        <f t="shared" si="6"/>
        <v>0.49051490514905149</v>
      </c>
      <c r="Z27" s="34">
        <f t="shared" si="7"/>
        <v>0.77192982456140347</v>
      </c>
      <c r="AA27" s="34">
        <f t="shared" si="8"/>
        <v>0.43568464730290457</v>
      </c>
      <c r="AB27" s="34">
        <f t="shared" si="9"/>
        <v>0.49838705934229166</v>
      </c>
      <c r="AC27" s="34">
        <f t="shared" si="10"/>
        <v>6.1810154525386317E-2</v>
      </c>
      <c r="AD27" s="34">
        <f t="shared" si="11"/>
        <v>4.5454545454545456E-2</v>
      </c>
    </row>
    <row r="28" spans="1:30" x14ac:dyDescent="0.35">
      <c r="A28" t="s">
        <v>248</v>
      </c>
      <c r="B28" s="17" t="s">
        <v>171</v>
      </c>
      <c r="C28" s="17" t="s">
        <v>162</v>
      </c>
      <c r="D28" s="17" t="s">
        <v>145</v>
      </c>
      <c r="F28">
        <v>8</v>
      </c>
      <c r="G28">
        <v>5</v>
      </c>
      <c r="I28">
        <v>6</v>
      </c>
      <c r="J28">
        <v>3</v>
      </c>
      <c r="L28">
        <v>164</v>
      </c>
      <c r="M28">
        <v>166</v>
      </c>
      <c r="N28" s="9">
        <f t="shared" si="0"/>
        <v>-2</v>
      </c>
      <c r="O28">
        <v>105</v>
      </c>
      <c r="P28" s="9">
        <f t="shared" si="1"/>
        <v>1.5619047619047619</v>
      </c>
      <c r="Q28" s="39">
        <v>15</v>
      </c>
      <c r="R28" s="9">
        <v>3</v>
      </c>
      <c r="U28" s="6">
        <f t="shared" si="2"/>
        <v>27</v>
      </c>
      <c r="V28" s="36">
        <f t="shared" si="3"/>
        <v>0.44280984901649256</v>
      </c>
      <c r="W28" s="34">
        <f t="shared" si="4"/>
        <v>0.61538461538461542</v>
      </c>
      <c r="X28" s="34">
        <f t="shared" si="5"/>
        <v>0.66666666666666663</v>
      </c>
      <c r="Y28" s="34">
        <f t="shared" si="6"/>
        <v>0.44444444444444442</v>
      </c>
      <c r="Z28" s="34">
        <f t="shared" si="7"/>
        <v>0.82456140350877194</v>
      </c>
      <c r="AA28" s="34">
        <f t="shared" si="8"/>
        <v>0.39004149377593361</v>
      </c>
      <c r="AB28" s="34">
        <f t="shared" si="9"/>
        <v>0.11277654555521292</v>
      </c>
      <c r="AC28" s="34">
        <f t="shared" si="10"/>
        <v>5.9602649006622516E-2</v>
      </c>
      <c r="AD28" s="34">
        <f t="shared" si="11"/>
        <v>5.6818181818181816E-2</v>
      </c>
    </row>
    <row r="29" spans="1:30" x14ac:dyDescent="0.35">
      <c r="A29" t="s">
        <v>232</v>
      </c>
      <c r="B29" s="16" t="s">
        <v>144</v>
      </c>
      <c r="C29" s="16" t="s">
        <v>161</v>
      </c>
      <c r="D29" s="16" t="s">
        <v>64</v>
      </c>
      <c r="F29">
        <v>8</v>
      </c>
      <c r="G29">
        <v>5</v>
      </c>
      <c r="I29">
        <v>5</v>
      </c>
      <c r="J29">
        <v>4</v>
      </c>
      <c r="L29">
        <v>198</v>
      </c>
      <c r="M29">
        <v>193</v>
      </c>
      <c r="N29" s="9">
        <f t="shared" si="0"/>
        <v>5</v>
      </c>
      <c r="O29">
        <v>117</v>
      </c>
      <c r="P29" s="9">
        <f t="shared" si="1"/>
        <v>1.6923076923076923</v>
      </c>
      <c r="Q29" s="39">
        <v>15</v>
      </c>
      <c r="R29" s="9">
        <v>37</v>
      </c>
      <c r="U29" s="6">
        <f t="shared" si="2"/>
        <v>28</v>
      </c>
      <c r="V29" s="36">
        <f t="shared" si="3"/>
        <v>0.44137930382503515</v>
      </c>
      <c r="W29" s="34">
        <f t="shared" si="4"/>
        <v>0.61538461538461542</v>
      </c>
      <c r="X29" s="34">
        <f t="shared" si="5"/>
        <v>0.55555555555555558</v>
      </c>
      <c r="Y29" s="34">
        <f t="shared" si="6"/>
        <v>0.53658536585365857</v>
      </c>
      <c r="Z29" s="34">
        <f t="shared" si="7"/>
        <v>0.58771929824561409</v>
      </c>
      <c r="AA29" s="34">
        <f t="shared" si="8"/>
        <v>0.41908713692946059</v>
      </c>
      <c r="AB29" s="34">
        <f t="shared" si="9"/>
        <v>0.26821051955076874</v>
      </c>
      <c r="AC29" s="34">
        <f t="shared" si="10"/>
        <v>0.13465783664459161</v>
      </c>
      <c r="AD29" s="34">
        <f t="shared" si="11"/>
        <v>5.6818181818181816E-2</v>
      </c>
    </row>
    <row r="30" spans="1:30" x14ac:dyDescent="0.35">
      <c r="A30" t="s">
        <v>204</v>
      </c>
      <c r="B30" s="15" t="s">
        <v>143</v>
      </c>
      <c r="C30" s="15" t="s">
        <v>142</v>
      </c>
      <c r="D30" s="15" t="s">
        <v>78</v>
      </c>
      <c r="F30" s="9">
        <v>8</v>
      </c>
      <c r="G30" s="9">
        <v>5</v>
      </c>
      <c r="H30" s="9"/>
      <c r="I30" s="9">
        <v>5</v>
      </c>
      <c r="J30" s="9">
        <v>4</v>
      </c>
      <c r="K30" s="9"/>
      <c r="L30" s="9">
        <v>207</v>
      </c>
      <c r="M30" s="9">
        <v>202</v>
      </c>
      <c r="N30" s="9">
        <f t="shared" si="0"/>
        <v>5</v>
      </c>
      <c r="O30" s="9">
        <v>114</v>
      </c>
      <c r="P30" s="9">
        <f t="shared" si="1"/>
        <v>1.8157894736842106</v>
      </c>
      <c r="Q30" s="39">
        <v>12</v>
      </c>
      <c r="R30" s="9">
        <v>2</v>
      </c>
      <c r="U30" s="6">
        <f t="shared" si="2"/>
        <v>29</v>
      </c>
      <c r="V30" s="36">
        <f t="shared" si="3"/>
        <v>0.43848443555548472</v>
      </c>
      <c r="W30" s="34">
        <f t="shared" si="4"/>
        <v>0.61538461538461542</v>
      </c>
      <c r="X30" s="34">
        <f t="shared" si="5"/>
        <v>0.55555555555555558</v>
      </c>
      <c r="Y30" s="34">
        <f t="shared" si="6"/>
        <v>0.56097560975609762</v>
      </c>
      <c r="Z30" s="34">
        <f t="shared" si="7"/>
        <v>0.50877192982456143</v>
      </c>
      <c r="AA30" s="34">
        <f t="shared" si="8"/>
        <v>0.41908713692946059</v>
      </c>
      <c r="AB30" s="34">
        <f t="shared" si="9"/>
        <v>0.4153948192907948</v>
      </c>
      <c r="AC30" s="34">
        <f t="shared" si="10"/>
        <v>5.7395143487858721E-2</v>
      </c>
      <c r="AD30" s="34">
        <f t="shared" si="11"/>
        <v>4.5454545454545456E-2</v>
      </c>
    </row>
    <row r="31" spans="1:30" x14ac:dyDescent="0.35">
      <c r="A31" t="s">
        <v>272</v>
      </c>
      <c r="B31" s="21" t="s">
        <v>173</v>
      </c>
      <c r="C31" s="21" t="s">
        <v>166</v>
      </c>
      <c r="D31" s="21" t="s">
        <v>33</v>
      </c>
      <c r="F31">
        <v>7</v>
      </c>
      <c r="G31">
        <v>6</v>
      </c>
      <c r="I31">
        <v>4</v>
      </c>
      <c r="J31">
        <v>5</v>
      </c>
      <c r="L31">
        <v>184</v>
      </c>
      <c r="M31">
        <v>172</v>
      </c>
      <c r="N31" s="9">
        <f t="shared" si="0"/>
        <v>12</v>
      </c>
      <c r="O31">
        <v>106</v>
      </c>
      <c r="P31" s="9">
        <f t="shared" si="1"/>
        <v>1.7358490566037736</v>
      </c>
      <c r="Q31" s="39">
        <v>22</v>
      </c>
      <c r="R31" s="9">
        <v>53</v>
      </c>
      <c r="U31" s="6">
        <f t="shared" si="2"/>
        <v>30</v>
      </c>
      <c r="V31" s="36">
        <f t="shared" si="3"/>
        <v>0.43482713738697532</v>
      </c>
      <c r="W31" s="34">
        <f t="shared" si="4"/>
        <v>0.53846153846153844</v>
      </c>
      <c r="X31" s="34">
        <f t="shared" si="5"/>
        <v>0.44444444444444442</v>
      </c>
      <c r="Y31" s="34">
        <f t="shared" si="6"/>
        <v>0.49864498644986449</v>
      </c>
      <c r="Z31" s="34">
        <f t="shared" si="7"/>
        <v>0.77192982456140347</v>
      </c>
      <c r="AA31" s="34">
        <f t="shared" si="8"/>
        <v>0.44813278008298757</v>
      </c>
      <c r="AB31" s="34">
        <f t="shared" si="9"/>
        <v>0.32010971587109965</v>
      </c>
      <c r="AC31" s="34">
        <f t="shared" si="10"/>
        <v>0.16997792494481237</v>
      </c>
      <c r="AD31" s="34">
        <f t="shared" si="11"/>
        <v>8.3333333333333329E-2</v>
      </c>
    </row>
    <row r="32" spans="1:30" x14ac:dyDescent="0.35">
      <c r="A32" t="s">
        <v>213</v>
      </c>
      <c r="B32" s="15" t="s">
        <v>143</v>
      </c>
      <c r="C32" s="15" t="s">
        <v>159</v>
      </c>
      <c r="D32" s="15" t="s">
        <v>85</v>
      </c>
      <c r="F32" s="9">
        <v>7</v>
      </c>
      <c r="G32" s="9">
        <v>6</v>
      </c>
      <c r="I32">
        <v>5</v>
      </c>
      <c r="J32" s="9">
        <v>4</v>
      </c>
      <c r="L32" s="9">
        <v>195</v>
      </c>
      <c r="M32" s="9">
        <v>170</v>
      </c>
      <c r="N32" s="9">
        <f t="shared" si="0"/>
        <v>25</v>
      </c>
      <c r="O32" s="9">
        <v>123</v>
      </c>
      <c r="P32" s="9">
        <f t="shared" si="1"/>
        <v>1.5853658536585367</v>
      </c>
      <c r="Q32" s="39">
        <v>12</v>
      </c>
      <c r="R32" s="9">
        <v>23</v>
      </c>
      <c r="U32" s="6">
        <f t="shared" si="2"/>
        <v>31</v>
      </c>
      <c r="V32" s="36">
        <f t="shared" si="3"/>
        <v>0.43185882788991614</v>
      </c>
      <c r="W32" s="34">
        <f t="shared" si="4"/>
        <v>0.53846153846153844</v>
      </c>
      <c r="X32" s="34">
        <f t="shared" si="5"/>
        <v>0.55555555555555558</v>
      </c>
      <c r="Y32" s="34">
        <f t="shared" si="6"/>
        <v>0.52845528455284552</v>
      </c>
      <c r="Z32" s="34">
        <f t="shared" si="7"/>
        <v>0.78947368421052633</v>
      </c>
      <c r="AA32" s="34">
        <f t="shared" si="8"/>
        <v>0.50207468879668049</v>
      </c>
      <c r="AB32" s="34">
        <f t="shared" si="9"/>
        <v>0.14074103005181002</v>
      </c>
      <c r="AC32" s="34">
        <f t="shared" si="10"/>
        <v>0.10375275938189846</v>
      </c>
      <c r="AD32" s="34">
        <f t="shared" si="11"/>
        <v>4.5454545454545456E-2</v>
      </c>
    </row>
    <row r="33" spans="1:30" x14ac:dyDescent="0.35">
      <c r="A33" t="s">
        <v>227</v>
      </c>
      <c r="B33" s="16" t="s">
        <v>144</v>
      </c>
      <c r="C33" s="16" t="s">
        <v>161</v>
      </c>
      <c r="D33" s="16" t="s">
        <v>62</v>
      </c>
      <c r="F33">
        <v>7</v>
      </c>
      <c r="G33">
        <v>6</v>
      </c>
      <c r="I33">
        <v>6</v>
      </c>
      <c r="J33">
        <v>3</v>
      </c>
      <c r="L33">
        <v>168</v>
      </c>
      <c r="M33">
        <v>172</v>
      </c>
      <c r="N33" s="9">
        <f t="shared" si="0"/>
        <v>-4</v>
      </c>
      <c r="O33">
        <v>100</v>
      </c>
      <c r="P33" s="9">
        <f t="shared" si="1"/>
        <v>1.68</v>
      </c>
      <c r="Q33" s="39">
        <v>15</v>
      </c>
      <c r="R33" s="9">
        <v>-1</v>
      </c>
      <c r="U33" s="6">
        <f t="shared" si="2"/>
        <v>32</v>
      </c>
      <c r="V33" s="36">
        <f t="shared" si="3"/>
        <v>0.43132193401806529</v>
      </c>
      <c r="W33" s="34">
        <f t="shared" si="4"/>
        <v>0.53846153846153844</v>
      </c>
      <c r="X33" s="34">
        <f t="shared" si="5"/>
        <v>0.66666666666666663</v>
      </c>
      <c r="Y33" s="34">
        <f t="shared" si="6"/>
        <v>0.45528455284552843</v>
      </c>
      <c r="Z33" s="34">
        <f t="shared" si="7"/>
        <v>0.77192982456140347</v>
      </c>
      <c r="AA33" s="34">
        <f t="shared" si="8"/>
        <v>0.38174273858921159</v>
      </c>
      <c r="AB33" s="34">
        <f t="shared" si="9"/>
        <v>0.25354034672422188</v>
      </c>
      <c r="AC33" s="34">
        <f t="shared" si="10"/>
        <v>5.0772626931567331E-2</v>
      </c>
      <c r="AD33" s="34">
        <f t="shared" si="11"/>
        <v>5.6818181818181816E-2</v>
      </c>
    </row>
    <row r="34" spans="1:30" x14ac:dyDescent="0.35">
      <c r="A34" t="s">
        <v>224</v>
      </c>
      <c r="B34" s="16" t="s">
        <v>144</v>
      </c>
      <c r="C34" s="16" t="s">
        <v>160</v>
      </c>
      <c r="D34" s="16" t="s">
        <v>70</v>
      </c>
      <c r="F34">
        <v>6</v>
      </c>
      <c r="G34">
        <v>7</v>
      </c>
      <c r="I34">
        <v>5</v>
      </c>
      <c r="J34">
        <v>4</v>
      </c>
      <c r="L34">
        <v>176</v>
      </c>
      <c r="M34">
        <v>161</v>
      </c>
      <c r="N34" s="9">
        <f t="shared" ref="N34:N65" si="12">L34-M34</f>
        <v>15</v>
      </c>
      <c r="O34">
        <v>104</v>
      </c>
      <c r="P34" s="9">
        <f t="shared" ref="P34:P65" si="13">L34/O34</f>
        <v>1.6923076923076923</v>
      </c>
      <c r="Q34" s="39">
        <v>15</v>
      </c>
      <c r="R34" s="9">
        <v>43</v>
      </c>
      <c r="U34" s="6">
        <f t="shared" ref="U34:U65" si="14">_xlfn.RANK.EQ(V34,V:V, 0)</f>
        <v>33</v>
      </c>
      <c r="V34" s="36">
        <f t="shared" ref="V34:V65" si="15">((W34*1.25)+(X34*0.75)+((Y34+Z34+AA34+AB34)*0.5)+(AC34*0.75)+(AD34*0.25))/5</f>
        <v>0.43116201374174545</v>
      </c>
      <c r="W34" s="34">
        <f t="shared" ref="W34:W65" si="16">(F34/(F34+G34))</f>
        <v>0.46153846153846156</v>
      </c>
      <c r="X34" s="34">
        <f t="shared" ref="X34:X65" si="17">(I34/(I34+J34))</f>
        <v>0.55555555555555558</v>
      </c>
      <c r="Y34" s="34">
        <f t="shared" ref="Y34:Y65" si="18">(L34/LARGE(L:L,1))</f>
        <v>0.47696476964769646</v>
      </c>
      <c r="Z34" s="34">
        <f t="shared" ref="Z34:Z65" si="19">1-(M34-SMALL(M:M,1))/(LARGE(M:M,1)-SMALL(M:M,1))</f>
        <v>0.86842105263157898</v>
      </c>
      <c r="AA34" s="34">
        <f t="shared" ref="AA34:AA65" si="20">(N34-SMALL(N:N,1))/(LARGE(N:N,1)-SMALL(N:N,1))</f>
        <v>0.46058091286307051</v>
      </c>
      <c r="AB34" s="34">
        <f t="shared" ref="AB34:AB65" si="21">(P34-SMALL(P:P,1))/(LARGE(P:P,1)-SMALL(P:P,1))</f>
        <v>0.26821051955076874</v>
      </c>
      <c r="AC34" s="34">
        <f t="shared" ref="AC34:AC65" si="22">(R34-SMALL(R:R,1))/(LARGE(R:R,1)-SMALL(R:R,1))</f>
        <v>0.1479028697571744</v>
      </c>
      <c r="AD34" s="34">
        <f t="shared" ref="AD34:AD65" si="23">(Q34/LARGE(Q:Q,1))</f>
        <v>5.6818181818181816E-2</v>
      </c>
    </row>
    <row r="35" spans="1:30" x14ac:dyDescent="0.35">
      <c r="A35" t="s">
        <v>239</v>
      </c>
      <c r="B35" s="17" t="s">
        <v>171</v>
      </c>
      <c r="C35" s="17" t="s">
        <v>163</v>
      </c>
      <c r="D35" s="17" t="s">
        <v>51</v>
      </c>
      <c r="F35">
        <v>6</v>
      </c>
      <c r="G35">
        <v>7</v>
      </c>
      <c r="I35">
        <v>5</v>
      </c>
      <c r="J35">
        <v>4</v>
      </c>
      <c r="L35">
        <v>193</v>
      </c>
      <c r="M35">
        <v>173</v>
      </c>
      <c r="N35" s="9">
        <f t="shared" si="12"/>
        <v>20</v>
      </c>
      <c r="O35">
        <v>110</v>
      </c>
      <c r="P35" s="9">
        <f t="shared" si="13"/>
        <v>1.7545454545454546</v>
      </c>
      <c r="Q35" s="39">
        <v>15</v>
      </c>
      <c r="R35" s="9">
        <v>4</v>
      </c>
      <c r="U35" s="6">
        <f t="shared" si="14"/>
        <v>34</v>
      </c>
      <c r="V35" s="36">
        <f t="shared" si="15"/>
        <v>0.42182196520261445</v>
      </c>
      <c r="W35" s="34">
        <f t="shared" si="16"/>
        <v>0.46153846153846156</v>
      </c>
      <c r="X35" s="34">
        <f t="shared" si="17"/>
        <v>0.55555555555555558</v>
      </c>
      <c r="Y35" s="34">
        <f t="shared" si="18"/>
        <v>0.52303523035230348</v>
      </c>
      <c r="Z35" s="34">
        <f t="shared" si="19"/>
        <v>0.76315789473684215</v>
      </c>
      <c r="AA35" s="34">
        <f t="shared" si="20"/>
        <v>0.48132780082987553</v>
      </c>
      <c r="AB35" s="34">
        <f t="shared" si="21"/>
        <v>0.34239491623046603</v>
      </c>
      <c r="AC35" s="34">
        <f t="shared" si="22"/>
        <v>6.1810154525386317E-2</v>
      </c>
      <c r="AD35" s="34">
        <f t="shared" si="23"/>
        <v>5.6818181818181816E-2</v>
      </c>
    </row>
    <row r="36" spans="1:30" x14ac:dyDescent="0.35">
      <c r="A36" t="s">
        <v>209</v>
      </c>
      <c r="B36" s="15" t="s">
        <v>143</v>
      </c>
      <c r="C36" s="15" t="s">
        <v>142</v>
      </c>
      <c r="D36" s="15" t="s">
        <v>73</v>
      </c>
      <c r="F36" s="9">
        <v>6</v>
      </c>
      <c r="G36" s="9">
        <v>7</v>
      </c>
      <c r="H36" s="9"/>
      <c r="I36" s="9">
        <v>5</v>
      </c>
      <c r="J36" s="9">
        <v>4</v>
      </c>
      <c r="K36" s="9"/>
      <c r="L36" s="9">
        <v>167</v>
      </c>
      <c r="M36" s="9">
        <v>160</v>
      </c>
      <c r="N36" s="9">
        <f t="shared" si="12"/>
        <v>7</v>
      </c>
      <c r="O36" s="9">
        <v>95</v>
      </c>
      <c r="P36" s="9">
        <f t="shared" si="13"/>
        <v>1.7578947368421052</v>
      </c>
      <c r="Q36" s="39">
        <v>12</v>
      </c>
      <c r="R36" s="9">
        <v>-4</v>
      </c>
      <c r="U36" s="6">
        <f t="shared" si="14"/>
        <v>35</v>
      </c>
      <c r="V36" s="36">
        <f t="shared" si="15"/>
        <v>0.41796724242163313</v>
      </c>
      <c r="W36" s="34">
        <f t="shared" si="16"/>
        <v>0.46153846153846156</v>
      </c>
      <c r="X36" s="34">
        <f t="shared" si="17"/>
        <v>0.55555555555555558</v>
      </c>
      <c r="Y36" s="34">
        <f t="shared" si="18"/>
        <v>0.45257452574525747</v>
      </c>
      <c r="Z36" s="34">
        <f t="shared" si="19"/>
        <v>0.87719298245614041</v>
      </c>
      <c r="AA36" s="34">
        <f t="shared" si="20"/>
        <v>0.42738589211618255</v>
      </c>
      <c r="AB36" s="34">
        <f t="shared" si="21"/>
        <v>0.34638709842907756</v>
      </c>
      <c r="AC36" s="34">
        <f t="shared" si="22"/>
        <v>4.4150110375275942E-2</v>
      </c>
      <c r="AD36" s="34">
        <f t="shared" si="23"/>
        <v>4.5454545454545456E-2</v>
      </c>
    </row>
    <row r="37" spans="1:30" x14ac:dyDescent="0.35">
      <c r="A37" t="s">
        <v>207</v>
      </c>
      <c r="B37" s="15" t="s">
        <v>143</v>
      </c>
      <c r="C37" s="15" t="s">
        <v>142</v>
      </c>
      <c r="D37" s="15" t="s">
        <v>79</v>
      </c>
      <c r="F37" s="9">
        <v>7</v>
      </c>
      <c r="G37" s="9">
        <v>7</v>
      </c>
      <c r="H37" s="9" t="s">
        <v>6</v>
      </c>
      <c r="I37" s="9">
        <v>6</v>
      </c>
      <c r="J37" s="9">
        <v>3</v>
      </c>
      <c r="K37" s="9"/>
      <c r="L37" s="9">
        <v>188</v>
      </c>
      <c r="M37" s="9">
        <v>189</v>
      </c>
      <c r="N37" s="9">
        <f t="shared" si="12"/>
        <v>-1</v>
      </c>
      <c r="O37" s="9">
        <v>113</v>
      </c>
      <c r="P37" s="9">
        <f t="shared" si="13"/>
        <v>1.663716814159292</v>
      </c>
      <c r="Q37" s="39">
        <v>18</v>
      </c>
      <c r="R37" s="9">
        <v>7</v>
      </c>
      <c r="U37" s="6">
        <f t="shared" si="14"/>
        <v>36</v>
      </c>
      <c r="V37" s="36">
        <f t="shared" si="15"/>
        <v>0.41473544777276905</v>
      </c>
      <c r="W37" s="34">
        <f t="shared" si="16"/>
        <v>0.5</v>
      </c>
      <c r="X37" s="34">
        <f t="shared" si="17"/>
        <v>0.66666666666666663</v>
      </c>
      <c r="Y37" s="34">
        <f t="shared" si="18"/>
        <v>0.50948509485094851</v>
      </c>
      <c r="Z37" s="34">
        <f t="shared" si="19"/>
        <v>0.62280701754385959</v>
      </c>
      <c r="AA37" s="34">
        <f t="shared" si="20"/>
        <v>0.39419087136929459</v>
      </c>
      <c r="AB37" s="34">
        <f t="shared" si="21"/>
        <v>0.23413157825016209</v>
      </c>
      <c r="AC37" s="34">
        <f t="shared" si="22"/>
        <v>6.8432671081677707E-2</v>
      </c>
      <c r="AD37" s="34">
        <f t="shared" si="23"/>
        <v>6.8181818181818177E-2</v>
      </c>
    </row>
    <row r="38" spans="1:30" x14ac:dyDescent="0.35">
      <c r="A38" t="s">
        <v>242</v>
      </c>
      <c r="B38" s="17" t="s">
        <v>171</v>
      </c>
      <c r="C38" s="17" t="s">
        <v>162</v>
      </c>
      <c r="D38" s="17" t="s">
        <v>117</v>
      </c>
      <c r="F38">
        <v>6</v>
      </c>
      <c r="G38">
        <v>7</v>
      </c>
      <c r="I38">
        <v>5</v>
      </c>
      <c r="J38">
        <v>4</v>
      </c>
      <c r="L38">
        <v>185</v>
      </c>
      <c r="M38">
        <v>181</v>
      </c>
      <c r="N38" s="9">
        <f t="shared" si="12"/>
        <v>4</v>
      </c>
      <c r="O38">
        <v>101</v>
      </c>
      <c r="P38" s="9">
        <f t="shared" si="13"/>
        <v>1.8316831683168318</v>
      </c>
      <c r="Q38" s="39">
        <v>15</v>
      </c>
      <c r="R38" s="9">
        <v>1</v>
      </c>
      <c r="U38" s="6">
        <f t="shared" si="14"/>
        <v>37</v>
      </c>
      <c r="V38" s="36">
        <f t="shared" si="15"/>
        <v>0.41419845971875252</v>
      </c>
      <c r="W38" s="34">
        <f t="shared" si="16"/>
        <v>0.46153846153846156</v>
      </c>
      <c r="X38" s="34">
        <f t="shared" si="17"/>
        <v>0.55555555555555558</v>
      </c>
      <c r="Y38" s="34">
        <f t="shared" si="18"/>
        <v>0.50135501355013545</v>
      </c>
      <c r="Z38" s="34">
        <f t="shared" si="19"/>
        <v>0.69298245614035081</v>
      </c>
      <c r="AA38" s="34">
        <f t="shared" si="20"/>
        <v>0.41493775933609961</v>
      </c>
      <c r="AB38" s="34">
        <f t="shared" si="21"/>
        <v>0.43433933311871892</v>
      </c>
      <c r="AC38" s="34">
        <f t="shared" si="22"/>
        <v>5.518763796909492E-2</v>
      </c>
      <c r="AD38" s="34">
        <f t="shared" si="23"/>
        <v>5.6818181818181816E-2</v>
      </c>
    </row>
    <row r="39" spans="1:30" x14ac:dyDescent="0.35">
      <c r="A39" t="s">
        <v>205</v>
      </c>
      <c r="B39" s="15" t="s">
        <v>143</v>
      </c>
      <c r="C39" s="15" t="s">
        <v>142</v>
      </c>
      <c r="D39" s="15" t="s">
        <v>76</v>
      </c>
      <c r="F39" s="9">
        <v>7</v>
      </c>
      <c r="G39" s="9">
        <v>6</v>
      </c>
      <c r="H39" s="9"/>
      <c r="I39" s="9">
        <v>5</v>
      </c>
      <c r="J39" s="9">
        <v>4</v>
      </c>
      <c r="K39" s="9"/>
      <c r="L39" s="9">
        <v>186</v>
      </c>
      <c r="M39" s="9">
        <v>185</v>
      </c>
      <c r="N39" s="9">
        <f t="shared" si="12"/>
        <v>1</v>
      </c>
      <c r="O39" s="9">
        <v>109</v>
      </c>
      <c r="P39" s="9">
        <f t="shared" si="13"/>
        <v>1.7064220183486238</v>
      </c>
      <c r="Q39" s="39">
        <v>12</v>
      </c>
      <c r="R39" s="9">
        <v>-14</v>
      </c>
      <c r="U39" s="6">
        <f t="shared" si="14"/>
        <v>38</v>
      </c>
      <c r="V39" s="36">
        <f t="shared" si="15"/>
        <v>0.40848105512861999</v>
      </c>
      <c r="W39" s="34">
        <f t="shared" si="16"/>
        <v>0.53846153846153844</v>
      </c>
      <c r="X39" s="34">
        <f t="shared" si="17"/>
        <v>0.55555555555555558</v>
      </c>
      <c r="Y39" s="34">
        <f t="shared" si="18"/>
        <v>0.50406504065040647</v>
      </c>
      <c r="Z39" s="34">
        <f t="shared" si="19"/>
        <v>0.65789473684210531</v>
      </c>
      <c r="AA39" s="34">
        <f t="shared" si="20"/>
        <v>0.40248962655601661</v>
      </c>
      <c r="AB39" s="34">
        <f t="shared" si="21"/>
        <v>0.28503411224176284</v>
      </c>
      <c r="AC39" s="34">
        <f t="shared" si="22"/>
        <v>2.2075055187637971E-2</v>
      </c>
      <c r="AD39" s="34">
        <f t="shared" si="23"/>
        <v>4.5454545454545456E-2</v>
      </c>
    </row>
    <row r="40" spans="1:30" x14ac:dyDescent="0.35">
      <c r="A40" t="s">
        <v>277</v>
      </c>
      <c r="B40" s="21" t="s">
        <v>173</v>
      </c>
      <c r="C40" s="21" t="s">
        <v>167</v>
      </c>
      <c r="D40" s="21" t="s">
        <v>292</v>
      </c>
      <c r="F40">
        <v>6</v>
      </c>
      <c r="G40">
        <v>7</v>
      </c>
      <c r="I40">
        <v>4</v>
      </c>
      <c r="J40">
        <v>5</v>
      </c>
      <c r="L40">
        <v>173</v>
      </c>
      <c r="M40">
        <v>171</v>
      </c>
      <c r="N40" s="9">
        <f t="shared" si="12"/>
        <v>2</v>
      </c>
      <c r="O40">
        <v>105</v>
      </c>
      <c r="P40" s="9">
        <f t="shared" si="13"/>
        <v>1.6476190476190475</v>
      </c>
      <c r="Q40" s="39">
        <v>22</v>
      </c>
      <c r="R40" s="9">
        <v>63</v>
      </c>
      <c r="U40" s="6">
        <f t="shared" si="14"/>
        <v>39</v>
      </c>
      <c r="V40" s="36">
        <f t="shared" si="15"/>
        <v>0.40213782248576246</v>
      </c>
      <c r="W40" s="34">
        <f t="shared" si="16"/>
        <v>0.46153846153846156</v>
      </c>
      <c r="X40" s="34">
        <f t="shared" si="17"/>
        <v>0.44444444444444442</v>
      </c>
      <c r="Y40" s="34">
        <f t="shared" si="18"/>
        <v>0.46883468834688347</v>
      </c>
      <c r="Z40" s="34">
        <f t="shared" si="19"/>
        <v>0.7807017543859649</v>
      </c>
      <c r="AA40" s="34">
        <f t="shared" si="20"/>
        <v>0.40663900414937759</v>
      </c>
      <c r="AB40" s="34">
        <f t="shared" si="21"/>
        <v>0.21494382059723549</v>
      </c>
      <c r="AC40" s="34">
        <f t="shared" si="22"/>
        <v>0.19205298013245034</v>
      </c>
      <c r="AD40" s="34">
        <f t="shared" si="23"/>
        <v>8.3333333333333329E-2</v>
      </c>
    </row>
    <row r="41" spans="1:30" x14ac:dyDescent="0.35">
      <c r="A41" t="s">
        <v>217</v>
      </c>
      <c r="B41" s="15" t="s">
        <v>143</v>
      </c>
      <c r="C41" s="15" t="s">
        <v>159</v>
      </c>
      <c r="D41" s="15" t="s">
        <v>88</v>
      </c>
      <c r="F41" s="9">
        <v>6</v>
      </c>
      <c r="G41" s="9">
        <v>7</v>
      </c>
      <c r="I41">
        <v>4</v>
      </c>
      <c r="J41" s="9">
        <v>5</v>
      </c>
      <c r="L41" s="9">
        <v>174</v>
      </c>
      <c r="M41" s="9">
        <v>175</v>
      </c>
      <c r="N41" s="9">
        <f t="shared" si="12"/>
        <v>-1</v>
      </c>
      <c r="O41" s="9">
        <v>95</v>
      </c>
      <c r="P41" s="9">
        <f t="shared" si="13"/>
        <v>1.831578947368421</v>
      </c>
      <c r="Q41" s="39">
        <v>12</v>
      </c>
      <c r="R41" s="9">
        <v>4</v>
      </c>
      <c r="U41" s="6">
        <f t="shared" si="14"/>
        <v>40</v>
      </c>
      <c r="V41" s="36">
        <f t="shared" si="15"/>
        <v>0.3981520053730877</v>
      </c>
      <c r="W41" s="34">
        <f t="shared" si="16"/>
        <v>0.46153846153846156</v>
      </c>
      <c r="X41" s="34">
        <f t="shared" si="17"/>
        <v>0.44444444444444442</v>
      </c>
      <c r="Y41" s="34">
        <f t="shared" si="18"/>
        <v>0.47154471544715448</v>
      </c>
      <c r="Z41" s="34">
        <f t="shared" si="19"/>
        <v>0.74561403508771928</v>
      </c>
      <c r="AA41" s="34">
        <f t="shared" si="20"/>
        <v>0.39419087136929459</v>
      </c>
      <c r="AB41" s="34">
        <f t="shared" si="21"/>
        <v>0.43421510679853564</v>
      </c>
      <c r="AC41" s="34">
        <f t="shared" si="22"/>
        <v>6.1810154525386317E-2</v>
      </c>
      <c r="AD41" s="34">
        <f t="shared" si="23"/>
        <v>4.5454545454545456E-2</v>
      </c>
    </row>
    <row r="42" spans="1:30" x14ac:dyDescent="0.35">
      <c r="A42" t="s">
        <v>210</v>
      </c>
      <c r="B42" s="15" t="s">
        <v>143</v>
      </c>
      <c r="C42" s="15" t="s">
        <v>159</v>
      </c>
      <c r="D42" s="15" t="s">
        <v>84</v>
      </c>
      <c r="F42" s="9">
        <v>6</v>
      </c>
      <c r="G42" s="9">
        <v>7</v>
      </c>
      <c r="I42">
        <v>5</v>
      </c>
      <c r="J42" s="9">
        <v>4</v>
      </c>
      <c r="L42" s="9">
        <v>179</v>
      </c>
      <c r="M42" s="9">
        <v>179</v>
      </c>
      <c r="N42" s="9">
        <f t="shared" si="12"/>
        <v>0</v>
      </c>
      <c r="O42" s="9">
        <v>109</v>
      </c>
      <c r="P42" s="9">
        <f t="shared" si="13"/>
        <v>1.6422018348623852</v>
      </c>
      <c r="Q42" s="39">
        <v>12</v>
      </c>
      <c r="R42" s="9">
        <v>25</v>
      </c>
      <c r="U42" s="6">
        <f t="shared" si="14"/>
        <v>41</v>
      </c>
      <c r="V42" s="36">
        <f t="shared" si="15"/>
        <v>0.3974606596734277</v>
      </c>
      <c r="W42" s="34">
        <f t="shared" si="16"/>
        <v>0.46153846153846156</v>
      </c>
      <c r="X42" s="34">
        <f t="shared" si="17"/>
        <v>0.55555555555555558</v>
      </c>
      <c r="Y42" s="34">
        <f t="shared" si="18"/>
        <v>0.48509485094850946</v>
      </c>
      <c r="Z42" s="34">
        <f t="shared" si="19"/>
        <v>0.71052631578947367</v>
      </c>
      <c r="AA42" s="34">
        <f t="shared" si="20"/>
        <v>0.39834024896265557</v>
      </c>
      <c r="AB42" s="34">
        <f t="shared" si="21"/>
        <v>0.20848676549773967</v>
      </c>
      <c r="AC42" s="34">
        <f t="shared" si="22"/>
        <v>0.10816777041942605</v>
      </c>
      <c r="AD42" s="34">
        <f t="shared" si="23"/>
        <v>4.5454545454545456E-2</v>
      </c>
    </row>
    <row r="43" spans="1:30" x14ac:dyDescent="0.35">
      <c r="A43" t="s">
        <v>225</v>
      </c>
      <c r="B43" s="16" t="s">
        <v>144</v>
      </c>
      <c r="C43" s="16" t="s">
        <v>161</v>
      </c>
      <c r="D43" s="16" t="s">
        <v>59</v>
      </c>
      <c r="F43">
        <v>6</v>
      </c>
      <c r="G43">
        <v>7</v>
      </c>
      <c r="I43">
        <v>4</v>
      </c>
      <c r="J43">
        <v>5</v>
      </c>
      <c r="L43">
        <v>170</v>
      </c>
      <c r="M43">
        <v>172</v>
      </c>
      <c r="N43" s="9">
        <f t="shared" si="12"/>
        <v>-2</v>
      </c>
      <c r="O43">
        <v>96</v>
      </c>
      <c r="P43" s="9">
        <f t="shared" si="13"/>
        <v>1.7708333333333333</v>
      </c>
      <c r="Q43" s="39">
        <v>15</v>
      </c>
      <c r="R43" s="9">
        <v>15</v>
      </c>
      <c r="U43" s="6">
        <f t="shared" si="14"/>
        <v>42</v>
      </c>
      <c r="V43" s="36">
        <f t="shared" si="15"/>
        <v>0.39625461881231444</v>
      </c>
      <c r="W43" s="34">
        <f t="shared" si="16"/>
        <v>0.46153846153846156</v>
      </c>
      <c r="X43" s="34">
        <f t="shared" si="17"/>
        <v>0.44444444444444442</v>
      </c>
      <c r="Y43" s="34">
        <f t="shared" si="18"/>
        <v>0.46070460704607047</v>
      </c>
      <c r="Z43" s="34">
        <f t="shared" si="19"/>
        <v>0.77192982456140347</v>
      </c>
      <c r="AA43" s="34">
        <f t="shared" si="20"/>
        <v>0.39004149377593361</v>
      </c>
      <c r="AB43" s="34">
        <f t="shared" si="21"/>
        <v>0.3618092784701431</v>
      </c>
      <c r="AC43" s="34">
        <f t="shared" si="22"/>
        <v>8.6092715231788075E-2</v>
      </c>
      <c r="AD43" s="34">
        <f t="shared" si="23"/>
        <v>5.6818181818181816E-2</v>
      </c>
    </row>
    <row r="44" spans="1:30" x14ac:dyDescent="0.35">
      <c r="A44" t="s">
        <v>231</v>
      </c>
      <c r="B44" s="16" t="s">
        <v>144</v>
      </c>
      <c r="C44" s="16" t="s">
        <v>161</v>
      </c>
      <c r="D44" s="16" t="s">
        <v>60</v>
      </c>
      <c r="F44">
        <v>6</v>
      </c>
      <c r="G44">
        <v>7</v>
      </c>
      <c r="I44">
        <v>5</v>
      </c>
      <c r="J44">
        <v>4</v>
      </c>
      <c r="L44">
        <v>171</v>
      </c>
      <c r="M44">
        <v>191</v>
      </c>
      <c r="N44" s="9">
        <f t="shared" si="12"/>
        <v>-20</v>
      </c>
      <c r="O44">
        <v>98</v>
      </c>
      <c r="P44" s="9">
        <f t="shared" si="13"/>
        <v>1.7448979591836735</v>
      </c>
      <c r="Q44" s="39">
        <v>15</v>
      </c>
      <c r="R44" s="9">
        <v>45</v>
      </c>
      <c r="U44" s="6">
        <f t="shared" si="14"/>
        <v>43</v>
      </c>
      <c r="V44" s="36">
        <f t="shared" si="15"/>
        <v>0.39589914576731844</v>
      </c>
      <c r="W44" s="34">
        <f t="shared" si="16"/>
        <v>0.46153846153846156</v>
      </c>
      <c r="X44" s="34">
        <f t="shared" si="17"/>
        <v>0.55555555555555558</v>
      </c>
      <c r="Y44" s="34">
        <f t="shared" si="18"/>
        <v>0.46341463414634149</v>
      </c>
      <c r="Z44" s="34">
        <f t="shared" si="19"/>
        <v>0.60526315789473684</v>
      </c>
      <c r="AA44" s="34">
        <f t="shared" si="20"/>
        <v>0.31535269709543567</v>
      </c>
      <c r="AB44" s="34">
        <f t="shared" si="21"/>
        <v>0.33089556925603919</v>
      </c>
      <c r="AC44" s="34">
        <f t="shared" si="22"/>
        <v>0.15231788079470199</v>
      </c>
      <c r="AD44" s="34">
        <f t="shared" si="23"/>
        <v>5.6818181818181816E-2</v>
      </c>
    </row>
    <row r="45" spans="1:30" x14ac:dyDescent="0.35">
      <c r="A45" t="s">
        <v>270</v>
      </c>
      <c r="B45" s="21" t="s">
        <v>173</v>
      </c>
      <c r="C45" s="21" t="s">
        <v>166</v>
      </c>
      <c r="D45" s="21" t="s">
        <v>26</v>
      </c>
      <c r="F45">
        <v>7</v>
      </c>
      <c r="G45">
        <v>6</v>
      </c>
      <c r="I45">
        <v>3</v>
      </c>
      <c r="J45">
        <v>6</v>
      </c>
      <c r="L45">
        <v>181</v>
      </c>
      <c r="M45">
        <v>193</v>
      </c>
      <c r="N45" s="9">
        <f t="shared" si="12"/>
        <v>-12</v>
      </c>
      <c r="O45">
        <v>107</v>
      </c>
      <c r="P45" s="9">
        <f t="shared" si="13"/>
        <v>1.691588785046729</v>
      </c>
      <c r="Q45" s="39">
        <v>22</v>
      </c>
      <c r="R45" s="9">
        <v>81</v>
      </c>
      <c r="U45" s="6">
        <f t="shared" si="14"/>
        <v>44</v>
      </c>
      <c r="V45" s="36">
        <f t="shared" si="15"/>
        <v>0.3929638170195196</v>
      </c>
      <c r="W45" s="34">
        <f t="shared" si="16"/>
        <v>0.53846153846153844</v>
      </c>
      <c r="X45" s="34">
        <f t="shared" si="17"/>
        <v>0.33333333333333331</v>
      </c>
      <c r="Y45" s="34">
        <f t="shared" si="18"/>
        <v>0.49051490514905149</v>
      </c>
      <c r="Z45" s="34">
        <f t="shared" si="19"/>
        <v>0.58771929824561409</v>
      </c>
      <c r="AA45" s="34">
        <f t="shared" si="20"/>
        <v>0.34854771784232363</v>
      </c>
      <c r="AB45" s="34">
        <f t="shared" si="21"/>
        <v>0.26735361693239579</v>
      </c>
      <c r="AC45" s="34">
        <f t="shared" si="22"/>
        <v>0.23178807947019867</v>
      </c>
      <c r="AD45" s="34">
        <f t="shared" si="23"/>
        <v>8.3333333333333329E-2</v>
      </c>
    </row>
    <row r="46" spans="1:30" x14ac:dyDescent="0.35">
      <c r="A46" t="s">
        <v>374</v>
      </c>
      <c r="B46" s="16" t="s">
        <v>144</v>
      </c>
      <c r="C46" s="16" t="s">
        <v>160</v>
      </c>
      <c r="D46" s="16" t="s">
        <v>68</v>
      </c>
      <c r="F46">
        <v>7</v>
      </c>
      <c r="G46">
        <v>6</v>
      </c>
      <c r="I46">
        <v>5</v>
      </c>
      <c r="J46">
        <v>4</v>
      </c>
      <c r="L46">
        <v>185</v>
      </c>
      <c r="M46">
        <v>223</v>
      </c>
      <c r="N46" s="9">
        <f t="shared" si="12"/>
        <v>-38</v>
      </c>
      <c r="O46">
        <v>107</v>
      </c>
      <c r="P46" s="9">
        <f t="shared" si="13"/>
        <v>1.7289719626168225</v>
      </c>
      <c r="Q46" s="39">
        <v>15</v>
      </c>
      <c r="R46" s="9">
        <v>46</v>
      </c>
      <c r="U46" s="6">
        <f t="shared" si="14"/>
        <v>45</v>
      </c>
      <c r="V46" s="36">
        <f t="shared" si="15"/>
        <v>0.38181772204281089</v>
      </c>
      <c r="W46" s="34">
        <f t="shared" si="16"/>
        <v>0.53846153846153844</v>
      </c>
      <c r="X46" s="34">
        <f t="shared" si="17"/>
        <v>0.55555555555555558</v>
      </c>
      <c r="Y46" s="34">
        <f t="shared" si="18"/>
        <v>0.50135501355013545</v>
      </c>
      <c r="Z46" s="34">
        <f t="shared" si="19"/>
        <v>0.32456140350877194</v>
      </c>
      <c r="AA46" s="34">
        <f t="shared" si="20"/>
        <v>0.24066390041493776</v>
      </c>
      <c r="AB46" s="34">
        <f t="shared" si="21"/>
        <v>0.31191255308779514</v>
      </c>
      <c r="AC46" s="34">
        <f t="shared" si="22"/>
        <v>0.1545253863134658</v>
      </c>
      <c r="AD46" s="34">
        <f t="shared" si="23"/>
        <v>5.6818181818181816E-2</v>
      </c>
    </row>
    <row r="47" spans="1:30" x14ac:dyDescent="0.35">
      <c r="A47" t="s">
        <v>222</v>
      </c>
      <c r="B47" s="16" t="s">
        <v>144</v>
      </c>
      <c r="C47" s="16" t="s">
        <v>160</v>
      </c>
      <c r="D47" s="16" t="s">
        <v>114</v>
      </c>
      <c r="F47">
        <v>6</v>
      </c>
      <c r="G47">
        <v>7</v>
      </c>
      <c r="I47">
        <v>4</v>
      </c>
      <c r="J47">
        <v>5</v>
      </c>
      <c r="L47">
        <v>177</v>
      </c>
      <c r="M47">
        <v>205</v>
      </c>
      <c r="N47" s="9">
        <f t="shared" si="12"/>
        <v>-28</v>
      </c>
      <c r="O47">
        <v>97</v>
      </c>
      <c r="P47" s="9">
        <f t="shared" si="13"/>
        <v>1.8247422680412371</v>
      </c>
      <c r="Q47" s="39">
        <v>15</v>
      </c>
      <c r="R47" s="9">
        <v>62</v>
      </c>
      <c r="U47" s="6">
        <f t="shared" si="14"/>
        <v>46</v>
      </c>
      <c r="V47" s="36">
        <f t="shared" si="15"/>
        <v>0.38040448531211002</v>
      </c>
      <c r="W47" s="34">
        <f t="shared" si="16"/>
        <v>0.46153846153846156</v>
      </c>
      <c r="X47" s="34">
        <f t="shared" si="17"/>
        <v>0.44444444444444442</v>
      </c>
      <c r="Y47" s="34">
        <f t="shared" si="18"/>
        <v>0.47967479674796748</v>
      </c>
      <c r="Z47" s="34">
        <f t="shared" si="19"/>
        <v>0.48245614035087714</v>
      </c>
      <c r="AA47" s="34">
        <f t="shared" si="20"/>
        <v>0.28215767634854771</v>
      </c>
      <c r="AB47" s="34">
        <f t="shared" si="21"/>
        <v>0.42606611633126634</v>
      </c>
      <c r="AC47" s="34">
        <f t="shared" si="22"/>
        <v>0.18984547461368653</v>
      </c>
      <c r="AD47" s="34">
        <f t="shared" si="23"/>
        <v>5.6818181818181816E-2</v>
      </c>
    </row>
    <row r="48" spans="1:30" x14ac:dyDescent="0.35">
      <c r="A48" t="s">
        <v>244</v>
      </c>
      <c r="B48" s="17" t="s">
        <v>171</v>
      </c>
      <c r="C48" s="17" t="s">
        <v>162</v>
      </c>
      <c r="D48" s="17" t="s">
        <v>55</v>
      </c>
      <c r="F48">
        <v>5</v>
      </c>
      <c r="G48">
        <v>8</v>
      </c>
      <c r="I48">
        <v>5</v>
      </c>
      <c r="J48">
        <v>4</v>
      </c>
      <c r="L48">
        <v>177</v>
      </c>
      <c r="M48">
        <v>188</v>
      </c>
      <c r="N48" s="9">
        <f t="shared" si="12"/>
        <v>-11</v>
      </c>
      <c r="O48">
        <v>94</v>
      </c>
      <c r="P48" s="9">
        <f t="shared" si="13"/>
        <v>1.8829787234042554</v>
      </c>
      <c r="Q48" s="39">
        <v>15</v>
      </c>
      <c r="R48" s="9">
        <v>-21</v>
      </c>
      <c r="U48" s="6">
        <f t="shared" si="14"/>
        <v>47</v>
      </c>
      <c r="V48" s="36">
        <f t="shared" si="15"/>
        <v>0.37926466492783656</v>
      </c>
      <c r="W48" s="34">
        <f t="shared" si="16"/>
        <v>0.38461538461538464</v>
      </c>
      <c r="X48" s="34">
        <f t="shared" si="17"/>
        <v>0.55555555555555558</v>
      </c>
      <c r="Y48" s="34">
        <f t="shared" si="18"/>
        <v>0.47967479674796748</v>
      </c>
      <c r="Z48" s="34">
        <f t="shared" si="19"/>
        <v>0.63157894736842102</v>
      </c>
      <c r="AA48" s="34">
        <f t="shared" si="20"/>
        <v>0.35269709543568467</v>
      </c>
      <c r="AB48" s="34">
        <f t="shared" si="21"/>
        <v>0.49548114911096935</v>
      </c>
      <c r="AC48" s="34">
        <f t="shared" si="22"/>
        <v>6.6225165562913907E-3</v>
      </c>
      <c r="AD48" s="34">
        <f t="shared" si="23"/>
        <v>5.6818181818181816E-2</v>
      </c>
    </row>
    <row r="49" spans="1:30" x14ac:dyDescent="0.35">
      <c r="A49" t="s">
        <v>219</v>
      </c>
      <c r="B49" s="16" t="s">
        <v>144</v>
      </c>
      <c r="C49" s="16" t="s">
        <v>160</v>
      </c>
      <c r="D49" s="16" t="s">
        <v>66</v>
      </c>
      <c r="F49">
        <v>6</v>
      </c>
      <c r="G49">
        <v>7</v>
      </c>
      <c r="I49">
        <v>5</v>
      </c>
      <c r="J49">
        <v>4</v>
      </c>
      <c r="L49">
        <v>180</v>
      </c>
      <c r="M49">
        <v>203</v>
      </c>
      <c r="N49" s="9">
        <f t="shared" si="12"/>
        <v>-23</v>
      </c>
      <c r="O49">
        <v>109</v>
      </c>
      <c r="P49" s="9">
        <f t="shared" si="13"/>
        <v>1.6513761467889909</v>
      </c>
      <c r="Q49" s="39">
        <v>15</v>
      </c>
      <c r="R49" s="9">
        <v>56</v>
      </c>
      <c r="U49" s="6">
        <f t="shared" si="14"/>
        <v>48</v>
      </c>
      <c r="V49" s="36">
        <f t="shared" si="15"/>
        <v>0.37906207834512529</v>
      </c>
      <c r="W49" s="34">
        <f t="shared" si="16"/>
        <v>0.46153846153846156</v>
      </c>
      <c r="X49" s="34">
        <f t="shared" si="17"/>
        <v>0.55555555555555558</v>
      </c>
      <c r="Y49" s="34">
        <f t="shared" si="18"/>
        <v>0.48780487804878048</v>
      </c>
      <c r="Z49" s="34">
        <f t="shared" si="19"/>
        <v>0.5</v>
      </c>
      <c r="AA49" s="34">
        <f t="shared" si="20"/>
        <v>0.30290456431535268</v>
      </c>
      <c r="AB49" s="34">
        <f t="shared" si="21"/>
        <v>0.21942210074688603</v>
      </c>
      <c r="AC49" s="34">
        <f t="shared" si="22"/>
        <v>0.17660044150110377</v>
      </c>
      <c r="AD49" s="34">
        <f t="shared" si="23"/>
        <v>5.6818181818181816E-2</v>
      </c>
    </row>
    <row r="50" spans="1:30" x14ac:dyDescent="0.35">
      <c r="A50" t="s">
        <v>233</v>
      </c>
      <c r="B50" s="17" t="s">
        <v>171</v>
      </c>
      <c r="C50" s="17" t="s">
        <v>163</v>
      </c>
      <c r="D50" s="17" t="s">
        <v>48</v>
      </c>
      <c r="F50">
        <v>6</v>
      </c>
      <c r="G50">
        <v>7</v>
      </c>
      <c r="I50">
        <v>5</v>
      </c>
      <c r="J50">
        <v>4</v>
      </c>
      <c r="L50">
        <v>179</v>
      </c>
      <c r="M50">
        <v>188</v>
      </c>
      <c r="N50" s="9">
        <f t="shared" si="12"/>
        <v>-9</v>
      </c>
      <c r="O50">
        <v>109</v>
      </c>
      <c r="P50" s="9">
        <f t="shared" si="13"/>
        <v>1.6422018348623852</v>
      </c>
      <c r="Q50" s="39">
        <v>15</v>
      </c>
      <c r="R50" s="9">
        <v>-2</v>
      </c>
      <c r="U50" s="6">
        <f t="shared" si="14"/>
        <v>49</v>
      </c>
      <c r="V50" s="36">
        <f t="shared" si="15"/>
        <v>0.37745926746448599</v>
      </c>
      <c r="W50" s="34">
        <f t="shared" si="16"/>
        <v>0.46153846153846156</v>
      </c>
      <c r="X50" s="34">
        <f t="shared" si="17"/>
        <v>0.55555555555555558</v>
      </c>
      <c r="Y50" s="34">
        <f t="shared" si="18"/>
        <v>0.48509485094850946</v>
      </c>
      <c r="Z50" s="34">
        <f t="shared" si="19"/>
        <v>0.63157894736842102</v>
      </c>
      <c r="AA50" s="34">
        <f t="shared" si="20"/>
        <v>0.36099585062240663</v>
      </c>
      <c r="AB50" s="34">
        <f t="shared" si="21"/>
        <v>0.20848676549773967</v>
      </c>
      <c r="AC50" s="34">
        <f t="shared" si="22"/>
        <v>4.856512141280353E-2</v>
      </c>
      <c r="AD50" s="34">
        <f t="shared" si="23"/>
        <v>5.6818181818181816E-2</v>
      </c>
    </row>
    <row r="51" spans="1:30" x14ac:dyDescent="0.35">
      <c r="A51" t="s">
        <v>228</v>
      </c>
      <c r="B51" s="16" t="s">
        <v>144</v>
      </c>
      <c r="C51" s="16" t="s">
        <v>161</v>
      </c>
      <c r="D51" s="16" t="s">
        <v>63</v>
      </c>
      <c r="F51">
        <v>6</v>
      </c>
      <c r="G51">
        <v>7</v>
      </c>
      <c r="I51">
        <v>4</v>
      </c>
      <c r="J51">
        <v>5</v>
      </c>
      <c r="L51">
        <v>178</v>
      </c>
      <c r="M51">
        <v>189</v>
      </c>
      <c r="N51" s="9">
        <f t="shared" si="12"/>
        <v>-11</v>
      </c>
      <c r="O51">
        <v>102</v>
      </c>
      <c r="P51" s="9">
        <f t="shared" si="13"/>
        <v>1.7450980392156863</v>
      </c>
      <c r="Q51" s="39">
        <v>15</v>
      </c>
      <c r="R51" s="9">
        <v>8</v>
      </c>
      <c r="U51" s="6">
        <f t="shared" si="14"/>
        <v>50</v>
      </c>
      <c r="V51" s="36">
        <f t="shared" si="15"/>
        <v>0.37439051681091085</v>
      </c>
      <c r="W51" s="34">
        <f t="shared" si="16"/>
        <v>0.46153846153846156</v>
      </c>
      <c r="X51" s="34">
        <f t="shared" si="17"/>
        <v>0.44444444444444442</v>
      </c>
      <c r="Y51" s="34">
        <f t="shared" si="18"/>
        <v>0.4823848238482385</v>
      </c>
      <c r="Z51" s="34">
        <f t="shared" si="19"/>
        <v>0.62280701754385959</v>
      </c>
      <c r="AA51" s="34">
        <f t="shared" si="20"/>
        <v>0.35269709543568467</v>
      </c>
      <c r="AB51" s="34">
        <f t="shared" si="21"/>
        <v>0.33113405495875159</v>
      </c>
      <c r="AC51" s="34">
        <f t="shared" si="22"/>
        <v>7.0640176600441501E-2</v>
      </c>
      <c r="AD51" s="34">
        <f t="shared" si="23"/>
        <v>5.6818181818181816E-2</v>
      </c>
    </row>
    <row r="52" spans="1:30" x14ac:dyDescent="0.35">
      <c r="A52" t="s">
        <v>235</v>
      </c>
      <c r="B52" s="17" t="s">
        <v>171</v>
      </c>
      <c r="C52" s="17" t="s">
        <v>163</v>
      </c>
      <c r="D52" s="17" t="s">
        <v>50</v>
      </c>
      <c r="F52">
        <v>6</v>
      </c>
      <c r="G52">
        <v>7</v>
      </c>
      <c r="I52">
        <v>4</v>
      </c>
      <c r="J52">
        <v>5</v>
      </c>
      <c r="L52">
        <v>178</v>
      </c>
      <c r="M52">
        <v>193</v>
      </c>
      <c r="N52" s="9">
        <f t="shared" si="12"/>
        <v>-15</v>
      </c>
      <c r="O52">
        <v>103</v>
      </c>
      <c r="P52" s="9">
        <f t="shared" si="13"/>
        <v>1.7281553398058251</v>
      </c>
      <c r="Q52" s="39">
        <v>15</v>
      </c>
      <c r="R52" s="9">
        <v>22</v>
      </c>
      <c r="U52" s="6">
        <f t="shared" si="14"/>
        <v>51</v>
      </c>
      <c r="V52" s="36">
        <f t="shared" si="15"/>
        <v>0.37183826776415729</v>
      </c>
      <c r="W52" s="34">
        <f t="shared" si="16"/>
        <v>0.46153846153846156</v>
      </c>
      <c r="X52" s="34">
        <f t="shared" si="17"/>
        <v>0.44444444444444442</v>
      </c>
      <c r="Y52" s="34">
        <f t="shared" si="18"/>
        <v>0.4823848238482385</v>
      </c>
      <c r="Z52" s="34">
        <f t="shared" si="19"/>
        <v>0.58771929824561409</v>
      </c>
      <c r="AA52" s="34">
        <f t="shared" si="20"/>
        <v>0.33609958506224069</v>
      </c>
      <c r="AB52" s="34">
        <f t="shared" si="21"/>
        <v>0.3109391782688663</v>
      </c>
      <c r="AC52" s="34">
        <f t="shared" si="22"/>
        <v>0.10154525386313466</v>
      </c>
      <c r="AD52" s="34">
        <f t="shared" si="23"/>
        <v>5.6818181818181816E-2</v>
      </c>
    </row>
    <row r="53" spans="1:30" x14ac:dyDescent="0.35">
      <c r="A53" t="s">
        <v>247</v>
      </c>
      <c r="B53" s="17" t="s">
        <v>171</v>
      </c>
      <c r="C53" s="17" t="s">
        <v>162</v>
      </c>
      <c r="D53" s="17" t="s">
        <v>56</v>
      </c>
      <c r="F53">
        <v>6</v>
      </c>
      <c r="G53">
        <v>7</v>
      </c>
      <c r="I53">
        <v>4</v>
      </c>
      <c r="J53">
        <v>5</v>
      </c>
      <c r="L53">
        <v>192</v>
      </c>
      <c r="M53">
        <v>182</v>
      </c>
      <c r="N53" s="9">
        <f t="shared" si="12"/>
        <v>10</v>
      </c>
      <c r="O53">
        <v>123</v>
      </c>
      <c r="P53" s="9">
        <f t="shared" si="13"/>
        <v>1.5609756097560976</v>
      </c>
      <c r="Q53" s="39">
        <v>15</v>
      </c>
      <c r="R53" s="9">
        <v>-16</v>
      </c>
      <c r="U53" s="6">
        <f t="shared" si="14"/>
        <v>52</v>
      </c>
      <c r="V53" s="36">
        <f t="shared" si="15"/>
        <v>0.3631450773329879</v>
      </c>
      <c r="W53" s="34">
        <f t="shared" si="16"/>
        <v>0.46153846153846156</v>
      </c>
      <c r="X53" s="34">
        <f t="shared" si="17"/>
        <v>0.44444444444444442</v>
      </c>
      <c r="Y53" s="34">
        <f t="shared" si="18"/>
        <v>0.52032520325203258</v>
      </c>
      <c r="Z53" s="34">
        <f t="shared" si="19"/>
        <v>0.68421052631578949</v>
      </c>
      <c r="AA53" s="34">
        <f t="shared" si="20"/>
        <v>0.43983402489626555</v>
      </c>
      <c r="AB53" s="34">
        <f t="shared" si="21"/>
        <v>0.1116690412187141</v>
      </c>
      <c r="AC53" s="34">
        <f t="shared" si="22"/>
        <v>1.7660044150110375E-2</v>
      </c>
      <c r="AD53" s="34">
        <f t="shared" si="23"/>
        <v>5.6818181818181816E-2</v>
      </c>
    </row>
    <row r="54" spans="1:30" x14ac:dyDescent="0.35">
      <c r="A54" t="s">
        <v>212</v>
      </c>
      <c r="B54" s="15" t="s">
        <v>143</v>
      </c>
      <c r="C54" s="15" t="s">
        <v>159</v>
      </c>
      <c r="D54" s="15" t="s">
        <v>87</v>
      </c>
      <c r="F54" s="9">
        <v>5</v>
      </c>
      <c r="G54" s="9">
        <v>8</v>
      </c>
      <c r="I54" s="9">
        <v>5</v>
      </c>
      <c r="J54" s="9">
        <v>4</v>
      </c>
      <c r="L54" s="9">
        <v>190</v>
      </c>
      <c r="M54" s="9">
        <v>198</v>
      </c>
      <c r="N54" s="9">
        <f t="shared" si="12"/>
        <v>-8</v>
      </c>
      <c r="O54" s="9">
        <v>114</v>
      </c>
      <c r="P54" s="9">
        <f t="shared" si="13"/>
        <v>1.6666666666666667</v>
      </c>
      <c r="Q54" s="39">
        <v>12</v>
      </c>
      <c r="R54" s="9">
        <v>-14</v>
      </c>
      <c r="U54" s="6">
        <f t="shared" si="14"/>
        <v>53</v>
      </c>
      <c r="V54" s="36">
        <f t="shared" si="15"/>
        <v>0.35122693362660529</v>
      </c>
      <c r="W54" s="34">
        <f t="shared" si="16"/>
        <v>0.38461538461538464</v>
      </c>
      <c r="X54" s="34">
        <f t="shared" si="17"/>
        <v>0.55555555555555558</v>
      </c>
      <c r="Y54" s="34">
        <f t="shared" si="18"/>
        <v>0.51490514905149054</v>
      </c>
      <c r="Z54" s="34">
        <f t="shared" si="19"/>
        <v>0.54385964912280704</v>
      </c>
      <c r="AA54" s="34">
        <f t="shared" si="20"/>
        <v>0.36514522821576761</v>
      </c>
      <c r="AB54" s="34">
        <f t="shared" si="21"/>
        <v>0.23764765949546293</v>
      </c>
      <c r="AC54" s="34">
        <f t="shared" si="22"/>
        <v>2.2075055187637971E-2</v>
      </c>
      <c r="AD54" s="34">
        <f t="shared" si="23"/>
        <v>4.5454545454545456E-2</v>
      </c>
    </row>
    <row r="55" spans="1:30" x14ac:dyDescent="0.35">
      <c r="A55" t="s">
        <v>264</v>
      </c>
      <c r="B55" s="19" t="s">
        <v>172</v>
      </c>
      <c r="C55" s="19" t="s">
        <v>164</v>
      </c>
      <c r="D55" s="19" t="s">
        <v>42</v>
      </c>
      <c r="F55">
        <v>3</v>
      </c>
      <c r="G55">
        <v>10</v>
      </c>
      <c r="I55">
        <v>3</v>
      </c>
      <c r="J55">
        <v>6</v>
      </c>
      <c r="L55">
        <f>159+28</f>
        <v>187</v>
      </c>
      <c r="M55">
        <v>174</v>
      </c>
      <c r="N55" s="9">
        <f t="shared" si="12"/>
        <v>13</v>
      </c>
      <c r="O55">
        <v>106</v>
      </c>
      <c r="P55" s="9">
        <f t="shared" si="13"/>
        <v>1.7641509433962264</v>
      </c>
      <c r="Q55" s="39">
        <v>24</v>
      </c>
      <c r="R55" s="9">
        <v>70</v>
      </c>
      <c r="U55" s="6">
        <f t="shared" si="14"/>
        <v>54</v>
      </c>
      <c r="V55" s="36">
        <f t="shared" si="15"/>
        <v>0.35009232843419391</v>
      </c>
      <c r="W55" s="34">
        <f t="shared" si="16"/>
        <v>0.23076923076923078</v>
      </c>
      <c r="X55" s="34">
        <f t="shared" si="17"/>
        <v>0.33333333333333331</v>
      </c>
      <c r="Y55" s="34">
        <f t="shared" si="18"/>
        <v>0.50677506775067749</v>
      </c>
      <c r="Z55" s="34">
        <f t="shared" si="19"/>
        <v>0.75438596491228072</v>
      </c>
      <c r="AA55" s="34">
        <f t="shared" si="20"/>
        <v>0.45228215767634855</v>
      </c>
      <c r="AB55" s="34">
        <f t="shared" si="21"/>
        <v>0.35384419347931456</v>
      </c>
      <c r="AC55" s="34">
        <f t="shared" si="22"/>
        <v>0.20750551876379691</v>
      </c>
      <c r="AD55" s="34">
        <f t="shared" si="23"/>
        <v>9.0909090909090912E-2</v>
      </c>
    </row>
    <row r="56" spans="1:30" x14ac:dyDescent="0.35">
      <c r="A56" t="s">
        <v>216</v>
      </c>
      <c r="B56" s="15" t="s">
        <v>143</v>
      </c>
      <c r="C56" s="15" t="s">
        <v>159</v>
      </c>
      <c r="D56" s="15" t="s">
        <v>83</v>
      </c>
      <c r="F56">
        <v>5</v>
      </c>
      <c r="G56">
        <v>8</v>
      </c>
      <c r="I56">
        <v>5</v>
      </c>
      <c r="J56">
        <v>4</v>
      </c>
      <c r="L56">
        <f>141+24</f>
        <v>165</v>
      </c>
      <c r="M56">
        <v>197</v>
      </c>
      <c r="N56" s="9">
        <f t="shared" si="12"/>
        <v>-32</v>
      </c>
      <c r="O56">
        <v>99</v>
      </c>
      <c r="P56" s="9">
        <f t="shared" si="13"/>
        <v>1.6666666666666667</v>
      </c>
      <c r="Q56" s="39">
        <v>12</v>
      </c>
      <c r="R56" s="9">
        <v>24</v>
      </c>
      <c r="U56" s="6">
        <f t="shared" si="14"/>
        <v>55</v>
      </c>
      <c r="V56" s="36">
        <f t="shared" si="15"/>
        <v>0.34795333409127116</v>
      </c>
      <c r="W56" s="34">
        <f t="shared" si="16"/>
        <v>0.38461538461538464</v>
      </c>
      <c r="X56" s="34">
        <f t="shared" si="17"/>
        <v>0.55555555555555558</v>
      </c>
      <c r="Y56" s="34">
        <f t="shared" si="18"/>
        <v>0.44715447154471544</v>
      </c>
      <c r="Z56" s="34">
        <f t="shared" si="19"/>
        <v>0.55263157894736836</v>
      </c>
      <c r="AA56" s="34">
        <f t="shared" si="20"/>
        <v>0.26556016597510373</v>
      </c>
      <c r="AB56" s="34">
        <f t="shared" si="21"/>
        <v>0.23764765949546293</v>
      </c>
      <c r="AC56" s="34">
        <f t="shared" si="22"/>
        <v>0.10596026490066225</v>
      </c>
      <c r="AD56" s="34">
        <f t="shared" si="23"/>
        <v>4.5454545454545456E-2</v>
      </c>
    </row>
    <row r="57" spans="1:30" x14ac:dyDescent="0.35">
      <c r="A57" t="s">
        <v>221</v>
      </c>
      <c r="B57" s="16" t="s">
        <v>144</v>
      </c>
      <c r="C57" s="16" t="s">
        <v>160</v>
      </c>
      <c r="D57" s="16" t="s">
        <v>71</v>
      </c>
      <c r="F57">
        <v>6</v>
      </c>
      <c r="G57">
        <v>7</v>
      </c>
      <c r="I57">
        <v>3</v>
      </c>
      <c r="J57">
        <v>6</v>
      </c>
      <c r="L57">
        <v>195</v>
      </c>
      <c r="M57">
        <v>201</v>
      </c>
      <c r="N57" s="9">
        <f t="shared" si="12"/>
        <v>-6</v>
      </c>
      <c r="O57">
        <v>119</v>
      </c>
      <c r="P57" s="9">
        <f t="shared" si="13"/>
        <v>1.6386554621848739</v>
      </c>
      <c r="Q57" s="39">
        <v>15</v>
      </c>
      <c r="R57" s="9">
        <v>25</v>
      </c>
      <c r="T57" s="13">
        <v>-1</v>
      </c>
      <c r="U57" s="6">
        <f t="shared" si="14"/>
        <v>56</v>
      </c>
      <c r="V57" s="36">
        <f t="shared" si="15"/>
        <v>0.34682096891045583</v>
      </c>
      <c r="W57" s="34">
        <f t="shared" si="16"/>
        <v>0.46153846153846156</v>
      </c>
      <c r="X57" s="34">
        <f t="shared" si="17"/>
        <v>0.33333333333333331</v>
      </c>
      <c r="Y57" s="34">
        <f t="shared" si="18"/>
        <v>0.52845528455284552</v>
      </c>
      <c r="Z57" s="34">
        <f t="shared" si="19"/>
        <v>0.51754385964912286</v>
      </c>
      <c r="AA57" s="34">
        <f t="shared" si="20"/>
        <v>0.37344398340248963</v>
      </c>
      <c r="AB57" s="34">
        <f t="shared" si="21"/>
        <v>0.20425966111571683</v>
      </c>
      <c r="AC57" s="34">
        <f t="shared" si="22"/>
        <v>0.10816777041942605</v>
      </c>
      <c r="AD57" s="34">
        <f t="shared" si="23"/>
        <v>5.6818181818181816E-2</v>
      </c>
    </row>
    <row r="58" spans="1:30" x14ac:dyDescent="0.35">
      <c r="A58" t="s">
        <v>266</v>
      </c>
      <c r="B58" s="21" t="s">
        <v>173</v>
      </c>
      <c r="C58" s="21" t="s">
        <v>166</v>
      </c>
      <c r="D58" s="21" t="s">
        <v>22</v>
      </c>
      <c r="F58">
        <v>5</v>
      </c>
      <c r="G58">
        <v>8</v>
      </c>
      <c r="I58">
        <v>2</v>
      </c>
      <c r="J58">
        <v>7</v>
      </c>
      <c r="L58">
        <v>162</v>
      </c>
      <c r="M58">
        <v>177</v>
      </c>
      <c r="N58" s="9">
        <f t="shared" si="12"/>
        <v>-15</v>
      </c>
      <c r="O58">
        <v>91</v>
      </c>
      <c r="P58" s="9">
        <f t="shared" si="13"/>
        <v>1.7802197802197801</v>
      </c>
      <c r="Q58" s="39">
        <v>22</v>
      </c>
      <c r="R58" s="9">
        <v>50</v>
      </c>
      <c r="T58" s="13">
        <v>-1</v>
      </c>
      <c r="U58" s="6">
        <f t="shared" si="14"/>
        <v>57</v>
      </c>
      <c r="V58" s="36">
        <f t="shared" si="15"/>
        <v>0.34577631931778002</v>
      </c>
      <c r="W58" s="34">
        <f t="shared" si="16"/>
        <v>0.38461538461538464</v>
      </c>
      <c r="X58" s="34">
        <f t="shared" si="17"/>
        <v>0.22222222222222221</v>
      </c>
      <c r="Y58" s="34">
        <f t="shared" si="18"/>
        <v>0.43902439024390244</v>
      </c>
      <c r="Z58" s="34">
        <f t="shared" si="19"/>
        <v>0.72807017543859653</v>
      </c>
      <c r="AA58" s="34">
        <f t="shared" si="20"/>
        <v>0.33609958506224069</v>
      </c>
      <c r="AB58" s="34">
        <f t="shared" si="21"/>
        <v>0.37299746831181757</v>
      </c>
      <c r="AC58" s="34">
        <f t="shared" si="22"/>
        <v>0.16335540838852097</v>
      </c>
      <c r="AD58" s="34">
        <f t="shared" si="23"/>
        <v>8.3333333333333329E-2</v>
      </c>
    </row>
    <row r="59" spans="1:30" x14ac:dyDescent="0.35">
      <c r="A59" t="s">
        <v>275</v>
      </c>
      <c r="B59" s="21" t="s">
        <v>173</v>
      </c>
      <c r="C59" s="21" t="s">
        <v>167</v>
      </c>
      <c r="D59" s="21" t="s">
        <v>29</v>
      </c>
      <c r="F59">
        <v>5</v>
      </c>
      <c r="G59">
        <v>8</v>
      </c>
      <c r="I59" s="9">
        <v>3</v>
      </c>
      <c r="J59" s="9">
        <v>6</v>
      </c>
      <c r="L59">
        <v>175</v>
      </c>
      <c r="M59">
        <v>187</v>
      </c>
      <c r="N59" s="9">
        <f t="shared" si="12"/>
        <v>-12</v>
      </c>
      <c r="O59">
        <v>101</v>
      </c>
      <c r="P59" s="9">
        <f t="shared" si="13"/>
        <v>1.7326732673267327</v>
      </c>
      <c r="Q59" s="39">
        <v>22</v>
      </c>
      <c r="R59" s="9">
        <v>28</v>
      </c>
      <c r="T59" s="13">
        <v>-1</v>
      </c>
      <c r="U59" s="6">
        <f t="shared" si="14"/>
        <v>58</v>
      </c>
      <c r="V59" s="36">
        <f t="shared" si="15"/>
        <v>0.34548682251962015</v>
      </c>
      <c r="W59" s="34">
        <f t="shared" si="16"/>
        <v>0.38461538461538464</v>
      </c>
      <c r="X59" s="34">
        <f t="shared" si="17"/>
        <v>0.33333333333333331</v>
      </c>
      <c r="Y59" s="34">
        <f t="shared" si="18"/>
        <v>0.4742547425474255</v>
      </c>
      <c r="Z59" s="34">
        <f t="shared" si="19"/>
        <v>0.64035087719298245</v>
      </c>
      <c r="AA59" s="34">
        <f t="shared" si="20"/>
        <v>0.34854771784232363</v>
      </c>
      <c r="AB59" s="34">
        <f t="shared" si="21"/>
        <v>0.31632432894476525</v>
      </c>
      <c r="AC59" s="34">
        <f t="shared" si="22"/>
        <v>0.11479028697571744</v>
      </c>
      <c r="AD59" s="34">
        <f t="shared" si="23"/>
        <v>8.3333333333333329E-2</v>
      </c>
    </row>
    <row r="60" spans="1:30" x14ac:dyDescent="0.35">
      <c r="A60" t="s">
        <v>203</v>
      </c>
      <c r="B60" s="15" t="s">
        <v>143</v>
      </c>
      <c r="C60" s="15" t="s">
        <v>142</v>
      </c>
      <c r="D60" s="15" t="s">
        <v>80</v>
      </c>
      <c r="F60" s="9">
        <v>6</v>
      </c>
      <c r="G60" s="9">
        <v>7</v>
      </c>
      <c r="H60" s="9"/>
      <c r="I60" s="9">
        <v>3</v>
      </c>
      <c r="J60" s="9">
        <v>6</v>
      </c>
      <c r="K60" s="9"/>
      <c r="L60" s="9">
        <v>170</v>
      </c>
      <c r="M60" s="9">
        <v>184</v>
      </c>
      <c r="N60" s="9">
        <f t="shared" si="12"/>
        <v>-14</v>
      </c>
      <c r="O60" s="9">
        <v>99</v>
      </c>
      <c r="P60" s="9">
        <f t="shared" si="13"/>
        <v>1.7171717171717171</v>
      </c>
      <c r="Q60" s="39">
        <v>12</v>
      </c>
      <c r="R60" s="9">
        <v>-24</v>
      </c>
      <c r="T60" s="13">
        <v>-2</v>
      </c>
      <c r="U60" s="6">
        <f t="shared" si="14"/>
        <v>59</v>
      </c>
      <c r="V60" s="36">
        <f t="shared" si="15"/>
        <v>0.34420408952734372</v>
      </c>
      <c r="W60" s="34">
        <f t="shared" si="16"/>
        <v>0.46153846153846156</v>
      </c>
      <c r="X60" s="34">
        <f t="shared" si="17"/>
        <v>0.33333333333333331</v>
      </c>
      <c r="Y60" s="34">
        <f t="shared" si="18"/>
        <v>0.46070460704607047</v>
      </c>
      <c r="Z60" s="34">
        <f t="shared" si="19"/>
        <v>0.66666666666666674</v>
      </c>
      <c r="AA60" s="34">
        <f t="shared" si="20"/>
        <v>0.34024896265560167</v>
      </c>
      <c r="AB60" s="34">
        <f t="shared" si="21"/>
        <v>0.29784723233167143</v>
      </c>
      <c r="AC60" s="34">
        <f t="shared" si="22"/>
        <v>0</v>
      </c>
      <c r="AD60" s="34">
        <f t="shared" si="23"/>
        <v>4.5454545454545456E-2</v>
      </c>
    </row>
    <row r="61" spans="1:30" x14ac:dyDescent="0.35">
      <c r="A61" t="s">
        <v>265</v>
      </c>
      <c r="B61" s="21" t="s">
        <v>173</v>
      </c>
      <c r="C61" s="21" t="s">
        <v>166</v>
      </c>
      <c r="D61" s="21" t="s">
        <v>23</v>
      </c>
      <c r="F61">
        <v>5</v>
      </c>
      <c r="G61">
        <v>8</v>
      </c>
      <c r="I61">
        <v>3</v>
      </c>
      <c r="J61">
        <v>6</v>
      </c>
      <c r="L61">
        <v>181</v>
      </c>
      <c r="M61">
        <v>205</v>
      </c>
      <c r="N61" s="9">
        <f t="shared" si="12"/>
        <v>-24</v>
      </c>
      <c r="O61">
        <v>106</v>
      </c>
      <c r="P61" s="9">
        <f t="shared" si="13"/>
        <v>1.7075471698113207</v>
      </c>
      <c r="Q61" s="39">
        <v>22</v>
      </c>
      <c r="R61" s="9">
        <v>70</v>
      </c>
      <c r="T61" s="13">
        <v>-2</v>
      </c>
      <c r="U61" s="6">
        <f t="shared" si="14"/>
        <v>60</v>
      </c>
      <c r="V61" s="36">
        <f t="shared" si="15"/>
        <v>0.33725648768356281</v>
      </c>
      <c r="W61" s="34">
        <f t="shared" si="16"/>
        <v>0.38461538461538464</v>
      </c>
      <c r="X61" s="34">
        <f t="shared" si="17"/>
        <v>0.33333333333333331</v>
      </c>
      <c r="Y61" s="34">
        <f t="shared" si="18"/>
        <v>0.49051490514905149</v>
      </c>
      <c r="Z61" s="34">
        <f t="shared" si="19"/>
        <v>0.48245614035087714</v>
      </c>
      <c r="AA61" s="34">
        <f t="shared" si="20"/>
        <v>0.29875518672199169</v>
      </c>
      <c r="AB61" s="34">
        <f t="shared" si="21"/>
        <v>0.28637523826288452</v>
      </c>
      <c r="AC61" s="34">
        <f t="shared" si="22"/>
        <v>0.20750551876379691</v>
      </c>
      <c r="AD61" s="34">
        <f t="shared" si="23"/>
        <v>8.3333333333333329E-2</v>
      </c>
    </row>
    <row r="62" spans="1:30" x14ac:dyDescent="0.35">
      <c r="A62" t="s">
        <v>252</v>
      </c>
      <c r="B62" s="19" t="s">
        <v>172</v>
      </c>
      <c r="C62" s="19" t="s">
        <v>165</v>
      </c>
      <c r="D62" s="19" t="s">
        <v>2011</v>
      </c>
      <c r="F62" s="9">
        <v>4</v>
      </c>
      <c r="G62" s="9">
        <v>9</v>
      </c>
      <c r="H62" s="9"/>
      <c r="I62" s="9">
        <v>2</v>
      </c>
      <c r="J62" s="9">
        <v>7</v>
      </c>
      <c r="K62" s="9"/>
      <c r="L62" s="9">
        <v>176</v>
      </c>
      <c r="M62">
        <v>204</v>
      </c>
      <c r="N62" s="9">
        <f t="shared" si="12"/>
        <v>-28</v>
      </c>
      <c r="O62">
        <v>98</v>
      </c>
      <c r="P62" s="9">
        <f t="shared" si="13"/>
        <v>1.7959183673469388</v>
      </c>
      <c r="Q62" s="39">
        <v>24</v>
      </c>
      <c r="R62" s="9">
        <v>128</v>
      </c>
      <c r="T62" s="13">
        <v>-2</v>
      </c>
      <c r="U62" s="6">
        <f t="shared" si="14"/>
        <v>61</v>
      </c>
      <c r="V62" s="36">
        <f t="shared" si="15"/>
        <v>0.32933898459161959</v>
      </c>
      <c r="W62" s="34">
        <f t="shared" si="16"/>
        <v>0.30769230769230771</v>
      </c>
      <c r="X62" s="34">
        <f t="shared" si="17"/>
        <v>0.22222222222222221</v>
      </c>
      <c r="Y62" s="34">
        <f t="shared" si="18"/>
        <v>0.47696476964769646</v>
      </c>
      <c r="Z62" s="34">
        <f t="shared" si="19"/>
        <v>0.49122807017543857</v>
      </c>
      <c r="AA62" s="34">
        <f t="shared" si="20"/>
        <v>0.28215767634854771</v>
      </c>
      <c r="AB62" s="34">
        <f t="shared" si="21"/>
        <v>0.39170942344771925</v>
      </c>
      <c r="AC62" s="34">
        <f t="shared" si="22"/>
        <v>0.33554083885209712</v>
      </c>
      <c r="AD62" s="34">
        <f t="shared" si="23"/>
        <v>9.0909090909090912E-2</v>
      </c>
    </row>
    <row r="63" spans="1:30" x14ac:dyDescent="0.35">
      <c r="A63" t="s">
        <v>256</v>
      </c>
      <c r="B63" s="19" t="s">
        <v>172</v>
      </c>
      <c r="C63" s="19" t="s">
        <v>165</v>
      </c>
      <c r="D63" s="19" t="s">
        <v>36</v>
      </c>
      <c r="F63" s="9">
        <v>4</v>
      </c>
      <c r="G63" s="9">
        <v>9</v>
      </c>
      <c r="H63" s="9"/>
      <c r="I63" s="9">
        <v>2</v>
      </c>
      <c r="J63" s="9">
        <v>7</v>
      </c>
      <c r="K63" s="9"/>
      <c r="L63" s="9">
        <v>155</v>
      </c>
      <c r="M63">
        <v>177</v>
      </c>
      <c r="N63" s="9">
        <f t="shared" si="12"/>
        <v>-22</v>
      </c>
      <c r="O63">
        <v>92</v>
      </c>
      <c r="P63" s="9">
        <f t="shared" si="13"/>
        <v>1.6847826086956521</v>
      </c>
      <c r="Q63" s="39">
        <v>24</v>
      </c>
      <c r="R63" s="9">
        <v>84</v>
      </c>
      <c r="T63" s="13">
        <v>-3</v>
      </c>
      <c r="U63" s="6">
        <f t="shared" si="14"/>
        <v>62</v>
      </c>
      <c r="V63" s="36">
        <f t="shared" si="15"/>
        <v>0.32200538444822363</v>
      </c>
      <c r="W63" s="34">
        <f t="shared" si="16"/>
        <v>0.30769230769230771</v>
      </c>
      <c r="X63" s="34">
        <f t="shared" si="17"/>
        <v>0.22222222222222221</v>
      </c>
      <c r="Y63" s="34">
        <f t="shared" si="18"/>
        <v>0.42005420054200543</v>
      </c>
      <c r="Z63" s="34">
        <f t="shared" si="19"/>
        <v>0.72807017543859653</v>
      </c>
      <c r="AA63" s="34">
        <f t="shared" si="20"/>
        <v>0.30705394190871371</v>
      </c>
      <c r="AB63" s="34">
        <f t="shared" si="21"/>
        <v>0.25924098453453764</v>
      </c>
      <c r="AC63" s="34">
        <f t="shared" si="22"/>
        <v>0.23841059602649006</v>
      </c>
      <c r="AD63" s="34">
        <f t="shared" si="23"/>
        <v>9.0909090909090912E-2</v>
      </c>
    </row>
    <row r="64" spans="1:30" x14ac:dyDescent="0.35">
      <c r="A64" t="s">
        <v>255</v>
      </c>
      <c r="B64" s="19" t="s">
        <v>172</v>
      </c>
      <c r="C64" s="19" t="s">
        <v>165</v>
      </c>
      <c r="D64" s="19" t="s">
        <v>37</v>
      </c>
      <c r="F64" s="9">
        <v>4</v>
      </c>
      <c r="G64" s="9">
        <v>9</v>
      </c>
      <c r="H64" s="9"/>
      <c r="I64" s="9">
        <v>2</v>
      </c>
      <c r="J64" s="9">
        <v>7</v>
      </c>
      <c r="K64" s="9"/>
      <c r="L64" s="9">
        <v>183</v>
      </c>
      <c r="M64">
        <v>199</v>
      </c>
      <c r="N64" s="9">
        <f t="shared" si="12"/>
        <v>-16</v>
      </c>
      <c r="O64">
        <v>107</v>
      </c>
      <c r="P64" s="9">
        <f t="shared" si="13"/>
        <v>1.7102803738317758</v>
      </c>
      <c r="Q64" s="39">
        <v>24</v>
      </c>
      <c r="R64" s="9">
        <v>99</v>
      </c>
      <c r="T64" s="13">
        <v>-3</v>
      </c>
      <c r="U64" s="6">
        <f t="shared" si="14"/>
        <v>63</v>
      </c>
      <c r="V64" s="36">
        <f t="shared" si="15"/>
        <v>0.32079093873573827</v>
      </c>
      <c r="W64" s="34">
        <f t="shared" si="16"/>
        <v>0.30769230769230771</v>
      </c>
      <c r="X64" s="34">
        <f t="shared" si="17"/>
        <v>0.22222222222222221</v>
      </c>
      <c r="Y64" s="34">
        <f t="shared" si="18"/>
        <v>0.49593495934959347</v>
      </c>
      <c r="Z64" s="34">
        <f t="shared" si="19"/>
        <v>0.53508771929824561</v>
      </c>
      <c r="AA64" s="34">
        <f t="shared" si="20"/>
        <v>0.33195020746887965</v>
      </c>
      <c r="AB64" s="34">
        <f t="shared" si="21"/>
        <v>0.28963308501009549</v>
      </c>
      <c r="AC64" s="34">
        <f t="shared" si="22"/>
        <v>0.27152317880794702</v>
      </c>
      <c r="AD64" s="34">
        <f t="shared" si="23"/>
        <v>9.0909090909090912E-2</v>
      </c>
    </row>
    <row r="65" spans="1:30" x14ac:dyDescent="0.35">
      <c r="A65" t="s">
        <v>208</v>
      </c>
      <c r="B65" s="15" t="s">
        <v>143</v>
      </c>
      <c r="C65" s="15" t="s">
        <v>142</v>
      </c>
      <c r="D65" s="15" t="s">
        <v>77</v>
      </c>
      <c r="F65" s="9">
        <v>4</v>
      </c>
      <c r="G65" s="9">
        <v>9</v>
      </c>
      <c r="H65" s="9"/>
      <c r="I65" s="9">
        <v>3</v>
      </c>
      <c r="J65" s="9">
        <v>6</v>
      </c>
      <c r="K65" s="9"/>
      <c r="L65" s="9">
        <v>146</v>
      </c>
      <c r="M65" s="9">
        <v>156</v>
      </c>
      <c r="N65" s="9">
        <f t="shared" si="12"/>
        <v>-10</v>
      </c>
      <c r="O65" s="9">
        <v>91</v>
      </c>
      <c r="P65" s="9">
        <f t="shared" si="13"/>
        <v>1.6043956043956045</v>
      </c>
      <c r="Q65" s="39">
        <v>12</v>
      </c>
      <c r="R65" s="9">
        <v>0</v>
      </c>
      <c r="T65" s="13">
        <v>-3</v>
      </c>
      <c r="U65" s="6">
        <f t="shared" si="14"/>
        <v>64</v>
      </c>
      <c r="V65" s="36">
        <f t="shared" si="15"/>
        <v>0.31996429428462569</v>
      </c>
      <c r="W65" s="34">
        <f t="shared" si="16"/>
        <v>0.30769230769230771</v>
      </c>
      <c r="X65" s="34">
        <f t="shared" si="17"/>
        <v>0.33333333333333331</v>
      </c>
      <c r="Y65" s="34">
        <f t="shared" si="18"/>
        <v>0.39566395663956638</v>
      </c>
      <c r="Z65" s="34">
        <f t="shared" si="19"/>
        <v>0.91228070175438591</v>
      </c>
      <c r="AA65" s="34">
        <f t="shared" si="20"/>
        <v>0.35684647302904565</v>
      </c>
      <c r="AB65" s="34">
        <f t="shared" si="21"/>
        <v>0.16342357078971997</v>
      </c>
      <c r="AC65" s="34">
        <f t="shared" si="22"/>
        <v>5.2980132450331126E-2</v>
      </c>
      <c r="AD65" s="34">
        <f t="shared" si="23"/>
        <v>4.5454545454545456E-2</v>
      </c>
    </row>
    <row r="66" spans="1:30" x14ac:dyDescent="0.35">
      <c r="A66" t="s">
        <v>273</v>
      </c>
      <c r="B66" s="21" t="s">
        <v>173</v>
      </c>
      <c r="C66" s="21" t="s">
        <v>167</v>
      </c>
      <c r="D66" s="21" t="s">
        <v>28</v>
      </c>
      <c r="F66">
        <v>6</v>
      </c>
      <c r="G66">
        <v>7</v>
      </c>
      <c r="I66">
        <v>3</v>
      </c>
      <c r="J66">
        <v>6</v>
      </c>
      <c r="L66">
        <v>141</v>
      </c>
      <c r="M66">
        <v>180</v>
      </c>
      <c r="N66" s="9">
        <f t="shared" ref="N66:N81" si="24">L66-M66</f>
        <v>-39</v>
      </c>
      <c r="O66">
        <v>96</v>
      </c>
      <c r="P66" s="9">
        <f t="shared" ref="P66:P81" si="25">L66/O66</f>
        <v>1.46875</v>
      </c>
      <c r="Q66" s="39">
        <v>22</v>
      </c>
      <c r="R66" s="9">
        <v>27</v>
      </c>
      <c r="T66" s="13">
        <v>-4</v>
      </c>
      <c r="U66" s="6">
        <f t="shared" ref="U66:U81" si="26">_xlfn.RANK.EQ(V66,V:V, 0)</f>
        <v>65</v>
      </c>
      <c r="V66" s="36">
        <f t="shared" ref="V66:V81" si="27">((W66*1.25)+(X66*0.75)+((Y66+Z66+AA66+AB66)*0.5)+(AC66*0.75)+(AD66*0.25))/5</f>
        <v>0.31865103060665217</v>
      </c>
      <c r="W66" s="34">
        <f t="shared" ref="W66:W81" si="28">(F66/(F66+G66))</f>
        <v>0.46153846153846156</v>
      </c>
      <c r="X66" s="34">
        <f t="shared" ref="X66:X81" si="29">(I66/(I66+J66))</f>
        <v>0.33333333333333331</v>
      </c>
      <c r="Y66" s="34">
        <f t="shared" ref="Y66:Y81" si="30">(L66/LARGE(L:L,1))</f>
        <v>0.38211382113821141</v>
      </c>
      <c r="Z66" s="34">
        <f t="shared" ref="Z66:Z81" si="31">1-(M66-SMALL(M:M,1))/(LARGE(M:M,1)-SMALL(M:M,1))</f>
        <v>0.70175438596491224</v>
      </c>
      <c r="AA66" s="34">
        <f t="shared" ref="AA66:AA81" si="32">(N66-SMALL(N:N,1))/(LARGE(N:N,1)-SMALL(N:N,1))</f>
        <v>0.23651452282157676</v>
      </c>
      <c r="AB66" s="34">
        <f t="shared" ref="AB66:AB81" si="33">(P66-SMALL(P:P,1))/(LARGE(P:P,1)-SMALL(P:P,1))</f>
        <v>1.7405834435702233E-3</v>
      </c>
      <c r="AC66" s="34">
        <f t="shared" ref="AC66:AC81" si="34">(R66-SMALL(R:R,1))/(LARGE(R:R,1)-SMALL(R:R,1))</f>
        <v>0.11258278145695365</v>
      </c>
      <c r="AD66" s="34">
        <f t="shared" ref="AD66:AD81" si="35">(Q66/LARGE(Q:Q,1))</f>
        <v>8.3333333333333329E-2</v>
      </c>
    </row>
    <row r="67" spans="1:30" x14ac:dyDescent="0.35">
      <c r="A67" t="s">
        <v>229</v>
      </c>
      <c r="B67" s="16" t="s">
        <v>144</v>
      </c>
      <c r="C67" s="16" t="s">
        <v>161</v>
      </c>
      <c r="D67" s="16" t="s">
        <v>65</v>
      </c>
      <c r="F67">
        <v>5</v>
      </c>
      <c r="G67">
        <v>8</v>
      </c>
      <c r="I67">
        <v>3</v>
      </c>
      <c r="J67">
        <v>6</v>
      </c>
      <c r="L67">
        <v>185</v>
      </c>
      <c r="M67">
        <v>199</v>
      </c>
      <c r="N67" s="9">
        <f t="shared" si="24"/>
        <v>-14</v>
      </c>
      <c r="O67">
        <v>114</v>
      </c>
      <c r="P67" s="9">
        <f t="shared" si="25"/>
        <v>1.6228070175438596</v>
      </c>
      <c r="Q67" s="39">
        <v>15</v>
      </c>
      <c r="R67" s="9">
        <v>14</v>
      </c>
      <c r="T67" s="13">
        <v>-4</v>
      </c>
      <c r="U67" s="6">
        <f t="shared" si="26"/>
        <v>66</v>
      </c>
      <c r="V67" s="36">
        <f t="shared" si="27"/>
        <v>0.31778361456061427</v>
      </c>
      <c r="W67" s="34">
        <f t="shared" si="28"/>
        <v>0.38461538461538464</v>
      </c>
      <c r="X67" s="34">
        <f t="shared" si="29"/>
        <v>0.33333333333333331</v>
      </c>
      <c r="Y67" s="34">
        <f t="shared" si="30"/>
        <v>0.50135501355013545</v>
      </c>
      <c r="Z67" s="34">
        <f t="shared" si="31"/>
        <v>0.53508771929824561</v>
      </c>
      <c r="AA67" s="34">
        <f t="shared" si="32"/>
        <v>0.34024896265560167</v>
      </c>
      <c r="AB67" s="34">
        <f t="shared" si="33"/>
        <v>0.18536908308507105</v>
      </c>
      <c r="AC67" s="34">
        <f t="shared" si="34"/>
        <v>8.3885209713024281E-2</v>
      </c>
      <c r="AD67" s="34">
        <f t="shared" si="35"/>
        <v>5.6818181818181816E-2</v>
      </c>
    </row>
    <row r="68" spans="1:30" x14ac:dyDescent="0.35">
      <c r="A68" t="s">
        <v>220</v>
      </c>
      <c r="B68" s="16" t="s">
        <v>144</v>
      </c>
      <c r="C68" s="16" t="s">
        <v>160</v>
      </c>
      <c r="D68" s="16" t="s">
        <v>72</v>
      </c>
      <c r="F68">
        <v>5</v>
      </c>
      <c r="G68">
        <v>8</v>
      </c>
      <c r="I68">
        <v>2</v>
      </c>
      <c r="J68">
        <v>7</v>
      </c>
      <c r="L68">
        <v>157</v>
      </c>
      <c r="M68">
        <v>191</v>
      </c>
      <c r="N68" s="9">
        <f t="shared" si="24"/>
        <v>-34</v>
      </c>
      <c r="O68">
        <v>88</v>
      </c>
      <c r="P68" s="9">
        <f t="shared" si="25"/>
        <v>1.7840909090909092</v>
      </c>
      <c r="Q68" s="39">
        <v>15</v>
      </c>
      <c r="R68" s="9">
        <v>17</v>
      </c>
      <c r="T68" s="13">
        <v>-4</v>
      </c>
      <c r="U68" s="6">
        <f t="shared" si="26"/>
        <v>67</v>
      </c>
      <c r="V68" s="36">
        <f t="shared" si="27"/>
        <v>0.31246529649501731</v>
      </c>
      <c r="W68" s="34">
        <f t="shared" si="28"/>
        <v>0.38461538461538464</v>
      </c>
      <c r="X68" s="34">
        <f t="shared" si="29"/>
        <v>0.22222222222222221</v>
      </c>
      <c r="Y68" s="34">
        <f t="shared" si="30"/>
        <v>0.42547425474254741</v>
      </c>
      <c r="Z68" s="34">
        <f t="shared" si="31"/>
        <v>0.60526315789473684</v>
      </c>
      <c r="AA68" s="34">
        <f t="shared" si="32"/>
        <v>0.25726141078838172</v>
      </c>
      <c r="AB68" s="34">
        <f t="shared" si="33"/>
        <v>0.37761166633964804</v>
      </c>
      <c r="AC68" s="34">
        <f t="shared" si="34"/>
        <v>9.0507726269315678E-2</v>
      </c>
      <c r="AD68" s="34">
        <f t="shared" si="35"/>
        <v>5.6818181818181816E-2</v>
      </c>
    </row>
    <row r="69" spans="1:30" x14ac:dyDescent="0.35">
      <c r="A69" t="s">
        <v>279</v>
      </c>
      <c r="B69" s="21" t="s">
        <v>173</v>
      </c>
      <c r="C69" s="21" t="s">
        <v>167</v>
      </c>
      <c r="D69" s="21" t="s">
        <v>30</v>
      </c>
      <c r="F69">
        <v>4</v>
      </c>
      <c r="G69">
        <v>9</v>
      </c>
      <c r="I69">
        <v>3</v>
      </c>
      <c r="J69">
        <v>6</v>
      </c>
      <c r="L69">
        <v>134</v>
      </c>
      <c r="M69">
        <v>180</v>
      </c>
      <c r="N69" s="9">
        <f t="shared" si="24"/>
        <v>-46</v>
      </c>
      <c r="O69">
        <v>76</v>
      </c>
      <c r="P69" s="9">
        <f t="shared" si="25"/>
        <v>1.763157894736842</v>
      </c>
      <c r="Q69" s="39">
        <v>22</v>
      </c>
      <c r="R69" s="9">
        <v>9</v>
      </c>
      <c r="T69" s="13">
        <v>-5</v>
      </c>
      <c r="U69" s="6">
        <f t="shared" si="26"/>
        <v>68</v>
      </c>
      <c r="V69" s="36">
        <f t="shared" si="27"/>
        <v>0.30451963837438445</v>
      </c>
      <c r="W69" s="34">
        <f t="shared" si="28"/>
        <v>0.30769230769230771</v>
      </c>
      <c r="X69" s="34">
        <f t="shared" si="29"/>
        <v>0.33333333333333331</v>
      </c>
      <c r="Y69" s="34">
        <f t="shared" si="30"/>
        <v>0.36314363143631434</v>
      </c>
      <c r="Z69" s="34">
        <f t="shared" si="31"/>
        <v>0.70175438596491224</v>
      </c>
      <c r="AA69" s="34">
        <f t="shared" si="32"/>
        <v>0.2074688796680498</v>
      </c>
      <c r="AB69" s="34">
        <f t="shared" si="33"/>
        <v>0.35266052759832456</v>
      </c>
      <c r="AC69" s="34">
        <f t="shared" si="34"/>
        <v>7.2847682119205295E-2</v>
      </c>
      <c r="AD69" s="34">
        <f t="shared" si="35"/>
        <v>8.3333333333333329E-2</v>
      </c>
    </row>
    <row r="70" spans="1:30" x14ac:dyDescent="0.35">
      <c r="A70" t="s">
        <v>263</v>
      </c>
      <c r="B70" s="19" t="s">
        <v>172</v>
      </c>
      <c r="C70" s="19" t="s">
        <v>164</v>
      </c>
      <c r="D70" s="19" t="s">
        <v>43</v>
      </c>
      <c r="F70">
        <v>4</v>
      </c>
      <c r="G70">
        <v>9</v>
      </c>
      <c r="I70">
        <v>3</v>
      </c>
      <c r="J70">
        <v>6</v>
      </c>
      <c r="L70">
        <v>140</v>
      </c>
      <c r="M70">
        <v>190</v>
      </c>
      <c r="N70" s="9">
        <f t="shared" si="24"/>
        <v>-50</v>
      </c>
      <c r="O70">
        <v>93</v>
      </c>
      <c r="P70" s="9">
        <f t="shared" si="25"/>
        <v>1.5053763440860215</v>
      </c>
      <c r="Q70" s="39">
        <v>24</v>
      </c>
      <c r="R70" s="9">
        <v>77</v>
      </c>
      <c r="T70" s="13">
        <v>-5</v>
      </c>
      <c r="U70" s="6">
        <f t="shared" si="26"/>
        <v>69</v>
      </c>
      <c r="V70" s="36">
        <f t="shared" si="27"/>
        <v>0.28788300625903479</v>
      </c>
      <c r="W70" s="34">
        <f t="shared" si="28"/>
        <v>0.30769230769230771</v>
      </c>
      <c r="X70" s="34">
        <f t="shared" si="29"/>
        <v>0.33333333333333331</v>
      </c>
      <c r="Y70" s="34">
        <f t="shared" si="30"/>
        <v>0.37940379403794039</v>
      </c>
      <c r="Z70" s="34">
        <f t="shared" si="31"/>
        <v>0.61403508771929827</v>
      </c>
      <c r="AA70" s="34">
        <f t="shared" si="32"/>
        <v>0.1908713692946058</v>
      </c>
      <c r="AB70" s="34">
        <f t="shared" si="33"/>
        <v>4.5397410760473947E-2</v>
      </c>
      <c r="AC70" s="34">
        <f t="shared" si="34"/>
        <v>0.22295805739514349</v>
      </c>
      <c r="AD70" s="34">
        <f t="shared" si="35"/>
        <v>9.0909090909090912E-2</v>
      </c>
    </row>
    <row r="71" spans="1:30" x14ac:dyDescent="0.35">
      <c r="A71" t="s">
        <v>260</v>
      </c>
      <c r="B71" s="19" t="s">
        <v>172</v>
      </c>
      <c r="C71" s="19" t="s">
        <v>164</v>
      </c>
      <c r="D71" s="19" t="s">
        <v>1859</v>
      </c>
      <c r="F71">
        <v>4</v>
      </c>
      <c r="G71">
        <v>9</v>
      </c>
      <c r="I71">
        <v>1</v>
      </c>
      <c r="J71">
        <v>8</v>
      </c>
      <c r="L71">
        <v>177</v>
      </c>
      <c r="M71">
        <v>208</v>
      </c>
      <c r="N71" s="9">
        <f t="shared" si="24"/>
        <v>-31</v>
      </c>
      <c r="O71">
        <v>99</v>
      </c>
      <c r="P71" s="9">
        <f t="shared" si="25"/>
        <v>1.7878787878787878</v>
      </c>
      <c r="Q71" s="39">
        <v>24</v>
      </c>
      <c r="R71" s="9">
        <v>57</v>
      </c>
      <c r="T71" s="13">
        <v>-5</v>
      </c>
      <c r="U71" s="6">
        <f t="shared" si="26"/>
        <v>70</v>
      </c>
      <c r="V71" s="36">
        <f t="shared" si="27"/>
        <v>0.28372152273777712</v>
      </c>
      <c r="W71" s="34">
        <f t="shared" si="28"/>
        <v>0.30769230769230771</v>
      </c>
      <c r="X71" s="34">
        <f t="shared" si="29"/>
        <v>0.1111111111111111</v>
      </c>
      <c r="Y71" s="34">
        <f t="shared" si="30"/>
        <v>0.47967479674796748</v>
      </c>
      <c r="Z71" s="34">
        <f t="shared" si="31"/>
        <v>0.45614035087719296</v>
      </c>
      <c r="AA71" s="34">
        <f t="shared" si="32"/>
        <v>0.26970954356846472</v>
      </c>
      <c r="AB71" s="34">
        <f t="shared" si="33"/>
        <v>0.38212663430236354</v>
      </c>
      <c r="AC71" s="34">
        <f t="shared" si="34"/>
        <v>0.17880794701986755</v>
      </c>
      <c r="AD71" s="34">
        <f t="shared" si="35"/>
        <v>9.0909090909090912E-2</v>
      </c>
    </row>
    <row r="72" spans="1:30" x14ac:dyDescent="0.35">
      <c r="A72" t="s">
        <v>276</v>
      </c>
      <c r="B72" s="21" t="s">
        <v>173</v>
      </c>
      <c r="C72" s="21" t="s">
        <v>167</v>
      </c>
      <c r="D72" s="21" t="s">
        <v>27</v>
      </c>
      <c r="F72">
        <v>5</v>
      </c>
      <c r="G72">
        <v>8</v>
      </c>
      <c r="I72">
        <v>3</v>
      </c>
      <c r="J72">
        <v>6</v>
      </c>
      <c r="L72">
        <v>158</v>
      </c>
      <c r="M72">
        <v>223</v>
      </c>
      <c r="N72" s="9">
        <f t="shared" si="24"/>
        <v>-65</v>
      </c>
      <c r="O72">
        <v>98</v>
      </c>
      <c r="P72" s="9">
        <f t="shared" si="25"/>
        <v>1.6122448979591837</v>
      </c>
      <c r="Q72" s="39">
        <v>22</v>
      </c>
      <c r="R72" s="9">
        <v>35</v>
      </c>
      <c r="T72" s="13">
        <v>-6</v>
      </c>
      <c r="U72" s="6">
        <f t="shared" si="26"/>
        <v>71</v>
      </c>
      <c r="V72" s="36">
        <f t="shared" si="27"/>
        <v>0.27527253057191758</v>
      </c>
      <c r="W72" s="34">
        <f t="shared" si="28"/>
        <v>0.38461538461538464</v>
      </c>
      <c r="X72" s="34">
        <f t="shared" si="29"/>
        <v>0.33333333333333331</v>
      </c>
      <c r="Y72" s="34">
        <f t="shared" si="30"/>
        <v>0.42818428184281843</v>
      </c>
      <c r="Z72" s="34">
        <f t="shared" si="31"/>
        <v>0.32456140350877194</v>
      </c>
      <c r="AA72" s="34">
        <f t="shared" si="32"/>
        <v>0.12863070539419086</v>
      </c>
      <c r="AB72" s="34">
        <f t="shared" si="33"/>
        <v>0.1727795483576707</v>
      </c>
      <c r="AC72" s="34">
        <f t="shared" si="34"/>
        <v>0.13024282560706402</v>
      </c>
      <c r="AD72" s="34">
        <f t="shared" si="35"/>
        <v>8.3333333333333329E-2</v>
      </c>
    </row>
    <row r="73" spans="1:30" x14ac:dyDescent="0.35">
      <c r="A73" t="s">
        <v>245</v>
      </c>
      <c r="B73" s="17" t="s">
        <v>171</v>
      </c>
      <c r="C73" s="17" t="s">
        <v>162</v>
      </c>
      <c r="D73" s="17" t="s">
        <v>118</v>
      </c>
      <c r="F73">
        <v>4</v>
      </c>
      <c r="G73">
        <v>9</v>
      </c>
      <c r="I73" s="9">
        <v>3</v>
      </c>
      <c r="J73" s="9">
        <v>6</v>
      </c>
      <c r="L73">
        <v>166</v>
      </c>
      <c r="M73">
        <v>219</v>
      </c>
      <c r="N73" s="9">
        <f t="shared" si="24"/>
        <v>-53</v>
      </c>
      <c r="O73">
        <v>103</v>
      </c>
      <c r="P73" s="9">
        <f t="shared" si="25"/>
        <v>1.6116504854368932</v>
      </c>
      <c r="Q73" s="39">
        <v>15</v>
      </c>
      <c r="R73" s="9">
        <v>64</v>
      </c>
      <c r="T73" s="13">
        <v>-6</v>
      </c>
      <c r="U73" s="6">
        <f t="shared" si="26"/>
        <v>72</v>
      </c>
      <c r="V73" s="36">
        <f t="shared" si="27"/>
        <v>0.27490384840182575</v>
      </c>
      <c r="W73" s="34">
        <f t="shared" si="28"/>
        <v>0.30769230769230771</v>
      </c>
      <c r="X73" s="34">
        <f t="shared" si="29"/>
        <v>0.33333333333333331</v>
      </c>
      <c r="Y73" s="34">
        <f t="shared" si="30"/>
        <v>0.44986449864498645</v>
      </c>
      <c r="Z73" s="34">
        <f t="shared" si="31"/>
        <v>0.35964912280701755</v>
      </c>
      <c r="AA73" s="34">
        <f t="shared" si="32"/>
        <v>0.17842323651452283</v>
      </c>
      <c r="AB73" s="34">
        <f t="shared" si="33"/>
        <v>0.17207103743504912</v>
      </c>
      <c r="AC73" s="34">
        <f t="shared" si="34"/>
        <v>0.19426048565121412</v>
      </c>
      <c r="AD73" s="34">
        <f t="shared" si="35"/>
        <v>5.6818181818181816E-2</v>
      </c>
    </row>
    <row r="74" spans="1:30" x14ac:dyDescent="0.35">
      <c r="A74" t="s">
        <v>206</v>
      </c>
      <c r="B74" s="15" t="s">
        <v>143</v>
      </c>
      <c r="C74" s="15" t="s">
        <v>142</v>
      </c>
      <c r="D74" s="15" t="s">
        <v>75</v>
      </c>
      <c r="F74" s="9">
        <v>4</v>
      </c>
      <c r="G74" s="9">
        <v>9</v>
      </c>
      <c r="H74" s="9"/>
      <c r="I74" s="9">
        <v>3</v>
      </c>
      <c r="J74" s="9">
        <v>6</v>
      </c>
      <c r="K74" s="9"/>
      <c r="L74" s="9">
        <v>146</v>
      </c>
      <c r="M74" s="9">
        <v>202</v>
      </c>
      <c r="N74" s="9">
        <f t="shared" si="24"/>
        <v>-56</v>
      </c>
      <c r="O74" s="9">
        <v>86</v>
      </c>
      <c r="P74" s="9">
        <f t="shared" si="25"/>
        <v>1.6976744186046511</v>
      </c>
      <c r="Q74" s="39">
        <v>12</v>
      </c>
      <c r="R74" s="9">
        <v>8</v>
      </c>
      <c r="T74" s="13">
        <v>-7</v>
      </c>
      <c r="U74" s="6">
        <f t="shared" si="26"/>
        <v>73</v>
      </c>
      <c r="V74" s="36">
        <f t="shared" si="27"/>
        <v>0.27429366942940347</v>
      </c>
      <c r="W74" s="34">
        <f t="shared" si="28"/>
        <v>0.30769230769230771</v>
      </c>
      <c r="X74" s="34">
        <f t="shared" si="29"/>
        <v>0.33333333333333331</v>
      </c>
      <c r="Y74" s="34">
        <f t="shared" si="30"/>
        <v>0.39566395663956638</v>
      </c>
      <c r="Z74" s="34">
        <f t="shared" si="31"/>
        <v>0.50877192982456143</v>
      </c>
      <c r="AA74" s="34">
        <f t="shared" si="32"/>
        <v>0.16597510373443983</v>
      </c>
      <c r="AB74" s="34">
        <f t="shared" si="33"/>
        <v>0.27460739723676292</v>
      </c>
      <c r="AC74" s="34">
        <f t="shared" si="34"/>
        <v>7.0640176600441501E-2</v>
      </c>
      <c r="AD74" s="34">
        <f t="shared" si="35"/>
        <v>4.5454545454545456E-2</v>
      </c>
    </row>
    <row r="75" spans="1:30" x14ac:dyDescent="0.35">
      <c r="A75" t="s">
        <v>226</v>
      </c>
      <c r="B75" s="16" t="s">
        <v>144</v>
      </c>
      <c r="C75" s="16" t="s">
        <v>161</v>
      </c>
      <c r="D75" s="16" t="s">
        <v>115</v>
      </c>
      <c r="F75">
        <v>3</v>
      </c>
      <c r="G75">
        <v>10</v>
      </c>
      <c r="I75">
        <v>1</v>
      </c>
      <c r="J75">
        <v>8</v>
      </c>
      <c r="L75">
        <v>153</v>
      </c>
      <c r="M75">
        <v>185</v>
      </c>
      <c r="N75" s="9">
        <f t="shared" si="24"/>
        <v>-32</v>
      </c>
      <c r="O75">
        <v>94</v>
      </c>
      <c r="P75" s="9">
        <f t="shared" si="25"/>
        <v>1.6276595744680851</v>
      </c>
      <c r="Q75" s="39">
        <v>15</v>
      </c>
      <c r="R75" s="9">
        <v>28</v>
      </c>
      <c r="T75" s="13">
        <v>-7</v>
      </c>
      <c r="U75" s="6">
        <f t="shared" si="26"/>
        <v>74</v>
      </c>
      <c r="V75" s="36">
        <f t="shared" si="27"/>
        <v>0.24734264099153891</v>
      </c>
      <c r="W75" s="34">
        <f t="shared" si="28"/>
        <v>0.23076923076923078</v>
      </c>
      <c r="X75" s="34">
        <f t="shared" si="29"/>
        <v>0.1111111111111111</v>
      </c>
      <c r="Y75" s="34">
        <f t="shared" si="30"/>
        <v>0.41463414634146339</v>
      </c>
      <c r="Z75" s="34">
        <f t="shared" si="31"/>
        <v>0.65789473684210531</v>
      </c>
      <c r="AA75" s="34">
        <f t="shared" si="32"/>
        <v>0.26556016597510373</v>
      </c>
      <c r="AB75" s="34">
        <f t="shared" si="33"/>
        <v>0.19115309579430592</v>
      </c>
      <c r="AC75" s="34">
        <f t="shared" si="34"/>
        <v>0.11479028697571744</v>
      </c>
      <c r="AD75" s="34">
        <f t="shared" si="35"/>
        <v>5.6818181818181816E-2</v>
      </c>
    </row>
    <row r="76" spans="1:30" x14ac:dyDescent="0.35">
      <c r="A76" t="s">
        <v>246</v>
      </c>
      <c r="B76" s="17" t="s">
        <v>171</v>
      </c>
      <c r="C76" s="17" t="s">
        <v>162</v>
      </c>
      <c r="D76" s="17" t="s">
        <v>300</v>
      </c>
      <c r="F76">
        <v>3</v>
      </c>
      <c r="G76">
        <v>10</v>
      </c>
      <c r="I76">
        <v>3</v>
      </c>
      <c r="J76">
        <v>6</v>
      </c>
      <c r="L76">
        <v>146</v>
      </c>
      <c r="M76">
        <v>205</v>
      </c>
      <c r="N76" s="9">
        <f t="shared" si="24"/>
        <v>-59</v>
      </c>
      <c r="O76">
        <v>98</v>
      </c>
      <c r="P76" s="9">
        <f t="shared" si="25"/>
        <v>1.489795918367347</v>
      </c>
      <c r="Q76" s="39">
        <v>15</v>
      </c>
      <c r="R76" s="9">
        <v>37</v>
      </c>
      <c r="T76" s="13">
        <v>-8</v>
      </c>
      <c r="U76" s="6">
        <f t="shared" si="26"/>
        <v>75</v>
      </c>
      <c r="V76" s="36">
        <f t="shared" si="27"/>
        <v>0.23657922890414942</v>
      </c>
      <c r="W76" s="34">
        <f t="shared" si="28"/>
        <v>0.23076923076923078</v>
      </c>
      <c r="X76" s="34">
        <f t="shared" si="29"/>
        <v>0.33333333333333331</v>
      </c>
      <c r="Y76" s="34">
        <f t="shared" si="30"/>
        <v>0.39566395663956638</v>
      </c>
      <c r="Z76" s="34">
        <f t="shared" si="31"/>
        <v>0.48245614035087714</v>
      </c>
      <c r="AA76" s="34">
        <f t="shared" si="32"/>
        <v>0.15352697095435686</v>
      </c>
      <c r="AB76" s="34">
        <f t="shared" si="33"/>
        <v>2.6826298297638409E-2</v>
      </c>
      <c r="AC76" s="34">
        <f t="shared" si="34"/>
        <v>0.13465783664459161</v>
      </c>
      <c r="AD76" s="34">
        <f t="shared" si="35"/>
        <v>5.6818181818181816E-2</v>
      </c>
    </row>
    <row r="77" spans="1:30" x14ac:dyDescent="0.35">
      <c r="A77" t="s">
        <v>234</v>
      </c>
      <c r="B77" s="17" t="s">
        <v>171</v>
      </c>
      <c r="C77" s="17" t="s">
        <v>163</v>
      </c>
      <c r="D77" s="17" t="s">
        <v>52</v>
      </c>
      <c r="F77">
        <v>3</v>
      </c>
      <c r="G77">
        <v>10</v>
      </c>
      <c r="I77">
        <v>1</v>
      </c>
      <c r="J77">
        <v>8</v>
      </c>
      <c r="L77">
        <v>157</v>
      </c>
      <c r="M77">
        <v>195</v>
      </c>
      <c r="N77" s="9">
        <f t="shared" si="24"/>
        <v>-38</v>
      </c>
      <c r="O77">
        <v>107</v>
      </c>
      <c r="P77" s="9">
        <f t="shared" si="25"/>
        <v>1.4672897196261683</v>
      </c>
      <c r="Q77" s="39">
        <v>15</v>
      </c>
      <c r="R77" s="9">
        <v>29</v>
      </c>
      <c r="T77" s="13">
        <v>-8</v>
      </c>
      <c r="U77" s="6">
        <f t="shared" si="26"/>
        <v>76</v>
      </c>
      <c r="V77" s="36">
        <f t="shared" si="27"/>
        <v>0.21838091169945328</v>
      </c>
      <c r="W77" s="34">
        <f t="shared" si="28"/>
        <v>0.23076923076923078</v>
      </c>
      <c r="X77" s="34">
        <f t="shared" si="29"/>
        <v>0.1111111111111111</v>
      </c>
      <c r="Y77" s="34">
        <f t="shared" si="30"/>
        <v>0.42547425474254741</v>
      </c>
      <c r="Z77" s="34">
        <f t="shared" si="31"/>
        <v>0.57017543859649122</v>
      </c>
      <c r="AA77" s="34">
        <f t="shared" si="32"/>
        <v>0.24066390041493776</v>
      </c>
      <c r="AB77" s="34">
        <f t="shared" si="33"/>
        <v>0</v>
      </c>
      <c r="AC77" s="34">
        <f t="shared" si="34"/>
        <v>0.11699779249448124</v>
      </c>
      <c r="AD77" s="34">
        <f t="shared" si="35"/>
        <v>5.6818181818181816E-2</v>
      </c>
    </row>
    <row r="78" spans="1:30" x14ac:dyDescent="0.35">
      <c r="A78" t="s">
        <v>243</v>
      </c>
      <c r="B78" s="17" t="s">
        <v>171</v>
      </c>
      <c r="C78" s="17" t="s">
        <v>162</v>
      </c>
      <c r="D78" s="17" t="s">
        <v>54</v>
      </c>
      <c r="F78">
        <v>3</v>
      </c>
      <c r="G78">
        <v>10</v>
      </c>
      <c r="I78">
        <v>1</v>
      </c>
      <c r="J78">
        <v>8</v>
      </c>
      <c r="L78">
        <v>158</v>
      </c>
      <c r="M78">
        <v>223</v>
      </c>
      <c r="N78" s="9">
        <f t="shared" si="24"/>
        <v>-65</v>
      </c>
      <c r="O78">
        <v>96</v>
      </c>
      <c r="P78" s="9">
        <f t="shared" si="25"/>
        <v>1.6458333333333333</v>
      </c>
      <c r="Q78" s="39">
        <v>15</v>
      </c>
      <c r="R78" s="9">
        <v>39</v>
      </c>
      <c r="T78" s="13">
        <v>-9</v>
      </c>
      <c r="U78" s="6">
        <f t="shared" si="26"/>
        <v>77</v>
      </c>
      <c r="V78" s="36">
        <f t="shared" si="27"/>
        <v>0.20747998324683209</v>
      </c>
      <c r="W78" s="34">
        <f t="shared" si="28"/>
        <v>0.23076923076923078</v>
      </c>
      <c r="X78" s="34">
        <f t="shared" si="29"/>
        <v>0.1111111111111111</v>
      </c>
      <c r="Y78" s="34">
        <f t="shared" si="30"/>
        <v>0.42818428184281843</v>
      </c>
      <c r="Z78" s="34">
        <f t="shared" si="31"/>
        <v>0.32456140350877194</v>
      </c>
      <c r="AA78" s="34">
        <f t="shared" si="32"/>
        <v>0.12863070539419086</v>
      </c>
      <c r="AB78" s="34">
        <f t="shared" si="33"/>
        <v>0.21281533570052671</v>
      </c>
      <c r="AC78" s="34">
        <f t="shared" si="34"/>
        <v>0.13907284768211919</v>
      </c>
      <c r="AD78" s="34">
        <f t="shared" si="35"/>
        <v>5.6818181818181816E-2</v>
      </c>
    </row>
    <row r="79" spans="1:30" x14ac:dyDescent="0.35">
      <c r="A79" t="s">
        <v>240</v>
      </c>
      <c r="B79" s="17" t="s">
        <v>171</v>
      </c>
      <c r="C79" s="17" t="s">
        <v>163</v>
      </c>
      <c r="D79" s="17" t="s">
        <v>58</v>
      </c>
      <c r="F79">
        <v>2</v>
      </c>
      <c r="G79">
        <v>11</v>
      </c>
      <c r="I79">
        <v>1</v>
      </c>
      <c r="J79">
        <v>8</v>
      </c>
      <c r="L79">
        <v>125</v>
      </c>
      <c r="M79">
        <v>181</v>
      </c>
      <c r="N79" s="9">
        <f t="shared" si="24"/>
        <v>-56</v>
      </c>
      <c r="O79">
        <v>79</v>
      </c>
      <c r="P79" s="9">
        <f t="shared" si="25"/>
        <v>1.5822784810126582</v>
      </c>
      <c r="Q79" s="39">
        <v>15</v>
      </c>
      <c r="R79" s="9">
        <v>15</v>
      </c>
      <c r="T79" s="13">
        <v>-9</v>
      </c>
      <c r="U79" s="6">
        <f t="shared" si="26"/>
        <v>78</v>
      </c>
      <c r="V79" s="36">
        <f t="shared" si="27"/>
        <v>0.20436021939128324</v>
      </c>
      <c r="W79" s="34">
        <f t="shared" si="28"/>
        <v>0.15384615384615385</v>
      </c>
      <c r="X79" s="34">
        <f t="shared" si="29"/>
        <v>0.1111111111111111</v>
      </c>
      <c r="Y79" s="34">
        <f t="shared" si="30"/>
        <v>0.33875338753387535</v>
      </c>
      <c r="Z79" s="34">
        <f t="shared" si="31"/>
        <v>0.69298245614035081</v>
      </c>
      <c r="AA79" s="34">
        <f t="shared" si="32"/>
        <v>0.16597510373443983</v>
      </c>
      <c r="AB79" s="34">
        <f t="shared" si="33"/>
        <v>0.13706103146534207</v>
      </c>
      <c r="AC79" s="34">
        <f t="shared" si="34"/>
        <v>8.6092715231788075E-2</v>
      </c>
      <c r="AD79" s="34">
        <f t="shared" si="35"/>
        <v>5.6818181818181816E-2</v>
      </c>
    </row>
    <row r="80" spans="1:30" x14ac:dyDescent="0.35">
      <c r="A80" t="s">
        <v>262</v>
      </c>
      <c r="B80" s="19" t="s">
        <v>172</v>
      </c>
      <c r="C80" s="19" t="s">
        <v>164</v>
      </c>
      <c r="D80" s="19" t="s">
        <v>1858</v>
      </c>
      <c r="F80">
        <v>2</v>
      </c>
      <c r="G80">
        <v>11</v>
      </c>
      <c r="I80" s="9">
        <v>2</v>
      </c>
      <c r="J80" s="9">
        <v>7</v>
      </c>
      <c r="L80">
        <v>152</v>
      </c>
      <c r="M80">
        <v>248</v>
      </c>
      <c r="N80" s="9">
        <f t="shared" si="24"/>
        <v>-96</v>
      </c>
      <c r="O80">
        <v>94</v>
      </c>
      <c r="P80" s="9">
        <f t="shared" si="25"/>
        <v>1.6170212765957446</v>
      </c>
      <c r="Q80" s="39">
        <v>24</v>
      </c>
      <c r="R80" s="9">
        <v>90</v>
      </c>
      <c r="T80" s="13">
        <v>-10</v>
      </c>
      <c r="U80" s="6">
        <f t="shared" si="26"/>
        <v>79</v>
      </c>
      <c r="V80" s="36">
        <f t="shared" si="27"/>
        <v>0.18365467444872469</v>
      </c>
      <c r="W80" s="34">
        <f t="shared" si="28"/>
        <v>0.15384615384615385</v>
      </c>
      <c r="X80" s="34">
        <f t="shared" si="29"/>
        <v>0.22222222222222221</v>
      </c>
      <c r="Y80" s="34">
        <f t="shared" si="30"/>
        <v>0.41192411924119243</v>
      </c>
      <c r="Z80" s="34">
        <f t="shared" si="31"/>
        <v>0.10526315789473684</v>
      </c>
      <c r="AA80" s="34">
        <f t="shared" si="32"/>
        <v>0</v>
      </c>
      <c r="AB80" s="34">
        <f t="shared" si="33"/>
        <v>0.17847276023944486</v>
      </c>
      <c r="AC80" s="34">
        <f t="shared" si="34"/>
        <v>0.25165562913907286</v>
      </c>
      <c r="AD80" s="34">
        <f t="shared" si="35"/>
        <v>9.0909090909090912E-2</v>
      </c>
    </row>
    <row r="81" spans="1:30" x14ac:dyDescent="0.35">
      <c r="A81" t="s">
        <v>214</v>
      </c>
      <c r="B81" s="15" t="s">
        <v>143</v>
      </c>
      <c r="C81" s="15" t="s">
        <v>159</v>
      </c>
      <c r="D81" s="15" t="s">
        <v>81</v>
      </c>
      <c r="F81">
        <v>1</v>
      </c>
      <c r="G81">
        <v>12</v>
      </c>
      <c r="I81">
        <v>0</v>
      </c>
      <c r="J81">
        <v>9</v>
      </c>
      <c r="L81">
        <v>143</v>
      </c>
      <c r="M81">
        <v>226</v>
      </c>
      <c r="N81" s="9">
        <f t="shared" si="24"/>
        <v>-83</v>
      </c>
      <c r="O81">
        <v>90</v>
      </c>
      <c r="P81" s="9">
        <f t="shared" si="25"/>
        <v>1.5888888888888888</v>
      </c>
      <c r="Q81" s="39">
        <v>12</v>
      </c>
      <c r="R81" s="9">
        <v>33</v>
      </c>
      <c r="T81" s="13">
        <v>-10</v>
      </c>
      <c r="U81" s="6">
        <f t="shared" si="26"/>
        <v>80</v>
      </c>
      <c r="V81" s="36">
        <f t="shared" si="27"/>
        <v>0.12884384023045053</v>
      </c>
      <c r="W81" s="34">
        <f t="shared" si="28"/>
        <v>7.6923076923076927E-2</v>
      </c>
      <c r="X81" s="34">
        <f t="shared" si="29"/>
        <v>0</v>
      </c>
      <c r="Y81" s="34">
        <f t="shared" si="30"/>
        <v>0.38753387533875339</v>
      </c>
      <c r="Z81" s="34">
        <f t="shared" si="31"/>
        <v>0.29824561403508776</v>
      </c>
      <c r="AA81" s="34">
        <f t="shared" si="32"/>
        <v>5.3941908713692949E-2</v>
      </c>
      <c r="AB81" s="34">
        <f t="shared" si="33"/>
        <v>0.14494031732770143</v>
      </c>
      <c r="AC81" s="34">
        <f t="shared" si="34"/>
        <v>0.12582781456953643</v>
      </c>
      <c r="AD81" s="34">
        <f t="shared" si="35"/>
        <v>4.5454545454545456E-2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B1:AM31"/>
  <sheetViews>
    <sheetView zoomScale="85" zoomScaleNormal="85" workbookViewId="0">
      <selection activeCell="I24" sqref="I24"/>
    </sheetView>
  </sheetViews>
  <sheetFormatPr defaultRowHeight="14.5" x14ac:dyDescent="0.35"/>
  <cols>
    <col min="1" max="1" width="3.453125" customWidth="1"/>
    <col min="2" max="2" width="21" bestFit="1" customWidth="1"/>
    <col min="3" max="4" width="3" customWidth="1"/>
    <col min="5" max="5" width="1.36328125" customWidth="1"/>
    <col min="6" max="7" width="3" customWidth="1"/>
    <col min="8" max="8" width="15.6328125" bestFit="1" customWidth="1"/>
    <col min="9" max="10" width="3" customWidth="1"/>
    <col min="11" max="11" width="1" customWidth="1"/>
    <col min="12" max="13" width="3" customWidth="1"/>
    <col min="15" max="15" width="19.453125" bestFit="1" customWidth="1"/>
    <col min="16" max="17" width="3" customWidth="1"/>
    <col min="18" max="18" width="1.36328125" customWidth="1"/>
    <col min="19" max="20" width="3" customWidth="1"/>
    <col min="21" max="21" width="17.54296875" bestFit="1" customWidth="1"/>
    <col min="22" max="23" width="3" customWidth="1"/>
    <col min="24" max="24" width="1.08984375" customWidth="1"/>
    <col min="25" max="26" width="3" customWidth="1"/>
    <col min="28" max="28" width="17.6328125" customWidth="1"/>
    <col min="29" max="30" width="3" customWidth="1"/>
    <col min="31" max="31" width="1.36328125" customWidth="1"/>
    <col min="32" max="33" width="3" customWidth="1"/>
    <col min="34" max="34" width="17.54296875" bestFit="1" customWidth="1"/>
    <col min="35" max="36" width="3" customWidth="1"/>
    <col min="37" max="37" width="1.36328125" customWidth="1"/>
    <col min="38" max="39" width="3" customWidth="1"/>
  </cols>
  <sheetData>
    <row r="1" spans="2:39" x14ac:dyDescent="0.35">
      <c r="B1" s="15" t="s">
        <v>8</v>
      </c>
      <c r="C1" s="1">
        <f>(SUM(C3:C10))+(SUM(I3:I10))</f>
        <v>93</v>
      </c>
      <c r="D1" s="51">
        <f>(SUM(D3:D10))+(SUM(J3:J10))</f>
        <v>115</v>
      </c>
      <c r="F1" s="1">
        <f>(SUM(C3:C10)+SUM(I3:I10))-(SUM(F3:F10)+(SUM(L3:L10)))</f>
        <v>21</v>
      </c>
      <c r="G1" s="1">
        <f>(SUM(D3:D10)+SUM(J3:J10))-(SUM(G3:G10)+(SUM(M3:M10)))</f>
        <v>43</v>
      </c>
      <c r="H1" s="1"/>
      <c r="N1" s="1"/>
      <c r="O1" s="17" t="s">
        <v>13</v>
      </c>
      <c r="P1" s="1">
        <f>(SUM(P3:P10))+(SUM(V3:V10))</f>
        <v>97</v>
      </c>
      <c r="Q1" s="51">
        <f>(SUM(Q3:Q10))+(SUM(W3:W10))</f>
        <v>111</v>
      </c>
      <c r="S1" s="1">
        <f>(SUM(P3:P10)+SUM(V3:V10))-(SUM(S3:S10)+(SUM(Y3:Y10)))</f>
        <v>26</v>
      </c>
      <c r="T1" s="1">
        <f>(SUM(Q3:Q10)+SUM(W3:W10))-(SUM(T3:T10)+(SUM(Z3:Z10)))</f>
        <v>38</v>
      </c>
      <c r="AB1" s="18" t="s">
        <v>15</v>
      </c>
      <c r="AC1" s="52">
        <f>(SUM(AC3:AC10))+(SUM(AI3:AI10))</f>
        <v>113</v>
      </c>
      <c r="AD1" s="1">
        <f>(SUM(AD3:AD10))+(SUM(AJ3:AJ10))</f>
        <v>95</v>
      </c>
      <c r="AF1" s="1">
        <f>(SUM(AC3:AC10)+SUM(AI3:AI10))-(SUM(AF3:AF10)+(SUM(AL3:AL10)))</f>
        <v>41</v>
      </c>
      <c r="AG1" s="1">
        <f>(SUM(AD3:AD10)+SUM(AJ3:AJ10))-(SUM(AG3:AG10)+(SUM(AM3:AM10)))</f>
        <v>23</v>
      </c>
      <c r="AH1" s="1"/>
    </row>
    <row r="2" spans="2:39" x14ac:dyDescent="0.35">
      <c r="B2" s="1" t="s">
        <v>9</v>
      </c>
      <c r="C2" t="s">
        <v>5</v>
      </c>
      <c r="D2" t="s">
        <v>6</v>
      </c>
      <c r="F2" t="s">
        <v>5</v>
      </c>
      <c r="G2" t="s">
        <v>6</v>
      </c>
      <c r="H2" s="1" t="s">
        <v>10</v>
      </c>
      <c r="I2" t="s">
        <v>5</v>
      </c>
      <c r="J2" t="s">
        <v>6</v>
      </c>
      <c r="L2" t="s">
        <v>5</v>
      </c>
      <c r="M2" t="s">
        <v>6</v>
      </c>
      <c r="N2" s="1"/>
      <c r="O2" s="1" t="s">
        <v>16</v>
      </c>
      <c r="P2" t="s">
        <v>5</v>
      </c>
      <c r="Q2" t="s">
        <v>6</v>
      </c>
      <c r="S2" t="s">
        <v>5</v>
      </c>
      <c r="T2" t="s">
        <v>6</v>
      </c>
      <c r="U2" s="1" t="s">
        <v>17</v>
      </c>
      <c r="V2" t="s">
        <v>5</v>
      </c>
      <c r="W2" t="s">
        <v>6</v>
      </c>
      <c r="Y2" t="s">
        <v>5</v>
      </c>
      <c r="Z2" t="s">
        <v>6</v>
      </c>
      <c r="AB2" s="1" t="s">
        <v>20</v>
      </c>
      <c r="AC2" t="s">
        <v>5</v>
      </c>
      <c r="AD2" t="s">
        <v>6</v>
      </c>
      <c r="AF2" t="s">
        <v>5</v>
      </c>
      <c r="AG2" t="s">
        <v>6</v>
      </c>
      <c r="AH2" s="1" t="s">
        <v>21</v>
      </c>
      <c r="AI2" t="s">
        <v>5</v>
      </c>
      <c r="AJ2" t="s">
        <v>6</v>
      </c>
      <c r="AL2" t="s">
        <v>5</v>
      </c>
      <c r="AM2" t="s">
        <v>6</v>
      </c>
    </row>
    <row r="3" spans="2:39" x14ac:dyDescent="0.35">
      <c r="B3" s="1" t="s">
        <v>79</v>
      </c>
      <c r="C3" s="1">
        <v>7</v>
      </c>
      <c r="D3" s="1">
        <v>6</v>
      </c>
      <c r="E3" s="1"/>
      <c r="F3" s="1">
        <v>6</v>
      </c>
      <c r="G3" s="1">
        <v>3</v>
      </c>
      <c r="H3" s="15" t="s">
        <v>86</v>
      </c>
      <c r="I3" s="1">
        <v>8</v>
      </c>
      <c r="J3" s="1">
        <v>5</v>
      </c>
      <c r="K3" s="1"/>
      <c r="L3" s="1">
        <v>7</v>
      </c>
      <c r="M3" s="1">
        <v>2</v>
      </c>
      <c r="O3" s="20" t="s">
        <v>57</v>
      </c>
      <c r="P3" s="1">
        <v>11</v>
      </c>
      <c r="Q3" s="1">
        <v>2</v>
      </c>
      <c r="R3" s="1"/>
      <c r="S3" s="1">
        <v>8</v>
      </c>
      <c r="T3" s="1">
        <v>1</v>
      </c>
      <c r="U3" s="15" t="s">
        <v>53</v>
      </c>
      <c r="V3" s="1">
        <v>11</v>
      </c>
      <c r="W3" s="1">
        <v>2</v>
      </c>
      <c r="X3" s="1"/>
      <c r="Y3" s="1">
        <v>8</v>
      </c>
      <c r="Z3" s="1">
        <v>1</v>
      </c>
      <c r="AB3" s="20" t="s">
        <v>24</v>
      </c>
      <c r="AC3" s="1">
        <v>10</v>
      </c>
      <c r="AD3" s="1">
        <v>3</v>
      </c>
      <c r="AE3" s="1"/>
      <c r="AF3" s="1">
        <v>8</v>
      </c>
      <c r="AG3" s="1">
        <v>1</v>
      </c>
      <c r="AH3" s="15" t="s">
        <v>119</v>
      </c>
      <c r="AI3" s="1">
        <v>10</v>
      </c>
      <c r="AJ3" s="1">
        <v>3</v>
      </c>
      <c r="AK3" s="1"/>
      <c r="AL3" s="1">
        <v>8</v>
      </c>
      <c r="AM3" s="1">
        <v>1</v>
      </c>
    </row>
    <row r="4" spans="2:39" x14ac:dyDescent="0.35">
      <c r="B4" t="s">
        <v>74</v>
      </c>
      <c r="C4">
        <v>8</v>
      </c>
      <c r="D4">
        <v>5</v>
      </c>
      <c r="F4">
        <v>6</v>
      </c>
      <c r="G4">
        <v>3</v>
      </c>
      <c r="H4" t="s">
        <v>82</v>
      </c>
      <c r="I4">
        <v>7</v>
      </c>
      <c r="J4">
        <v>6</v>
      </c>
      <c r="L4">
        <v>5</v>
      </c>
      <c r="M4">
        <v>4</v>
      </c>
      <c r="O4" s="9" t="s">
        <v>47</v>
      </c>
      <c r="P4">
        <v>10</v>
      </c>
      <c r="Q4">
        <v>3</v>
      </c>
      <c r="S4">
        <v>8</v>
      </c>
      <c r="T4">
        <v>1</v>
      </c>
      <c r="U4" s="9" t="s">
        <v>145</v>
      </c>
      <c r="V4">
        <v>8</v>
      </c>
      <c r="W4">
        <v>5</v>
      </c>
      <c r="Y4">
        <v>6</v>
      </c>
      <c r="Z4">
        <v>3</v>
      </c>
      <c r="AB4" s="9" t="s">
        <v>1860</v>
      </c>
      <c r="AC4">
        <v>10</v>
      </c>
      <c r="AD4">
        <v>3</v>
      </c>
      <c r="AF4">
        <v>6</v>
      </c>
      <c r="AG4">
        <v>3</v>
      </c>
      <c r="AH4" s="9" t="s">
        <v>32</v>
      </c>
      <c r="AI4">
        <v>10</v>
      </c>
      <c r="AJ4">
        <v>3</v>
      </c>
      <c r="AL4">
        <v>7</v>
      </c>
      <c r="AM4">
        <v>2</v>
      </c>
    </row>
    <row r="5" spans="2:39" x14ac:dyDescent="0.35">
      <c r="B5" t="s">
        <v>78</v>
      </c>
      <c r="C5">
        <v>8</v>
      </c>
      <c r="D5">
        <v>5</v>
      </c>
      <c r="F5">
        <v>5</v>
      </c>
      <c r="G5">
        <v>4</v>
      </c>
      <c r="H5" t="s">
        <v>85</v>
      </c>
      <c r="I5">
        <v>6</v>
      </c>
      <c r="J5">
        <v>7</v>
      </c>
      <c r="L5">
        <v>5</v>
      </c>
      <c r="M5">
        <v>4</v>
      </c>
      <c r="O5" s="9" t="s">
        <v>49</v>
      </c>
      <c r="P5">
        <v>7</v>
      </c>
      <c r="Q5">
        <v>6</v>
      </c>
      <c r="S5">
        <v>5</v>
      </c>
      <c r="T5">
        <v>4</v>
      </c>
      <c r="U5" s="9" t="s">
        <v>117</v>
      </c>
      <c r="V5">
        <v>6</v>
      </c>
      <c r="W5">
        <v>7</v>
      </c>
      <c r="Y5">
        <v>5</v>
      </c>
      <c r="Z5">
        <v>4</v>
      </c>
      <c r="AB5" s="9" t="s">
        <v>34</v>
      </c>
      <c r="AC5">
        <v>7</v>
      </c>
      <c r="AD5">
        <v>6</v>
      </c>
      <c r="AF5">
        <v>6</v>
      </c>
      <c r="AG5">
        <v>3</v>
      </c>
      <c r="AH5" s="9" t="s">
        <v>31</v>
      </c>
      <c r="AI5">
        <v>7</v>
      </c>
      <c r="AJ5">
        <v>6</v>
      </c>
      <c r="AL5">
        <v>4</v>
      </c>
      <c r="AM5">
        <v>5</v>
      </c>
    </row>
    <row r="6" spans="2:39" x14ac:dyDescent="0.35">
      <c r="B6" t="s">
        <v>76</v>
      </c>
      <c r="C6">
        <v>7</v>
      </c>
      <c r="D6">
        <v>6</v>
      </c>
      <c r="F6">
        <v>5</v>
      </c>
      <c r="G6">
        <v>4</v>
      </c>
      <c r="H6" t="s">
        <v>84</v>
      </c>
      <c r="I6">
        <v>6</v>
      </c>
      <c r="J6">
        <v>7</v>
      </c>
      <c r="L6">
        <v>5</v>
      </c>
      <c r="M6">
        <v>4</v>
      </c>
      <c r="O6" s="9" t="s">
        <v>48</v>
      </c>
      <c r="P6">
        <v>6</v>
      </c>
      <c r="Q6">
        <v>7</v>
      </c>
      <c r="S6">
        <v>5</v>
      </c>
      <c r="T6">
        <v>4</v>
      </c>
      <c r="U6" s="9" t="s">
        <v>55</v>
      </c>
      <c r="V6">
        <v>5</v>
      </c>
      <c r="W6">
        <v>8</v>
      </c>
      <c r="Y6">
        <v>5</v>
      </c>
      <c r="Z6">
        <v>4</v>
      </c>
      <c r="AB6" s="9" t="s">
        <v>25</v>
      </c>
      <c r="AC6">
        <v>9</v>
      </c>
      <c r="AD6">
        <v>4</v>
      </c>
      <c r="AF6">
        <v>5</v>
      </c>
      <c r="AG6">
        <v>4</v>
      </c>
      <c r="AH6" s="9" t="s">
        <v>292</v>
      </c>
      <c r="AI6">
        <v>6</v>
      </c>
      <c r="AJ6">
        <v>7</v>
      </c>
      <c r="AL6">
        <v>4</v>
      </c>
      <c r="AM6">
        <v>5</v>
      </c>
    </row>
    <row r="7" spans="2:39" x14ac:dyDescent="0.35">
      <c r="B7" t="s">
        <v>73</v>
      </c>
      <c r="C7">
        <v>5</v>
      </c>
      <c r="D7">
        <v>8</v>
      </c>
      <c r="F7">
        <v>5</v>
      </c>
      <c r="G7">
        <v>4</v>
      </c>
      <c r="H7" t="s">
        <v>87</v>
      </c>
      <c r="I7">
        <v>5</v>
      </c>
      <c r="J7">
        <v>8</v>
      </c>
      <c r="L7">
        <v>5</v>
      </c>
      <c r="M7">
        <v>4</v>
      </c>
      <c r="O7" s="9" t="s">
        <v>51</v>
      </c>
      <c r="P7">
        <v>6</v>
      </c>
      <c r="Q7">
        <v>7</v>
      </c>
      <c r="S7">
        <v>4</v>
      </c>
      <c r="T7">
        <v>5</v>
      </c>
      <c r="U7" s="9" t="s">
        <v>56</v>
      </c>
      <c r="V7">
        <v>6</v>
      </c>
      <c r="W7">
        <v>7</v>
      </c>
      <c r="Y7">
        <v>4</v>
      </c>
      <c r="Z7">
        <v>5</v>
      </c>
      <c r="AB7" s="9" t="s">
        <v>33</v>
      </c>
      <c r="AC7">
        <v>7</v>
      </c>
      <c r="AD7">
        <v>6</v>
      </c>
      <c r="AF7">
        <v>4</v>
      </c>
      <c r="AG7">
        <v>5</v>
      </c>
      <c r="AH7" s="9" t="s">
        <v>28</v>
      </c>
      <c r="AI7">
        <v>6</v>
      </c>
      <c r="AJ7">
        <v>7</v>
      </c>
      <c r="AL7">
        <v>3</v>
      </c>
      <c r="AM7">
        <v>6</v>
      </c>
    </row>
    <row r="8" spans="2:39" x14ac:dyDescent="0.35">
      <c r="B8" t="s">
        <v>80</v>
      </c>
      <c r="C8">
        <v>6</v>
      </c>
      <c r="D8">
        <v>7</v>
      </c>
      <c r="F8">
        <v>3</v>
      </c>
      <c r="G8">
        <v>6</v>
      </c>
      <c r="H8" t="s">
        <v>83</v>
      </c>
      <c r="I8">
        <v>5</v>
      </c>
      <c r="J8">
        <v>8</v>
      </c>
      <c r="L8">
        <v>5</v>
      </c>
      <c r="M8">
        <v>4</v>
      </c>
      <c r="O8" s="9" t="s">
        <v>50</v>
      </c>
      <c r="P8">
        <v>6</v>
      </c>
      <c r="Q8">
        <v>7</v>
      </c>
      <c r="S8">
        <v>4</v>
      </c>
      <c r="T8">
        <v>5</v>
      </c>
      <c r="U8" s="9" t="s">
        <v>118</v>
      </c>
      <c r="V8">
        <v>4</v>
      </c>
      <c r="W8">
        <v>9</v>
      </c>
      <c r="Y8">
        <v>3</v>
      </c>
      <c r="Z8">
        <v>6</v>
      </c>
      <c r="AB8" s="9" t="s">
        <v>26</v>
      </c>
      <c r="AC8">
        <v>7</v>
      </c>
      <c r="AD8">
        <v>6</v>
      </c>
      <c r="AF8">
        <v>3</v>
      </c>
      <c r="AG8">
        <v>6</v>
      </c>
      <c r="AH8" s="9" t="s">
        <v>29</v>
      </c>
      <c r="AI8">
        <v>5</v>
      </c>
      <c r="AJ8">
        <v>8</v>
      </c>
      <c r="AL8">
        <v>3</v>
      </c>
      <c r="AM8">
        <v>6</v>
      </c>
    </row>
    <row r="9" spans="2:39" x14ac:dyDescent="0.35">
      <c r="B9" t="s">
        <v>77</v>
      </c>
      <c r="C9">
        <v>4</v>
      </c>
      <c r="D9">
        <v>9</v>
      </c>
      <c r="F9">
        <v>3</v>
      </c>
      <c r="G9">
        <v>6</v>
      </c>
      <c r="H9" t="s">
        <v>88</v>
      </c>
      <c r="I9">
        <v>6</v>
      </c>
      <c r="J9">
        <v>7</v>
      </c>
      <c r="L9">
        <v>4</v>
      </c>
      <c r="M9">
        <v>5</v>
      </c>
      <c r="O9" s="9" t="s">
        <v>52</v>
      </c>
      <c r="P9">
        <v>3</v>
      </c>
      <c r="Q9">
        <v>10</v>
      </c>
      <c r="S9">
        <v>1</v>
      </c>
      <c r="T9">
        <v>8</v>
      </c>
      <c r="U9" s="9" t="s">
        <v>300</v>
      </c>
      <c r="V9">
        <v>3</v>
      </c>
      <c r="W9">
        <v>10</v>
      </c>
      <c r="Y9">
        <v>3</v>
      </c>
      <c r="Z9">
        <v>6</v>
      </c>
      <c r="AB9" s="9" t="s">
        <v>23</v>
      </c>
      <c r="AC9">
        <v>5</v>
      </c>
      <c r="AD9">
        <v>8</v>
      </c>
      <c r="AF9">
        <v>3</v>
      </c>
      <c r="AG9">
        <v>6</v>
      </c>
      <c r="AH9" s="9" t="s">
        <v>27</v>
      </c>
      <c r="AI9">
        <v>5</v>
      </c>
      <c r="AJ9">
        <v>8</v>
      </c>
      <c r="AL9">
        <v>3</v>
      </c>
      <c r="AM9">
        <v>6</v>
      </c>
    </row>
    <row r="10" spans="2:39" x14ac:dyDescent="0.35">
      <c r="B10" t="s">
        <v>75</v>
      </c>
      <c r="C10">
        <v>4</v>
      </c>
      <c r="D10">
        <v>9</v>
      </c>
      <c r="F10">
        <v>3</v>
      </c>
      <c r="G10">
        <v>6</v>
      </c>
      <c r="H10" t="s">
        <v>81</v>
      </c>
      <c r="I10">
        <v>1</v>
      </c>
      <c r="J10">
        <v>12</v>
      </c>
      <c r="L10">
        <v>0</v>
      </c>
      <c r="M10">
        <v>9</v>
      </c>
      <c r="O10" s="9" t="s">
        <v>58</v>
      </c>
      <c r="P10">
        <v>2</v>
      </c>
      <c r="Q10">
        <v>11</v>
      </c>
      <c r="S10">
        <v>1</v>
      </c>
      <c r="T10">
        <v>8</v>
      </c>
      <c r="U10" s="9" t="s">
        <v>54</v>
      </c>
      <c r="V10">
        <v>3</v>
      </c>
      <c r="W10">
        <v>10</v>
      </c>
      <c r="Y10">
        <v>1</v>
      </c>
      <c r="Z10">
        <v>8</v>
      </c>
      <c r="AB10" s="9" t="s">
        <v>22</v>
      </c>
      <c r="AC10">
        <v>5</v>
      </c>
      <c r="AD10">
        <v>8</v>
      </c>
      <c r="AF10">
        <v>2</v>
      </c>
      <c r="AG10">
        <v>7</v>
      </c>
      <c r="AH10" s="9" t="s">
        <v>30</v>
      </c>
      <c r="AI10">
        <v>4</v>
      </c>
      <c r="AJ10">
        <v>9</v>
      </c>
      <c r="AL10">
        <v>3</v>
      </c>
      <c r="AM10">
        <v>6</v>
      </c>
    </row>
    <row r="11" spans="2:39" x14ac:dyDescent="0.35">
      <c r="O11" s="9"/>
      <c r="U11" s="9"/>
      <c r="AB11" s="9"/>
      <c r="AH11" s="9"/>
    </row>
    <row r="12" spans="2:39" x14ac:dyDescent="0.35">
      <c r="B12" s="16" t="s">
        <v>116</v>
      </c>
      <c r="C12" s="53">
        <f>(SUM(C14:C21))+(SUM(I14:I21))</f>
        <v>104</v>
      </c>
      <c r="D12" s="53">
        <f>(SUM(D14:D21))+(SUM(J14:J21))</f>
        <v>104</v>
      </c>
      <c r="F12" s="1">
        <f>(SUM(C14:C21)+SUM(I14:I21))-(SUM(F14:F21)+(SUM(L14:L21)))</f>
        <v>32</v>
      </c>
      <c r="G12" s="1">
        <f>(SUM(D14:D21)+SUM(J14:J21))-(SUM(G14:G21)+(SUM(M14:M21)))</f>
        <v>32</v>
      </c>
      <c r="O12" s="19" t="s">
        <v>14</v>
      </c>
      <c r="P12" s="51">
        <f>(SUM(P14:P21))+(SUM(V14:V21))</f>
        <v>111</v>
      </c>
      <c r="Q12" s="1">
        <f>(SUM(Q14:Q21))+(SUM(W14:W21))</f>
        <v>97</v>
      </c>
      <c r="S12" s="1">
        <f>(SUM(P14:P21)+SUM(V14:V21))-(SUM(S14:S21)+(SUM(Y14:Y21)))</f>
        <v>39</v>
      </c>
      <c r="T12" s="1">
        <f>(SUM(Q14:Q21)+SUM(W14:W21))-(SUM(T14:T21)+(SUM(Z14:Z21)))</f>
        <v>25</v>
      </c>
      <c r="AB12" s="37" t="s">
        <v>598</v>
      </c>
      <c r="AC12" s="38">
        <v>14</v>
      </c>
    </row>
    <row r="13" spans="2:39" x14ac:dyDescent="0.35">
      <c r="B13" s="1" t="s">
        <v>11</v>
      </c>
      <c r="C13" t="s">
        <v>5</v>
      </c>
      <c r="D13" t="s">
        <v>6</v>
      </c>
      <c r="F13" t="s">
        <v>5</v>
      </c>
      <c r="G13" t="s">
        <v>6</v>
      </c>
      <c r="H13" s="1" t="s">
        <v>12</v>
      </c>
      <c r="I13" t="s">
        <v>5</v>
      </c>
      <c r="J13" t="s">
        <v>6</v>
      </c>
      <c r="L13" t="s">
        <v>5</v>
      </c>
      <c r="M13" t="s">
        <v>6</v>
      </c>
      <c r="O13" s="1" t="s">
        <v>18</v>
      </c>
      <c r="P13" t="s">
        <v>5</v>
      </c>
      <c r="Q13" t="s">
        <v>6</v>
      </c>
      <c r="S13" t="s">
        <v>5</v>
      </c>
      <c r="T13" t="s">
        <v>6</v>
      </c>
      <c r="U13" s="1" t="s">
        <v>19</v>
      </c>
      <c r="V13" t="s">
        <v>5</v>
      </c>
      <c r="W13" t="s">
        <v>6</v>
      </c>
      <c r="Y13" t="s">
        <v>5</v>
      </c>
      <c r="Z13" t="s">
        <v>6</v>
      </c>
      <c r="AB13" s="15" t="s">
        <v>8</v>
      </c>
      <c r="AF13">
        <f>F1</f>
        <v>21</v>
      </c>
      <c r="AG13">
        <f>G1</f>
        <v>43</v>
      </c>
      <c r="AH13" s="11">
        <f>(AF13+(2*$AC$12))/((AF13+AG13)+(4*$AC$12))</f>
        <v>0.40833333333333333</v>
      </c>
      <c r="AI13">
        <f>AH13*25</f>
        <v>10.208333333333334</v>
      </c>
      <c r="AJ13">
        <v>2</v>
      </c>
      <c r="AL13">
        <f>AI13+AJ13</f>
        <v>12.208333333333334</v>
      </c>
    </row>
    <row r="14" spans="2:39" x14ac:dyDescent="0.35">
      <c r="B14" s="15" t="s">
        <v>69</v>
      </c>
      <c r="C14" s="1">
        <v>12</v>
      </c>
      <c r="D14" s="1">
        <v>1</v>
      </c>
      <c r="E14" s="1"/>
      <c r="F14" s="1">
        <v>8</v>
      </c>
      <c r="G14" s="1">
        <v>1</v>
      </c>
      <c r="H14" s="20" t="s">
        <v>61</v>
      </c>
      <c r="I14" s="1">
        <v>8</v>
      </c>
      <c r="J14" s="1">
        <v>5</v>
      </c>
      <c r="K14" s="1"/>
      <c r="L14" s="1">
        <v>7</v>
      </c>
      <c r="M14" s="1">
        <v>2</v>
      </c>
      <c r="O14" s="20" t="s">
        <v>900</v>
      </c>
      <c r="P14" s="1">
        <v>11</v>
      </c>
      <c r="Q14" s="1">
        <v>2</v>
      </c>
      <c r="R14" s="1"/>
      <c r="S14" s="1">
        <v>8</v>
      </c>
      <c r="T14" s="1">
        <v>1</v>
      </c>
      <c r="U14" s="15" t="s">
        <v>41</v>
      </c>
      <c r="V14" s="1">
        <v>10</v>
      </c>
      <c r="W14" s="1">
        <v>3</v>
      </c>
      <c r="X14" s="1"/>
      <c r="Y14" s="1">
        <v>8</v>
      </c>
      <c r="Z14" s="1">
        <v>1</v>
      </c>
      <c r="AB14" s="16" t="s">
        <v>116</v>
      </c>
      <c r="AF14">
        <f>F12</f>
        <v>32</v>
      </c>
      <c r="AG14">
        <f>G12</f>
        <v>32</v>
      </c>
      <c r="AH14" s="11">
        <f>(AF14+(2*$AC$12))/((AF14+AG14)+(4*$AC$12))</f>
        <v>0.5</v>
      </c>
      <c r="AI14">
        <f>AH14*25</f>
        <v>12.5</v>
      </c>
      <c r="AJ14">
        <v>2</v>
      </c>
      <c r="AL14">
        <f>AI14+AJ14</f>
        <v>14.5</v>
      </c>
    </row>
    <row r="15" spans="2:39" x14ac:dyDescent="0.35">
      <c r="B15" s="9" t="s">
        <v>68</v>
      </c>
      <c r="C15">
        <v>7</v>
      </c>
      <c r="D15">
        <v>6</v>
      </c>
      <c r="F15">
        <v>5</v>
      </c>
      <c r="G15">
        <v>4</v>
      </c>
      <c r="H15" s="9" t="s">
        <v>62</v>
      </c>
      <c r="I15">
        <v>7</v>
      </c>
      <c r="J15">
        <v>6</v>
      </c>
      <c r="L15">
        <v>6</v>
      </c>
      <c r="M15">
        <v>3</v>
      </c>
      <c r="O15" s="9" t="s">
        <v>38</v>
      </c>
      <c r="P15">
        <v>12</v>
      </c>
      <c r="Q15">
        <v>1</v>
      </c>
      <c r="S15">
        <v>8</v>
      </c>
      <c r="T15">
        <v>1</v>
      </c>
      <c r="U15" s="9" t="s">
        <v>46</v>
      </c>
      <c r="V15">
        <v>9</v>
      </c>
      <c r="W15">
        <v>4</v>
      </c>
      <c r="Y15">
        <v>6</v>
      </c>
      <c r="Z15">
        <v>3</v>
      </c>
      <c r="AB15" s="17" t="s">
        <v>13</v>
      </c>
      <c r="AF15">
        <f>S1</f>
        <v>26</v>
      </c>
      <c r="AG15">
        <f>T1</f>
        <v>38</v>
      </c>
      <c r="AH15" s="11">
        <f>(AF15+(2*$AC$12))/((AF15+AG15)+(4*$AC$12))</f>
        <v>0.45</v>
      </c>
      <c r="AI15">
        <f>AH15*25</f>
        <v>11.25</v>
      </c>
      <c r="AJ15">
        <v>4</v>
      </c>
      <c r="AL15">
        <f>AI15+AJ15</f>
        <v>15.25</v>
      </c>
    </row>
    <row r="16" spans="2:39" x14ac:dyDescent="0.35">
      <c r="B16" s="9" t="s">
        <v>67</v>
      </c>
      <c r="C16">
        <v>7</v>
      </c>
      <c r="D16">
        <v>6</v>
      </c>
      <c r="F16">
        <v>5</v>
      </c>
      <c r="G16">
        <v>4</v>
      </c>
      <c r="H16" s="9" t="s">
        <v>64</v>
      </c>
      <c r="I16">
        <v>8</v>
      </c>
      <c r="J16">
        <v>5</v>
      </c>
      <c r="L16">
        <v>5</v>
      </c>
      <c r="M16">
        <v>4</v>
      </c>
      <c r="O16" s="9" t="s">
        <v>39</v>
      </c>
      <c r="P16">
        <v>10</v>
      </c>
      <c r="Q16">
        <v>3</v>
      </c>
      <c r="S16">
        <v>7</v>
      </c>
      <c r="T16">
        <v>2</v>
      </c>
      <c r="U16" s="9" t="s">
        <v>45</v>
      </c>
      <c r="V16">
        <v>9</v>
      </c>
      <c r="W16">
        <v>4</v>
      </c>
      <c r="Y16">
        <v>6</v>
      </c>
      <c r="Z16">
        <v>3</v>
      </c>
      <c r="AB16" s="19" t="s">
        <v>14</v>
      </c>
      <c r="AF16">
        <f>S12</f>
        <v>39</v>
      </c>
      <c r="AG16">
        <f>T12</f>
        <v>25</v>
      </c>
      <c r="AH16" s="11">
        <f>(AF16+(2*$AC$12))/((AF16+AG16)+(4*$AC$12))</f>
        <v>0.55833333333333335</v>
      </c>
      <c r="AI16">
        <f>AH16*25</f>
        <v>13.958333333333334</v>
      </c>
      <c r="AJ16">
        <v>10</v>
      </c>
      <c r="AL16">
        <f>AI16+AJ16</f>
        <v>23.958333333333336</v>
      </c>
    </row>
    <row r="17" spans="2:38" x14ac:dyDescent="0.35">
      <c r="B17" s="9" t="s">
        <v>70</v>
      </c>
      <c r="C17">
        <v>6</v>
      </c>
      <c r="D17">
        <v>7</v>
      </c>
      <c r="F17">
        <v>5</v>
      </c>
      <c r="G17">
        <v>4</v>
      </c>
      <c r="H17" s="9" t="s">
        <v>60</v>
      </c>
      <c r="I17">
        <v>6</v>
      </c>
      <c r="J17">
        <v>7</v>
      </c>
      <c r="L17">
        <v>5</v>
      </c>
      <c r="M17">
        <v>4</v>
      </c>
      <c r="O17" s="9" t="s">
        <v>35</v>
      </c>
      <c r="P17">
        <v>8</v>
      </c>
      <c r="Q17">
        <v>5</v>
      </c>
      <c r="S17">
        <v>5</v>
      </c>
      <c r="T17">
        <v>4</v>
      </c>
      <c r="U17" s="9" t="s">
        <v>44</v>
      </c>
      <c r="V17">
        <v>9</v>
      </c>
      <c r="W17">
        <v>4</v>
      </c>
      <c r="Y17">
        <v>5</v>
      </c>
      <c r="Z17">
        <v>4</v>
      </c>
      <c r="AB17" s="18" t="s">
        <v>15</v>
      </c>
      <c r="AF17">
        <f>AF1</f>
        <v>41</v>
      </c>
      <c r="AG17">
        <f>AG1</f>
        <v>23</v>
      </c>
      <c r="AH17" s="11">
        <f>(AF17+(2*$AC$12))/((AF17+AG17)+(4*$AC$12))</f>
        <v>0.57499999999999996</v>
      </c>
      <c r="AI17">
        <f>AH17*25</f>
        <v>14.374999999999998</v>
      </c>
      <c r="AJ17">
        <v>8</v>
      </c>
      <c r="AL17">
        <f>AI17+AJ17</f>
        <v>22.375</v>
      </c>
    </row>
    <row r="18" spans="2:38" x14ac:dyDescent="0.35">
      <c r="B18" s="9" t="s">
        <v>66</v>
      </c>
      <c r="C18">
        <v>6</v>
      </c>
      <c r="D18">
        <v>7</v>
      </c>
      <c r="F18">
        <v>5</v>
      </c>
      <c r="G18">
        <v>4</v>
      </c>
      <c r="H18" s="9" t="s">
        <v>63</v>
      </c>
      <c r="I18">
        <v>6</v>
      </c>
      <c r="J18">
        <v>7</v>
      </c>
      <c r="L18">
        <v>4</v>
      </c>
      <c r="M18">
        <v>5</v>
      </c>
      <c r="O18" s="9" t="s">
        <v>40</v>
      </c>
      <c r="P18">
        <v>8</v>
      </c>
      <c r="Q18">
        <v>5</v>
      </c>
      <c r="S18">
        <v>4</v>
      </c>
      <c r="T18">
        <v>5</v>
      </c>
      <c r="U18" s="9" t="s">
        <v>43</v>
      </c>
      <c r="V18">
        <v>4</v>
      </c>
      <c r="W18">
        <v>9</v>
      </c>
      <c r="Y18">
        <v>3</v>
      </c>
      <c r="Z18">
        <v>6</v>
      </c>
    </row>
    <row r="19" spans="2:38" x14ac:dyDescent="0.35">
      <c r="B19" s="9" t="s">
        <v>114</v>
      </c>
      <c r="C19">
        <v>6</v>
      </c>
      <c r="D19">
        <v>7</v>
      </c>
      <c r="F19">
        <v>4</v>
      </c>
      <c r="G19">
        <v>5</v>
      </c>
      <c r="H19" s="9" t="s">
        <v>59</v>
      </c>
      <c r="I19">
        <v>6</v>
      </c>
      <c r="J19">
        <v>7</v>
      </c>
      <c r="L19">
        <v>4</v>
      </c>
      <c r="M19">
        <v>5</v>
      </c>
      <c r="O19" s="9" t="s">
        <v>2011</v>
      </c>
      <c r="P19">
        <v>4</v>
      </c>
      <c r="Q19">
        <v>9</v>
      </c>
      <c r="S19">
        <v>2</v>
      </c>
      <c r="T19">
        <v>7</v>
      </c>
      <c r="U19" s="9" t="s">
        <v>42</v>
      </c>
      <c r="V19">
        <v>3</v>
      </c>
      <c r="W19">
        <v>10</v>
      </c>
      <c r="Y19">
        <v>3</v>
      </c>
      <c r="Z19">
        <v>6</v>
      </c>
    </row>
    <row r="20" spans="2:38" x14ac:dyDescent="0.35">
      <c r="B20" s="9" t="s">
        <v>71</v>
      </c>
      <c r="C20">
        <v>6</v>
      </c>
      <c r="D20">
        <v>7</v>
      </c>
      <c r="F20">
        <v>3</v>
      </c>
      <c r="G20">
        <v>6</v>
      </c>
      <c r="H20" s="9" t="s">
        <v>65</v>
      </c>
      <c r="I20">
        <v>5</v>
      </c>
      <c r="J20">
        <v>8</v>
      </c>
      <c r="L20">
        <v>3</v>
      </c>
      <c r="M20">
        <v>6</v>
      </c>
      <c r="O20" s="9" t="s">
        <v>37</v>
      </c>
      <c r="P20">
        <v>4</v>
      </c>
      <c r="Q20">
        <v>9</v>
      </c>
      <c r="S20">
        <v>2</v>
      </c>
      <c r="T20">
        <v>7</v>
      </c>
      <c r="U20" s="9" t="s">
        <v>1858</v>
      </c>
      <c r="V20">
        <v>2</v>
      </c>
      <c r="W20">
        <v>11</v>
      </c>
      <c r="Y20">
        <v>2</v>
      </c>
      <c r="Z20">
        <v>7</v>
      </c>
    </row>
    <row r="21" spans="2:38" x14ac:dyDescent="0.35">
      <c r="B21" s="9" t="s">
        <v>72</v>
      </c>
      <c r="C21">
        <v>5</v>
      </c>
      <c r="D21">
        <v>8</v>
      </c>
      <c r="F21">
        <v>2</v>
      </c>
      <c r="G21">
        <v>7</v>
      </c>
      <c r="H21" s="9" t="s">
        <v>115</v>
      </c>
      <c r="I21">
        <v>3</v>
      </c>
      <c r="J21">
        <v>10</v>
      </c>
      <c r="L21">
        <v>1</v>
      </c>
      <c r="M21">
        <v>8</v>
      </c>
      <c r="O21" s="9" t="s">
        <v>36</v>
      </c>
      <c r="P21">
        <v>4</v>
      </c>
      <c r="Q21">
        <v>9</v>
      </c>
      <c r="S21">
        <v>2</v>
      </c>
      <c r="T21">
        <v>7</v>
      </c>
      <c r="U21" s="9" t="s">
        <v>1859</v>
      </c>
      <c r="V21">
        <v>4</v>
      </c>
      <c r="W21">
        <v>9</v>
      </c>
      <c r="Y21">
        <v>1</v>
      </c>
      <c r="Z21">
        <v>8</v>
      </c>
      <c r="AB21" t="s">
        <v>672</v>
      </c>
    </row>
    <row r="22" spans="2:38" x14ac:dyDescent="0.35">
      <c r="AA22">
        <v>1</v>
      </c>
      <c r="AB22" t="s">
        <v>69</v>
      </c>
    </row>
    <row r="23" spans="2:38" x14ac:dyDescent="0.35">
      <c r="B23" s="9"/>
      <c r="H23" s="9"/>
      <c r="N23" t="s">
        <v>143</v>
      </c>
      <c r="O23" s="20" t="s">
        <v>79</v>
      </c>
      <c r="P23" s="1">
        <v>7</v>
      </c>
      <c r="Q23" s="1">
        <v>6</v>
      </c>
      <c r="S23" s="1">
        <v>8</v>
      </c>
      <c r="T23" s="1">
        <v>5</v>
      </c>
      <c r="U23" s="20" t="s">
        <v>86</v>
      </c>
      <c r="AA23">
        <v>4</v>
      </c>
      <c r="AB23" t="s">
        <v>53</v>
      </c>
    </row>
    <row r="24" spans="2:38" x14ac:dyDescent="0.35">
      <c r="N24" t="s">
        <v>144</v>
      </c>
      <c r="O24" s="20" t="s">
        <v>69</v>
      </c>
      <c r="P24" s="1">
        <v>11</v>
      </c>
      <c r="Q24" s="1">
        <v>1</v>
      </c>
      <c r="S24" s="1">
        <v>8</v>
      </c>
      <c r="T24" s="1">
        <v>5</v>
      </c>
      <c r="U24" s="20" t="s">
        <v>61</v>
      </c>
      <c r="AA24">
        <v>5</v>
      </c>
      <c r="AB24" t="s">
        <v>86</v>
      </c>
    </row>
    <row r="25" spans="2:38" x14ac:dyDescent="0.35">
      <c r="N25" t="s">
        <v>503</v>
      </c>
      <c r="O25" s="20" t="s">
        <v>57</v>
      </c>
      <c r="P25" s="1">
        <v>11</v>
      </c>
      <c r="Q25" s="1">
        <v>2</v>
      </c>
      <c r="S25" s="1">
        <v>11</v>
      </c>
      <c r="T25" s="1">
        <v>2</v>
      </c>
      <c r="U25" s="20" t="s">
        <v>53</v>
      </c>
      <c r="AA25">
        <v>8</v>
      </c>
      <c r="AB25" t="s">
        <v>24</v>
      </c>
    </row>
    <row r="26" spans="2:38" x14ac:dyDescent="0.35">
      <c r="N26" t="s">
        <v>172</v>
      </c>
      <c r="O26" s="42" t="s">
        <v>900</v>
      </c>
      <c r="P26" s="1">
        <v>11</v>
      </c>
      <c r="Q26" s="1">
        <v>2</v>
      </c>
      <c r="S26" s="1">
        <v>10</v>
      </c>
      <c r="T26" s="1">
        <v>3</v>
      </c>
      <c r="U26" s="20" t="s">
        <v>41</v>
      </c>
    </row>
    <row r="27" spans="2:38" x14ac:dyDescent="0.35">
      <c r="N27" t="s">
        <v>173</v>
      </c>
      <c r="O27" s="20" t="s">
        <v>24</v>
      </c>
      <c r="P27" s="1">
        <v>10</v>
      </c>
      <c r="Q27" s="1">
        <v>3</v>
      </c>
      <c r="S27" s="1">
        <v>10</v>
      </c>
      <c r="T27" s="1">
        <v>3</v>
      </c>
      <c r="U27" s="20" t="s">
        <v>119</v>
      </c>
      <c r="AB27" t="s">
        <v>673</v>
      </c>
    </row>
    <row r="28" spans="2:38" x14ac:dyDescent="0.35">
      <c r="AA28">
        <v>2</v>
      </c>
      <c r="AB28" t="s">
        <v>119</v>
      </c>
    </row>
    <row r="29" spans="2:38" x14ac:dyDescent="0.35">
      <c r="O29" s="9"/>
      <c r="AA29">
        <v>3</v>
      </c>
      <c r="AB29" t="s">
        <v>41</v>
      </c>
    </row>
    <row r="30" spans="2:38" x14ac:dyDescent="0.35">
      <c r="O30" s="9"/>
      <c r="AA30">
        <v>6</v>
      </c>
      <c r="AB30" t="s">
        <v>900</v>
      </c>
    </row>
    <row r="31" spans="2:38" x14ac:dyDescent="0.35">
      <c r="O31" s="9"/>
      <c r="AA31">
        <v>7</v>
      </c>
      <c r="AB31" t="s">
        <v>38</v>
      </c>
    </row>
  </sheetData>
  <sortState xmlns:xlrd2="http://schemas.microsoft.com/office/spreadsheetml/2017/richdata2" ref="O14:T21">
    <sortCondition descending="1" ref="S14:S21"/>
    <sortCondition descending="1" ref="P14:P21"/>
  </sortState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O66"/>
  <sheetViews>
    <sheetView workbookViewId="0">
      <selection activeCell="A5" sqref="A5"/>
    </sheetView>
  </sheetViews>
  <sheetFormatPr defaultRowHeight="14.5" x14ac:dyDescent="0.35"/>
  <cols>
    <col min="1" max="1" width="14" customWidth="1"/>
    <col min="2" max="2" width="19.6328125" customWidth="1"/>
    <col min="3" max="3" width="17.54296875" style="6" customWidth="1"/>
    <col min="5" max="5" width="18.36328125" customWidth="1"/>
    <col min="6" max="6" width="16.90625" bestFit="1" customWidth="1"/>
    <col min="7" max="7" width="19.36328125" customWidth="1"/>
  </cols>
  <sheetData>
    <row r="1" spans="1:15" s="1" customFormat="1" x14ac:dyDescent="0.35">
      <c r="C1" s="1" t="s">
        <v>141</v>
      </c>
    </row>
    <row r="2" spans="1:15" s="1" customFormat="1" x14ac:dyDescent="0.35">
      <c r="B2" s="1" t="s">
        <v>326</v>
      </c>
      <c r="E2" s="1" t="s">
        <v>323</v>
      </c>
      <c r="F2" s="20" t="s">
        <v>324</v>
      </c>
      <c r="G2" s="1" t="s">
        <v>325</v>
      </c>
    </row>
    <row r="3" spans="1:15" x14ac:dyDescent="0.35">
      <c r="A3" s="9" t="s">
        <v>146</v>
      </c>
      <c r="B3" s="8" t="s">
        <v>29</v>
      </c>
      <c r="C3" s="8" t="s">
        <v>74</v>
      </c>
      <c r="E3" s="8" t="s">
        <v>60</v>
      </c>
      <c r="F3" s="8" t="s">
        <v>115</v>
      </c>
      <c r="G3" s="8" t="s">
        <v>64</v>
      </c>
      <c r="I3" s="9"/>
      <c r="J3" s="9"/>
      <c r="L3" s="9"/>
      <c r="M3" s="9"/>
      <c r="O3" s="9"/>
    </row>
    <row r="4" spans="1:15" x14ac:dyDescent="0.35">
      <c r="A4" s="9" t="s">
        <v>146</v>
      </c>
      <c r="B4" s="8" t="s">
        <v>55</v>
      </c>
      <c r="C4" s="8" t="s">
        <v>80</v>
      </c>
      <c r="E4" s="8" t="s">
        <v>65</v>
      </c>
      <c r="F4" s="8" t="s">
        <v>145</v>
      </c>
      <c r="G4" s="8" t="s">
        <v>30</v>
      </c>
      <c r="I4" s="9"/>
      <c r="J4" s="9"/>
      <c r="L4" s="9"/>
      <c r="M4" s="9"/>
      <c r="O4" s="9"/>
    </row>
    <row r="5" spans="1:15" x14ac:dyDescent="0.35">
      <c r="A5" s="9" t="s">
        <v>146</v>
      </c>
      <c r="B5" s="8" t="s">
        <v>64</v>
      </c>
      <c r="C5" s="8" t="s">
        <v>78</v>
      </c>
      <c r="E5" s="8" t="s">
        <v>118</v>
      </c>
      <c r="F5" s="8" t="s">
        <v>60</v>
      </c>
      <c r="G5" s="8" t="s">
        <v>32</v>
      </c>
      <c r="I5" s="9"/>
      <c r="J5" s="9"/>
      <c r="L5" s="9"/>
      <c r="M5" s="9"/>
      <c r="O5" s="9"/>
    </row>
    <row r="6" spans="1:15" x14ac:dyDescent="0.35">
      <c r="A6" s="9" t="s">
        <v>146</v>
      </c>
      <c r="B6" s="8" t="s">
        <v>300</v>
      </c>
      <c r="C6" s="8" t="s">
        <v>76</v>
      </c>
      <c r="E6" s="8" t="s">
        <v>115</v>
      </c>
      <c r="F6" s="8" t="s">
        <v>59</v>
      </c>
      <c r="G6" s="8" t="s">
        <v>65</v>
      </c>
      <c r="I6" s="9"/>
      <c r="J6" s="9"/>
      <c r="L6" s="9"/>
      <c r="M6" s="9"/>
      <c r="O6" s="9"/>
    </row>
    <row r="7" spans="1:15" x14ac:dyDescent="0.35">
      <c r="A7" s="9" t="s">
        <v>146</v>
      </c>
      <c r="B7" s="8" t="s">
        <v>115</v>
      </c>
      <c r="C7" s="8" t="s">
        <v>75</v>
      </c>
      <c r="E7" s="8" t="s">
        <v>54</v>
      </c>
      <c r="F7" s="8" t="s">
        <v>1859</v>
      </c>
      <c r="G7" s="8" t="s">
        <v>29</v>
      </c>
      <c r="I7" s="9"/>
      <c r="J7" s="9"/>
      <c r="L7" s="9"/>
      <c r="M7" s="9"/>
      <c r="O7" s="9"/>
    </row>
    <row r="8" spans="1:15" x14ac:dyDescent="0.35">
      <c r="A8" s="9" t="s">
        <v>146</v>
      </c>
      <c r="B8" s="8" t="s">
        <v>59</v>
      </c>
      <c r="C8" s="8" t="s">
        <v>79</v>
      </c>
      <c r="E8" s="8" t="s">
        <v>44</v>
      </c>
      <c r="F8" s="8" t="s">
        <v>64</v>
      </c>
      <c r="G8" s="8" t="s">
        <v>115</v>
      </c>
      <c r="I8" s="9"/>
      <c r="J8" s="9"/>
      <c r="L8" s="9"/>
      <c r="M8" s="9"/>
      <c r="O8" s="9"/>
    </row>
    <row r="9" spans="1:15" x14ac:dyDescent="0.35">
      <c r="A9" s="9" t="s">
        <v>146</v>
      </c>
      <c r="B9" s="8" t="s">
        <v>145</v>
      </c>
      <c r="C9" s="8" t="s">
        <v>77</v>
      </c>
      <c r="E9" s="8" t="s">
        <v>63</v>
      </c>
      <c r="F9" s="8" t="s">
        <v>55</v>
      </c>
      <c r="G9" s="8" t="s">
        <v>1859</v>
      </c>
      <c r="I9" s="9"/>
      <c r="J9" s="9"/>
      <c r="L9" s="9"/>
      <c r="M9" s="9"/>
      <c r="O9" s="9"/>
    </row>
    <row r="10" spans="1:15" x14ac:dyDescent="0.35">
      <c r="A10" s="9" t="s">
        <v>146</v>
      </c>
      <c r="B10" s="8" t="s">
        <v>62</v>
      </c>
      <c r="C10" s="8" t="s">
        <v>73</v>
      </c>
      <c r="E10" s="8" t="s">
        <v>46</v>
      </c>
      <c r="F10" s="8" t="s">
        <v>292</v>
      </c>
      <c r="G10" s="8" t="s">
        <v>59</v>
      </c>
      <c r="I10" s="9"/>
      <c r="J10" s="9"/>
      <c r="L10" s="9"/>
      <c r="M10" s="9"/>
      <c r="O10" s="9"/>
    </row>
    <row r="11" spans="1:15" x14ac:dyDescent="0.35">
      <c r="A11" s="9" t="s">
        <v>147</v>
      </c>
      <c r="B11" s="8" t="s">
        <v>32</v>
      </c>
      <c r="C11" s="8" t="s">
        <v>67</v>
      </c>
      <c r="E11" s="8" t="s">
        <v>31</v>
      </c>
      <c r="F11" s="8" t="s">
        <v>87</v>
      </c>
      <c r="G11" s="8" t="s">
        <v>1858</v>
      </c>
    </row>
    <row r="12" spans="1:15" x14ac:dyDescent="0.35">
      <c r="A12" s="9" t="s">
        <v>147</v>
      </c>
      <c r="B12" s="8" t="s">
        <v>27</v>
      </c>
      <c r="C12" s="8" t="s">
        <v>66</v>
      </c>
      <c r="E12" s="8" t="s">
        <v>53</v>
      </c>
      <c r="F12" s="8" t="s">
        <v>29</v>
      </c>
      <c r="G12" s="8" t="s">
        <v>53</v>
      </c>
    </row>
    <row r="13" spans="1:15" x14ac:dyDescent="0.35">
      <c r="A13" s="9" t="s">
        <v>147</v>
      </c>
      <c r="B13" s="8" t="s">
        <v>117</v>
      </c>
      <c r="C13" s="8" t="s">
        <v>68</v>
      </c>
      <c r="E13" s="8" t="s">
        <v>81</v>
      </c>
      <c r="F13" s="8" t="s">
        <v>82</v>
      </c>
      <c r="G13" s="8" t="s">
        <v>119</v>
      </c>
    </row>
    <row r="14" spans="1:15" x14ac:dyDescent="0.35">
      <c r="A14" s="9" t="s">
        <v>147</v>
      </c>
      <c r="B14" s="8" t="s">
        <v>1858</v>
      </c>
      <c r="C14" s="8" t="s">
        <v>72</v>
      </c>
      <c r="E14" s="8" t="s">
        <v>27</v>
      </c>
      <c r="F14" s="8" t="s">
        <v>53</v>
      </c>
      <c r="G14" s="8" t="s">
        <v>87</v>
      </c>
    </row>
    <row r="15" spans="1:15" x14ac:dyDescent="0.35">
      <c r="A15" s="9" t="s">
        <v>147</v>
      </c>
      <c r="B15" s="8" t="s">
        <v>87</v>
      </c>
      <c r="C15" s="8" t="s">
        <v>71</v>
      </c>
      <c r="E15" s="8" t="s">
        <v>30</v>
      </c>
      <c r="F15" s="8" t="s">
        <v>117</v>
      </c>
      <c r="G15" s="8" t="s">
        <v>27</v>
      </c>
    </row>
    <row r="16" spans="1:15" x14ac:dyDescent="0.35">
      <c r="A16" s="9" t="s">
        <v>147</v>
      </c>
      <c r="B16" s="8" t="s">
        <v>45</v>
      </c>
      <c r="C16" s="8" t="s">
        <v>114</v>
      </c>
      <c r="E16" s="8" t="s">
        <v>117</v>
      </c>
      <c r="F16" s="8" t="s">
        <v>84</v>
      </c>
      <c r="G16" s="8" t="s">
        <v>83</v>
      </c>
    </row>
    <row r="17" spans="1:7" x14ac:dyDescent="0.35">
      <c r="A17" s="9" t="s">
        <v>147</v>
      </c>
      <c r="B17" s="8" t="s">
        <v>118</v>
      </c>
      <c r="C17" s="8" t="s">
        <v>69</v>
      </c>
      <c r="E17" s="8" t="s">
        <v>55</v>
      </c>
      <c r="F17" s="8" t="s">
        <v>86</v>
      </c>
      <c r="G17" s="8" t="s">
        <v>292</v>
      </c>
    </row>
    <row r="18" spans="1:7" x14ac:dyDescent="0.35">
      <c r="A18" s="9" t="s">
        <v>147</v>
      </c>
      <c r="B18" s="8" t="s">
        <v>53</v>
      </c>
      <c r="C18" s="8" t="s">
        <v>70</v>
      </c>
      <c r="E18" s="8" t="s">
        <v>87</v>
      </c>
      <c r="F18" s="8" t="s">
        <v>32</v>
      </c>
      <c r="G18" s="8" t="s">
        <v>117</v>
      </c>
    </row>
    <row r="19" spans="1:7" x14ac:dyDescent="0.35">
      <c r="A19" s="9" t="s">
        <v>148</v>
      </c>
      <c r="B19" s="8" t="s">
        <v>292</v>
      </c>
      <c r="C19" s="8" t="s">
        <v>48</v>
      </c>
      <c r="E19" s="8" t="s">
        <v>84</v>
      </c>
      <c r="F19" s="8" t="s">
        <v>44</v>
      </c>
      <c r="G19" s="8" t="s">
        <v>31</v>
      </c>
    </row>
    <row r="20" spans="1:7" x14ac:dyDescent="0.35">
      <c r="A20" s="9" t="s">
        <v>148</v>
      </c>
      <c r="B20" s="8" t="s">
        <v>43</v>
      </c>
      <c r="C20" s="8" t="s">
        <v>52</v>
      </c>
      <c r="E20" s="8" t="s">
        <v>1859</v>
      </c>
      <c r="F20" s="8" t="s">
        <v>28</v>
      </c>
      <c r="G20" s="8" t="s">
        <v>61</v>
      </c>
    </row>
    <row r="21" spans="1:7" x14ac:dyDescent="0.35">
      <c r="A21" s="9" t="s">
        <v>148</v>
      </c>
      <c r="B21" s="8" t="s">
        <v>1859</v>
      </c>
      <c r="C21" s="8" t="s">
        <v>50</v>
      </c>
      <c r="E21" s="8" t="s">
        <v>28</v>
      </c>
      <c r="F21" s="8" t="s">
        <v>45</v>
      </c>
      <c r="G21" s="8" t="s">
        <v>44</v>
      </c>
    </row>
    <row r="22" spans="1:7" x14ac:dyDescent="0.35">
      <c r="A22" s="9" t="s">
        <v>148</v>
      </c>
      <c r="B22" s="8" t="s">
        <v>41</v>
      </c>
      <c r="C22" s="8" t="s">
        <v>47</v>
      </c>
      <c r="E22" s="8" t="s">
        <v>64</v>
      </c>
      <c r="F22" s="8" t="s">
        <v>30</v>
      </c>
      <c r="G22" s="8" t="s">
        <v>46</v>
      </c>
    </row>
    <row r="23" spans="1:7" x14ac:dyDescent="0.35">
      <c r="A23" s="9" t="s">
        <v>148</v>
      </c>
      <c r="B23" s="8" t="s">
        <v>44</v>
      </c>
      <c r="C23" s="8" t="s">
        <v>49</v>
      </c>
      <c r="E23" s="8" t="s">
        <v>59</v>
      </c>
      <c r="F23" s="8" t="s">
        <v>61</v>
      </c>
      <c r="G23" s="8" t="s">
        <v>86</v>
      </c>
    </row>
    <row r="24" spans="1:7" x14ac:dyDescent="0.35">
      <c r="A24" s="9" t="s">
        <v>148</v>
      </c>
      <c r="B24" s="8" t="s">
        <v>85</v>
      </c>
      <c r="C24" s="8" t="s">
        <v>57</v>
      </c>
      <c r="E24" s="8" t="s">
        <v>32</v>
      </c>
      <c r="F24" s="8" t="s">
        <v>1858</v>
      </c>
      <c r="G24" s="8" t="s">
        <v>41</v>
      </c>
    </row>
    <row r="25" spans="1:7" x14ac:dyDescent="0.35">
      <c r="A25" s="9" t="s">
        <v>148</v>
      </c>
      <c r="B25" s="8" t="s">
        <v>86</v>
      </c>
      <c r="C25" s="8" t="s">
        <v>51</v>
      </c>
      <c r="E25" s="8" t="s">
        <v>85</v>
      </c>
      <c r="F25" s="8" t="s">
        <v>63</v>
      </c>
      <c r="G25" s="8" t="s">
        <v>28</v>
      </c>
    </row>
    <row r="26" spans="1:7" x14ac:dyDescent="0.35">
      <c r="A26" s="9" t="s">
        <v>148</v>
      </c>
      <c r="B26" s="8" t="s">
        <v>30</v>
      </c>
      <c r="C26" s="8" t="s">
        <v>58</v>
      </c>
      <c r="E26" s="8" t="s">
        <v>41</v>
      </c>
      <c r="F26" s="8" t="s">
        <v>83</v>
      </c>
      <c r="G26" s="8" t="s">
        <v>63</v>
      </c>
    </row>
    <row r="27" spans="1:7" x14ac:dyDescent="0.35">
      <c r="A27" s="9" t="s">
        <v>149</v>
      </c>
      <c r="B27" s="8" t="s">
        <v>119</v>
      </c>
      <c r="C27" s="8" t="s">
        <v>40</v>
      </c>
      <c r="E27" s="8" t="s">
        <v>29</v>
      </c>
      <c r="F27" s="8" t="s">
        <v>65</v>
      </c>
      <c r="G27" s="8" t="s">
        <v>85</v>
      </c>
    </row>
    <row r="28" spans="1:7" x14ac:dyDescent="0.35">
      <c r="A28" s="9" t="s">
        <v>149</v>
      </c>
      <c r="B28" s="8" t="s">
        <v>81</v>
      </c>
      <c r="C28" s="8" t="s">
        <v>35</v>
      </c>
      <c r="E28" s="8" t="s">
        <v>83</v>
      </c>
      <c r="F28" s="8" t="s">
        <v>300</v>
      </c>
      <c r="G28" s="8" t="s">
        <v>118</v>
      </c>
    </row>
    <row r="29" spans="1:7" x14ac:dyDescent="0.35">
      <c r="A29" s="9" t="s">
        <v>149</v>
      </c>
      <c r="B29" s="8" t="s">
        <v>83</v>
      </c>
      <c r="C29" s="8" t="s">
        <v>38</v>
      </c>
      <c r="E29" s="8" t="s">
        <v>145</v>
      </c>
      <c r="F29" s="8" t="s">
        <v>31</v>
      </c>
      <c r="G29" s="8" t="s">
        <v>300</v>
      </c>
    </row>
    <row r="30" spans="1:7" x14ac:dyDescent="0.35">
      <c r="A30" s="9" t="s">
        <v>149</v>
      </c>
      <c r="B30" s="8" t="s">
        <v>60</v>
      </c>
      <c r="C30" s="8" t="s">
        <v>2011</v>
      </c>
      <c r="E30" s="8" t="s">
        <v>86</v>
      </c>
      <c r="F30" s="8" t="s">
        <v>54</v>
      </c>
      <c r="G30" s="8" t="s">
        <v>56</v>
      </c>
    </row>
    <row r="31" spans="1:7" x14ac:dyDescent="0.35">
      <c r="A31" s="9" t="s">
        <v>149</v>
      </c>
      <c r="B31" s="8" t="s">
        <v>54</v>
      </c>
      <c r="C31" s="8" t="s">
        <v>39</v>
      </c>
      <c r="E31" s="8" t="s">
        <v>292</v>
      </c>
      <c r="F31" s="8" t="s">
        <v>119</v>
      </c>
      <c r="G31" s="8" t="s">
        <v>84</v>
      </c>
    </row>
    <row r="32" spans="1:7" x14ac:dyDescent="0.35">
      <c r="A32" s="9" t="s">
        <v>149</v>
      </c>
      <c r="B32" s="8" t="s">
        <v>31</v>
      </c>
      <c r="C32" s="8" t="s">
        <v>900</v>
      </c>
      <c r="E32" s="8" t="s">
        <v>82</v>
      </c>
      <c r="F32" s="8" t="s">
        <v>56</v>
      </c>
      <c r="G32" s="8" t="s">
        <v>60</v>
      </c>
    </row>
    <row r="33" spans="1:7" x14ac:dyDescent="0.35">
      <c r="A33" s="9" t="s">
        <v>149</v>
      </c>
      <c r="B33" s="8" t="s">
        <v>56</v>
      </c>
      <c r="C33" s="8" t="s">
        <v>37</v>
      </c>
      <c r="E33" s="8" t="s">
        <v>88</v>
      </c>
      <c r="F33" s="8" t="s">
        <v>118</v>
      </c>
      <c r="G33" s="8" t="s">
        <v>55</v>
      </c>
    </row>
    <row r="34" spans="1:7" x14ac:dyDescent="0.35">
      <c r="A34" s="9" t="s">
        <v>149</v>
      </c>
      <c r="B34" s="8" t="s">
        <v>28</v>
      </c>
      <c r="C34" s="8" t="s">
        <v>36</v>
      </c>
      <c r="E34" s="8" t="s">
        <v>119</v>
      </c>
      <c r="F34" s="8" t="s">
        <v>27</v>
      </c>
      <c r="G34" s="8" t="s">
        <v>62</v>
      </c>
    </row>
    <row r="35" spans="1:7" x14ac:dyDescent="0.35">
      <c r="A35" s="9" t="s">
        <v>150</v>
      </c>
      <c r="B35" s="8" t="s">
        <v>42</v>
      </c>
      <c r="C35" s="8" t="s">
        <v>23</v>
      </c>
      <c r="E35" s="8" t="s">
        <v>1858</v>
      </c>
      <c r="F35" s="8" t="s">
        <v>62</v>
      </c>
      <c r="G35" s="8" t="s">
        <v>88</v>
      </c>
    </row>
    <row r="36" spans="1:7" x14ac:dyDescent="0.35">
      <c r="A36" s="9" t="s">
        <v>150</v>
      </c>
      <c r="B36" s="8" t="s">
        <v>82</v>
      </c>
      <c r="C36" s="8" t="s">
        <v>22</v>
      </c>
      <c r="D36" s="9"/>
      <c r="E36" s="8" t="s">
        <v>43</v>
      </c>
      <c r="F36" s="8" t="s">
        <v>81</v>
      </c>
      <c r="G36" s="8" t="s">
        <v>42</v>
      </c>
    </row>
    <row r="37" spans="1:7" x14ac:dyDescent="0.35">
      <c r="A37" s="9" t="s">
        <v>150</v>
      </c>
      <c r="B37" s="8" t="s">
        <v>65</v>
      </c>
      <c r="C37" s="8" t="s">
        <v>1860</v>
      </c>
      <c r="E37" s="8" t="s">
        <v>56</v>
      </c>
      <c r="F37" s="8" t="s">
        <v>43</v>
      </c>
      <c r="G37" s="8" t="s">
        <v>81</v>
      </c>
    </row>
    <row r="38" spans="1:7" x14ac:dyDescent="0.35">
      <c r="A38" s="9" t="s">
        <v>150</v>
      </c>
      <c r="B38" s="8" t="s">
        <v>46</v>
      </c>
      <c r="C38" s="8" t="s">
        <v>24</v>
      </c>
      <c r="E38" s="8" t="s">
        <v>61</v>
      </c>
      <c r="F38" s="8" t="s">
        <v>88</v>
      </c>
      <c r="G38" s="8" t="s">
        <v>145</v>
      </c>
    </row>
    <row r="39" spans="1:7" x14ac:dyDescent="0.35">
      <c r="A39" s="9" t="s">
        <v>150</v>
      </c>
      <c r="B39" s="8" t="s">
        <v>61</v>
      </c>
      <c r="C39" s="8" t="s">
        <v>34</v>
      </c>
      <c r="E39" s="8" t="s">
        <v>45</v>
      </c>
      <c r="F39" s="8" t="s">
        <v>41</v>
      </c>
      <c r="G39" s="8" t="s">
        <v>43</v>
      </c>
    </row>
    <row r="40" spans="1:7" x14ac:dyDescent="0.35">
      <c r="A40" s="9" t="s">
        <v>150</v>
      </c>
      <c r="B40" s="8" t="s">
        <v>88</v>
      </c>
      <c r="C40" s="8" t="s">
        <v>26</v>
      </c>
      <c r="E40" s="8" t="s">
        <v>62</v>
      </c>
      <c r="F40" s="8" t="s">
        <v>85</v>
      </c>
      <c r="G40" s="8" t="s">
        <v>45</v>
      </c>
    </row>
    <row r="41" spans="1:7" x14ac:dyDescent="0.35">
      <c r="A41" s="9" t="s">
        <v>150</v>
      </c>
      <c r="B41" s="8" t="s">
        <v>63</v>
      </c>
      <c r="C41" s="8" t="s">
        <v>25</v>
      </c>
      <c r="E41" s="8" t="s">
        <v>42</v>
      </c>
      <c r="F41" s="8" t="s">
        <v>46</v>
      </c>
      <c r="G41" s="8" t="s">
        <v>54</v>
      </c>
    </row>
    <row r="42" spans="1:7" x14ac:dyDescent="0.35">
      <c r="A42" s="9" t="s">
        <v>150</v>
      </c>
      <c r="B42" s="8" t="s">
        <v>84</v>
      </c>
      <c r="C42" s="8" t="s">
        <v>33</v>
      </c>
      <c r="E42" s="8" t="s">
        <v>300</v>
      </c>
      <c r="F42" s="8" t="s">
        <v>42</v>
      </c>
      <c r="G42" s="8" t="s">
        <v>82</v>
      </c>
    </row>
    <row r="43" spans="1:7" x14ac:dyDescent="0.35">
      <c r="E43" s="9"/>
    </row>
    <row r="44" spans="1:7" x14ac:dyDescent="0.35">
      <c r="E44" s="9"/>
    </row>
    <row r="45" spans="1:7" x14ac:dyDescent="0.35">
      <c r="E45" s="9"/>
    </row>
    <row r="46" spans="1:7" x14ac:dyDescent="0.35">
      <c r="E46" s="9"/>
    </row>
    <row r="47" spans="1:7" x14ac:dyDescent="0.35">
      <c r="E47" s="9"/>
    </row>
    <row r="48" spans="1:7" x14ac:dyDescent="0.35">
      <c r="E48" s="9"/>
    </row>
    <row r="49" spans="5:5" x14ac:dyDescent="0.35">
      <c r="E49" s="9"/>
    </row>
    <row r="50" spans="5:5" x14ac:dyDescent="0.35">
      <c r="E50" s="9"/>
    </row>
    <row r="51" spans="5:5" x14ac:dyDescent="0.35">
      <c r="E51" s="9"/>
    </row>
    <row r="52" spans="5:5" x14ac:dyDescent="0.35">
      <c r="E52" s="9"/>
    </row>
    <row r="53" spans="5:5" x14ac:dyDescent="0.35">
      <c r="E53" s="9"/>
    </row>
    <row r="54" spans="5:5" x14ac:dyDescent="0.35">
      <c r="E54" s="9"/>
    </row>
    <row r="55" spans="5:5" x14ac:dyDescent="0.35">
      <c r="E55" s="9"/>
    </row>
    <row r="56" spans="5:5" x14ac:dyDescent="0.35">
      <c r="E56" s="9"/>
    </row>
    <row r="57" spans="5:5" x14ac:dyDescent="0.35">
      <c r="E57" s="9"/>
    </row>
    <row r="58" spans="5:5" x14ac:dyDescent="0.35">
      <c r="E58" s="9"/>
    </row>
    <row r="59" spans="5:5" x14ac:dyDescent="0.35">
      <c r="E59" s="9"/>
    </row>
    <row r="60" spans="5:5" x14ac:dyDescent="0.35">
      <c r="E60" s="9"/>
    </row>
    <row r="61" spans="5:5" x14ac:dyDescent="0.35">
      <c r="E61" s="9"/>
    </row>
    <row r="62" spans="5:5" x14ac:dyDescent="0.35">
      <c r="E62" s="9"/>
    </row>
    <row r="63" spans="5:5" x14ac:dyDescent="0.35">
      <c r="E63" s="9"/>
    </row>
    <row r="64" spans="5:5" x14ac:dyDescent="0.35">
      <c r="E64" s="9"/>
    </row>
    <row r="65" spans="5:5" x14ac:dyDescent="0.35">
      <c r="E65" s="9"/>
    </row>
    <row r="66" spans="5:5" x14ac:dyDescent="0.35">
      <c r="E6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ScoreboardNCAA</vt:lpstr>
      <vt:lpstr>Archive</vt:lpstr>
      <vt:lpstr>Rankings</vt:lpstr>
      <vt:lpstr>Bracket</vt:lpstr>
      <vt:lpstr>Conf Standings</vt:lpstr>
      <vt:lpstr>Divisions</vt:lpstr>
      <vt:lpstr>WCS</vt:lpstr>
      <vt:lpstr>Master</vt:lpstr>
      <vt:lpstr>Ultra</vt:lpstr>
      <vt:lpstr>CCC</vt:lpstr>
      <vt:lpstr>SoC</vt:lpstr>
      <vt:lpstr>Legacy</vt:lpstr>
      <vt:lpstr>Future</vt:lpstr>
      <vt:lpstr>Weather</vt:lpstr>
      <vt:lpstr>Derby</vt:lpstr>
      <vt:lpstr>MRL</vt:lpstr>
      <vt:lpstr>UTL</vt:lpstr>
      <vt:lpstr>OldRanks</vt:lpstr>
      <vt:lpstr>OldOldRnks</vt:lpstr>
      <vt:lpstr>XArc</vt:lpstr>
      <vt:lpstr>XRnk</vt:lpstr>
      <vt:lpstr>S2 Archive</vt:lpstr>
      <vt:lpstr>S2 Rankings</vt:lpstr>
      <vt:lpstr>S2 Conf. Stand</vt:lpstr>
      <vt:lpstr>S2 Divisions</vt:lpstr>
      <vt:lpstr>S1 Archive</vt:lpstr>
      <vt:lpstr>S1 Rankings</vt:lpstr>
      <vt:lpstr>S1 Conf. Stand</vt:lpstr>
      <vt:lpstr>S1 InterC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Ean</dc:creator>
  <cp:lastModifiedBy>Ean Teague</cp:lastModifiedBy>
  <dcterms:created xsi:type="dcterms:W3CDTF">2012-03-11T20:20:27Z</dcterms:created>
  <dcterms:modified xsi:type="dcterms:W3CDTF">2022-07-12T06:30:13Z</dcterms:modified>
</cp:coreProperties>
</file>